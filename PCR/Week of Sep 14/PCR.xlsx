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ppriver3651009033.sharepoint.com/sites/DT-Rasa/Shared Documents/General/Weekly Prime Cost Reports/2026/"/>
    </mc:Choice>
  </mc:AlternateContent>
  <xr:revisionPtr revIDLastSave="7" documentId="8_{698E7FFE-1FF8-4928-8D2A-C2C13F8DDCA0}" xr6:coauthVersionLast="47" xr6:coauthVersionMax="47" xr10:uidLastSave="{3C11220A-716A-48A6-AFCA-4D628120DD54}"/>
  <bookViews>
    <workbookView xWindow="28680" yWindow="-120" windowWidth="29040" windowHeight="15720" xr2:uid="{00000000-000D-0000-FFFF-FFFF00000000}"/>
  </bookViews>
  <sheets>
    <sheet name="Summary" sheetId="8" r:id="rId1"/>
    <sheet name="Consolidated" sheetId="1" r:id="rId2"/>
    <sheet name="4 - RASA - MVT" sheetId="2" r:id="rId3"/>
    <sheet name="5 - RASA - National Landin" sheetId="3" r:id="rId4"/>
    <sheet name="6 - RASA - Mosaic" sheetId="4" r:id="rId5"/>
    <sheet name="7 - RASA - Rockville" sheetId="5" r:id="rId6"/>
  </sheets>
  <definedNames>
    <definedName name="_xlnm.Print_Titles" localSheetId="2">'4 - RASA - MVT'!$1:$5</definedName>
    <definedName name="_xlnm.Print_Titles" localSheetId="3">'5 - RASA - National Landin'!$1:$5</definedName>
    <definedName name="_xlnm.Print_Titles" localSheetId="4">'6 - RASA - Mosaic'!$1:$5</definedName>
    <definedName name="_xlnm.Print_Titles" localSheetId="5">'7 - RASA - Rockville'!$1:$5</definedName>
    <definedName name="_xlnm.Print_Titles" localSheetId="1">Consolidated!$1:$5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48" i="5" l="1"/>
  <c r="AK148" i="5" s="1"/>
  <c r="AB148" i="5"/>
  <c r="AC133" i="5" s="1"/>
  <c r="Z145" i="5"/>
  <c r="AA145" i="5" s="1"/>
  <c r="Y145" i="5"/>
  <c r="X145" i="5"/>
  <c r="V145" i="5"/>
  <c r="W145" i="5" s="1"/>
  <c r="T145" i="5"/>
  <c r="U145" i="5" s="1"/>
  <c r="R145" i="5"/>
  <c r="P145" i="5"/>
  <c r="Q145" i="5" s="1"/>
  <c r="N145" i="5"/>
  <c r="O145" i="5" s="1"/>
  <c r="L145" i="5"/>
  <c r="M145" i="5" s="1"/>
  <c r="J145" i="5"/>
  <c r="I145" i="5"/>
  <c r="H145" i="5"/>
  <c r="F145" i="5"/>
  <c r="G145" i="5" s="1"/>
  <c r="D145" i="5"/>
  <c r="E145" i="5" s="1"/>
  <c r="B145" i="5"/>
  <c r="C145" i="5" s="1"/>
  <c r="AI144" i="5"/>
  <c r="AG144" i="5"/>
  <c r="AK144" i="5" s="1"/>
  <c r="AL144" i="5" s="1"/>
  <c r="AD144" i="5"/>
  <c r="AB144" i="5"/>
  <c r="AF144" i="5" s="1"/>
  <c r="AA144" i="5"/>
  <c r="Y144" i="5"/>
  <c r="W144" i="5"/>
  <c r="U144" i="5"/>
  <c r="S144" i="5"/>
  <c r="Q144" i="5"/>
  <c r="O144" i="5"/>
  <c r="M144" i="5"/>
  <c r="K144" i="5"/>
  <c r="I144" i="5"/>
  <c r="G144" i="5"/>
  <c r="E144" i="5"/>
  <c r="C144" i="5"/>
  <c r="AG141" i="5"/>
  <c r="AA141" i="5"/>
  <c r="Z141" i="5"/>
  <c r="Y141" i="5"/>
  <c r="X141" i="5"/>
  <c r="AD141" i="5" s="1"/>
  <c r="V141" i="5"/>
  <c r="W141" i="5" s="1"/>
  <c r="T141" i="5"/>
  <c r="U141" i="5" s="1"/>
  <c r="S141" i="5"/>
  <c r="R141" i="5"/>
  <c r="AB141" i="5" s="1"/>
  <c r="Q141" i="5"/>
  <c r="P141" i="5"/>
  <c r="O141" i="5"/>
  <c r="N141" i="5"/>
  <c r="L141" i="5"/>
  <c r="M141" i="5" s="1"/>
  <c r="K141" i="5"/>
  <c r="J141" i="5"/>
  <c r="I141" i="5"/>
  <c r="H141" i="5"/>
  <c r="F141" i="5"/>
  <c r="G141" i="5" s="1"/>
  <c r="D141" i="5"/>
  <c r="E141" i="5" s="1"/>
  <c r="C141" i="5"/>
  <c r="B141" i="5"/>
  <c r="AL140" i="5"/>
  <c r="AK140" i="5"/>
  <c r="AG140" i="5"/>
  <c r="AI140" i="5" s="1"/>
  <c r="AF140" i="5"/>
  <c r="AD140" i="5"/>
  <c r="AB140" i="5"/>
  <c r="AC140" i="5" s="1"/>
  <c r="AA140" i="5"/>
  <c r="Y140" i="5"/>
  <c r="W140" i="5"/>
  <c r="U140" i="5"/>
  <c r="S140" i="5"/>
  <c r="Q140" i="5"/>
  <c r="O140" i="5"/>
  <c r="M140" i="5"/>
  <c r="K140" i="5"/>
  <c r="I140" i="5"/>
  <c r="G140" i="5"/>
  <c r="E140" i="5"/>
  <c r="C140" i="5"/>
  <c r="AG135" i="5"/>
  <c r="AA135" i="5"/>
  <c r="Z135" i="5"/>
  <c r="X135" i="5"/>
  <c r="AF135" i="5" s="1"/>
  <c r="V135" i="5"/>
  <c r="W135" i="5" s="1"/>
  <c r="T135" i="5"/>
  <c r="U135" i="5" s="1"/>
  <c r="S135" i="5"/>
  <c r="R135" i="5"/>
  <c r="AB135" i="5" s="1"/>
  <c r="AC135" i="5" s="1"/>
  <c r="Q135" i="5"/>
  <c r="P135" i="5"/>
  <c r="N135" i="5"/>
  <c r="O135" i="5" s="1"/>
  <c r="M135" i="5"/>
  <c r="L135" i="5"/>
  <c r="K135" i="5"/>
  <c r="J135" i="5"/>
  <c r="H135" i="5"/>
  <c r="I135" i="5" s="1"/>
  <c r="F135" i="5"/>
  <c r="G135" i="5" s="1"/>
  <c r="D135" i="5"/>
  <c r="E135" i="5" s="1"/>
  <c r="C135" i="5"/>
  <c r="B135" i="5"/>
  <c r="AH134" i="5"/>
  <c r="AG134" i="5"/>
  <c r="AK134" i="5" s="1"/>
  <c r="AL134" i="5" s="1"/>
  <c r="AC134" i="5"/>
  <c r="AB134" i="5"/>
  <c r="AF134" i="5" s="1"/>
  <c r="AA134" i="5"/>
  <c r="Y134" i="5"/>
  <c r="W134" i="5"/>
  <c r="U134" i="5"/>
  <c r="S134" i="5"/>
  <c r="Q134" i="5"/>
  <c r="O134" i="5"/>
  <c r="M134" i="5"/>
  <c r="K134" i="5"/>
  <c r="I134" i="5"/>
  <c r="G134" i="5"/>
  <c r="E134" i="5"/>
  <c r="C134" i="5"/>
  <c r="AG133" i="5"/>
  <c r="AK133" i="5" s="1"/>
  <c r="AL133" i="5" s="1"/>
  <c r="AF133" i="5"/>
  <c r="AD133" i="5"/>
  <c r="AB133" i="5"/>
  <c r="AA133" i="5"/>
  <c r="Y133" i="5"/>
  <c r="W133" i="5"/>
  <c r="U133" i="5"/>
  <c r="S133" i="5"/>
  <c r="Q133" i="5"/>
  <c r="O133" i="5"/>
  <c r="M133" i="5"/>
  <c r="K133" i="5"/>
  <c r="I133" i="5"/>
  <c r="G133" i="5"/>
  <c r="E133" i="5"/>
  <c r="C133" i="5"/>
  <c r="AL132" i="5"/>
  <c r="AH132" i="5"/>
  <c r="AG132" i="5"/>
  <c r="AK132" i="5" s="1"/>
  <c r="AC132" i="5"/>
  <c r="AB132" i="5"/>
  <c r="AF132" i="5" s="1"/>
  <c r="AA132" i="5"/>
  <c r="Y132" i="5"/>
  <c r="W132" i="5"/>
  <c r="U132" i="5"/>
  <c r="S132" i="5"/>
  <c r="Q132" i="5"/>
  <c r="O132" i="5"/>
  <c r="M132" i="5"/>
  <c r="K132" i="5"/>
  <c r="I132" i="5"/>
  <c r="G132" i="5"/>
  <c r="E132" i="5"/>
  <c r="C132" i="5"/>
  <c r="AG131" i="5"/>
  <c r="AK131" i="5" s="1"/>
  <c r="AL131" i="5" s="1"/>
  <c r="AF131" i="5"/>
  <c r="AD131" i="5"/>
  <c r="AB131" i="5"/>
  <c r="AC131" i="5" s="1"/>
  <c r="AA131" i="5"/>
  <c r="Y131" i="5"/>
  <c r="W131" i="5"/>
  <c r="U131" i="5"/>
  <c r="S131" i="5"/>
  <c r="Q131" i="5"/>
  <c r="O131" i="5"/>
  <c r="M131" i="5"/>
  <c r="K131" i="5"/>
  <c r="I131" i="5"/>
  <c r="G131" i="5"/>
  <c r="E131" i="5"/>
  <c r="C131" i="5"/>
  <c r="AH130" i="5"/>
  <c r="AG130" i="5"/>
  <c r="AK130" i="5" s="1"/>
  <c r="AL130" i="5" s="1"/>
  <c r="AC130" i="5"/>
  <c r="AB130" i="5"/>
  <c r="AF130" i="5" s="1"/>
  <c r="AA130" i="5"/>
  <c r="Y130" i="5"/>
  <c r="W130" i="5"/>
  <c r="U130" i="5"/>
  <c r="S130" i="5"/>
  <c r="Q130" i="5"/>
  <c r="O130" i="5"/>
  <c r="M130" i="5"/>
  <c r="K130" i="5"/>
  <c r="I130" i="5"/>
  <c r="G130" i="5"/>
  <c r="E130" i="5"/>
  <c r="C130" i="5"/>
  <c r="AG129" i="5"/>
  <c r="AK129" i="5" s="1"/>
  <c r="AL129" i="5" s="1"/>
  <c r="AF129" i="5"/>
  <c r="AD129" i="5"/>
  <c r="AB129" i="5"/>
  <c r="AC129" i="5" s="1"/>
  <c r="AA129" i="5"/>
  <c r="Y129" i="5"/>
  <c r="W129" i="5"/>
  <c r="U129" i="5"/>
  <c r="S129" i="5"/>
  <c r="Q129" i="5"/>
  <c r="O129" i="5"/>
  <c r="M129" i="5"/>
  <c r="K129" i="5"/>
  <c r="I129" i="5"/>
  <c r="G129" i="5"/>
  <c r="E129" i="5"/>
  <c r="C129" i="5"/>
  <c r="AH128" i="5"/>
  <c r="AG128" i="5"/>
  <c r="AK128" i="5" s="1"/>
  <c r="AL128" i="5" s="1"/>
  <c r="AC128" i="5"/>
  <c r="AB128" i="5"/>
  <c r="AF128" i="5" s="1"/>
  <c r="AA128" i="5"/>
  <c r="Y128" i="5"/>
  <c r="W128" i="5"/>
  <c r="U128" i="5"/>
  <c r="S128" i="5"/>
  <c r="Q128" i="5"/>
  <c r="O128" i="5"/>
  <c r="M128" i="5"/>
  <c r="K128" i="5"/>
  <c r="I128" i="5"/>
  <c r="G128" i="5"/>
  <c r="E128" i="5"/>
  <c r="C128" i="5"/>
  <c r="AG127" i="5"/>
  <c r="AK127" i="5" s="1"/>
  <c r="AL127" i="5" s="1"/>
  <c r="AF127" i="5"/>
  <c r="AD127" i="5"/>
  <c r="AB127" i="5"/>
  <c r="AC127" i="5" s="1"/>
  <c r="AA127" i="5"/>
  <c r="Y127" i="5"/>
  <c r="W127" i="5"/>
  <c r="U127" i="5"/>
  <c r="S127" i="5"/>
  <c r="Q127" i="5"/>
  <c r="O127" i="5"/>
  <c r="M127" i="5"/>
  <c r="K127" i="5"/>
  <c r="I127" i="5"/>
  <c r="G127" i="5"/>
  <c r="E127" i="5"/>
  <c r="C127" i="5"/>
  <c r="AH126" i="5"/>
  <c r="AG126" i="5"/>
  <c r="AK126" i="5" s="1"/>
  <c r="AL126" i="5" s="1"/>
  <c r="AC126" i="5"/>
  <c r="AB126" i="5"/>
  <c r="AF126" i="5" s="1"/>
  <c r="AA126" i="5"/>
  <c r="Y126" i="5"/>
  <c r="W126" i="5"/>
  <c r="U126" i="5"/>
  <c r="S126" i="5"/>
  <c r="Q126" i="5"/>
  <c r="O126" i="5"/>
  <c r="M126" i="5"/>
  <c r="K126" i="5"/>
  <c r="I126" i="5"/>
  <c r="G126" i="5"/>
  <c r="E126" i="5"/>
  <c r="C126" i="5"/>
  <c r="AG125" i="5"/>
  <c r="AK125" i="5" s="1"/>
  <c r="AL125" i="5" s="1"/>
  <c r="AF125" i="5"/>
  <c r="AD125" i="5"/>
  <c r="AB125" i="5"/>
  <c r="AC125" i="5" s="1"/>
  <c r="AA125" i="5"/>
  <c r="Y125" i="5"/>
  <c r="W125" i="5"/>
  <c r="U125" i="5"/>
  <c r="S125" i="5"/>
  <c r="Q125" i="5"/>
  <c r="O125" i="5"/>
  <c r="M125" i="5"/>
  <c r="K125" i="5"/>
  <c r="I125" i="5"/>
  <c r="G125" i="5"/>
  <c r="E125" i="5"/>
  <c r="C125" i="5"/>
  <c r="AH124" i="5"/>
  <c r="AG124" i="5"/>
  <c r="AK124" i="5" s="1"/>
  <c r="AL124" i="5" s="1"/>
  <c r="AC124" i="5"/>
  <c r="AB124" i="5"/>
  <c r="AF124" i="5" s="1"/>
  <c r="AA124" i="5"/>
  <c r="Y124" i="5"/>
  <c r="W124" i="5"/>
  <c r="U124" i="5"/>
  <c r="S124" i="5"/>
  <c r="Q124" i="5"/>
  <c r="O124" i="5"/>
  <c r="M124" i="5"/>
  <c r="K124" i="5"/>
  <c r="I124" i="5"/>
  <c r="G124" i="5"/>
  <c r="E124" i="5"/>
  <c r="C124" i="5"/>
  <c r="AG123" i="5"/>
  <c r="AK123" i="5" s="1"/>
  <c r="AL123" i="5" s="1"/>
  <c r="AF123" i="5"/>
  <c r="AD123" i="5"/>
  <c r="AB123" i="5"/>
  <c r="AC123" i="5" s="1"/>
  <c r="AA123" i="5"/>
  <c r="Y123" i="5"/>
  <c r="W123" i="5"/>
  <c r="U123" i="5"/>
  <c r="S123" i="5"/>
  <c r="Q123" i="5"/>
  <c r="O123" i="5"/>
  <c r="M123" i="5"/>
  <c r="K123" i="5"/>
  <c r="I123" i="5"/>
  <c r="G123" i="5"/>
  <c r="E123" i="5"/>
  <c r="C123" i="5"/>
  <c r="AL122" i="5"/>
  <c r="AH122" i="5"/>
  <c r="AG122" i="5"/>
  <c r="AK122" i="5" s="1"/>
  <c r="AC122" i="5"/>
  <c r="AB122" i="5"/>
  <c r="AF122" i="5" s="1"/>
  <c r="AA122" i="5"/>
  <c r="Y122" i="5"/>
  <c r="W122" i="5"/>
  <c r="U122" i="5"/>
  <c r="S122" i="5"/>
  <c r="Q122" i="5"/>
  <c r="O122" i="5"/>
  <c r="M122" i="5"/>
  <c r="K122" i="5"/>
  <c r="I122" i="5"/>
  <c r="G122" i="5"/>
  <c r="E122" i="5"/>
  <c r="C122" i="5"/>
  <c r="AG121" i="5"/>
  <c r="AK121" i="5" s="1"/>
  <c r="AL121" i="5" s="1"/>
  <c r="AF121" i="5"/>
  <c r="AD121" i="5"/>
  <c r="AB121" i="5"/>
  <c r="AC121" i="5" s="1"/>
  <c r="AA121" i="5"/>
  <c r="Y121" i="5"/>
  <c r="W121" i="5"/>
  <c r="U121" i="5"/>
  <c r="S121" i="5"/>
  <c r="Q121" i="5"/>
  <c r="O121" i="5"/>
  <c r="M121" i="5"/>
  <c r="K121" i="5"/>
  <c r="I121" i="5"/>
  <c r="G121" i="5"/>
  <c r="E121" i="5"/>
  <c r="C121" i="5"/>
  <c r="AH120" i="5"/>
  <c r="AG120" i="5"/>
  <c r="AK120" i="5" s="1"/>
  <c r="AL120" i="5" s="1"/>
  <c r="AB120" i="5"/>
  <c r="AF120" i="5" s="1"/>
  <c r="AA120" i="5"/>
  <c r="Y120" i="5"/>
  <c r="W120" i="5"/>
  <c r="U120" i="5"/>
  <c r="S120" i="5"/>
  <c r="Q120" i="5"/>
  <c r="O120" i="5"/>
  <c r="M120" i="5"/>
  <c r="K120" i="5"/>
  <c r="I120" i="5"/>
  <c r="G120" i="5"/>
  <c r="E120" i="5"/>
  <c r="C120" i="5"/>
  <c r="AG119" i="5"/>
  <c r="AK119" i="5" s="1"/>
  <c r="AL119" i="5" s="1"/>
  <c r="AF119" i="5"/>
  <c r="AD119" i="5"/>
  <c r="AB119" i="5"/>
  <c r="AC119" i="5" s="1"/>
  <c r="AA119" i="5"/>
  <c r="Y119" i="5"/>
  <c r="W119" i="5"/>
  <c r="U119" i="5"/>
  <c r="S119" i="5"/>
  <c r="Q119" i="5"/>
  <c r="O119" i="5"/>
  <c r="M119" i="5"/>
  <c r="K119" i="5"/>
  <c r="I119" i="5"/>
  <c r="G119" i="5"/>
  <c r="E119" i="5"/>
  <c r="C119" i="5"/>
  <c r="AL118" i="5"/>
  <c r="AH118" i="5"/>
  <c r="AG118" i="5"/>
  <c r="AK118" i="5" s="1"/>
  <c r="AB118" i="5"/>
  <c r="AF118" i="5" s="1"/>
  <c r="AA118" i="5"/>
  <c r="Y118" i="5"/>
  <c r="W118" i="5"/>
  <c r="U118" i="5"/>
  <c r="S118" i="5"/>
  <c r="Q118" i="5"/>
  <c r="O118" i="5"/>
  <c r="M118" i="5"/>
  <c r="K118" i="5"/>
  <c r="I118" i="5"/>
  <c r="G118" i="5"/>
  <c r="E118" i="5"/>
  <c r="C118" i="5"/>
  <c r="AG117" i="5"/>
  <c r="AK117" i="5" s="1"/>
  <c r="AL117" i="5" s="1"/>
  <c r="AF117" i="5"/>
  <c r="AD117" i="5"/>
  <c r="AB117" i="5"/>
  <c r="AC117" i="5" s="1"/>
  <c r="AA117" i="5"/>
  <c r="Y117" i="5"/>
  <c r="W117" i="5"/>
  <c r="U117" i="5"/>
  <c r="S117" i="5"/>
  <c r="Q117" i="5"/>
  <c r="O117" i="5"/>
  <c r="M117" i="5"/>
  <c r="K117" i="5"/>
  <c r="I117" i="5"/>
  <c r="G117" i="5"/>
  <c r="E117" i="5"/>
  <c r="C117" i="5"/>
  <c r="AH116" i="5"/>
  <c r="AG116" i="5"/>
  <c r="AK116" i="5" s="1"/>
  <c r="AL116" i="5" s="1"/>
  <c r="AB116" i="5"/>
  <c r="AF116" i="5" s="1"/>
  <c r="AA116" i="5"/>
  <c r="Y116" i="5"/>
  <c r="W116" i="5"/>
  <c r="U116" i="5"/>
  <c r="S116" i="5"/>
  <c r="Q116" i="5"/>
  <c r="O116" i="5"/>
  <c r="M116" i="5"/>
  <c r="K116" i="5"/>
  <c r="I116" i="5"/>
  <c r="G116" i="5"/>
  <c r="E116" i="5"/>
  <c r="C116" i="5"/>
  <c r="AG115" i="5"/>
  <c r="AK115" i="5" s="1"/>
  <c r="AL115" i="5" s="1"/>
  <c r="AF115" i="5"/>
  <c r="AD115" i="5"/>
  <c r="AB115" i="5"/>
  <c r="AC115" i="5" s="1"/>
  <c r="AA115" i="5"/>
  <c r="Y115" i="5"/>
  <c r="W115" i="5"/>
  <c r="U115" i="5"/>
  <c r="S115" i="5"/>
  <c r="Q115" i="5"/>
  <c r="O115" i="5"/>
  <c r="M115" i="5"/>
  <c r="K115" i="5"/>
  <c r="I115" i="5"/>
  <c r="G115" i="5"/>
  <c r="E115" i="5"/>
  <c r="C115" i="5"/>
  <c r="AL114" i="5"/>
  <c r="AH114" i="5"/>
  <c r="AG114" i="5"/>
  <c r="AK114" i="5" s="1"/>
  <c r="AB114" i="5"/>
  <c r="AF114" i="5" s="1"/>
  <c r="AA114" i="5"/>
  <c r="Y114" i="5"/>
  <c r="W114" i="5"/>
  <c r="U114" i="5"/>
  <c r="S114" i="5"/>
  <c r="Q114" i="5"/>
  <c r="O114" i="5"/>
  <c r="M114" i="5"/>
  <c r="K114" i="5"/>
  <c r="I114" i="5"/>
  <c r="G114" i="5"/>
  <c r="E114" i="5"/>
  <c r="C114" i="5"/>
  <c r="AG113" i="5"/>
  <c r="AK113" i="5" s="1"/>
  <c r="AL113" i="5" s="1"/>
  <c r="AF113" i="5"/>
  <c r="AD113" i="5"/>
  <c r="AB113" i="5"/>
  <c r="AC113" i="5" s="1"/>
  <c r="AA113" i="5"/>
  <c r="Y113" i="5"/>
  <c r="W113" i="5"/>
  <c r="U113" i="5"/>
  <c r="S113" i="5"/>
  <c r="Q113" i="5"/>
  <c r="O113" i="5"/>
  <c r="M113" i="5"/>
  <c r="K113" i="5"/>
  <c r="I113" i="5"/>
  <c r="G113" i="5"/>
  <c r="E113" i="5"/>
  <c r="C113" i="5"/>
  <c r="AH112" i="5"/>
  <c r="AG112" i="5"/>
  <c r="AK112" i="5" s="1"/>
  <c r="AL112" i="5" s="1"/>
  <c r="AB112" i="5"/>
  <c r="AF112" i="5" s="1"/>
  <c r="AA112" i="5"/>
  <c r="Y112" i="5"/>
  <c r="W112" i="5"/>
  <c r="U112" i="5"/>
  <c r="S112" i="5"/>
  <c r="Q112" i="5"/>
  <c r="O112" i="5"/>
  <c r="M112" i="5"/>
  <c r="K112" i="5"/>
  <c r="I112" i="5"/>
  <c r="G112" i="5"/>
  <c r="E112" i="5"/>
  <c r="C112" i="5"/>
  <c r="AG111" i="5"/>
  <c r="AF111" i="5"/>
  <c r="AD111" i="5"/>
  <c r="AB111" i="5"/>
  <c r="AC111" i="5" s="1"/>
  <c r="AA111" i="5"/>
  <c r="Y111" i="5"/>
  <c r="W111" i="5"/>
  <c r="U111" i="5"/>
  <c r="S111" i="5"/>
  <c r="Q111" i="5"/>
  <c r="O111" i="5"/>
  <c r="M111" i="5"/>
  <c r="K111" i="5"/>
  <c r="I111" i="5"/>
  <c r="G111" i="5"/>
  <c r="E111" i="5"/>
  <c r="C111" i="5"/>
  <c r="AH110" i="5"/>
  <c r="AG110" i="5"/>
  <c r="AK110" i="5" s="1"/>
  <c r="AL110" i="5" s="1"/>
  <c r="AB110" i="5"/>
  <c r="AF110" i="5" s="1"/>
  <c r="AA110" i="5"/>
  <c r="Y110" i="5"/>
  <c r="W110" i="5"/>
  <c r="U110" i="5"/>
  <c r="S110" i="5"/>
  <c r="Q110" i="5"/>
  <c r="O110" i="5"/>
  <c r="M110" i="5"/>
  <c r="K110" i="5"/>
  <c r="I110" i="5"/>
  <c r="G110" i="5"/>
  <c r="E110" i="5"/>
  <c r="C110" i="5"/>
  <c r="Z105" i="5"/>
  <c r="AA105" i="5" s="1"/>
  <c r="Y105" i="5"/>
  <c r="X105" i="5"/>
  <c r="V105" i="5"/>
  <c r="W105" i="5" s="1"/>
  <c r="U105" i="5"/>
  <c r="T105" i="5"/>
  <c r="AB105" i="5" s="1"/>
  <c r="AC105" i="5" s="1"/>
  <c r="S105" i="5"/>
  <c r="R105" i="5"/>
  <c r="Q105" i="5"/>
  <c r="P105" i="5"/>
  <c r="O105" i="5"/>
  <c r="N105" i="5"/>
  <c r="M105" i="5"/>
  <c r="L105" i="5"/>
  <c r="J105" i="5"/>
  <c r="I105" i="5"/>
  <c r="H105" i="5"/>
  <c r="F105" i="5"/>
  <c r="G105" i="5" s="1"/>
  <c r="E105" i="5"/>
  <c r="D105" i="5"/>
  <c r="C105" i="5"/>
  <c r="B105" i="5"/>
  <c r="AI104" i="5"/>
  <c r="AH104" i="5"/>
  <c r="AG104" i="5"/>
  <c r="AK104" i="5" s="1"/>
  <c r="AL104" i="5" s="1"/>
  <c r="AD104" i="5"/>
  <c r="AC104" i="5"/>
  <c r="AB104" i="5"/>
  <c r="AF104" i="5" s="1"/>
  <c r="AA104" i="5"/>
  <c r="Y104" i="5"/>
  <c r="W104" i="5"/>
  <c r="U104" i="5"/>
  <c r="S104" i="5"/>
  <c r="Q104" i="5"/>
  <c r="O104" i="5"/>
  <c r="M104" i="5"/>
  <c r="K104" i="5"/>
  <c r="I104" i="5"/>
  <c r="G104" i="5"/>
  <c r="E104" i="5"/>
  <c r="C104" i="5"/>
  <c r="AA99" i="5"/>
  <c r="Z99" i="5"/>
  <c r="X99" i="5"/>
  <c r="W99" i="5"/>
  <c r="V99" i="5"/>
  <c r="AG99" i="5" s="1"/>
  <c r="U99" i="5"/>
  <c r="T99" i="5"/>
  <c r="S99" i="5"/>
  <c r="R99" i="5"/>
  <c r="Q99" i="5"/>
  <c r="P99" i="5"/>
  <c r="O99" i="5"/>
  <c r="N99" i="5"/>
  <c r="L99" i="5"/>
  <c r="M99" i="5" s="1"/>
  <c r="K99" i="5"/>
  <c r="J99" i="5"/>
  <c r="H99" i="5"/>
  <c r="I99" i="5" s="1"/>
  <c r="G99" i="5"/>
  <c r="F99" i="5"/>
  <c r="E99" i="5"/>
  <c r="D99" i="5"/>
  <c r="B99" i="5"/>
  <c r="C99" i="5" s="1"/>
  <c r="AG98" i="5"/>
  <c r="AK98" i="5" s="1"/>
  <c r="AL98" i="5" s="1"/>
  <c r="AB98" i="5"/>
  <c r="AA98" i="5"/>
  <c r="Y98" i="5"/>
  <c r="W98" i="5"/>
  <c r="U98" i="5"/>
  <c r="S98" i="5"/>
  <c r="Q98" i="5"/>
  <c r="O98" i="5"/>
  <c r="M98" i="5"/>
  <c r="K98" i="5"/>
  <c r="I98" i="5"/>
  <c r="G98" i="5"/>
  <c r="E98" i="5"/>
  <c r="C98" i="5"/>
  <c r="AK97" i="5"/>
  <c r="AL97" i="5" s="1"/>
  <c r="AI97" i="5"/>
  <c r="AH97" i="5"/>
  <c r="AG97" i="5"/>
  <c r="AD97" i="5"/>
  <c r="AB97" i="5"/>
  <c r="AF97" i="5" s="1"/>
  <c r="AA97" i="5"/>
  <c r="Y97" i="5"/>
  <c r="W97" i="5"/>
  <c r="U97" i="5"/>
  <c r="S97" i="5"/>
  <c r="Q97" i="5"/>
  <c r="O97" i="5"/>
  <c r="M97" i="5"/>
  <c r="K97" i="5"/>
  <c r="I97" i="5"/>
  <c r="G97" i="5"/>
  <c r="E97" i="5"/>
  <c r="C97" i="5"/>
  <c r="AG96" i="5"/>
  <c r="AK96" i="5" s="1"/>
  <c r="AL96" i="5" s="1"/>
  <c r="AB96" i="5"/>
  <c r="AA96" i="5"/>
  <c r="Y96" i="5"/>
  <c r="W96" i="5"/>
  <c r="U96" i="5"/>
  <c r="S96" i="5"/>
  <c r="Q96" i="5"/>
  <c r="O96" i="5"/>
  <c r="M96" i="5"/>
  <c r="K96" i="5"/>
  <c r="I96" i="5"/>
  <c r="G96" i="5"/>
  <c r="E96" i="5"/>
  <c r="C96" i="5"/>
  <c r="AK95" i="5"/>
  <c r="AL95" i="5" s="1"/>
  <c r="AI95" i="5"/>
  <c r="AH95" i="5"/>
  <c r="AG95" i="5"/>
  <c r="AD95" i="5"/>
  <c r="AB95" i="5"/>
  <c r="AF95" i="5" s="1"/>
  <c r="AA95" i="5"/>
  <c r="Y95" i="5"/>
  <c r="W95" i="5"/>
  <c r="U95" i="5"/>
  <c r="S95" i="5"/>
  <c r="Q95" i="5"/>
  <c r="O95" i="5"/>
  <c r="M95" i="5"/>
  <c r="K95" i="5"/>
  <c r="I95" i="5"/>
  <c r="G95" i="5"/>
  <c r="E95" i="5"/>
  <c r="C95" i="5"/>
  <c r="AG94" i="5"/>
  <c r="AK94" i="5" s="1"/>
  <c r="AL94" i="5" s="1"/>
  <c r="AB94" i="5"/>
  <c r="AA94" i="5"/>
  <c r="Y94" i="5"/>
  <c r="W94" i="5"/>
  <c r="U94" i="5"/>
  <c r="S94" i="5"/>
  <c r="Q94" i="5"/>
  <c r="O94" i="5"/>
  <c r="M94" i="5"/>
  <c r="K94" i="5"/>
  <c r="I94" i="5"/>
  <c r="G94" i="5"/>
  <c r="E94" i="5"/>
  <c r="C94" i="5"/>
  <c r="AK93" i="5"/>
  <c r="AL93" i="5" s="1"/>
  <c r="AI93" i="5"/>
  <c r="AH93" i="5"/>
  <c r="AG93" i="5"/>
  <c r="AD93" i="5"/>
  <c r="AB93" i="5"/>
  <c r="AF93" i="5" s="1"/>
  <c r="AA93" i="5"/>
  <c r="Y93" i="5"/>
  <c r="W93" i="5"/>
  <c r="U93" i="5"/>
  <c r="S93" i="5"/>
  <c r="Q93" i="5"/>
  <c r="O93" i="5"/>
  <c r="M93" i="5"/>
  <c r="K93" i="5"/>
  <c r="I93" i="5"/>
  <c r="G93" i="5"/>
  <c r="E93" i="5"/>
  <c r="C93" i="5"/>
  <c r="AG92" i="5"/>
  <c r="AK92" i="5" s="1"/>
  <c r="AL92" i="5" s="1"/>
  <c r="AB92" i="5"/>
  <c r="AA92" i="5"/>
  <c r="Y92" i="5"/>
  <c r="W92" i="5"/>
  <c r="U92" i="5"/>
  <c r="S92" i="5"/>
  <c r="Q92" i="5"/>
  <c r="O92" i="5"/>
  <c r="M92" i="5"/>
  <c r="K92" i="5"/>
  <c r="I92" i="5"/>
  <c r="G92" i="5"/>
  <c r="E92" i="5"/>
  <c r="C92" i="5"/>
  <c r="AK91" i="5"/>
  <c r="AL91" i="5" s="1"/>
  <c r="AI91" i="5"/>
  <c r="AH91" i="5"/>
  <c r="AG91" i="5"/>
  <c r="AD91" i="5"/>
  <c r="AB91" i="5"/>
  <c r="AF91" i="5" s="1"/>
  <c r="AA91" i="5"/>
  <c r="Y91" i="5"/>
  <c r="W91" i="5"/>
  <c r="U91" i="5"/>
  <c r="S91" i="5"/>
  <c r="Q91" i="5"/>
  <c r="O91" i="5"/>
  <c r="M91" i="5"/>
  <c r="K91" i="5"/>
  <c r="I91" i="5"/>
  <c r="G91" i="5"/>
  <c r="E91" i="5"/>
  <c r="C91" i="5"/>
  <c r="AG90" i="5"/>
  <c r="AK90" i="5" s="1"/>
  <c r="AL90" i="5" s="1"/>
  <c r="AB90" i="5"/>
  <c r="AA90" i="5"/>
  <c r="Y90" i="5"/>
  <c r="W90" i="5"/>
  <c r="U90" i="5"/>
  <c r="S90" i="5"/>
  <c r="Q90" i="5"/>
  <c r="O90" i="5"/>
  <c r="M90" i="5"/>
  <c r="K90" i="5"/>
  <c r="I90" i="5"/>
  <c r="G90" i="5"/>
  <c r="E90" i="5"/>
  <c r="C90" i="5"/>
  <c r="Z85" i="5"/>
  <c r="AA85" i="5" s="1"/>
  <c r="Y85" i="5"/>
  <c r="X85" i="5"/>
  <c r="W85" i="5"/>
  <c r="V85" i="5"/>
  <c r="T85" i="5"/>
  <c r="U85" i="5" s="1"/>
  <c r="S85" i="5"/>
  <c r="R85" i="5"/>
  <c r="Q85" i="5"/>
  <c r="P85" i="5"/>
  <c r="N85" i="5"/>
  <c r="O85" i="5" s="1"/>
  <c r="M85" i="5"/>
  <c r="L85" i="5"/>
  <c r="J85" i="5"/>
  <c r="I85" i="5"/>
  <c r="H85" i="5"/>
  <c r="G85" i="5"/>
  <c r="F85" i="5"/>
  <c r="D85" i="5"/>
  <c r="E85" i="5" s="1"/>
  <c r="C85" i="5"/>
  <c r="B85" i="5"/>
  <c r="AB84" i="5"/>
  <c r="AA84" i="5"/>
  <c r="Z84" i="5"/>
  <c r="X84" i="5"/>
  <c r="Y84" i="5" s="1"/>
  <c r="V84" i="5"/>
  <c r="W84" i="5" s="1"/>
  <c r="U84" i="5"/>
  <c r="T84" i="5"/>
  <c r="R84" i="5"/>
  <c r="S84" i="5" s="1"/>
  <c r="Q84" i="5"/>
  <c r="P84" i="5"/>
  <c r="O84" i="5"/>
  <c r="N84" i="5"/>
  <c r="L84" i="5"/>
  <c r="K84" i="5"/>
  <c r="J84" i="5"/>
  <c r="H84" i="5"/>
  <c r="I84" i="5" s="1"/>
  <c r="F84" i="5"/>
  <c r="G84" i="5" s="1"/>
  <c r="E84" i="5"/>
  <c r="D84" i="5"/>
  <c r="B84" i="5"/>
  <c r="C84" i="5" s="1"/>
  <c r="AG83" i="5"/>
  <c r="AF83" i="5"/>
  <c r="AC83" i="5"/>
  <c r="AB83" i="5"/>
  <c r="AD83" i="5" s="1"/>
  <c r="AA83" i="5"/>
  <c r="Y83" i="5"/>
  <c r="W83" i="5"/>
  <c r="U83" i="5"/>
  <c r="S83" i="5"/>
  <c r="Q83" i="5"/>
  <c r="O83" i="5"/>
  <c r="M83" i="5"/>
  <c r="K83" i="5"/>
  <c r="I83" i="5"/>
  <c r="G83" i="5"/>
  <c r="E83" i="5"/>
  <c r="C83" i="5"/>
  <c r="AK82" i="5"/>
  <c r="AL82" i="5" s="1"/>
  <c r="AI82" i="5"/>
  <c r="AH82" i="5"/>
  <c r="AG82" i="5"/>
  <c r="AB82" i="5"/>
  <c r="AA82" i="5"/>
  <c r="Y82" i="5"/>
  <c r="W82" i="5"/>
  <c r="U82" i="5"/>
  <c r="S82" i="5"/>
  <c r="Q82" i="5"/>
  <c r="O82" i="5"/>
  <c r="M82" i="5"/>
  <c r="K82" i="5"/>
  <c r="I82" i="5"/>
  <c r="G82" i="5"/>
  <c r="E82" i="5"/>
  <c r="C82" i="5"/>
  <c r="AA81" i="5"/>
  <c r="Z81" i="5"/>
  <c r="X81" i="5"/>
  <c r="W81" i="5"/>
  <c r="V81" i="5"/>
  <c r="T81" i="5"/>
  <c r="R81" i="5"/>
  <c r="Q81" i="5"/>
  <c r="P81" i="5"/>
  <c r="N81" i="5"/>
  <c r="O81" i="5" s="1"/>
  <c r="M81" i="5"/>
  <c r="L81" i="5"/>
  <c r="K81" i="5"/>
  <c r="J81" i="5"/>
  <c r="H81" i="5"/>
  <c r="I81" i="5" s="1"/>
  <c r="G81" i="5"/>
  <c r="F81" i="5"/>
  <c r="D81" i="5"/>
  <c r="E81" i="5" s="1"/>
  <c r="C81" i="5"/>
  <c r="B81" i="5"/>
  <c r="AL80" i="5"/>
  <c r="AK80" i="5"/>
  <c r="AH80" i="5"/>
  <c r="AG80" i="5"/>
  <c r="AI80" i="5" s="1"/>
  <c r="AB80" i="5"/>
  <c r="AA80" i="5"/>
  <c r="Y80" i="5"/>
  <c r="W80" i="5"/>
  <c r="U80" i="5"/>
  <c r="S80" i="5"/>
  <c r="Q80" i="5"/>
  <c r="O80" i="5"/>
  <c r="M80" i="5"/>
  <c r="K80" i="5"/>
  <c r="I80" i="5"/>
  <c r="G80" i="5"/>
  <c r="E80" i="5"/>
  <c r="C80" i="5"/>
  <c r="AG79" i="5"/>
  <c r="AF79" i="5"/>
  <c r="AD79" i="5"/>
  <c r="AC79" i="5"/>
  <c r="AB79" i="5"/>
  <c r="AA79" i="5"/>
  <c r="Y79" i="5"/>
  <c r="W79" i="5"/>
  <c r="U79" i="5"/>
  <c r="S79" i="5"/>
  <c r="Q79" i="5"/>
  <c r="O79" i="5"/>
  <c r="M79" i="5"/>
  <c r="K79" i="5"/>
  <c r="I79" i="5"/>
  <c r="G79" i="5"/>
  <c r="E79" i="5"/>
  <c r="C79" i="5"/>
  <c r="AL78" i="5"/>
  <c r="AK78" i="5"/>
  <c r="AH78" i="5"/>
  <c r="AG78" i="5"/>
  <c r="AI78" i="5" s="1"/>
  <c r="AB78" i="5"/>
  <c r="AA78" i="5"/>
  <c r="Y78" i="5"/>
  <c r="W78" i="5"/>
  <c r="U78" i="5"/>
  <c r="S78" i="5"/>
  <c r="Q78" i="5"/>
  <c r="O78" i="5"/>
  <c r="M78" i="5"/>
  <c r="K78" i="5"/>
  <c r="I78" i="5"/>
  <c r="G78" i="5"/>
  <c r="E78" i="5"/>
  <c r="C78" i="5"/>
  <c r="AG77" i="5"/>
  <c r="AF77" i="5"/>
  <c r="AD77" i="5"/>
  <c r="AC77" i="5"/>
  <c r="AB77" i="5"/>
  <c r="AA77" i="5"/>
  <c r="Y77" i="5"/>
  <c r="W77" i="5"/>
  <c r="U77" i="5"/>
  <c r="S77" i="5"/>
  <c r="Q77" i="5"/>
  <c r="O77" i="5"/>
  <c r="M77" i="5"/>
  <c r="K77" i="5"/>
  <c r="I77" i="5"/>
  <c r="G77" i="5"/>
  <c r="E77" i="5"/>
  <c r="C77" i="5"/>
  <c r="AL76" i="5"/>
  <c r="AK76" i="5"/>
  <c r="AH76" i="5"/>
  <c r="AG76" i="5"/>
  <c r="AI76" i="5" s="1"/>
  <c r="AB76" i="5"/>
  <c r="AA76" i="5"/>
  <c r="Y76" i="5"/>
  <c r="W76" i="5"/>
  <c r="U76" i="5"/>
  <c r="S76" i="5"/>
  <c r="Q76" i="5"/>
  <c r="O76" i="5"/>
  <c r="M76" i="5"/>
  <c r="K76" i="5"/>
  <c r="I76" i="5"/>
  <c r="G76" i="5"/>
  <c r="E76" i="5"/>
  <c r="C76" i="5"/>
  <c r="AG75" i="5"/>
  <c r="AF75" i="5"/>
  <c r="AD75" i="5"/>
  <c r="AC75" i="5"/>
  <c r="AB75" i="5"/>
  <c r="AA75" i="5"/>
  <c r="Y75" i="5"/>
  <c r="W75" i="5"/>
  <c r="U75" i="5"/>
  <c r="S75" i="5"/>
  <c r="Q75" i="5"/>
  <c r="O75" i="5"/>
  <c r="M75" i="5"/>
  <c r="K75" i="5"/>
  <c r="I75" i="5"/>
  <c r="G75" i="5"/>
  <c r="E75" i="5"/>
  <c r="C75" i="5"/>
  <c r="AL74" i="5"/>
  <c r="AK74" i="5"/>
  <c r="AH74" i="5"/>
  <c r="AG74" i="5"/>
  <c r="AI74" i="5" s="1"/>
  <c r="AB74" i="5"/>
  <c r="AA74" i="5"/>
  <c r="Y74" i="5"/>
  <c r="W74" i="5"/>
  <c r="U74" i="5"/>
  <c r="S74" i="5"/>
  <c r="Q74" i="5"/>
  <c r="O74" i="5"/>
  <c r="M74" i="5"/>
  <c r="K74" i="5"/>
  <c r="I74" i="5"/>
  <c r="G74" i="5"/>
  <c r="E74" i="5"/>
  <c r="C74" i="5"/>
  <c r="AG72" i="5"/>
  <c r="AF72" i="5"/>
  <c r="AD72" i="5"/>
  <c r="AC72" i="5"/>
  <c r="AB72" i="5"/>
  <c r="AA72" i="5"/>
  <c r="Y72" i="5"/>
  <c r="W72" i="5"/>
  <c r="U72" i="5"/>
  <c r="S72" i="5"/>
  <c r="Q72" i="5"/>
  <c r="O72" i="5"/>
  <c r="M72" i="5"/>
  <c r="K72" i="5"/>
  <c r="I72" i="5"/>
  <c r="G72" i="5"/>
  <c r="E72" i="5"/>
  <c r="C72" i="5"/>
  <c r="AL71" i="5"/>
  <c r="AK71" i="5"/>
  <c r="AH71" i="5"/>
  <c r="AG71" i="5"/>
  <c r="AI71" i="5" s="1"/>
  <c r="AB71" i="5"/>
  <c r="AA71" i="5"/>
  <c r="Y71" i="5"/>
  <c r="W71" i="5"/>
  <c r="U71" i="5"/>
  <c r="S71" i="5"/>
  <c r="Q71" i="5"/>
  <c r="O71" i="5"/>
  <c r="M71" i="5"/>
  <c r="K71" i="5"/>
  <c r="I71" i="5"/>
  <c r="G71" i="5"/>
  <c r="E71" i="5"/>
  <c r="C71" i="5"/>
  <c r="Z70" i="5"/>
  <c r="AA70" i="5" s="1"/>
  <c r="X70" i="5"/>
  <c r="Y70" i="5" s="1"/>
  <c r="W70" i="5"/>
  <c r="V70" i="5"/>
  <c r="T70" i="5"/>
  <c r="S70" i="5"/>
  <c r="R70" i="5"/>
  <c r="P70" i="5"/>
  <c r="Q70" i="5" s="1"/>
  <c r="O70" i="5"/>
  <c r="N70" i="5"/>
  <c r="M70" i="5"/>
  <c r="L70" i="5"/>
  <c r="J70" i="5"/>
  <c r="H70" i="5"/>
  <c r="I70" i="5" s="1"/>
  <c r="G70" i="5"/>
  <c r="F70" i="5"/>
  <c r="D70" i="5"/>
  <c r="E70" i="5" s="1"/>
  <c r="C70" i="5"/>
  <c r="B70" i="5"/>
  <c r="AK69" i="5"/>
  <c r="AL69" i="5" s="1"/>
  <c r="AI69" i="5"/>
  <c r="AH69" i="5"/>
  <c r="AG69" i="5"/>
  <c r="AC69" i="5"/>
  <c r="AB69" i="5"/>
  <c r="AF69" i="5" s="1"/>
  <c r="AA69" i="5"/>
  <c r="Y69" i="5"/>
  <c r="W69" i="5"/>
  <c r="U69" i="5"/>
  <c r="S69" i="5"/>
  <c r="Q69" i="5"/>
  <c r="O69" i="5"/>
  <c r="M69" i="5"/>
  <c r="K69" i="5"/>
  <c r="I69" i="5"/>
  <c r="G69" i="5"/>
  <c r="E69" i="5"/>
  <c r="C69" i="5"/>
  <c r="AG68" i="5"/>
  <c r="AB68" i="5"/>
  <c r="AA68" i="5"/>
  <c r="Y68" i="5"/>
  <c r="W68" i="5"/>
  <c r="U68" i="5"/>
  <c r="S68" i="5"/>
  <c r="Q68" i="5"/>
  <c r="O68" i="5"/>
  <c r="M68" i="5"/>
  <c r="K68" i="5"/>
  <c r="I68" i="5"/>
  <c r="G68" i="5"/>
  <c r="E68" i="5"/>
  <c r="C68" i="5"/>
  <c r="AK67" i="5"/>
  <c r="AL67" i="5" s="1"/>
  <c r="AI67" i="5"/>
  <c r="AH67" i="5"/>
  <c r="AG67" i="5"/>
  <c r="AC67" i="5"/>
  <c r="AB67" i="5"/>
  <c r="AF67" i="5" s="1"/>
  <c r="AA67" i="5"/>
  <c r="Y67" i="5"/>
  <c r="W67" i="5"/>
  <c r="U67" i="5"/>
  <c r="S67" i="5"/>
  <c r="Q67" i="5"/>
  <c r="O67" i="5"/>
  <c r="M67" i="5"/>
  <c r="K67" i="5"/>
  <c r="I67" i="5"/>
  <c r="G67" i="5"/>
  <c r="E67" i="5"/>
  <c r="C67" i="5"/>
  <c r="AG66" i="5"/>
  <c r="AB66" i="5"/>
  <c r="AF66" i="5" s="1"/>
  <c r="AA66" i="5"/>
  <c r="Y66" i="5"/>
  <c r="W66" i="5"/>
  <c r="U66" i="5"/>
  <c r="S66" i="5"/>
  <c r="Q66" i="5"/>
  <c r="O66" i="5"/>
  <c r="M66" i="5"/>
  <c r="K66" i="5"/>
  <c r="I66" i="5"/>
  <c r="G66" i="5"/>
  <c r="E66" i="5"/>
  <c r="C66" i="5"/>
  <c r="AK65" i="5"/>
  <c r="AL65" i="5" s="1"/>
  <c r="AI65" i="5"/>
  <c r="AH65" i="5"/>
  <c r="AG65" i="5"/>
  <c r="AC65" i="5"/>
  <c r="AB65" i="5"/>
  <c r="AF65" i="5" s="1"/>
  <c r="AA65" i="5"/>
  <c r="Y65" i="5"/>
  <c r="W65" i="5"/>
  <c r="U65" i="5"/>
  <c r="S65" i="5"/>
  <c r="Q65" i="5"/>
  <c r="O65" i="5"/>
  <c r="M65" i="5"/>
  <c r="K65" i="5"/>
  <c r="I65" i="5"/>
  <c r="G65" i="5"/>
  <c r="E65" i="5"/>
  <c r="C65" i="5"/>
  <c r="AG63" i="5"/>
  <c r="AD63" i="5"/>
  <c r="AB63" i="5"/>
  <c r="AF63" i="5" s="1"/>
  <c r="AA63" i="5"/>
  <c r="Y63" i="5"/>
  <c r="W63" i="5"/>
  <c r="U63" i="5"/>
  <c r="S63" i="5"/>
  <c r="Q63" i="5"/>
  <c r="O63" i="5"/>
  <c r="M63" i="5"/>
  <c r="K63" i="5"/>
  <c r="I63" i="5"/>
  <c r="G63" i="5"/>
  <c r="E63" i="5"/>
  <c r="C63" i="5"/>
  <c r="V59" i="5"/>
  <c r="Z57" i="5"/>
  <c r="AA57" i="5" s="1"/>
  <c r="Y57" i="5"/>
  <c r="X57" i="5"/>
  <c r="W57" i="5"/>
  <c r="V57" i="5"/>
  <c r="T57" i="5"/>
  <c r="R57" i="5"/>
  <c r="S57" i="5" s="1"/>
  <c r="Q57" i="5"/>
  <c r="P57" i="5"/>
  <c r="N57" i="5"/>
  <c r="O57" i="5" s="1"/>
  <c r="M57" i="5"/>
  <c r="L57" i="5"/>
  <c r="J57" i="5"/>
  <c r="H57" i="5"/>
  <c r="I57" i="5" s="1"/>
  <c r="G57" i="5"/>
  <c r="F57" i="5"/>
  <c r="D57" i="5"/>
  <c r="E57" i="5" s="1"/>
  <c r="B57" i="5"/>
  <c r="C57" i="5" s="1"/>
  <c r="AF56" i="5"/>
  <c r="AA56" i="5"/>
  <c r="Z56" i="5"/>
  <c r="Y56" i="5"/>
  <c r="X56" i="5"/>
  <c r="W56" i="5"/>
  <c r="V56" i="5"/>
  <c r="T56" i="5"/>
  <c r="U56" i="5" s="1"/>
  <c r="S56" i="5"/>
  <c r="R56" i="5"/>
  <c r="AB56" i="5" s="1"/>
  <c r="P56" i="5"/>
  <c r="Q56" i="5" s="1"/>
  <c r="O56" i="5"/>
  <c r="N56" i="5"/>
  <c r="M56" i="5"/>
  <c r="L56" i="5"/>
  <c r="K56" i="5"/>
  <c r="J56" i="5"/>
  <c r="I56" i="5"/>
  <c r="H56" i="5"/>
  <c r="G56" i="5"/>
  <c r="F56" i="5"/>
  <c r="D56" i="5"/>
  <c r="E56" i="5" s="1"/>
  <c r="B56" i="5"/>
  <c r="C56" i="5" s="1"/>
  <c r="AK55" i="5"/>
  <c r="AL55" i="5" s="1"/>
  <c r="AI55" i="5"/>
  <c r="AH55" i="5"/>
  <c r="AG55" i="5"/>
  <c r="AD55" i="5"/>
  <c r="AB55" i="5"/>
  <c r="AF55" i="5" s="1"/>
  <c r="AA55" i="5"/>
  <c r="Y55" i="5"/>
  <c r="W55" i="5"/>
  <c r="U55" i="5"/>
  <c r="S55" i="5"/>
  <c r="Q55" i="5"/>
  <c r="O55" i="5"/>
  <c r="M55" i="5"/>
  <c r="K55" i="5"/>
  <c r="I55" i="5"/>
  <c r="G55" i="5"/>
  <c r="E55" i="5"/>
  <c r="C55" i="5"/>
  <c r="AG54" i="5"/>
  <c r="AB54" i="5"/>
  <c r="AD54" i="5" s="1"/>
  <c r="AA54" i="5"/>
  <c r="Y54" i="5"/>
  <c r="W54" i="5"/>
  <c r="U54" i="5"/>
  <c r="S54" i="5"/>
  <c r="Q54" i="5"/>
  <c r="O54" i="5"/>
  <c r="M54" i="5"/>
  <c r="K54" i="5"/>
  <c r="I54" i="5"/>
  <c r="G54" i="5"/>
  <c r="E54" i="5"/>
  <c r="C54" i="5"/>
  <c r="AK53" i="5"/>
  <c r="AL53" i="5" s="1"/>
  <c r="AI53" i="5"/>
  <c r="AH53" i="5"/>
  <c r="AG53" i="5"/>
  <c r="AB53" i="5"/>
  <c r="AA53" i="5"/>
  <c r="Y53" i="5"/>
  <c r="W53" i="5"/>
  <c r="U53" i="5"/>
  <c r="S53" i="5"/>
  <c r="Q53" i="5"/>
  <c r="O53" i="5"/>
  <c r="M53" i="5"/>
  <c r="K53" i="5"/>
  <c r="I53" i="5"/>
  <c r="G53" i="5"/>
  <c r="E53" i="5"/>
  <c r="C53" i="5"/>
  <c r="AB52" i="5"/>
  <c r="Z52" i="5"/>
  <c r="AA52" i="5" s="1"/>
  <c r="Y52" i="5"/>
  <c r="X52" i="5"/>
  <c r="V52" i="5"/>
  <c r="W52" i="5" s="1"/>
  <c r="T52" i="5"/>
  <c r="U52" i="5" s="1"/>
  <c r="S52" i="5"/>
  <c r="R52" i="5"/>
  <c r="Q52" i="5"/>
  <c r="P52" i="5"/>
  <c r="O52" i="5"/>
  <c r="N52" i="5"/>
  <c r="L52" i="5"/>
  <c r="M52" i="5" s="1"/>
  <c r="J52" i="5"/>
  <c r="I52" i="5"/>
  <c r="H52" i="5"/>
  <c r="F52" i="5"/>
  <c r="G52" i="5" s="1"/>
  <c r="D52" i="5"/>
  <c r="E52" i="5" s="1"/>
  <c r="C52" i="5"/>
  <c r="B52" i="5"/>
  <c r="AG51" i="5"/>
  <c r="AI51" i="5" s="1"/>
  <c r="AF51" i="5"/>
  <c r="AD51" i="5"/>
  <c r="AC51" i="5"/>
  <c r="AB51" i="5"/>
  <c r="AA51" i="5"/>
  <c r="Y51" i="5"/>
  <c r="W51" i="5"/>
  <c r="U51" i="5"/>
  <c r="S51" i="5"/>
  <c r="Q51" i="5"/>
  <c r="O51" i="5"/>
  <c r="M51" i="5"/>
  <c r="K51" i="5"/>
  <c r="I51" i="5"/>
  <c r="G51" i="5"/>
  <c r="E51" i="5"/>
  <c r="C51" i="5"/>
  <c r="AG50" i="5"/>
  <c r="AD50" i="5"/>
  <c r="AB50" i="5"/>
  <c r="AA50" i="5"/>
  <c r="Y50" i="5"/>
  <c r="W50" i="5"/>
  <c r="U50" i="5"/>
  <c r="S50" i="5"/>
  <c r="Q50" i="5"/>
  <c r="O50" i="5"/>
  <c r="M50" i="5"/>
  <c r="K50" i="5"/>
  <c r="I50" i="5"/>
  <c r="G50" i="5"/>
  <c r="E50" i="5"/>
  <c r="C50" i="5"/>
  <c r="AL49" i="5"/>
  <c r="AK49" i="5"/>
  <c r="AG49" i="5"/>
  <c r="AI49" i="5" s="1"/>
  <c r="AF49" i="5"/>
  <c r="AD49" i="5"/>
  <c r="AC49" i="5"/>
  <c r="AB49" i="5"/>
  <c r="AA49" i="5"/>
  <c r="Y49" i="5"/>
  <c r="W49" i="5"/>
  <c r="U49" i="5"/>
  <c r="S49" i="5"/>
  <c r="Q49" i="5"/>
  <c r="O49" i="5"/>
  <c r="M49" i="5"/>
  <c r="K49" i="5"/>
  <c r="I49" i="5"/>
  <c r="G49" i="5"/>
  <c r="E49" i="5"/>
  <c r="C49" i="5"/>
  <c r="AG48" i="5"/>
  <c r="AB48" i="5"/>
  <c r="AF48" i="5" s="1"/>
  <c r="AA48" i="5"/>
  <c r="Y48" i="5"/>
  <c r="W48" i="5"/>
  <c r="U48" i="5"/>
  <c r="S48" i="5"/>
  <c r="Q48" i="5"/>
  <c r="O48" i="5"/>
  <c r="M48" i="5"/>
  <c r="K48" i="5"/>
  <c r="I48" i="5"/>
  <c r="G48" i="5"/>
  <c r="E48" i="5"/>
  <c r="C48" i="5"/>
  <c r="AH47" i="5"/>
  <c r="AG47" i="5"/>
  <c r="AI47" i="5" s="1"/>
  <c r="AF47" i="5"/>
  <c r="AD47" i="5"/>
  <c r="AC47" i="5"/>
  <c r="AB47" i="5"/>
  <c r="AA47" i="5"/>
  <c r="Y47" i="5"/>
  <c r="W47" i="5"/>
  <c r="U47" i="5"/>
  <c r="S47" i="5"/>
  <c r="Q47" i="5"/>
  <c r="O47" i="5"/>
  <c r="M47" i="5"/>
  <c r="K47" i="5"/>
  <c r="I47" i="5"/>
  <c r="G47" i="5"/>
  <c r="E47" i="5"/>
  <c r="C47" i="5"/>
  <c r="AG46" i="5"/>
  <c r="AF46" i="5"/>
  <c r="AD46" i="5"/>
  <c r="AC46" i="5"/>
  <c r="AB46" i="5"/>
  <c r="AA46" i="5"/>
  <c r="Y46" i="5"/>
  <c r="W46" i="5"/>
  <c r="U46" i="5"/>
  <c r="S46" i="5"/>
  <c r="Q46" i="5"/>
  <c r="O46" i="5"/>
  <c r="M46" i="5"/>
  <c r="K46" i="5"/>
  <c r="I46" i="5"/>
  <c r="G46" i="5"/>
  <c r="E46" i="5"/>
  <c r="C46" i="5"/>
  <c r="AA44" i="5"/>
  <c r="Z44" i="5"/>
  <c r="Y44" i="5"/>
  <c r="X44" i="5"/>
  <c r="V44" i="5"/>
  <c r="T44" i="5"/>
  <c r="U44" i="5" s="1"/>
  <c r="R44" i="5"/>
  <c r="Q44" i="5"/>
  <c r="P44" i="5"/>
  <c r="N44" i="5"/>
  <c r="O44" i="5" s="1"/>
  <c r="M44" i="5"/>
  <c r="L44" i="5"/>
  <c r="K44" i="5"/>
  <c r="J44" i="5"/>
  <c r="I44" i="5"/>
  <c r="H44" i="5"/>
  <c r="F44" i="5"/>
  <c r="G44" i="5" s="1"/>
  <c r="D44" i="5"/>
  <c r="E44" i="5" s="1"/>
  <c r="B44" i="5"/>
  <c r="C44" i="5" s="1"/>
  <c r="AL43" i="5"/>
  <c r="AK43" i="5"/>
  <c r="AI43" i="5"/>
  <c r="AH43" i="5"/>
  <c r="AG43" i="5"/>
  <c r="AF43" i="5"/>
  <c r="AD43" i="5"/>
  <c r="AC43" i="5"/>
  <c r="AB43" i="5"/>
  <c r="AA43" i="5"/>
  <c r="Y43" i="5"/>
  <c r="W43" i="5"/>
  <c r="U43" i="5"/>
  <c r="S43" i="5"/>
  <c r="Q43" i="5"/>
  <c r="O43" i="5"/>
  <c r="M43" i="5"/>
  <c r="K43" i="5"/>
  <c r="I43" i="5"/>
  <c r="G43" i="5"/>
  <c r="E43" i="5"/>
  <c r="C43" i="5"/>
  <c r="AI42" i="5"/>
  <c r="AH42" i="5"/>
  <c r="AG42" i="5"/>
  <c r="AK42" i="5" s="1"/>
  <c r="AL42" i="5" s="1"/>
  <c r="AD42" i="5"/>
  <c r="AC42" i="5"/>
  <c r="AB42" i="5"/>
  <c r="AF42" i="5" s="1"/>
  <c r="AA42" i="5"/>
  <c r="Y42" i="5"/>
  <c r="W42" i="5"/>
  <c r="U42" i="5"/>
  <c r="S42" i="5"/>
  <c r="Q42" i="5"/>
  <c r="O42" i="5"/>
  <c r="M42" i="5"/>
  <c r="K42" i="5"/>
  <c r="I42" i="5"/>
  <c r="G42" i="5"/>
  <c r="E42" i="5"/>
  <c r="C42" i="5"/>
  <c r="AK41" i="5"/>
  <c r="AL41" i="5" s="1"/>
  <c r="AI41" i="5"/>
  <c r="AH41" i="5"/>
  <c r="AG41" i="5"/>
  <c r="AB41" i="5"/>
  <c r="AF41" i="5" s="1"/>
  <c r="AA41" i="5"/>
  <c r="Y41" i="5"/>
  <c r="W41" i="5"/>
  <c r="U41" i="5"/>
  <c r="S41" i="5"/>
  <c r="Q41" i="5"/>
  <c r="O41" i="5"/>
  <c r="M41" i="5"/>
  <c r="K41" i="5"/>
  <c r="I41" i="5"/>
  <c r="G41" i="5"/>
  <c r="E41" i="5"/>
  <c r="C41" i="5"/>
  <c r="AG40" i="5"/>
  <c r="AK40" i="5" s="1"/>
  <c r="AL40" i="5" s="1"/>
  <c r="AD40" i="5"/>
  <c r="AC40" i="5"/>
  <c r="AB40" i="5"/>
  <c r="AF40" i="5" s="1"/>
  <c r="AA40" i="5"/>
  <c r="Y40" i="5"/>
  <c r="W40" i="5"/>
  <c r="U40" i="5"/>
  <c r="S40" i="5"/>
  <c r="Q40" i="5"/>
  <c r="O40" i="5"/>
  <c r="M40" i="5"/>
  <c r="K40" i="5"/>
  <c r="I40" i="5"/>
  <c r="G40" i="5"/>
  <c r="E40" i="5"/>
  <c r="C40" i="5"/>
  <c r="AK39" i="5"/>
  <c r="AL39" i="5" s="1"/>
  <c r="AI39" i="5"/>
  <c r="AH39" i="5"/>
  <c r="AG39" i="5"/>
  <c r="AF39" i="5"/>
  <c r="AD39" i="5"/>
  <c r="AC39" i="5"/>
  <c r="AB39" i="5"/>
  <c r="AA39" i="5"/>
  <c r="Y39" i="5"/>
  <c r="W39" i="5"/>
  <c r="U39" i="5"/>
  <c r="S39" i="5"/>
  <c r="Q39" i="5"/>
  <c r="O39" i="5"/>
  <c r="M39" i="5"/>
  <c r="K39" i="5"/>
  <c r="I39" i="5"/>
  <c r="G39" i="5"/>
  <c r="E39" i="5"/>
  <c r="C39" i="5"/>
  <c r="AI37" i="5"/>
  <c r="AH37" i="5"/>
  <c r="AG37" i="5"/>
  <c r="AK37" i="5" s="1"/>
  <c r="AL37" i="5" s="1"/>
  <c r="AD37" i="5"/>
  <c r="AC37" i="5"/>
  <c r="AB37" i="5"/>
  <c r="AF37" i="5" s="1"/>
  <c r="AA37" i="5"/>
  <c r="Y37" i="5"/>
  <c r="W37" i="5"/>
  <c r="U37" i="5"/>
  <c r="S37" i="5"/>
  <c r="Q37" i="5"/>
  <c r="O37" i="5"/>
  <c r="M37" i="5"/>
  <c r="K37" i="5"/>
  <c r="I37" i="5"/>
  <c r="G37" i="5"/>
  <c r="E37" i="5"/>
  <c r="C37" i="5"/>
  <c r="AA35" i="5"/>
  <c r="Z35" i="5"/>
  <c r="Y35" i="5"/>
  <c r="X35" i="5"/>
  <c r="W35" i="5"/>
  <c r="V35" i="5"/>
  <c r="T35" i="5"/>
  <c r="U35" i="5" s="1"/>
  <c r="S35" i="5"/>
  <c r="R35" i="5"/>
  <c r="AB35" i="5" s="1"/>
  <c r="P35" i="5"/>
  <c r="Q35" i="5" s="1"/>
  <c r="N35" i="5"/>
  <c r="O35" i="5" s="1"/>
  <c r="M35" i="5"/>
  <c r="L35" i="5"/>
  <c r="J35" i="5"/>
  <c r="I35" i="5"/>
  <c r="H35" i="5"/>
  <c r="F35" i="5"/>
  <c r="G35" i="5" s="1"/>
  <c r="E35" i="5"/>
  <c r="D35" i="5"/>
  <c r="B35" i="5"/>
  <c r="C35" i="5" s="1"/>
  <c r="AK34" i="5"/>
  <c r="AL34" i="5" s="1"/>
  <c r="AF34" i="5"/>
  <c r="AA34" i="5"/>
  <c r="Z34" i="5"/>
  <c r="X34" i="5"/>
  <c r="AD34" i="5" s="1"/>
  <c r="W34" i="5"/>
  <c r="V34" i="5"/>
  <c r="U34" i="5"/>
  <c r="T34" i="5"/>
  <c r="S34" i="5"/>
  <c r="R34" i="5"/>
  <c r="AB34" i="5" s="1"/>
  <c r="AC34" i="5" s="1"/>
  <c r="Q34" i="5"/>
  <c r="P34" i="5"/>
  <c r="AG34" i="5" s="1"/>
  <c r="AI34" i="5" s="1"/>
  <c r="O34" i="5"/>
  <c r="N34" i="5"/>
  <c r="L34" i="5"/>
  <c r="M34" i="5" s="1"/>
  <c r="J34" i="5"/>
  <c r="K34" i="5" s="1"/>
  <c r="I34" i="5"/>
  <c r="H34" i="5"/>
  <c r="G34" i="5"/>
  <c r="F34" i="5"/>
  <c r="E34" i="5"/>
  <c r="D34" i="5"/>
  <c r="B34" i="5"/>
  <c r="C34" i="5" s="1"/>
  <c r="AK33" i="5"/>
  <c r="AL33" i="5" s="1"/>
  <c r="AI33" i="5"/>
  <c r="AG33" i="5"/>
  <c r="AH33" i="5" s="1"/>
  <c r="AF33" i="5"/>
  <c r="AD33" i="5"/>
  <c r="AC33" i="5"/>
  <c r="AB33" i="5"/>
  <c r="AA33" i="5"/>
  <c r="Y33" i="5"/>
  <c r="W33" i="5"/>
  <c r="U33" i="5"/>
  <c r="S33" i="5"/>
  <c r="Q33" i="5"/>
  <c r="O33" i="5"/>
  <c r="M33" i="5"/>
  <c r="K33" i="5"/>
  <c r="I33" i="5"/>
  <c r="G33" i="5"/>
  <c r="E33" i="5"/>
  <c r="C33" i="5"/>
  <c r="AK32" i="5"/>
  <c r="AL32" i="5" s="1"/>
  <c r="AI32" i="5"/>
  <c r="AH32" i="5"/>
  <c r="AG32" i="5"/>
  <c r="AB32" i="5"/>
  <c r="AA32" i="5"/>
  <c r="Y32" i="5"/>
  <c r="W32" i="5"/>
  <c r="U32" i="5"/>
  <c r="S32" i="5"/>
  <c r="Q32" i="5"/>
  <c r="O32" i="5"/>
  <c r="M32" i="5"/>
  <c r="K32" i="5"/>
  <c r="I32" i="5"/>
  <c r="G32" i="5"/>
  <c r="E32" i="5"/>
  <c r="C32" i="5"/>
  <c r="AG31" i="5"/>
  <c r="AB31" i="5"/>
  <c r="AF31" i="5" s="1"/>
  <c r="AA31" i="5"/>
  <c r="Y31" i="5"/>
  <c r="W31" i="5"/>
  <c r="U31" i="5"/>
  <c r="S31" i="5"/>
  <c r="Q31" i="5"/>
  <c r="O31" i="5"/>
  <c r="M31" i="5"/>
  <c r="K31" i="5"/>
  <c r="I31" i="5"/>
  <c r="G31" i="5"/>
  <c r="E31" i="5"/>
  <c r="C31" i="5"/>
  <c r="AG30" i="5"/>
  <c r="AK30" i="5" s="1"/>
  <c r="AL30" i="5" s="1"/>
  <c r="AD30" i="5"/>
  <c r="AC30" i="5"/>
  <c r="AB30" i="5"/>
  <c r="AF30" i="5" s="1"/>
  <c r="AA30" i="5"/>
  <c r="Y30" i="5"/>
  <c r="W30" i="5"/>
  <c r="U30" i="5"/>
  <c r="S30" i="5"/>
  <c r="Q30" i="5"/>
  <c r="O30" i="5"/>
  <c r="M30" i="5"/>
  <c r="K30" i="5"/>
  <c r="I30" i="5"/>
  <c r="G30" i="5"/>
  <c r="E30" i="5"/>
  <c r="C30" i="5"/>
  <c r="AK29" i="5"/>
  <c r="AL29" i="5" s="1"/>
  <c r="AI29" i="5"/>
  <c r="AG29" i="5"/>
  <c r="AH29" i="5" s="1"/>
  <c r="AF29" i="5"/>
  <c r="AB29" i="5"/>
  <c r="AD29" i="5" s="1"/>
  <c r="AA29" i="5"/>
  <c r="Y29" i="5"/>
  <c r="W29" i="5"/>
  <c r="U29" i="5"/>
  <c r="S29" i="5"/>
  <c r="Q29" i="5"/>
  <c r="O29" i="5"/>
  <c r="M29" i="5"/>
  <c r="K29" i="5"/>
  <c r="I29" i="5"/>
  <c r="G29" i="5"/>
  <c r="E29" i="5"/>
  <c r="C29" i="5"/>
  <c r="AB27" i="5"/>
  <c r="AC27" i="5" s="1"/>
  <c r="AA27" i="5"/>
  <c r="Z27" i="5"/>
  <c r="X27" i="5"/>
  <c r="V27" i="5"/>
  <c r="W27" i="5" s="1"/>
  <c r="T27" i="5"/>
  <c r="U27" i="5" s="1"/>
  <c r="S27" i="5"/>
  <c r="R27" i="5"/>
  <c r="P27" i="5"/>
  <c r="Q27" i="5" s="1"/>
  <c r="N27" i="5"/>
  <c r="O27" i="5" s="1"/>
  <c r="L27" i="5"/>
  <c r="M27" i="5" s="1"/>
  <c r="J27" i="5"/>
  <c r="H27" i="5"/>
  <c r="I27" i="5" s="1"/>
  <c r="F27" i="5"/>
  <c r="G27" i="5" s="1"/>
  <c r="D27" i="5"/>
  <c r="E27" i="5" s="1"/>
  <c r="C27" i="5"/>
  <c r="B27" i="5"/>
  <c r="AH26" i="5"/>
  <c r="AG26" i="5"/>
  <c r="AF26" i="5"/>
  <c r="AD26" i="5"/>
  <c r="AC26" i="5"/>
  <c r="AB26" i="5"/>
  <c r="AA26" i="5"/>
  <c r="Y26" i="5"/>
  <c r="W26" i="5"/>
  <c r="U26" i="5"/>
  <c r="S26" i="5"/>
  <c r="Q26" i="5"/>
  <c r="O26" i="5"/>
  <c r="M26" i="5"/>
  <c r="K26" i="5"/>
  <c r="I26" i="5"/>
  <c r="G26" i="5"/>
  <c r="E26" i="5"/>
  <c r="C26" i="5"/>
  <c r="AK25" i="5"/>
  <c r="AL25" i="5" s="1"/>
  <c r="AG25" i="5"/>
  <c r="AI25" i="5" s="1"/>
  <c r="AF25" i="5"/>
  <c r="AC25" i="5"/>
  <c r="AB25" i="5"/>
  <c r="AD25" i="5" s="1"/>
  <c r="AA25" i="5"/>
  <c r="Y25" i="5"/>
  <c r="W25" i="5"/>
  <c r="U25" i="5"/>
  <c r="S25" i="5"/>
  <c r="Q25" i="5"/>
  <c r="O25" i="5"/>
  <c r="M25" i="5"/>
  <c r="K25" i="5"/>
  <c r="I25" i="5"/>
  <c r="G25" i="5"/>
  <c r="E25" i="5"/>
  <c r="C25" i="5"/>
  <c r="AG24" i="5"/>
  <c r="AF24" i="5"/>
  <c r="AD24" i="5"/>
  <c r="AC24" i="5"/>
  <c r="AB24" i="5"/>
  <c r="AA24" i="5"/>
  <c r="Y24" i="5"/>
  <c r="W24" i="5"/>
  <c r="U24" i="5"/>
  <c r="S24" i="5"/>
  <c r="Q24" i="5"/>
  <c r="O24" i="5"/>
  <c r="M24" i="5"/>
  <c r="K24" i="5"/>
  <c r="I24" i="5"/>
  <c r="G24" i="5"/>
  <c r="E24" i="5"/>
  <c r="C24" i="5"/>
  <c r="AK23" i="5"/>
  <c r="AL23" i="5" s="1"/>
  <c r="AG23" i="5"/>
  <c r="AI23" i="5" s="1"/>
  <c r="AF23" i="5"/>
  <c r="AC23" i="5"/>
  <c r="AB23" i="5"/>
  <c r="AD23" i="5" s="1"/>
  <c r="AA23" i="5"/>
  <c r="Y23" i="5"/>
  <c r="W23" i="5"/>
  <c r="U23" i="5"/>
  <c r="S23" i="5"/>
  <c r="Q23" i="5"/>
  <c r="O23" i="5"/>
  <c r="M23" i="5"/>
  <c r="K23" i="5"/>
  <c r="I23" i="5"/>
  <c r="G23" i="5"/>
  <c r="E23" i="5"/>
  <c r="C23" i="5"/>
  <c r="AH22" i="5"/>
  <c r="AG22" i="5"/>
  <c r="AF22" i="5"/>
  <c r="AD22" i="5"/>
  <c r="AC22" i="5"/>
  <c r="AB22" i="5"/>
  <c r="AA22" i="5"/>
  <c r="Y22" i="5"/>
  <c r="W22" i="5"/>
  <c r="U22" i="5"/>
  <c r="S22" i="5"/>
  <c r="Q22" i="5"/>
  <c r="O22" i="5"/>
  <c r="M22" i="5"/>
  <c r="K22" i="5"/>
  <c r="I22" i="5"/>
  <c r="G22" i="5"/>
  <c r="E22" i="5"/>
  <c r="C22" i="5"/>
  <c r="AK21" i="5"/>
  <c r="AL21" i="5" s="1"/>
  <c r="AG21" i="5"/>
  <c r="AI21" i="5" s="1"/>
  <c r="AF21" i="5"/>
  <c r="AC21" i="5"/>
  <c r="AB21" i="5"/>
  <c r="AD21" i="5" s="1"/>
  <c r="AA21" i="5"/>
  <c r="Y21" i="5"/>
  <c r="W21" i="5"/>
  <c r="U21" i="5"/>
  <c r="S21" i="5"/>
  <c r="Q21" i="5"/>
  <c r="O21" i="5"/>
  <c r="M21" i="5"/>
  <c r="K21" i="5"/>
  <c r="I21" i="5"/>
  <c r="G21" i="5"/>
  <c r="E21" i="5"/>
  <c r="C21" i="5"/>
  <c r="AH20" i="5"/>
  <c r="AG20" i="5"/>
  <c r="AF20" i="5"/>
  <c r="AD20" i="5"/>
  <c r="AC20" i="5"/>
  <c r="AB20" i="5"/>
  <c r="AA20" i="5"/>
  <c r="Y20" i="5"/>
  <c r="W20" i="5"/>
  <c r="U20" i="5"/>
  <c r="S20" i="5"/>
  <c r="Q20" i="5"/>
  <c r="O20" i="5"/>
  <c r="M20" i="5"/>
  <c r="K20" i="5"/>
  <c r="I20" i="5"/>
  <c r="G20" i="5"/>
  <c r="E20" i="5"/>
  <c r="C20" i="5"/>
  <c r="AK19" i="5"/>
  <c r="AL19" i="5" s="1"/>
  <c r="AG19" i="5"/>
  <c r="AI19" i="5" s="1"/>
  <c r="AF19" i="5"/>
  <c r="AC19" i="5"/>
  <c r="AB19" i="5"/>
  <c r="AD19" i="5" s="1"/>
  <c r="AA19" i="5"/>
  <c r="Y19" i="5"/>
  <c r="W19" i="5"/>
  <c r="U19" i="5"/>
  <c r="S19" i="5"/>
  <c r="Q19" i="5"/>
  <c r="O19" i="5"/>
  <c r="M19" i="5"/>
  <c r="K19" i="5"/>
  <c r="I19" i="5"/>
  <c r="G19" i="5"/>
  <c r="E19" i="5"/>
  <c r="C19" i="5"/>
  <c r="AG18" i="5"/>
  <c r="AF18" i="5"/>
  <c r="AD18" i="5"/>
  <c r="AC18" i="5"/>
  <c r="AB18" i="5"/>
  <c r="AA18" i="5"/>
  <c r="Y18" i="5"/>
  <c r="W18" i="5"/>
  <c r="U18" i="5"/>
  <c r="S18" i="5"/>
  <c r="Q18" i="5"/>
  <c r="O18" i="5"/>
  <c r="M18" i="5"/>
  <c r="K18" i="5"/>
  <c r="I18" i="5"/>
  <c r="G18" i="5"/>
  <c r="E18" i="5"/>
  <c r="C18" i="5"/>
  <c r="AK17" i="5"/>
  <c r="AL17" i="5" s="1"/>
  <c r="AG17" i="5"/>
  <c r="AI17" i="5" s="1"/>
  <c r="AF17" i="5"/>
  <c r="AC17" i="5"/>
  <c r="AB17" i="5"/>
  <c r="AD17" i="5" s="1"/>
  <c r="AA17" i="5"/>
  <c r="Y17" i="5"/>
  <c r="W17" i="5"/>
  <c r="U17" i="5"/>
  <c r="S17" i="5"/>
  <c r="Q17" i="5"/>
  <c r="O17" i="5"/>
  <c r="M17" i="5"/>
  <c r="K17" i="5"/>
  <c r="I17" i="5"/>
  <c r="G17" i="5"/>
  <c r="E17" i="5"/>
  <c r="C17" i="5"/>
  <c r="AH16" i="5"/>
  <c r="AG16" i="5"/>
  <c r="AF16" i="5"/>
  <c r="AD16" i="5"/>
  <c r="AC16" i="5"/>
  <c r="AB16" i="5"/>
  <c r="AA16" i="5"/>
  <c r="Y16" i="5"/>
  <c r="W16" i="5"/>
  <c r="U16" i="5"/>
  <c r="S16" i="5"/>
  <c r="Q16" i="5"/>
  <c r="O16" i="5"/>
  <c r="M16" i="5"/>
  <c r="K16" i="5"/>
  <c r="I16" i="5"/>
  <c r="G16" i="5"/>
  <c r="E16" i="5"/>
  <c r="C16" i="5"/>
  <c r="AK15" i="5"/>
  <c r="AL15" i="5" s="1"/>
  <c r="AG15" i="5"/>
  <c r="AI15" i="5" s="1"/>
  <c r="AF15" i="5"/>
  <c r="AC15" i="5"/>
  <c r="AB15" i="5"/>
  <c r="AD15" i="5" s="1"/>
  <c r="AA15" i="5"/>
  <c r="Y15" i="5"/>
  <c r="W15" i="5"/>
  <c r="U15" i="5"/>
  <c r="S15" i="5"/>
  <c r="Q15" i="5"/>
  <c r="O15" i="5"/>
  <c r="M15" i="5"/>
  <c r="K15" i="5"/>
  <c r="I15" i="5"/>
  <c r="G15" i="5"/>
  <c r="E15" i="5"/>
  <c r="C15" i="5"/>
  <c r="AH13" i="5"/>
  <c r="AG13" i="5"/>
  <c r="AF13" i="5"/>
  <c r="AD13" i="5"/>
  <c r="AC13" i="5"/>
  <c r="AB13" i="5"/>
  <c r="AA13" i="5"/>
  <c r="Y13" i="5"/>
  <c r="W13" i="5"/>
  <c r="U13" i="5"/>
  <c r="S13" i="5"/>
  <c r="Q13" i="5"/>
  <c r="O13" i="5"/>
  <c r="M13" i="5"/>
  <c r="K13" i="5"/>
  <c r="I13" i="5"/>
  <c r="G13" i="5"/>
  <c r="E13" i="5"/>
  <c r="C13" i="5"/>
  <c r="Z9" i="5"/>
  <c r="Y9" i="5"/>
  <c r="X9" i="5"/>
  <c r="X59" i="5" s="1"/>
  <c r="W9" i="5"/>
  <c r="V9" i="5"/>
  <c r="AB9" i="5" s="1"/>
  <c r="U9" i="5"/>
  <c r="T9" i="5"/>
  <c r="S9" i="5"/>
  <c r="R9" i="5"/>
  <c r="R59" i="5" s="1"/>
  <c r="P9" i="5"/>
  <c r="O9" i="5"/>
  <c r="N9" i="5"/>
  <c r="N59" i="5" s="1"/>
  <c r="N87" i="5" s="1"/>
  <c r="M9" i="5"/>
  <c r="L9" i="5"/>
  <c r="L59" i="5" s="1"/>
  <c r="J9" i="5"/>
  <c r="I9" i="5"/>
  <c r="H9" i="5"/>
  <c r="H59" i="5" s="1"/>
  <c r="H87" i="5" s="1"/>
  <c r="G9" i="5"/>
  <c r="F9" i="5"/>
  <c r="F59" i="5" s="1"/>
  <c r="E9" i="5"/>
  <c r="D9" i="5"/>
  <c r="D59" i="5" s="1"/>
  <c r="B9" i="5"/>
  <c r="B59" i="5" s="1"/>
  <c r="B87" i="5" s="1"/>
  <c r="AK8" i="5"/>
  <c r="AL8" i="5" s="1"/>
  <c r="AH8" i="5"/>
  <c r="AG8" i="5"/>
  <c r="AI8" i="5" s="1"/>
  <c r="AB8" i="5"/>
  <c r="AA8" i="5"/>
  <c r="Y8" i="5"/>
  <c r="W8" i="5"/>
  <c r="U8" i="5"/>
  <c r="S8" i="5"/>
  <c r="Q8" i="5"/>
  <c r="O8" i="5"/>
  <c r="M8" i="5"/>
  <c r="K8" i="5"/>
  <c r="I8" i="5"/>
  <c r="G8" i="5"/>
  <c r="E8" i="5"/>
  <c r="C8" i="5"/>
  <c r="AL7" i="5"/>
  <c r="AK7" i="5"/>
  <c r="AI7" i="5"/>
  <c r="AH7" i="5"/>
  <c r="AG7" i="5"/>
  <c r="AD7" i="5"/>
  <c r="AC7" i="5"/>
  <c r="AB7" i="5"/>
  <c r="AF7" i="5" s="1"/>
  <c r="AA7" i="5"/>
  <c r="Y7" i="5"/>
  <c r="W7" i="5"/>
  <c r="U7" i="5"/>
  <c r="S7" i="5"/>
  <c r="Q7" i="5"/>
  <c r="O7" i="5"/>
  <c r="M7" i="5"/>
  <c r="K7" i="5"/>
  <c r="I7" i="5"/>
  <c r="G7" i="5"/>
  <c r="E7" i="5"/>
  <c r="C7" i="5"/>
  <c r="AK148" i="4"/>
  <c r="AI148" i="4"/>
  <c r="AG148" i="4"/>
  <c r="AD148" i="4"/>
  <c r="AB148" i="4"/>
  <c r="AF148" i="4" s="1"/>
  <c r="AF145" i="4"/>
  <c r="Z145" i="4"/>
  <c r="AA145" i="4" s="1"/>
  <c r="Y145" i="4"/>
  <c r="X145" i="4"/>
  <c r="W145" i="4"/>
  <c r="V145" i="4"/>
  <c r="AB145" i="4" s="1"/>
  <c r="AC145" i="4" s="1"/>
  <c r="U145" i="4"/>
  <c r="T145" i="4"/>
  <c r="S145" i="4"/>
  <c r="R145" i="4"/>
  <c r="P145" i="4"/>
  <c r="Q145" i="4" s="1"/>
  <c r="N145" i="4"/>
  <c r="O145" i="4" s="1"/>
  <c r="M145" i="4"/>
  <c r="L145" i="4"/>
  <c r="J145" i="4"/>
  <c r="I145" i="4"/>
  <c r="H145" i="4"/>
  <c r="G145" i="4"/>
  <c r="F145" i="4"/>
  <c r="E145" i="4"/>
  <c r="D145" i="4"/>
  <c r="C145" i="4"/>
  <c r="B145" i="4"/>
  <c r="AK144" i="4"/>
  <c r="AL144" i="4" s="1"/>
  <c r="AH144" i="4"/>
  <c r="AG144" i="4"/>
  <c r="AI144" i="4" s="1"/>
  <c r="AJ144" i="4" s="1"/>
  <c r="AD144" i="4"/>
  <c r="AE144" i="4" s="1"/>
  <c r="AB144" i="4"/>
  <c r="AA144" i="4"/>
  <c r="Y144" i="4"/>
  <c r="W144" i="4"/>
  <c r="U144" i="4"/>
  <c r="S144" i="4"/>
  <c r="Q144" i="4"/>
  <c r="O144" i="4"/>
  <c r="M144" i="4"/>
  <c r="K144" i="4"/>
  <c r="I144" i="4"/>
  <c r="G144" i="4"/>
  <c r="E144" i="4"/>
  <c r="C144" i="4"/>
  <c r="Z141" i="4"/>
  <c r="AA141" i="4" s="1"/>
  <c r="X141" i="4"/>
  <c r="V141" i="4"/>
  <c r="W141" i="4" s="1"/>
  <c r="T141" i="4"/>
  <c r="U141" i="4" s="1"/>
  <c r="R141" i="4"/>
  <c r="P141" i="4"/>
  <c r="Q141" i="4" s="1"/>
  <c r="N141" i="4"/>
  <c r="O141" i="4" s="1"/>
  <c r="M141" i="4"/>
  <c r="L141" i="4"/>
  <c r="J141" i="4"/>
  <c r="H141" i="4"/>
  <c r="I141" i="4" s="1"/>
  <c r="F141" i="4"/>
  <c r="G141" i="4" s="1"/>
  <c r="D141" i="4"/>
  <c r="E141" i="4" s="1"/>
  <c r="B141" i="4"/>
  <c r="C141" i="4" s="1"/>
  <c r="AI140" i="4"/>
  <c r="AJ140" i="4" s="1"/>
  <c r="AH140" i="4"/>
  <c r="AG140" i="4"/>
  <c r="AK140" i="4" s="1"/>
  <c r="AL140" i="4" s="1"/>
  <c r="AB140" i="4"/>
  <c r="AA140" i="4"/>
  <c r="Y140" i="4"/>
  <c r="W140" i="4"/>
  <c r="U140" i="4"/>
  <c r="S140" i="4"/>
  <c r="Q140" i="4"/>
  <c r="O140" i="4"/>
  <c r="M140" i="4"/>
  <c r="K140" i="4"/>
  <c r="I140" i="4"/>
  <c r="G140" i="4"/>
  <c r="E140" i="4"/>
  <c r="C140" i="4"/>
  <c r="Z135" i="4"/>
  <c r="AA135" i="4" s="1"/>
  <c r="X135" i="4"/>
  <c r="V135" i="4"/>
  <c r="W135" i="4" s="1"/>
  <c r="T135" i="4"/>
  <c r="R135" i="4"/>
  <c r="S135" i="4" s="1"/>
  <c r="P135" i="4"/>
  <c r="Q135" i="4" s="1"/>
  <c r="O135" i="4"/>
  <c r="N135" i="4"/>
  <c r="L135" i="4"/>
  <c r="M135" i="4" s="1"/>
  <c r="J135" i="4"/>
  <c r="I135" i="4"/>
  <c r="H135" i="4"/>
  <c r="F135" i="4"/>
  <c r="G135" i="4" s="1"/>
  <c r="D135" i="4"/>
  <c r="E135" i="4" s="1"/>
  <c r="B135" i="4"/>
  <c r="C135" i="4" s="1"/>
  <c r="AG134" i="4"/>
  <c r="AK134" i="4" s="1"/>
  <c r="AL134" i="4" s="1"/>
  <c r="AD134" i="4"/>
  <c r="AE134" i="4" s="1"/>
  <c r="AC134" i="4"/>
  <c r="AB134" i="4"/>
  <c r="AF134" i="4" s="1"/>
  <c r="AA134" i="4"/>
  <c r="Y134" i="4"/>
  <c r="W134" i="4"/>
  <c r="U134" i="4"/>
  <c r="S134" i="4"/>
  <c r="Q134" i="4"/>
  <c r="O134" i="4"/>
  <c r="M134" i="4"/>
  <c r="K134" i="4"/>
  <c r="I134" i="4"/>
  <c r="G134" i="4"/>
  <c r="E134" i="4"/>
  <c r="C134" i="4"/>
  <c r="AK133" i="4"/>
  <c r="AL133" i="4" s="1"/>
  <c r="AI133" i="4"/>
  <c r="AJ133" i="4" s="1"/>
  <c r="AG133" i="4"/>
  <c r="AH133" i="4" s="1"/>
  <c r="AB133" i="4"/>
  <c r="AA133" i="4"/>
  <c r="Y133" i="4"/>
  <c r="W133" i="4"/>
  <c r="U133" i="4"/>
  <c r="S133" i="4"/>
  <c r="Q133" i="4"/>
  <c r="O133" i="4"/>
  <c r="M133" i="4"/>
  <c r="K133" i="4"/>
  <c r="I133" i="4"/>
  <c r="G133" i="4"/>
  <c r="E133" i="4"/>
  <c r="C133" i="4"/>
  <c r="AG132" i="4"/>
  <c r="AK132" i="4" s="1"/>
  <c r="AL132" i="4" s="1"/>
  <c r="AD132" i="4"/>
  <c r="AE132" i="4" s="1"/>
  <c r="AC132" i="4"/>
  <c r="AB132" i="4"/>
  <c r="AF132" i="4" s="1"/>
  <c r="AA132" i="4"/>
  <c r="Y132" i="4"/>
  <c r="W132" i="4"/>
  <c r="U132" i="4"/>
  <c r="S132" i="4"/>
  <c r="Q132" i="4"/>
  <c r="O132" i="4"/>
  <c r="M132" i="4"/>
  <c r="K132" i="4"/>
  <c r="I132" i="4"/>
  <c r="G132" i="4"/>
  <c r="E132" i="4"/>
  <c r="C132" i="4"/>
  <c r="AG131" i="4"/>
  <c r="AH131" i="4" s="1"/>
  <c r="AB131" i="4"/>
  <c r="AA131" i="4"/>
  <c r="Y131" i="4"/>
  <c r="W131" i="4"/>
  <c r="U131" i="4"/>
  <c r="S131" i="4"/>
  <c r="Q131" i="4"/>
  <c r="O131" i="4"/>
  <c r="M131" i="4"/>
  <c r="K131" i="4"/>
  <c r="I131" i="4"/>
  <c r="G131" i="4"/>
  <c r="E131" i="4"/>
  <c r="C131" i="4"/>
  <c r="AG130" i="4"/>
  <c r="AK130" i="4" s="1"/>
  <c r="AL130" i="4" s="1"/>
  <c r="AD130" i="4"/>
  <c r="AE130" i="4" s="1"/>
  <c r="AC130" i="4"/>
  <c r="AB130" i="4"/>
  <c r="AF130" i="4" s="1"/>
  <c r="AA130" i="4"/>
  <c r="Y130" i="4"/>
  <c r="W130" i="4"/>
  <c r="U130" i="4"/>
  <c r="S130" i="4"/>
  <c r="Q130" i="4"/>
  <c r="O130" i="4"/>
  <c r="M130" i="4"/>
  <c r="K130" i="4"/>
  <c r="I130" i="4"/>
  <c r="G130" i="4"/>
  <c r="E130" i="4"/>
  <c r="C130" i="4"/>
  <c r="AK129" i="4"/>
  <c r="AL129" i="4" s="1"/>
  <c r="AG129" i="4"/>
  <c r="AH129" i="4" s="1"/>
  <c r="AB129" i="4"/>
  <c r="AA129" i="4"/>
  <c r="Y129" i="4"/>
  <c r="W129" i="4"/>
  <c r="U129" i="4"/>
  <c r="S129" i="4"/>
  <c r="Q129" i="4"/>
  <c r="O129" i="4"/>
  <c r="M129" i="4"/>
  <c r="K129" i="4"/>
  <c r="I129" i="4"/>
  <c r="G129" i="4"/>
  <c r="E129" i="4"/>
  <c r="C129" i="4"/>
  <c r="AG128" i="4"/>
  <c r="AK128" i="4" s="1"/>
  <c r="AL128" i="4" s="1"/>
  <c r="AD128" i="4"/>
  <c r="AE128" i="4" s="1"/>
  <c r="AC128" i="4"/>
  <c r="AB128" i="4"/>
  <c r="AF128" i="4" s="1"/>
  <c r="AA128" i="4"/>
  <c r="Y128" i="4"/>
  <c r="W128" i="4"/>
  <c r="U128" i="4"/>
  <c r="S128" i="4"/>
  <c r="Q128" i="4"/>
  <c r="O128" i="4"/>
  <c r="M128" i="4"/>
  <c r="K128" i="4"/>
  <c r="I128" i="4"/>
  <c r="G128" i="4"/>
  <c r="E128" i="4"/>
  <c r="C128" i="4"/>
  <c r="AG127" i="4"/>
  <c r="AH127" i="4" s="1"/>
  <c r="AB127" i="4"/>
  <c r="AA127" i="4"/>
  <c r="Y127" i="4"/>
  <c r="W127" i="4"/>
  <c r="U127" i="4"/>
  <c r="S127" i="4"/>
  <c r="Q127" i="4"/>
  <c r="O127" i="4"/>
  <c r="M127" i="4"/>
  <c r="K127" i="4"/>
  <c r="I127" i="4"/>
  <c r="G127" i="4"/>
  <c r="E127" i="4"/>
  <c r="C127" i="4"/>
  <c r="AG126" i="4"/>
  <c r="AK126" i="4" s="1"/>
  <c r="AL126" i="4" s="1"/>
  <c r="AD126" i="4"/>
  <c r="AE126" i="4" s="1"/>
  <c r="AC126" i="4"/>
  <c r="AB126" i="4"/>
  <c r="AF126" i="4" s="1"/>
  <c r="AA126" i="4"/>
  <c r="Y126" i="4"/>
  <c r="W126" i="4"/>
  <c r="U126" i="4"/>
  <c r="S126" i="4"/>
  <c r="Q126" i="4"/>
  <c r="O126" i="4"/>
  <c r="M126" i="4"/>
  <c r="K126" i="4"/>
  <c r="I126" i="4"/>
  <c r="G126" i="4"/>
  <c r="E126" i="4"/>
  <c r="C126" i="4"/>
  <c r="AK125" i="4"/>
  <c r="AL125" i="4" s="1"/>
  <c r="AI125" i="4"/>
  <c r="AJ125" i="4" s="1"/>
  <c r="AG125" i="4"/>
  <c r="AH125" i="4" s="1"/>
  <c r="AB125" i="4"/>
  <c r="AA125" i="4"/>
  <c r="Y125" i="4"/>
  <c r="W125" i="4"/>
  <c r="U125" i="4"/>
  <c r="S125" i="4"/>
  <c r="Q125" i="4"/>
  <c r="O125" i="4"/>
  <c r="M125" i="4"/>
  <c r="K125" i="4"/>
  <c r="I125" i="4"/>
  <c r="G125" i="4"/>
  <c r="E125" i="4"/>
  <c r="C125" i="4"/>
  <c r="AG124" i="4"/>
  <c r="AK124" i="4" s="1"/>
  <c r="AL124" i="4" s="1"/>
  <c r="AD124" i="4"/>
  <c r="AE124" i="4" s="1"/>
  <c r="AC124" i="4"/>
  <c r="AB124" i="4"/>
  <c r="AF124" i="4" s="1"/>
  <c r="AA124" i="4"/>
  <c r="Y124" i="4"/>
  <c r="W124" i="4"/>
  <c r="U124" i="4"/>
  <c r="S124" i="4"/>
  <c r="Q124" i="4"/>
  <c r="O124" i="4"/>
  <c r="M124" i="4"/>
  <c r="K124" i="4"/>
  <c r="I124" i="4"/>
  <c r="G124" i="4"/>
  <c r="E124" i="4"/>
  <c r="C124" i="4"/>
  <c r="AG123" i="4"/>
  <c r="AH123" i="4" s="1"/>
  <c r="AB123" i="4"/>
  <c r="AA123" i="4"/>
  <c r="Y123" i="4"/>
  <c r="W123" i="4"/>
  <c r="U123" i="4"/>
  <c r="S123" i="4"/>
  <c r="Q123" i="4"/>
  <c r="O123" i="4"/>
  <c r="M123" i="4"/>
  <c r="K123" i="4"/>
  <c r="I123" i="4"/>
  <c r="G123" i="4"/>
  <c r="E123" i="4"/>
  <c r="C123" i="4"/>
  <c r="AG122" i="4"/>
  <c r="AK122" i="4" s="1"/>
  <c r="AL122" i="4" s="1"/>
  <c r="AD122" i="4"/>
  <c r="AE122" i="4" s="1"/>
  <c r="AC122" i="4"/>
  <c r="AB122" i="4"/>
  <c r="AF122" i="4" s="1"/>
  <c r="AA122" i="4"/>
  <c r="Y122" i="4"/>
  <c r="W122" i="4"/>
  <c r="U122" i="4"/>
  <c r="S122" i="4"/>
  <c r="Q122" i="4"/>
  <c r="O122" i="4"/>
  <c r="M122" i="4"/>
  <c r="K122" i="4"/>
  <c r="I122" i="4"/>
  <c r="G122" i="4"/>
  <c r="E122" i="4"/>
  <c r="C122" i="4"/>
  <c r="AK121" i="4"/>
  <c r="AL121" i="4" s="1"/>
  <c r="AG121" i="4"/>
  <c r="AH121" i="4" s="1"/>
  <c r="AB121" i="4"/>
  <c r="AA121" i="4"/>
  <c r="Y121" i="4"/>
  <c r="W121" i="4"/>
  <c r="U121" i="4"/>
  <c r="S121" i="4"/>
  <c r="Q121" i="4"/>
  <c r="O121" i="4"/>
  <c r="M121" i="4"/>
  <c r="K121" i="4"/>
  <c r="I121" i="4"/>
  <c r="G121" i="4"/>
  <c r="E121" i="4"/>
  <c r="C121" i="4"/>
  <c r="AG120" i="4"/>
  <c r="AK120" i="4" s="1"/>
  <c r="AL120" i="4" s="1"/>
  <c r="AD120" i="4"/>
  <c r="AE120" i="4" s="1"/>
  <c r="AC120" i="4"/>
  <c r="AB120" i="4"/>
  <c r="AF120" i="4" s="1"/>
  <c r="AA120" i="4"/>
  <c r="Y120" i="4"/>
  <c r="W120" i="4"/>
  <c r="U120" i="4"/>
  <c r="S120" i="4"/>
  <c r="Q120" i="4"/>
  <c r="O120" i="4"/>
  <c r="M120" i="4"/>
  <c r="K120" i="4"/>
  <c r="I120" i="4"/>
  <c r="G120" i="4"/>
  <c r="E120" i="4"/>
  <c r="C120" i="4"/>
  <c r="AG119" i="4"/>
  <c r="AH119" i="4" s="1"/>
  <c r="AB119" i="4"/>
  <c r="AA119" i="4"/>
  <c r="Y119" i="4"/>
  <c r="W119" i="4"/>
  <c r="U119" i="4"/>
  <c r="S119" i="4"/>
  <c r="Q119" i="4"/>
  <c r="O119" i="4"/>
  <c r="M119" i="4"/>
  <c r="K119" i="4"/>
  <c r="I119" i="4"/>
  <c r="G119" i="4"/>
  <c r="E119" i="4"/>
  <c r="C119" i="4"/>
  <c r="AG118" i="4"/>
  <c r="AK118" i="4" s="1"/>
  <c r="AL118" i="4" s="1"/>
  <c r="AD118" i="4"/>
  <c r="AE118" i="4" s="1"/>
  <c r="AC118" i="4"/>
  <c r="AB118" i="4"/>
  <c r="AF118" i="4" s="1"/>
  <c r="AA118" i="4"/>
  <c r="Y118" i="4"/>
  <c r="W118" i="4"/>
  <c r="U118" i="4"/>
  <c r="S118" i="4"/>
  <c r="Q118" i="4"/>
  <c r="O118" i="4"/>
  <c r="M118" i="4"/>
  <c r="K118" i="4"/>
  <c r="I118" i="4"/>
  <c r="G118" i="4"/>
  <c r="E118" i="4"/>
  <c r="C118" i="4"/>
  <c r="AL117" i="4"/>
  <c r="AK117" i="4"/>
  <c r="AI117" i="4"/>
  <c r="AJ117" i="4" s="1"/>
  <c r="AG117" i="4"/>
  <c r="AH117" i="4" s="1"/>
  <c r="AB117" i="4"/>
  <c r="AA117" i="4"/>
  <c r="Y117" i="4"/>
  <c r="W117" i="4"/>
  <c r="U117" i="4"/>
  <c r="S117" i="4"/>
  <c r="Q117" i="4"/>
  <c r="O117" i="4"/>
  <c r="M117" i="4"/>
  <c r="K117" i="4"/>
  <c r="I117" i="4"/>
  <c r="G117" i="4"/>
  <c r="E117" i="4"/>
  <c r="C117" i="4"/>
  <c r="AG116" i="4"/>
  <c r="AD116" i="4"/>
  <c r="AE116" i="4" s="1"/>
  <c r="AC116" i="4"/>
  <c r="AB116" i="4"/>
  <c r="AF116" i="4" s="1"/>
  <c r="AA116" i="4"/>
  <c r="Y116" i="4"/>
  <c r="W116" i="4"/>
  <c r="U116" i="4"/>
  <c r="S116" i="4"/>
  <c r="Q116" i="4"/>
  <c r="O116" i="4"/>
  <c r="M116" i="4"/>
  <c r="K116" i="4"/>
  <c r="I116" i="4"/>
  <c r="G116" i="4"/>
  <c r="E116" i="4"/>
  <c r="C116" i="4"/>
  <c r="AG115" i="4"/>
  <c r="AH115" i="4" s="1"/>
  <c r="AB115" i="4"/>
  <c r="AA115" i="4"/>
  <c r="Y115" i="4"/>
  <c r="W115" i="4"/>
  <c r="U115" i="4"/>
  <c r="S115" i="4"/>
  <c r="Q115" i="4"/>
  <c r="O115" i="4"/>
  <c r="M115" i="4"/>
  <c r="K115" i="4"/>
  <c r="I115" i="4"/>
  <c r="G115" i="4"/>
  <c r="E115" i="4"/>
  <c r="C115" i="4"/>
  <c r="AG114" i="4"/>
  <c r="AD114" i="4"/>
  <c r="AE114" i="4" s="1"/>
  <c r="AC114" i="4"/>
  <c r="AB114" i="4"/>
  <c r="AF114" i="4" s="1"/>
  <c r="AA114" i="4"/>
  <c r="Y114" i="4"/>
  <c r="W114" i="4"/>
  <c r="U114" i="4"/>
  <c r="S114" i="4"/>
  <c r="Q114" i="4"/>
  <c r="O114" i="4"/>
  <c r="M114" i="4"/>
  <c r="K114" i="4"/>
  <c r="I114" i="4"/>
  <c r="G114" i="4"/>
  <c r="E114" i="4"/>
  <c r="C114" i="4"/>
  <c r="AK113" i="4"/>
  <c r="AL113" i="4" s="1"/>
  <c r="AI113" i="4"/>
  <c r="AJ113" i="4" s="1"/>
  <c r="AG113" i="4"/>
  <c r="AH113" i="4" s="1"/>
  <c r="AB113" i="4"/>
  <c r="AA113" i="4"/>
  <c r="Y113" i="4"/>
  <c r="W113" i="4"/>
  <c r="U113" i="4"/>
  <c r="S113" i="4"/>
  <c r="Q113" i="4"/>
  <c r="O113" i="4"/>
  <c r="M113" i="4"/>
  <c r="K113" i="4"/>
  <c r="I113" i="4"/>
  <c r="G113" i="4"/>
  <c r="E113" i="4"/>
  <c r="C113" i="4"/>
  <c r="AG112" i="4"/>
  <c r="AB112" i="4"/>
  <c r="AF112" i="4" s="1"/>
  <c r="AA112" i="4"/>
  <c r="Y112" i="4"/>
  <c r="W112" i="4"/>
  <c r="U112" i="4"/>
  <c r="S112" i="4"/>
  <c r="Q112" i="4"/>
  <c r="O112" i="4"/>
  <c r="M112" i="4"/>
  <c r="K112" i="4"/>
  <c r="I112" i="4"/>
  <c r="G112" i="4"/>
  <c r="E112" i="4"/>
  <c r="C112" i="4"/>
  <c r="AI111" i="4"/>
  <c r="AJ111" i="4" s="1"/>
  <c r="AG111" i="4"/>
  <c r="AB111" i="4"/>
  <c r="AA111" i="4"/>
  <c r="Y111" i="4"/>
  <c r="W111" i="4"/>
  <c r="U111" i="4"/>
  <c r="S111" i="4"/>
  <c r="Q111" i="4"/>
  <c r="O111" i="4"/>
  <c r="M111" i="4"/>
  <c r="K111" i="4"/>
  <c r="I111" i="4"/>
  <c r="G111" i="4"/>
  <c r="E111" i="4"/>
  <c r="C111" i="4"/>
  <c r="AG110" i="4"/>
  <c r="AD110" i="4"/>
  <c r="AE110" i="4" s="1"/>
  <c r="AC110" i="4"/>
  <c r="AB110" i="4"/>
  <c r="AF110" i="4" s="1"/>
  <c r="AA110" i="4"/>
  <c r="Y110" i="4"/>
  <c r="W110" i="4"/>
  <c r="U110" i="4"/>
  <c r="S110" i="4"/>
  <c r="Q110" i="4"/>
  <c r="O110" i="4"/>
  <c r="M110" i="4"/>
  <c r="K110" i="4"/>
  <c r="I110" i="4"/>
  <c r="G110" i="4"/>
  <c r="E110" i="4"/>
  <c r="C110" i="4"/>
  <c r="AA105" i="4"/>
  <c r="Z105" i="4"/>
  <c r="X105" i="4"/>
  <c r="V105" i="4"/>
  <c r="W105" i="4" s="1"/>
  <c r="T105" i="4"/>
  <c r="S105" i="4"/>
  <c r="R105" i="4"/>
  <c r="Q105" i="4"/>
  <c r="P105" i="4"/>
  <c r="N105" i="4"/>
  <c r="O105" i="4" s="1"/>
  <c r="L105" i="4"/>
  <c r="M105" i="4" s="1"/>
  <c r="J105" i="4"/>
  <c r="K105" i="4" s="1"/>
  <c r="I105" i="4"/>
  <c r="H105" i="4"/>
  <c r="F105" i="4"/>
  <c r="G105" i="4" s="1"/>
  <c r="D105" i="4"/>
  <c r="E105" i="4" s="1"/>
  <c r="C105" i="4"/>
  <c r="B105" i="4"/>
  <c r="AI104" i="4"/>
  <c r="AJ104" i="4" s="1"/>
  <c r="AG104" i="4"/>
  <c r="AK104" i="4" s="1"/>
  <c r="AL104" i="4" s="1"/>
  <c r="AF104" i="4"/>
  <c r="AD104" i="4"/>
  <c r="AE104" i="4" s="1"/>
  <c r="AC104" i="4"/>
  <c r="AB104" i="4"/>
  <c r="AA104" i="4"/>
  <c r="Y104" i="4"/>
  <c r="W104" i="4"/>
  <c r="U104" i="4"/>
  <c r="S104" i="4"/>
  <c r="Q104" i="4"/>
  <c r="O104" i="4"/>
  <c r="M104" i="4"/>
  <c r="K104" i="4"/>
  <c r="I104" i="4"/>
  <c r="G104" i="4"/>
  <c r="E104" i="4"/>
  <c r="C104" i="4"/>
  <c r="AB99" i="4"/>
  <c r="AA99" i="4"/>
  <c r="Z99" i="4"/>
  <c r="Y99" i="4"/>
  <c r="X99" i="4"/>
  <c r="V99" i="4"/>
  <c r="W99" i="4" s="1"/>
  <c r="U99" i="4"/>
  <c r="T99" i="4"/>
  <c r="S99" i="4"/>
  <c r="R99" i="4"/>
  <c r="P99" i="4"/>
  <c r="Q99" i="4" s="1"/>
  <c r="N99" i="4"/>
  <c r="O99" i="4" s="1"/>
  <c r="L99" i="4"/>
  <c r="M99" i="4" s="1"/>
  <c r="J99" i="4"/>
  <c r="I99" i="4"/>
  <c r="H99" i="4"/>
  <c r="F99" i="4"/>
  <c r="G99" i="4" s="1"/>
  <c r="D99" i="4"/>
  <c r="E99" i="4" s="1"/>
  <c r="C99" i="4"/>
  <c r="B99" i="4"/>
  <c r="AH98" i="4"/>
  <c r="AG98" i="4"/>
  <c r="AK98" i="4" s="1"/>
  <c r="AL98" i="4" s="1"/>
  <c r="AF98" i="4"/>
  <c r="AD98" i="4"/>
  <c r="AE98" i="4" s="1"/>
  <c r="AC98" i="4"/>
  <c r="AB98" i="4"/>
  <c r="AA98" i="4"/>
  <c r="Y98" i="4"/>
  <c r="W98" i="4"/>
  <c r="U98" i="4"/>
  <c r="S98" i="4"/>
  <c r="Q98" i="4"/>
  <c r="O98" i="4"/>
  <c r="M98" i="4"/>
  <c r="K98" i="4"/>
  <c r="I98" i="4"/>
  <c r="G98" i="4"/>
  <c r="E98" i="4"/>
  <c r="C98" i="4"/>
  <c r="AK97" i="4"/>
  <c r="AL97" i="4" s="1"/>
  <c r="AI97" i="4"/>
  <c r="AJ97" i="4" s="1"/>
  <c r="AG97" i="4"/>
  <c r="AH97" i="4" s="1"/>
  <c r="AF97" i="4"/>
  <c r="AC97" i="4"/>
  <c r="AB97" i="4"/>
  <c r="AD97" i="4" s="1"/>
  <c r="AE97" i="4" s="1"/>
  <c r="AA97" i="4"/>
  <c r="Y97" i="4"/>
  <c r="W97" i="4"/>
  <c r="U97" i="4"/>
  <c r="S97" i="4"/>
  <c r="Q97" i="4"/>
  <c r="O97" i="4"/>
  <c r="M97" i="4"/>
  <c r="K97" i="4"/>
  <c r="I97" i="4"/>
  <c r="G97" i="4"/>
  <c r="E97" i="4"/>
  <c r="C97" i="4"/>
  <c r="AK96" i="4"/>
  <c r="AL96" i="4" s="1"/>
  <c r="AI96" i="4"/>
  <c r="AJ96" i="4" s="1"/>
  <c r="AH96" i="4"/>
  <c r="AG96" i="4"/>
  <c r="AF96" i="4"/>
  <c r="AD96" i="4"/>
  <c r="AE96" i="4" s="1"/>
  <c r="AC96" i="4"/>
  <c r="AB96" i="4"/>
  <c r="AA96" i="4"/>
  <c r="Y96" i="4"/>
  <c r="W96" i="4"/>
  <c r="U96" i="4"/>
  <c r="S96" i="4"/>
  <c r="Q96" i="4"/>
  <c r="O96" i="4"/>
  <c r="M96" i="4"/>
  <c r="K96" i="4"/>
  <c r="I96" i="4"/>
  <c r="G96" i="4"/>
  <c r="E96" i="4"/>
  <c r="C96" i="4"/>
  <c r="AK95" i="4"/>
  <c r="AL95" i="4" s="1"/>
  <c r="AI95" i="4"/>
  <c r="AJ95" i="4" s="1"/>
  <c r="AG95" i="4"/>
  <c r="AH95" i="4" s="1"/>
  <c r="AF95" i="4"/>
  <c r="AC95" i="4"/>
  <c r="AB95" i="4"/>
  <c r="AD95" i="4" s="1"/>
  <c r="AE95" i="4" s="1"/>
  <c r="AA95" i="4"/>
  <c r="Y95" i="4"/>
  <c r="W95" i="4"/>
  <c r="U95" i="4"/>
  <c r="S95" i="4"/>
  <c r="Q95" i="4"/>
  <c r="O95" i="4"/>
  <c r="M95" i="4"/>
  <c r="K95" i="4"/>
  <c r="I95" i="4"/>
  <c r="G95" i="4"/>
  <c r="E95" i="4"/>
  <c r="C95" i="4"/>
  <c r="AG94" i="4"/>
  <c r="AF94" i="4"/>
  <c r="AE94" i="4"/>
  <c r="AD94" i="4"/>
  <c r="AC94" i="4"/>
  <c r="AB94" i="4"/>
  <c r="AA94" i="4"/>
  <c r="Y94" i="4"/>
  <c r="W94" i="4"/>
  <c r="U94" i="4"/>
  <c r="S94" i="4"/>
  <c r="Q94" i="4"/>
  <c r="O94" i="4"/>
  <c r="M94" i="4"/>
  <c r="K94" i="4"/>
  <c r="I94" i="4"/>
  <c r="G94" i="4"/>
  <c r="E94" i="4"/>
  <c r="C94" i="4"/>
  <c r="AK93" i="4"/>
  <c r="AL93" i="4" s="1"/>
  <c r="AG93" i="4"/>
  <c r="AH93" i="4" s="1"/>
  <c r="AC93" i="4"/>
  <c r="AB93" i="4"/>
  <c r="AD93" i="4" s="1"/>
  <c r="AE93" i="4" s="1"/>
  <c r="AA93" i="4"/>
  <c r="Y93" i="4"/>
  <c r="W93" i="4"/>
  <c r="U93" i="4"/>
  <c r="S93" i="4"/>
  <c r="Q93" i="4"/>
  <c r="O93" i="4"/>
  <c r="M93" i="4"/>
  <c r="K93" i="4"/>
  <c r="I93" i="4"/>
  <c r="G93" i="4"/>
  <c r="E93" i="4"/>
  <c r="C93" i="4"/>
  <c r="AK92" i="4"/>
  <c r="AL92" i="4" s="1"/>
  <c r="AJ92" i="4"/>
  <c r="AI92" i="4"/>
  <c r="AH92" i="4"/>
  <c r="AG92" i="4"/>
  <c r="AB92" i="4"/>
  <c r="AA92" i="4"/>
  <c r="Y92" i="4"/>
  <c r="W92" i="4"/>
  <c r="U92" i="4"/>
  <c r="S92" i="4"/>
  <c r="Q92" i="4"/>
  <c r="O92" i="4"/>
  <c r="M92" i="4"/>
  <c r="K92" i="4"/>
  <c r="I92" i="4"/>
  <c r="G92" i="4"/>
  <c r="E92" i="4"/>
  <c r="C92" i="4"/>
  <c r="AI91" i="4"/>
  <c r="AJ91" i="4" s="1"/>
  <c r="AG91" i="4"/>
  <c r="AH91" i="4" s="1"/>
  <c r="AB91" i="4"/>
  <c r="AF91" i="4" s="1"/>
  <c r="AA91" i="4"/>
  <c r="Y91" i="4"/>
  <c r="W91" i="4"/>
  <c r="U91" i="4"/>
  <c r="S91" i="4"/>
  <c r="Q91" i="4"/>
  <c r="O91" i="4"/>
  <c r="M91" i="4"/>
  <c r="K91" i="4"/>
  <c r="I91" i="4"/>
  <c r="G91" i="4"/>
  <c r="E91" i="4"/>
  <c r="C91" i="4"/>
  <c r="AK90" i="4"/>
  <c r="AL90" i="4" s="1"/>
  <c r="AJ90" i="4"/>
  <c r="AI90" i="4"/>
  <c r="AH90" i="4"/>
  <c r="AG90" i="4"/>
  <c r="AB90" i="4"/>
  <c r="AA90" i="4"/>
  <c r="Y90" i="4"/>
  <c r="W90" i="4"/>
  <c r="U90" i="4"/>
  <c r="S90" i="4"/>
  <c r="Q90" i="4"/>
  <c r="O90" i="4"/>
  <c r="M90" i="4"/>
  <c r="K90" i="4"/>
  <c r="I90" i="4"/>
  <c r="G90" i="4"/>
  <c r="E90" i="4"/>
  <c r="C90" i="4"/>
  <c r="Z85" i="4"/>
  <c r="AA85" i="4" s="1"/>
  <c r="Y85" i="4"/>
  <c r="X85" i="4"/>
  <c r="V85" i="4"/>
  <c r="W85" i="4" s="1"/>
  <c r="T85" i="4"/>
  <c r="U85" i="4" s="1"/>
  <c r="R85" i="4"/>
  <c r="S85" i="4" s="1"/>
  <c r="Q85" i="4"/>
  <c r="P85" i="4"/>
  <c r="O85" i="4"/>
  <c r="N85" i="4"/>
  <c r="L85" i="4"/>
  <c r="M85" i="4" s="1"/>
  <c r="J85" i="4"/>
  <c r="H85" i="4"/>
  <c r="I85" i="4" s="1"/>
  <c r="F85" i="4"/>
  <c r="G85" i="4" s="1"/>
  <c r="D85" i="4"/>
  <c r="E85" i="4" s="1"/>
  <c r="B85" i="4"/>
  <c r="C85" i="4" s="1"/>
  <c r="AE84" i="4"/>
  <c r="AD84" i="4"/>
  <c r="AC84" i="4"/>
  <c r="AB84" i="4"/>
  <c r="AF84" i="4" s="1"/>
  <c r="AA84" i="4"/>
  <c r="Z84" i="4"/>
  <c r="X84" i="4"/>
  <c r="Y84" i="4" s="1"/>
  <c r="V84" i="4"/>
  <c r="W84" i="4" s="1"/>
  <c r="T84" i="4"/>
  <c r="U84" i="4" s="1"/>
  <c r="S84" i="4"/>
  <c r="R84" i="4"/>
  <c r="P84" i="4"/>
  <c r="Q84" i="4" s="1"/>
  <c r="N84" i="4"/>
  <c r="O84" i="4" s="1"/>
  <c r="M84" i="4"/>
  <c r="L84" i="4"/>
  <c r="AG84" i="4" s="1"/>
  <c r="K84" i="4"/>
  <c r="J84" i="4"/>
  <c r="H84" i="4"/>
  <c r="I84" i="4" s="1"/>
  <c r="F84" i="4"/>
  <c r="G84" i="4" s="1"/>
  <c r="D84" i="4"/>
  <c r="E84" i="4" s="1"/>
  <c r="B84" i="4"/>
  <c r="C84" i="4" s="1"/>
  <c r="AJ83" i="4"/>
  <c r="AI83" i="4"/>
  <c r="AH83" i="4"/>
  <c r="AG83" i="4"/>
  <c r="AK83" i="4" s="1"/>
  <c r="AL83" i="4" s="1"/>
  <c r="AF83" i="4"/>
  <c r="AB83" i="4"/>
  <c r="AD83" i="4" s="1"/>
  <c r="AE83" i="4" s="1"/>
  <c r="AA83" i="4"/>
  <c r="Y83" i="4"/>
  <c r="W83" i="4"/>
  <c r="U83" i="4"/>
  <c r="S83" i="4"/>
  <c r="Q83" i="4"/>
  <c r="O83" i="4"/>
  <c r="M83" i="4"/>
  <c r="K83" i="4"/>
  <c r="I83" i="4"/>
  <c r="G83" i="4"/>
  <c r="E83" i="4"/>
  <c r="C83" i="4"/>
  <c r="AG82" i="4"/>
  <c r="AK82" i="4" s="1"/>
  <c r="AL82" i="4" s="1"/>
  <c r="AB82" i="4"/>
  <c r="AA82" i="4"/>
  <c r="Y82" i="4"/>
  <c r="W82" i="4"/>
  <c r="U82" i="4"/>
  <c r="S82" i="4"/>
  <c r="Q82" i="4"/>
  <c r="O82" i="4"/>
  <c r="M82" i="4"/>
  <c r="K82" i="4"/>
  <c r="I82" i="4"/>
  <c r="G82" i="4"/>
  <c r="E82" i="4"/>
  <c r="C82" i="4"/>
  <c r="AA81" i="4"/>
  <c r="Z81" i="4"/>
  <c r="Y81" i="4"/>
  <c r="X81" i="4"/>
  <c r="AD81" i="4" s="1"/>
  <c r="AE81" i="4" s="1"/>
  <c r="V81" i="4"/>
  <c r="W81" i="4" s="1"/>
  <c r="T81" i="4"/>
  <c r="U81" i="4" s="1"/>
  <c r="R81" i="4"/>
  <c r="AB81" i="4" s="1"/>
  <c r="AC81" i="4" s="1"/>
  <c r="P81" i="4"/>
  <c r="N81" i="4"/>
  <c r="O81" i="4" s="1"/>
  <c r="L81" i="4"/>
  <c r="M81" i="4" s="1"/>
  <c r="K81" i="4"/>
  <c r="J81" i="4"/>
  <c r="I81" i="4"/>
  <c r="H81" i="4"/>
  <c r="F81" i="4"/>
  <c r="G81" i="4" s="1"/>
  <c r="D81" i="4"/>
  <c r="E81" i="4" s="1"/>
  <c r="B81" i="4"/>
  <c r="C81" i="4" s="1"/>
  <c r="AK80" i="4"/>
  <c r="AL80" i="4" s="1"/>
  <c r="AG80" i="4"/>
  <c r="AI80" i="4" s="1"/>
  <c r="AJ80" i="4" s="1"/>
  <c r="AF80" i="4"/>
  <c r="AD80" i="4"/>
  <c r="AE80" i="4" s="1"/>
  <c r="AB80" i="4"/>
  <c r="AC80" i="4" s="1"/>
  <c r="AA80" i="4"/>
  <c r="Y80" i="4"/>
  <c r="W80" i="4"/>
  <c r="U80" i="4"/>
  <c r="S80" i="4"/>
  <c r="Q80" i="4"/>
  <c r="O80" i="4"/>
  <c r="M80" i="4"/>
  <c r="K80" i="4"/>
  <c r="I80" i="4"/>
  <c r="G80" i="4"/>
  <c r="E80" i="4"/>
  <c r="C80" i="4"/>
  <c r="AG79" i="4"/>
  <c r="AF79" i="4"/>
  <c r="AE79" i="4"/>
  <c r="AD79" i="4"/>
  <c r="AC79" i="4"/>
  <c r="AB79" i="4"/>
  <c r="AA79" i="4"/>
  <c r="Y79" i="4"/>
  <c r="W79" i="4"/>
  <c r="U79" i="4"/>
  <c r="S79" i="4"/>
  <c r="Q79" i="4"/>
  <c r="O79" i="4"/>
  <c r="M79" i="4"/>
  <c r="K79" i="4"/>
  <c r="I79" i="4"/>
  <c r="G79" i="4"/>
  <c r="E79" i="4"/>
  <c r="C79" i="4"/>
  <c r="AK78" i="4"/>
  <c r="AL78" i="4" s="1"/>
  <c r="AG78" i="4"/>
  <c r="AI78" i="4" s="1"/>
  <c r="AJ78" i="4" s="1"/>
  <c r="AF78" i="4"/>
  <c r="AD78" i="4"/>
  <c r="AE78" i="4" s="1"/>
  <c r="AB78" i="4"/>
  <c r="AC78" i="4" s="1"/>
  <c r="AA78" i="4"/>
  <c r="Y78" i="4"/>
  <c r="W78" i="4"/>
  <c r="U78" i="4"/>
  <c r="S78" i="4"/>
  <c r="Q78" i="4"/>
  <c r="O78" i="4"/>
  <c r="M78" i="4"/>
  <c r="K78" i="4"/>
  <c r="I78" i="4"/>
  <c r="G78" i="4"/>
  <c r="E78" i="4"/>
  <c r="C78" i="4"/>
  <c r="AG77" i="4"/>
  <c r="AF77" i="4"/>
  <c r="AE77" i="4"/>
  <c r="AD77" i="4"/>
  <c r="AC77" i="4"/>
  <c r="AB77" i="4"/>
  <c r="AA77" i="4"/>
  <c r="Y77" i="4"/>
  <c r="W77" i="4"/>
  <c r="U77" i="4"/>
  <c r="S77" i="4"/>
  <c r="Q77" i="4"/>
  <c r="O77" i="4"/>
  <c r="M77" i="4"/>
  <c r="K77" i="4"/>
  <c r="I77" i="4"/>
  <c r="G77" i="4"/>
  <c r="E77" i="4"/>
  <c r="C77" i="4"/>
  <c r="AK76" i="4"/>
  <c r="AL76" i="4" s="1"/>
  <c r="AG76" i="4"/>
  <c r="AI76" i="4" s="1"/>
  <c r="AJ76" i="4" s="1"/>
  <c r="AF76" i="4"/>
  <c r="AD76" i="4"/>
  <c r="AE76" i="4" s="1"/>
  <c r="AB76" i="4"/>
  <c r="AC76" i="4" s="1"/>
  <c r="AA76" i="4"/>
  <c r="Y76" i="4"/>
  <c r="W76" i="4"/>
  <c r="U76" i="4"/>
  <c r="S76" i="4"/>
  <c r="Q76" i="4"/>
  <c r="O76" i="4"/>
  <c r="M76" i="4"/>
  <c r="K76" i="4"/>
  <c r="I76" i="4"/>
  <c r="G76" i="4"/>
  <c r="E76" i="4"/>
  <c r="C76" i="4"/>
  <c r="AG75" i="4"/>
  <c r="AF75" i="4"/>
  <c r="AD75" i="4"/>
  <c r="AE75" i="4" s="1"/>
  <c r="AC75" i="4"/>
  <c r="AB75" i="4"/>
  <c r="AA75" i="4"/>
  <c r="Y75" i="4"/>
  <c r="W75" i="4"/>
  <c r="U75" i="4"/>
  <c r="S75" i="4"/>
  <c r="Q75" i="4"/>
  <c r="O75" i="4"/>
  <c r="M75" i="4"/>
  <c r="K75" i="4"/>
  <c r="I75" i="4"/>
  <c r="G75" i="4"/>
  <c r="E75" i="4"/>
  <c r="C75" i="4"/>
  <c r="AL74" i="4"/>
  <c r="AK74" i="4"/>
  <c r="AG74" i="4"/>
  <c r="AI74" i="4" s="1"/>
  <c r="AJ74" i="4" s="1"/>
  <c r="AF74" i="4"/>
  <c r="AD74" i="4"/>
  <c r="AE74" i="4" s="1"/>
  <c r="AB74" i="4"/>
  <c r="AC74" i="4" s="1"/>
  <c r="AA74" i="4"/>
  <c r="Y74" i="4"/>
  <c r="W74" i="4"/>
  <c r="U74" i="4"/>
  <c r="S74" i="4"/>
  <c r="Q74" i="4"/>
  <c r="O74" i="4"/>
  <c r="M74" i="4"/>
  <c r="K74" i="4"/>
  <c r="I74" i="4"/>
  <c r="G74" i="4"/>
  <c r="E74" i="4"/>
  <c r="C74" i="4"/>
  <c r="AG72" i="4"/>
  <c r="AF72" i="4"/>
  <c r="AD72" i="4"/>
  <c r="AE72" i="4" s="1"/>
  <c r="AC72" i="4"/>
  <c r="AB72" i="4"/>
  <c r="AA72" i="4"/>
  <c r="Y72" i="4"/>
  <c r="W72" i="4"/>
  <c r="U72" i="4"/>
  <c r="S72" i="4"/>
  <c r="Q72" i="4"/>
  <c r="O72" i="4"/>
  <c r="M72" i="4"/>
  <c r="K72" i="4"/>
  <c r="I72" i="4"/>
  <c r="G72" i="4"/>
  <c r="E72" i="4"/>
  <c r="C72" i="4"/>
  <c r="AK71" i="4"/>
  <c r="AL71" i="4" s="1"/>
  <c r="AG71" i="4"/>
  <c r="AI71" i="4" s="1"/>
  <c r="AJ71" i="4" s="1"/>
  <c r="AF71" i="4"/>
  <c r="AD71" i="4"/>
  <c r="AE71" i="4" s="1"/>
  <c r="AB71" i="4"/>
  <c r="AC71" i="4" s="1"/>
  <c r="AA71" i="4"/>
  <c r="Y71" i="4"/>
  <c r="W71" i="4"/>
  <c r="U71" i="4"/>
  <c r="S71" i="4"/>
  <c r="Q71" i="4"/>
  <c r="O71" i="4"/>
  <c r="M71" i="4"/>
  <c r="K71" i="4"/>
  <c r="I71" i="4"/>
  <c r="G71" i="4"/>
  <c r="E71" i="4"/>
  <c r="C71" i="4"/>
  <c r="AG70" i="4"/>
  <c r="AH70" i="4" s="1"/>
  <c r="AF70" i="4"/>
  <c r="AE70" i="4"/>
  <c r="Z70" i="4"/>
  <c r="AA70" i="4" s="1"/>
  <c r="X70" i="4"/>
  <c r="Y70" i="4" s="1"/>
  <c r="V70" i="4"/>
  <c r="W70" i="4" s="1"/>
  <c r="T70" i="4"/>
  <c r="U70" i="4" s="1"/>
  <c r="R70" i="4"/>
  <c r="AB70" i="4" s="1"/>
  <c r="AD70" i="4" s="1"/>
  <c r="P70" i="4"/>
  <c r="Q70" i="4" s="1"/>
  <c r="N70" i="4"/>
  <c r="O70" i="4" s="1"/>
  <c r="M70" i="4"/>
  <c r="L70" i="4"/>
  <c r="J70" i="4"/>
  <c r="K70" i="4" s="1"/>
  <c r="H70" i="4"/>
  <c r="I70" i="4" s="1"/>
  <c r="F70" i="4"/>
  <c r="G70" i="4" s="1"/>
  <c r="D70" i="4"/>
  <c r="E70" i="4" s="1"/>
  <c r="B70" i="4"/>
  <c r="C70" i="4" s="1"/>
  <c r="AK69" i="4"/>
  <c r="AL69" i="4" s="1"/>
  <c r="AJ69" i="4"/>
  <c r="AI69" i="4"/>
  <c r="AH69" i="4"/>
  <c r="AG69" i="4"/>
  <c r="AC69" i="4"/>
  <c r="AB69" i="4"/>
  <c r="AF69" i="4" s="1"/>
  <c r="AA69" i="4"/>
  <c r="Y69" i="4"/>
  <c r="W69" i="4"/>
  <c r="U69" i="4"/>
  <c r="S69" i="4"/>
  <c r="Q69" i="4"/>
  <c r="O69" i="4"/>
  <c r="M69" i="4"/>
  <c r="K69" i="4"/>
  <c r="I69" i="4"/>
  <c r="G69" i="4"/>
  <c r="E69" i="4"/>
  <c r="C69" i="4"/>
  <c r="AK68" i="4"/>
  <c r="AL68" i="4" s="1"/>
  <c r="AI68" i="4"/>
  <c r="AJ68" i="4" s="1"/>
  <c r="AG68" i="4"/>
  <c r="AH68" i="4" s="1"/>
  <c r="AB68" i="4"/>
  <c r="AA68" i="4"/>
  <c r="Y68" i="4"/>
  <c r="W68" i="4"/>
  <c r="U68" i="4"/>
  <c r="S68" i="4"/>
  <c r="Q68" i="4"/>
  <c r="O68" i="4"/>
  <c r="M68" i="4"/>
  <c r="K68" i="4"/>
  <c r="I68" i="4"/>
  <c r="G68" i="4"/>
  <c r="E68" i="4"/>
  <c r="C68" i="4"/>
  <c r="AK67" i="4"/>
  <c r="AL67" i="4" s="1"/>
  <c r="AI67" i="4"/>
  <c r="AJ67" i="4" s="1"/>
  <c r="AH67" i="4"/>
  <c r="AG67" i="4"/>
  <c r="AC67" i="4"/>
  <c r="AB67" i="4"/>
  <c r="AF67" i="4" s="1"/>
  <c r="AA67" i="4"/>
  <c r="Y67" i="4"/>
  <c r="W67" i="4"/>
  <c r="U67" i="4"/>
  <c r="S67" i="4"/>
  <c r="Q67" i="4"/>
  <c r="O67" i="4"/>
  <c r="M67" i="4"/>
  <c r="K67" i="4"/>
  <c r="I67" i="4"/>
  <c r="G67" i="4"/>
  <c r="E67" i="4"/>
  <c r="C67" i="4"/>
  <c r="AK66" i="4"/>
  <c r="AL66" i="4" s="1"/>
  <c r="AI66" i="4"/>
  <c r="AJ66" i="4" s="1"/>
  <c r="AG66" i="4"/>
  <c r="AH66" i="4" s="1"/>
  <c r="AB66" i="4"/>
  <c r="AF66" i="4" s="1"/>
  <c r="AA66" i="4"/>
  <c r="Y66" i="4"/>
  <c r="W66" i="4"/>
  <c r="U66" i="4"/>
  <c r="S66" i="4"/>
  <c r="Q66" i="4"/>
  <c r="O66" i="4"/>
  <c r="M66" i="4"/>
  <c r="K66" i="4"/>
  <c r="I66" i="4"/>
  <c r="G66" i="4"/>
  <c r="E66" i="4"/>
  <c r="C66" i="4"/>
  <c r="AK65" i="4"/>
  <c r="AL65" i="4" s="1"/>
  <c r="AJ65" i="4"/>
  <c r="AI65" i="4"/>
  <c r="AH65" i="4"/>
  <c r="AG65" i="4"/>
  <c r="AC65" i="4"/>
  <c r="AB65" i="4"/>
  <c r="AF65" i="4" s="1"/>
  <c r="AA65" i="4"/>
  <c r="Y65" i="4"/>
  <c r="W65" i="4"/>
  <c r="U65" i="4"/>
  <c r="S65" i="4"/>
  <c r="Q65" i="4"/>
  <c r="O65" i="4"/>
  <c r="M65" i="4"/>
  <c r="K65" i="4"/>
  <c r="I65" i="4"/>
  <c r="G65" i="4"/>
  <c r="E65" i="4"/>
  <c r="C65" i="4"/>
  <c r="AK63" i="4"/>
  <c r="AL63" i="4" s="1"/>
  <c r="AI63" i="4"/>
  <c r="AJ63" i="4" s="1"/>
  <c r="AG63" i="4"/>
  <c r="AH63" i="4" s="1"/>
  <c r="AB63" i="4"/>
  <c r="AA63" i="4"/>
  <c r="Y63" i="4"/>
  <c r="W63" i="4"/>
  <c r="U63" i="4"/>
  <c r="S63" i="4"/>
  <c r="Q63" i="4"/>
  <c r="O63" i="4"/>
  <c r="M63" i="4"/>
  <c r="K63" i="4"/>
  <c r="I63" i="4"/>
  <c r="G63" i="4"/>
  <c r="E63" i="4"/>
  <c r="C63" i="4"/>
  <c r="V59" i="4"/>
  <c r="Z57" i="4"/>
  <c r="AA57" i="4" s="1"/>
  <c r="Y57" i="4"/>
  <c r="X57" i="4"/>
  <c r="W57" i="4"/>
  <c r="V57" i="4"/>
  <c r="T57" i="4"/>
  <c r="U57" i="4" s="1"/>
  <c r="R57" i="4"/>
  <c r="S57" i="4" s="1"/>
  <c r="P57" i="4"/>
  <c r="Q57" i="4" s="1"/>
  <c r="N57" i="4"/>
  <c r="O57" i="4" s="1"/>
  <c r="L57" i="4"/>
  <c r="M57" i="4" s="1"/>
  <c r="K57" i="4"/>
  <c r="J57" i="4"/>
  <c r="H57" i="4"/>
  <c r="I57" i="4" s="1"/>
  <c r="G57" i="4"/>
  <c r="F57" i="4"/>
  <c r="D57" i="4"/>
  <c r="E57" i="4" s="1"/>
  <c r="B57" i="4"/>
  <c r="C57" i="4" s="1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P56" i="4"/>
  <c r="Q56" i="4" s="1"/>
  <c r="N56" i="4"/>
  <c r="O56" i="4" s="1"/>
  <c r="L56" i="4"/>
  <c r="K56" i="4"/>
  <c r="J56" i="4"/>
  <c r="I56" i="4"/>
  <c r="H56" i="4"/>
  <c r="G56" i="4"/>
  <c r="F56" i="4"/>
  <c r="E56" i="4"/>
  <c r="D56" i="4"/>
  <c r="B56" i="4"/>
  <c r="C56" i="4" s="1"/>
  <c r="AI55" i="4"/>
  <c r="AJ55" i="4" s="1"/>
  <c r="AH55" i="4"/>
  <c r="AG55" i="4"/>
  <c r="AK55" i="4" s="1"/>
  <c r="AL55" i="4" s="1"/>
  <c r="AB55" i="4"/>
  <c r="AF55" i="4" s="1"/>
  <c r="AA55" i="4"/>
  <c r="Y55" i="4"/>
  <c r="W55" i="4"/>
  <c r="U55" i="4"/>
  <c r="S55" i="4"/>
  <c r="Q55" i="4"/>
  <c r="O55" i="4"/>
  <c r="M55" i="4"/>
  <c r="K55" i="4"/>
  <c r="I55" i="4"/>
  <c r="G55" i="4"/>
  <c r="E55" i="4"/>
  <c r="C55" i="4"/>
  <c r="AJ54" i="4"/>
  <c r="AI54" i="4"/>
  <c r="AH54" i="4"/>
  <c r="AG54" i="4"/>
  <c r="AK54" i="4" s="1"/>
  <c r="AL54" i="4" s="1"/>
  <c r="AB54" i="4"/>
  <c r="AA54" i="4"/>
  <c r="Y54" i="4"/>
  <c r="W54" i="4"/>
  <c r="U54" i="4"/>
  <c r="S54" i="4"/>
  <c r="Q54" i="4"/>
  <c r="O54" i="4"/>
  <c r="M54" i="4"/>
  <c r="K54" i="4"/>
  <c r="I54" i="4"/>
  <c r="G54" i="4"/>
  <c r="E54" i="4"/>
  <c r="C54" i="4"/>
  <c r="AK53" i="4"/>
  <c r="AL53" i="4" s="1"/>
  <c r="AG53" i="4"/>
  <c r="AI53" i="4" s="1"/>
  <c r="AJ53" i="4" s="1"/>
  <c r="AB53" i="4"/>
  <c r="AF53" i="4" s="1"/>
  <c r="AA53" i="4"/>
  <c r="Y53" i="4"/>
  <c r="W53" i="4"/>
  <c r="U53" i="4"/>
  <c r="S53" i="4"/>
  <c r="Q53" i="4"/>
  <c r="O53" i="4"/>
  <c r="M53" i="4"/>
  <c r="K53" i="4"/>
  <c r="I53" i="4"/>
  <c r="G53" i="4"/>
  <c r="E53" i="4"/>
  <c r="C53" i="4"/>
  <c r="AB52" i="4"/>
  <c r="AD52" i="4" s="1"/>
  <c r="AE52" i="4" s="1"/>
  <c r="AA52" i="4"/>
  <c r="Z52" i="4"/>
  <c r="Y52" i="4"/>
  <c r="X52" i="4"/>
  <c r="V52" i="4"/>
  <c r="W52" i="4" s="1"/>
  <c r="T52" i="4"/>
  <c r="U52" i="4" s="1"/>
  <c r="R52" i="4"/>
  <c r="S52" i="4" s="1"/>
  <c r="P52" i="4"/>
  <c r="Q52" i="4" s="1"/>
  <c r="N52" i="4"/>
  <c r="O52" i="4" s="1"/>
  <c r="M52" i="4"/>
  <c r="L52" i="4"/>
  <c r="K52" i="4"/>
  <c r="J52" i="4"/>
  <c r="I52" i="4"/>
  <c r="H52" i="4"/>
  <c r="F52" i="4"/>
  <c r="G52" i="4" s="1"/>
  <c r="D52" i="4"/>
  <c r="E52" i="4" s="1"/>
  <c r="B52" i="4"/>
  <c r="C52" i="4" s="1"/>
  <c r="AG51" i="4"/>
  <c r="AF51" i="4"/>
  <c r="AD51" i="4"/>
  <c r="AE51" i="4" s="1"/>
  <c r="AC51" i="4"/>
  <c r="AB51" i="4"/>
  <c r="AA51" i="4"/>
  <c r="Y51" i="4"/>
  <c r="W51" i="4"/>
  <c r="U51" i="4"/>
  <c r="S51" i="4"/>
  <c r="Q51" i="4"/>
  <c r="O51" i="4"/>
  <c r="M51" i="4"/>
  <c r="K51" i="4"/>
  <c r="I51" i="4"/>
  <c r="G51" i="4"/>
  <c r="E51" i="4"/>
  <c r="C51" i="4"/>
  <c r="AG50" i="4"/>
  <c r="AK50" i="4" s="1"/>
  <c r="AL50" i="4" s="1"/>
  <c r="AF50" i="4"/>
  <c r="AB50" i="4"/>
  <c r="AD50" i="4" s="1"/>
  <c r="AE50" i="4" s="1"/>
  <c r="AA50" i="4"/>
  <c r="Y50" i="4"/>
  <c r="W50" i="4"/>
  <c r="U50" i="4"/>
  <c r="S50" i="4"/>
  <c r="Q50" i="4"/>
  <c r="O50" i="4"/>
  <c r="M50" i="4"/>
  <c r="K50" i="4"/>
  <c r="I50" i="4"/>
  <c r="G50" i="4"/>
  <c r="E50" i="4"/>
  <c r="C50" i="4"/>
  <c r="AG49" i="4"/>
  <c r="AF49" i="4"/>
  <c r="AD49" i="4"/>
  <c r="AE49" i="4" s="1"/>
  <c r="AC49" i="4"/>
  <c r="AB49" i="4"/>
  <c r="AA49" i="4"/>
  <c r="Y49" i="4"/>
  <c r="W49" i="4"/>
  <c r="U49" i="4"/>
  <c r="S49" i="4"/>
  <c r="Q49" i="4"/>
  <c r="O49" i="4"/>
  <c r="M49" i="4"/>
  <c r="K49" i="4"/>
  <c r="I49" i="4"/>
  <c r="G49" i="4"/>
  <c r="E49" i="4"/>
  <c r="C49" i="4"/>
  <c r="AL48" i="4"/>
  <c r="AG48" i="4"/>
  <c r="AK48" i="4" s="1"/>
  <c r="AF48" i="4"/>
  <c r="AB48" i="4"/>
  <c r="AD48" i="4" s="1"/>
  <c r="AE48" i="4" s="1"/>
  <c r="AA48" i="4"/>
  <c r="Y48" i="4"/>
  <c r="W48" i="4"/>
  <c r="U48" i="4"/>
  <c r="S48" i="4"/>
  <c r="Q48" i="4"/>
  <c r="O48" i="4"/>
  <c r="M48" i="4"/>
  <c r="K48" i="4"/>
  <c r="I48" i="4"/>
  <c r="G48" i="4"/>
  <c r="E48" i="4"/>
  <c r="C48" i="4"/>
  <c r="AG47" i="4"/>
  <c r="AF47" i="4"/>
  <c r="AD47" i="4"/>
  <c r="AE47" i="4" s="1"/>
  <c r="AC47" i="4"/>
  <c r="AB47" i="4"/>
  <c r="AA47" i="4"/>
  <c r="Y47" i="4"/>
  <c r="W47" i="4"/>
  <c r="U47" i="4"/>
  <c r="S47" i="4"/>
  <c r="Q47" i="4"/>
  <c r="O47" i="4"/>
  <c r="M47" i="4"/>
  <c r="K47" i="4"/>
  <c r="I47" i="4"/>
  <c r="G47" i="4"/>
  <c r="E47" i="4"/>
  <c r="C47" i="4"/>
  <c r="AL46" i="4"/>
  <c r="AG46" i="4"/>
  <c r="AK46" i="4" s="1"/>
  <c r="AF46" i="4"/>
  <c r="AB46" i="4"/>
  <c r="AD46" i="4" s="1"/>
  <c r="AE46" i="4" s="1"/>
  <c r="AA46" i="4"/>
  <c r="Y46" i="4"/>
  <c r="W46" i="4"/>
  <c r="U46" i="4"/>
  <c r="S46" i="4"/>
  <c r="Q46" i="4"/>
  <c r="O46" i="4"/>
  <c r="M46" i="4"/>
  <c r="K46" i="4"/>
  <c r="I46" i="4"/>
  <c r="G46" i="4"/>
  <c r="E46" i="4"/>
  <c r="C46" i="4"/>
  <c r="AA44" i="4"/>
  <c r="Z44" i="4"/>
  <c r="Y44" i="4"/>
  <c r="X44" i="4"/>
  <c r="W44" i="4"/>
  <c r="V44" i="4"/>
  <c r="T44" i="4"/>
  <c r="U44" i="4" s="1"/>
  <c r="R44" i="4"/>
  <c r="P44" i="4"/>
  <c r="Q44" i="4" s="1"/>
  <c r="O44" i="4"/>
  <c r="N44" i="4"/>
  <c r="AG44" i="4" s="1"/>
  <c r="M44" i="4"/>
  <c r="L44" i="4"/>
  <c r="K44" i="4"/>
  <c r="J44" i="4"/>
  <c r="I44" i="4"/>
  <c r="H44" i="4"/>
  <c r="G44" i="4"/>
  <c r="F44" i="4"/>
  <c r="D44" i="4"/>
  <c r="E44" i="4" s="1"/>
  <c r="B44" i="4"/>
  <c r="C44" i="4" s="1"/>
  <c r="AK43" i="4"/>
  <c r="AL43" i="4" s="1"/>
  <c r="AI43" i="4"/>
  <c r="AJ43" i="4" s="1"/>
  <c r="AH43" i="4"/>
  <c r="AG43" i="4"/>
  <c r="AD43" i="4"/>
  <c r="AE43" i="4" s="1"/>
  <c r="AB43" i="4"/>
  <c r="AF43" i="4" s="1"/>
  <c r="AA43" i="4"/>
  <c r="Y43" i="4"/>
  <c r="W43" i="4"/>
  <c r="U43" i="4"/>
  <c r="S43" i="4"/>
  <c r="Q43" i="4"/>
  <c r="O43" i="4"/>
  <c r="M43" i="4"/>
  <c r="K43" i="4"/>
  <c r="I43" i="4"/>
  <c r="G43" i="4"/>
  <c r="E43" i="4"/>
  <c r="C43" i="4"/>
  <c r="AL42" i="4"/>
  <c r="AK42" i="4"/>
  <c r="AG42" i="4"/>
  <c r="AI42" i="4" s="1"/>
  <c r="AJ42" i="4" s="1"/>
  <c r="AB42" i="4"/>
  <c r="AA42" i="4"/>
  <c r="Y42" i="4"/>
  <c r="W42" i="4"/>
  <c r="U42" i="4"/>
  <c r="S42" i="4"/>
  <c r="Q42" i="4"/>
  <c r="O42" i="4"/>
  <c r="M42" i="4"/>
  <c r="K42" i="4"/>
  <c r="I42" i="4"/>
  <c r="G42" i="4"/>
  <c r="E42" i="4"/>
  <c r="C42" i="4"/>
  <c r="AK41" i="4"/>
  <c r="AL41" i="4" s="1"/>
  <c r="AI41" i="4"/>
  <c r="AJ41" i="4" s="1"/>
  <c r="AH41" i="4"/>
  <c r="AG41" i="4"/>
  <c r="AD41" i="4"/>
  <c r="AE41" i="4" s="1"/>
  <c r="AB41" i="4"/>
  <c r="AF41" i="4" s="1"/>
  <c r="AA41" i="4"/>
  <c r="Y41" i="4"/>
  <c r="W41" i="4"/>
  <c r="U41" i="4"/>
  <c r="S41" i="4"/>
  <c r="Q41" i="4"/>
  <c r="O41" i="4"/>
  <c r="M41" i="4"/>
  <c r="K41" i="4"/>
  <c r="I41" i="4"/>
  <c r="G41" i="4"/>
  <c r="E41" i="4"/>
  <c r="C41" i="4"/>
  <c r="AG40" i="4"/>
  <c r="AK40" i="4" s="1"/>
  <c r="AL40" i="4" s="1"/>
  <c r="AB40" i="4"/>
  <c r="AF40" i="4" s="1"/>
  <c r="AA40" i="4"/>
  <c r="Y40" i="4"/>
  <c r="W40" i="4"/>
  <c r="U40" i="4"/>
  <c r="S40" i="4"/>
  <c r="Q40" i="4"/>
  <c r="O40" i="4"/>
  <c r="M40" i="4"/>
  <c r="K40" i="4"/>
  <c r="I40" i="4"/>
  <c r="G40" i="4"/>
  <c r="E40" i="4"/>
  <c r="C40" i="4"/>
  <c r="AK39" i="4"/>
  <c r="AL39" i="4" s="1"/>
  <c r="AI39" i="4"/>
  <c r="AJ39" i="4" s="1"/>
  <c r="AH39" i="4"/>
  <c r="AG39" i="4"/>
  <c r="AD39" i="4"/>
  <c r="AE39" i="4" s="1"/>
  <c r="AB39" i="4"/>
  <c r="AF39" i="4" s="1"/>
  <c r="AA39" i="4"/>
  <c r="Y39" i="4"/>
  <c r="W39" i="4"/>
  <c r="U39" i="4"/>
  <c r="S39" i="4"/>
  <c r="Q39" i="4"/>
  <c r="O39" i="4"/>
  <c r="M39" i="4"/>
  <c r="K39" i="4"/>
  <c r="I39" i="4"/>
  <c r="G39" i="4"/>
  <c r="E39" i="4"/>
  <c r="C39" i="4"/>
  <c r="AG37" i="4"/>
  <c r="AK37" i="4" s="1"/>
  <c r="AL37" i="4" s="1"/>
  <c r="AC37" i="4"/>
  <c r="AB37" i="4"/>
  <c r="AF37" i="4" s="1"/>
  <c r="AA37" i="4"/>
  <c r="Y37" i="4"/>
  <c r="W37" i="4"/>
  <c r="U37" i="4"/>
  <c r="S37" i="4"/>
  <c r="Q37" i="4"/>
  <c r="O37" i="4"/>
  <c r="M37" i="4"/>
  <c r="K37" i="4"/>
  <c r="I37" i="4"/>
  <c r="G37" i="4"/>
  <c r="E37" i="4"/>
  <c r="C37" i="4"/>
  <c r="AA35" i="4"/>
  <c r="Z35" i="4"/>
  <c r="X35" i="4"/>
  <c r="V35" i="4"/>
  <c r="W35" i="4" s="1"/>
  <c r="T35" i="4"/>
  <c r="S35" i="4"/>
  <c r="R35" i="4"/>
  <c r="P35" i="4"/>
  <c r="Q35" i="4" s="1"/>
  <c r="N35" i="4"/>
  <c r="O35" i="4" s="1"/>
  <c r="L35" i="4"/>
  <c r="M35" i="4" s="1"/>
  <c r="K35" i="4"/>
  <c r="J35" i="4"/>
  <c r="H35" i="4"/>
  <c r="I35" i="4" s="1"/>
  <c r="F35" i="4"/>
  <c r="G35" i="4" s="1"/>
  <c r="E35" i="4"/>
  <c r="D35" i="4"/>
  <c r="C35" i="4"/>
  <c r="B35" i="4"/>
  <c r="Z34" i="4"/>
  <c r="AA34" i="4" s="1"/>
  <c r="X34" i="4"/>
  <c r="W34" i="4"/>
  <c r="V34" i="4"/>
  <c r="U34" i="4"/>
  <c r="T34" i="4"/>
  <c r="S34" i="4"/>
  <c r="R34" i="4"/>
  <c r="Q34" i="4"/>
  <c r="P34" i="4"/>
  <c r="N34" i="4"/>
  <c r="O34" i="4" s="1"/>
  <c r="L34" i="4"/>
  <c r="M34" i="4" s="1"/>
  <c r="K34" i="4"/>
  <c r="J34" i="4"/>
  <c r="H34" i="4"/>
  <c r="I34" i="4" s="1"/>
  <c r="G34" i="4"/>
  <c r="F34" i="4"/>
  <c r="E34" i="4"/>
  <c r="D34" i="4"/>
  <c r="C34" i="4"/>
  <c r="B34" i="4"/>
  <c r="AG33" i="4"/>
  <c r="AF33" i="4"/>
  <c r="AD33" i="4"/>
  <c r="AE33" i="4" s="1"/>
  <c r="AC33" i="4"/>
  <c r="AB33" i="4"/>
  <c r="AA33" i="4"/>
  <c r="Y33" i="4"/>
  <c r="W33" i="4"/>
  <c r="U33" i="4"/>
  <c r="S33" i="4"/>
  <c r="Q33" i="4"/>
  <c r="O33" i="4"/>
  <c r="M33" i="4"/>
  <c r="K33" i="4"/>
  <c r="I33" i="4"/>
  <c r="G33" i="4"/>
  <c r="E33" i="4"/>
  <c r="C33" i="4"/>
  <c r="AK32" i="4"/>
  <c r="AL32" i="4" s="1"/>
  <c r="AJ32" i="4"/>
  <c r="AI32" i="4"/>
  <c r="AH32" i="4"/>
  <c r="AG32" i="4"/>
  <c r="AF32" i="4"/>
  <c r="AD32" i="4"/>
  <c r="AE32" i="4" s="1"/>
  <c r="AC32" i="4"/>
  <c r="AB32" i="4"/>
  <c r="AA32" i="4"/>
  <c r="Y32" i="4"/>
  <c r="W32" i="4"/>
  <c r="U32" i="4"/>
  <c r="S32" i="4"/>
  <c r="Q32" i="4"/>
  <c r="O32" i="4"/>
  <c r="M32" i="4"/>
  <c r="K32" i="4"/>
  <c r="I32" i="4"/>
  <c r="G32" i="4"/>
  <c r="E32" i="4"/>
  <c r="C32" i="4"/>
  <c r="AG31" i="4"/>
  <c r="AF31" i="4"/>
  <c r="AE31" i="4"/>
  <c r="AD31" i="4"/>
  <c r="AC31" i="4"/>
  <c r="AB31" i="4"/>
  <c r="AA31" i="4"/>
  <c r="Y31" i="4"/>
  <c r="W31" i="4"/>
  <c r="U31" i="4"/>
  <c r="S31" i="4"/>
  <c r="Q31" i="4"/>
  <c r="O31" i="4"/>
  <c r="M31" i="4"/>
  <c r="K31" i="4"/>
  <c r="I31" i="4"/>
  <c r="G31" i="4"/>
  <c r="E31" i="4"/>
  <c r="C31" i="4"/>
  <c r="AK30" i="4"/>
  <c r="AL30" i="4" s="1"/>
  <c r="AJ30" i="4"/>
  <c r="AI30" i="4"/>
  <c r="AH30" i="4"/>
  <c r="AG30" i="4"/>
  <c r="AF30" i="4"/>
  <c r="AD30" i="4"/>
  <c r="AE30" i="4" s="1"/>
  <c r="AC30" i="4"/>
  <c r="AB30" i="4"/>
  <c r="AA30" i="4"/>
  <c r="Y30" i="4"/>
  <c r="W30" i="4"/>
  <c r="U30" i="4"/>
  <c r="S30" i="4"/>
  <c r="Q30" i="4"/>
  <c r="O30" i="4"/>
  <c r="M30" i="4"/>
  <c r="K30" i="4"/>
  <c r="I30" i="4"/>
  <c r="G30" i="4"/>
  <c r="E30" i="4"/>
  <c r="C30" i="4"/>
  <c r="AG29" i="4"/>
  <c r="AF29" i="4"/>
  <c r="AE29" i="4"/>
  <c r="AD29" i="4"/>
  <c r="AC29" i="4"/>
  <c r="AB29" i="4"/>
  <c r="AA29" i="4"/>
  <c r="Y29" i="4"/>
  <c r="W29" i="4"/>
  <c r="U29" i="4"/>
  <c r="S29" i="4"/>
  <c r="Q29" i="4"/>
  <c r="O29" i="4"/>
  <c r="M29" i="4"/>
  <c r="K29" i="4"/>
  <c r="I29" i="4"/>
  <c r="G29" i="4"/>
  <c r="E29" i="4"/>
  <c r="C29" i="4"/>
  <c r="Z27" i="4"/>
  <c r="AA27" i="4" s="1"/>
  <c r="Y27" i="4"/>
  <c r="X27" i="4"/>
  <c r="V27" i="4"/>
  <c r="W27" i="4" s="1"/>
  <c r="U27" i="4"/>
  <c r="T27" i="4"/>
  <c r="R27" i="4"/>
  <c r="S27" i="4" s="1"/>
  <c r="P27" i="4"/>
  <c r="Q27" i="4" s="1"/>
  <c r="N27" i="4"/>
  <c r="O27" i="4" s="1"/>
  <c r="M27" i="4"/>
  <c r="L27" i="4"/>
  <c r="J27" i="4"/>
  <c r="H27" i="4"/>
  <c r="I27" i="4" s="1"/>
  <c r="F27" i="4"/>
  <c r="G27" i="4" s="1"/>
  <c r="E27" i="4"/>
  <c r="D27" i="4"/>
  <c r="B27" i="4"/>
  <c r="C27" i="4" s="1"/>
  <c r="AK26" i="4"/>
  <c r="AL26" i="4" s="1"/>
  <c r="AI26" i="4"/>
  <c r="AJ26" i="4" s="1"/>
  <c r="AH26" i="4"/>
  <c r="AG26" i="4"/>
  <c r="AD26" i="4"/>
  <c r="AE26" i="4" s="1"/>
  <c r="AB26" i="4"/>
  <c r="AF26" i="4" s="1"/>
  <c r="AA26" i="4"/>
  <c r="Y26" i="4"/>
  <c r="W26" i="4"/>
  <c r="U26" i="4"/>
  <c r="S26" i="4"/>
  <c r="Q26" i="4"/>
  <c r="O26" i="4"/>
  <c r="M26" i="4"/>
  <c r="K26" i="4"/>
  <c r="I26" i="4"/>
  <c r="G26" i="4"/>
  <c r="E26" i="4"/>
  <c r="C26" i="4"/>
  <c r="AL25" i="4"/>
  <c r="AK25" i="4"/>
  <c r="AJ25" i="4"/>
  <c r="AI25" i="4"/>
  <c r="AH25" i="4"/>
  <c r="AG25" i="4"/>
  <c r="AF25" i="4"/>
  <c r="AC25" i="4"/>
  <c r="AB25" i="4"/>
  <c r="AD25" i="4" s="1"/>
  <c r="AE25" i="4" s="1"/>
  <c r="AA25" i="4"/>
  <c r="Y25" i="4"/>
  <c r="W25" i="4"/>
  <c r="U25" i="4"/>
  <c r="S25" i="4"/>
  <c r="Q25" i="4"/>
  <c r="O25" i="4"/>
  <c r="M25" i="4"/>
  <c r="K25" i="4"/>
  <c r="I25" i="4"/>
  <c r="G25" i="4"/>
  <c r="E25" i="4"/>
  <c r="C25" i="4"/>
  <c r="AK24" i="4"/>
  <c r="AL24" i="4" s="1"/>
  <c r="AI24" i="4"/>
  <c r="AJ24" i="4" s="1"/>
  <c r="AH24" i="4"/>
  <c r="AG24" i="4"/>
  <c r="AB24" i="4"/>
  <c r="AF24" i="4" s="1"/>
  <c r="AA24" i="4"/>
  <c r="Y24" i="4"/>
  <c r="W24" i="4"/>
  <c r="U24" i="4"/>
  <c r="S24" i="4"/>
  <c r="Q24" i="4"/>
  <c r="O24" i="4"/>
  <c r="M24" i="4"/>
  <c r="K24" i="4"/>
  <c r="I24" i="4"/>
  <c r="G24" i="4"/>
  <c r="E24" i="4"/>
  <c r="C24" i="4"/>
  <c r="AG23" i="4"/>
  <c r="AF23" i="4"/>
  <c r="AC23" i="4"/>
  <c r="AB23" i="4"/>
  <c r="AD23" i="4" s="1"/>
  <c r="AE23" i="4" s="1"/>
  <c r="AA23" i="4"/>
  <c r="Y23" i="4"/>
  <c r="W23" i="4"/>
  <c r="U23" i="4"/>
  <c r="S23" i="4"/>
  <c r="Q23" i="4"/>
  <c r="O23" i="4"/>
  <c r="M23" i="4"/>
  <c r="K23" i="4"/>
  <c r="I23" i="4"/>
  <c r="G23" i="4"/>
  <c r="E23" i="4"/>
  <c r="C23" i="4"/>
  <c r="AK22" i="4"/>
  <c r="AL22" i="4" s="1"/>
  <c r="AI22" i="4"/>
  <c r="AJ22" i="4" s="1"/>
  <c r="AH22" i="4"/>
  <c r="AG22" i="4"/>
  <c r="AB22" i="4"/>
  <c r="AF22" i="4" s="1"/>
  <c r="AA22" i="4"/>
  <c r="Y22" i="4"/>
  <c r="W22" i="4"/>
  <c r="U22" i="4"/>
  <c r="S22" i="4"/>
  <c r="Q22" i="4"/>
  <c r="O22" i="4"/>
  <c r="M22" i="4"/>
  <c r="K22" i="4"/>
  <c r="I22" i="4"/>
  <c r="G22" i="4"/>
  <c r="E22" i="4"/>
  <c r="C22" i="4"/>
  <c r="AI21" i="4"/>
  <c r="AJ21" i="4" s="1"/>
  <c r="AH21" i="4"/>
  <c r="AG21" i="4"/>
  <c r="AK21" i="4" s="1"/>
  <c r="AL21" i="4" s="1"/>
  <c r="AF21" i="4"/>
  <c r="AE21" i="4"/>
  <c r="AD21" i="4"/>
  <c r="AC21" i="4"/>
  <c r="AB21" i="4"/>
  <c r="AA21" i="4"/>
  <c r="Y21" i="4"/>
  <c r="W21" i="4"/>
  <c r="U21" i="4"/>
  <c r="S21" i="4"/>
  <c r="Q21" i="4"/>
  <c r="O21" i="4"/>
  <c r="M21" i="4"/>
  <c r="K21" i="4"/>
  <c r="I21" i="4"/>
  <c r="G21" i="4"/>
  <c r="E21" i="4"/>
  <c r="C21" i="4"/>
  <c r="AK20" i="4"/>
  <c r="AL20" i="4" s="1"/>
  <c r="AI20" i="4"/>
  <c r="AJ20" i="4" s="1"/>
  <c r="AH20" i="4"/>
  <c r="AG20" i="4"/>
  <c r="AE20" i="4"/>
  <c r="AD20" i="4"/>
  <c r="AC20" i="4"/>
  <c r="AB20" i="4"/>
  <c r="AF20" i="4" s="1"/>
  <c r="AA20" i="4"/>
  <c r="Y20" i="4"/>
  <c r="W20" i="4"/>
  <c r="U20" i="4"/>
  <c r="S20" i="4"/>
  <c r="Q20" i="4"/>
  <c r="O20" i="4"/>
  <c r="M20" i="4"/>
  <c r="K20" i="4"/>
  <c r="I20" i="4"/>
  <c r="G20" i="4"/>
  <c r="E20" i="4"/>
  <c r="C20" i="4"/>
  <c r="AK19" i="4"/>
  <c r="AL19" i="4" s="1"/>
  <c r="AG19" i="4"/>
  <c r="AI19" i="4" s="1"/>
  <c r="AJ19" i="4" s="1"/>
  <c r="AF19" i="4"/>
  <c r="AC19" i="4"/>
  <c r="AB19" i="4"/>
  <c r="AD19" i="4" s="1"/>
  <c r="AE19" i="4" s="1"/>
  <c r="AA19" i="4"/>
  <c r="Y19" i="4"/>
  <c r="W19" i="4"/>
  <c r="U19" i="4"/>
  <c r="S19" i="4"/>
  <c r="Q19" i="4"/>
  <c r="O19" i="4"/>
  <c r="M19" i="4"/>
  <c r="K19" i="4"/>
  <c r="I19" i="4"/>
  <c r="G19" i="4"/>
  <c r="E19" i="4"/>
  <c r="C19" i="4"/>
  <c r="AK18" i="4"/>
  <c r="AL18" i="4" s="1"/>
  <c r="AI18" i="4"/>
  <c r="AJ18" i="4" s="1"/>
  <c r="AH18" i="4"/>
  <c r="AG18" i="4"/>
  <c r="AB18" i="4"/>
  <c r="AA18" i="4"/>
  <c r="Y18" i="4"/>
  <c r="W18" i="4"/>
  <c r="U18" i="4"/>
  <c r="S18" i="4"/>
  <c r="Q18" i="4"/>
  <c r="O18" i="4"/>
  <c r="M18" i="4"/>
  <c r="K18" i="4"/>
  <c r="I18" i="4"/>
  <c r="G18" i="4"/>
  <c r="E18" i="4"/>
  <c r="C18" i="4"/>
  <c r="AK17" i="4"/>
  <c r="AL17" i="4" s="1"/>
  <c r="AJ17" i="4"/>
  <c r="AI17" i="4"/>
  <c r="AH17" i="4"/>
  <c r="AG17" i="4"/>
  <c r="AF17" i="4"/>
  <c r="AC17" i="4"/>
  <c r="AB17" i="4"/>
  <c r="AD17" i="4" s="1"/>
  <c r="AE17" i="4" s="1"/>
  <c r="AA17" i="4"/>
  <c r="Y17" i="4"/>
  <c r="W17" i="4"/>
  <c r="U17" i="4"/>
  <c r="S17" i="4"/>
  <c r="Q17" i="4"/>
  <c r="O17" i="4"/>
  <c r="M17" i="4"/>
  <c r="K17" i="4"/>
  <c r="I17" i="4"/>
  <c r="G17" i="4"/>
  <c r="E17" i="4"/>
  <c r="C17" i="4"/>
  <c r="AK16" i="4"/>
  <c r="AL16" i="4" s="1"/>
  <c r="AI16" i="4"/>
  <c r="AJ16" i="4" s="1"/>
  <c r="AH16" i="4"/>
  <c r="AG16" i="4"/>
  <c r="AB16" i="4"/>
  <c r="AF16" i="4" s="1"/>
  <c r="AA16" i="4"/>
  <c r="Y16" i="4"/>
  <c r="W16" i="4"/>
  <c r="U16" i="4"/>
  <c r="S16" i="4"/>
  <c r="Q16" i="4"/>
  <c r="O16" i="4"/>
  <c r="M16" i="4"/>
  <c r="K16" i="4"/>
  <c r="I16" i="4"/>
  <c r="G16" i="4"/>
  <c r="E16" i="4"/>
  <c r="C16" i="4"/>
  <c r="AG15" i="4"/>
  <c r="AK15" i="4" s="1"/>
  <c r="AL15" i="4" s="1"/>
  <c r="AF15" i="4"/>
  <c r="AE15" i="4"/>
  <c r="AC15" i="4"/>
  <c r="AB15" i="4"/>
  <c r="AD15" i="4" s="1"/>
  <c r="AA15" i="4"/>
  <c r="Y15" i="4"/>
  <c r="W15" i="4"/>
  <c r="U15" i="4"/>
  <c r="S15" i="4"/>
  <c r="Q15" i="4"/>
  <c r="O15" i="4"/>
  <c r="M15" i="4"/>
  <c r="K15" i="4"/>
  <c r="I15" i="4"/>
  <c r="G15" i="4"/>
  <c r="E15" i="4"/>
  <c r="C15" i="4"/>
  <c r="AK13" i="4"/>
  <c r="AL13" i="4" s="1"/>
  <c r="AG13" i="4"/>
  <c r="AI13" i="4" s="1"/>
  <c r="AJ13" i="4" s="1"/>
  <c r="AF13" i="4"/>
  <c r="AB13" i="4"/>
  <c r="AD13" i="4" s="1"/>
  <c r="AE13" i="4" s="1"/>
  <c r="AA13" i="4"/>
  <c r="Y13" i="4"/>
  <c r="W13" i="4"/>
  <c r="U13" i="4"/>
  <c r="S13" i="4"/>
  <c r="Q13" i="4"/>
  <c r="O13" i="4"/>
  <c r="M13" i="4"/>
  <c r="K13" i="4"/>
  <c r="I13" i="4"/>
  <c r="G13" i="4"/>
  <c r="E13" i="4"/>
  <c r="C13" i="4"/>
  <c r="Z9" i="4"/>
  <c r="X9" i="4"/>
  <c r="V9" i="4"/>
  <c r="W9" i="4" s="1"/>
  <c r="U9" i="4"/>
  <c r="T9" i="4"/>
  <c r="T59" i="4" s="1"/>
  <c r="U59" i="4" s="1"/>
  <c r="R9" i="4"/>
  <c r="Q9" i="4"/>
  <c r="P9" i="4"/>
  <c r="P59" i="4" s="1"/>
  <c r="O9" i="4"/>
  <c r="N9" i="4"/>
  <c r="N59" i="4" s="1"/>
  <c r="M9" i="4"/>
  <c r="L9" i="4"/>
  <c r="L59" i="4" s="1"/>
  <c r="J9" i="4"/>
  <c r="H9" i="4"/>
  <c r="H59" i="4" s="1"/>
  <c r="F9" i="4"/>
  <c r="G9" i="4" s="1"/>
  <c r="E9" i="4"/>
  <c r="D9" i="4"/>
  <c r="D59" i="4" s="1"/>
  <c r="B9" i="4"/>
  <c r="C9" i="4" s="1"/>
  <c r="AL8" i="4"/>
  <c r="AK8" i="4"/>
  <c r="AH8" i="4"/>
  <c r="AG8" i="4"/>
  <c r="AI8" i="4" s="1"/>
  <c r="AJ8" i="4" s="1"/>
  <c r="AF8" i="4"/>
  <c r="AD8" i="4"/>
  <c r="AE8" i="4" s="1"/>
  <c r="AB8" i="4"/>
  <c r="AC8" i="4" s="1"/>
  <c r="AA8" i="4"/>
  <c r="Y8" i="4"/>
  <c r="W8" i="4"/>
  <c r="U8" i="4"/>
  <c r="S8" i="4"/>
  <c r="Q8" i="4"/>
  <c r="O8" i="4"/>
  <c r="M8" i="4"/>
  <c r="K8" i="4"/>
  <c r="I8" i="4"/>
  <c r="G8" i="4"/>
  <c r="E8" i="4"/>
  <c r="C8" i="4"/>
  <c r="AG7" i="4"/>
  <c r="AK7" i="4" s="1"/>
  <c r="AL7" i="4" s="1"/>
  <c r="AC7" i="4"/>
  <c r="AB7" i="4"/>
  <c r="AF7" i="4" s="1"/>
  <c r="AA7" i="4"/>
  <c r="Y7" i="4"/>
  <c r="W7" i="4"/>
  <c r="U7" i="4"/>
  <c r="S7" i="4"/>
  <c r="Q7" i="4"/>
  <c r="O7" i="4"/>
  <c r="M7" i="4"/>
  <c r="K7" i="4"/>
  <c r="I7" i="4"/>
  <c r="G7" i="4"/>
  <c r="E7" i="4"/>
  <c r="C7" i="4"/>
  <c r="AI148" i="3"/>
  <c r="AG148" i="3"/>
  <c r="AH144" i="3" s="1"/>
  <c r="AD148" i="3"/>
  <c r="AB148" i="3"/>
  <c r="AF148" i="3" s="1"/>
  <c r="Z145" i="3"/>
  <c r="AA145" i="3" s="1"/>
  <c r="Y145" i="3"/>
  <c r="X145" i="3"/>
  <c r="V145" i="3"/>
  <c r="W145" i="3" s="1"/>
  <c r="U145" i="3"/>
  <c r="T145" i="3"/>
  <c r="R145" i="3"/>
  <c r="P145" i="3"/>
  <c r="Q145" i="3" s="1"/>
  <c r="O145" i="3"/>
  <c r="N145" i="3"/>
  <c r="M145" i="3"/>
  <c r="L145" i="3"/>
  <c r="J145" i="3"/>
  <c r="AG145" i="3" s="1"/>
  <c r="I145" i="3"/>
  <c r="H145" i="3"/>
  <c r="F145" i="3"/>
  <c r="G145" i="3" s="1"/>
  <c r="D145" i="3"/>
  <c r="E145" i="3" s="1"/>
  <c r="B145" i="3"/>
  <c r="C145" i="3" s="1"/>
  <c r="AK144" i="3"/>
  <c r="AG144" i="3"/>
  <c r="AI144" i="3" s="1"/>
  <c r="AJ144" i="3" s="1"/>
  <c r="AC144" i="3"/>
  <c r="AB144" i="3"/>
  <c r="AF144" i="3" s="1"/>
  <c r="AA144" i="3"/>
  <c r="Y144" i="3"/>
  <c r="W144" i="3"/>
  <c r="U144" i="3"/>
  <c r="S144" i="3"/>
  <c r="Q144" i="3"/>
  <c r="O144" i="3"/>
  <c r="M144" i="3"/>
  <c r="K144" i="3"/>
  <c r="I144" i="3"/>
  <c r="G144" i="3"/>
  <c r="E144" i="3"/>
  <c r="C144" i="3"/>
  <c r="Z141" i="3"/>
  <c r="AA141" i="3" s="1"/>
  <c r="X141" i="3"/>
  <c r="Y141" i="3" s="1"/>
  <c r="W141" i="3"/>
  <c r="V141" i="3"/>
  <c r="T141" i="3"/>
  <c r="U141" i="3" s="1"/>
  <c r="S141" i="3"/>
  <c r="R141" i="3"/>
  <c r="AB141" i="3" s="1"/>
  <c r="AC141" i="3" s="1"/>
  <c r="P141" i="3"/>
  <c r="Q141" i="3" s="1"/>
  <c r="N141" i="3"/>
  <c r="O141" i="3" s="1"/>
  <c r="L141" i="3"/>
  <c r="M141" i="3" s="1"/>
  <c r="J141" i="3"/>
  <c r="K141" i="3" s="1"/>
  <c r="H141" i="3"/>
  <c r="I141" i="3" s="1"/>
  <c r="F141" i="3"/>
  <c r="G141" i="3" s="1"/>
  <c r="E141" i="3"/>
  <c r="D141" i="3"/>
  <c r="B141" i="3"/>
  <c r="C141" i="3" s="1"/>
  <c r="AG140" i="3"/>
  <c r="AC140" i="3"/>
  <c r="AB140" i="3"/>
  <c r="AA140" i="3"/>
  <c r="Y140" i="3"/>
  <c r="W140" i="3"/>
  <c r="U140" i="3"/>
  <c r="S140" i="3"/>
  <c r="Q140" i="3"/>
  <c r="O140" i="3"/>
  <c r="M140" i="3"/>
  <c r="K140" i="3"/>
  <c r="I140" i="3"/>
  <c r="G140" i="3"/>
  <c r="E140" i="3"/>
  <c r="C140" i="3"/>
  <c r="AB135" i="3"/>
  <c r="AA135" i="3"/>
  <c r="Z135" i="3"/>
  <c r="Y135" i="3"/>
  <c r="X135" i="3"/>
  <c r="V135" i="3"/>
  <c r="W135" i="3" s="1"/>
  <c r="T135" i="3"/>
  <c r="U135" i="3" s="1"/>
  <c r="S135" i="3"/>
  <c r="R135" i="3"/>
  <c r="P135" i="3"/>
  <c r="Q135" i="3" s="1"/>
  <c r="N135" i="3"/>
  <c r="O135" i="3" s="1"/>
  <c r="L135" i="3"/>
  <c r="M135" i="3" s="1"/>
  <c r="K135" i="3"/>
  <c r="J135" i="3"/>
  <c r="I135" i="3"/>
  <c r="H135" i="3"/>
  <c r="F135" i="3"/>
  <c r="G135" i="3" s="1"/>
  <c r="D135" i="3"/>
  <c r="E135" i="3" s="1"/>
  <c r="C135" i="3"/>
  <c r="B135" i="3"/>
  <c r="AG134" i="3"/>
  <c r="AF134" i="3"/>
  <c r="AD134" i="3"/>
  <c r="AE134" i="3" s="1"/>
  <c r="AB134" i="3"/>
  <c r="AC134" i="3" s="1"/>
  <c r="AA134" i="3"/>
  <c r="Y134" i="3"/>
  <c r="W134" i="3"/>
  <c r="U134" i="3"/>
  <c r="S134" i="3"/>
  <c r="Q134" i="3"/>
  <c r="O134" i="3"/>
  <c r="M134" i="3"/>
  <c r="K134" i="3"/>
  <c r="I134" i="3"/>
  <c r="G134" i="3"/>
  <c r="E134" i="3"/>
  <c r="C134" i="3"/>
  <c r="AG133" i="3"/>
  <c r="AK133" i="3" s="1"/>
  <c r="AC133" i="3"/>
  <c r="AB133" i="3"/>
  <c r="AF133" i="3" s="1"/>
  <c r="AA133" i="3"/>
  <c r="Y133" i="3"/>
  <c r="W133" i="3"/>
  <c r="U133" i="3"/>
  <c r="S133" i="3"/>
  <c r="Q133" i="3"/>
  <c r="O133" i="3"/>
  <c r="M133" i="3"/>
  <c r="K133" i="3"/>
  <c r="I133" i="3"/>
  <c r="G133" i="3"/>
  <c r="E133" i="3"/>
  <c r="C133" i="3"/>
  <c r="AH132" i="3"/>
  <c r="AG132" i="3"/>
  <c r="AF132" i="3"/>
  <c r="AD132" i="3"/>
  <c r="AE132" i="3" s="1"/>
  <c r="AB132" i="3"/>
  <c r="AC132" i="3" s="1"/>
  <c r="AA132" i="3"/>
  <c r="Y132" i="3"/>
  <c r="W132" i="3"/>
  <c r="U132" i="3"/>
  <c r="S132" i="3"/>
  <c r="Q132" i="3"/>
  <c r="O132" i="3"/>
  <c r="M132" i="3"/>
  <c r="K132" i="3"/>
  <c r="I132" i="3"/>
  <c r="G132" i="3"/>
  <c r="E132" i="3"/>
  <c r="C132" i="3"/>
  <c r="AG131" i="3"/>
  <c r="AK131" i="3" s="1"/>
  <c r="AC131" i="3"/>
  <c r="AB131" i="3"/>
  <c r="AF131" i="3" s="1"/>
  <c r="AA131" i="3"/>
  <c r="Y131" i="3"/>
  <c r="W131" i="3"/>
  <c r="U131" i="3"/>
  <c r="S131" i="3"/>
  <c r="Q131" i="3"/>
  <c r="O131" i="3"/>
  <c r="M131" i="3"/>
  <c r="K131" i="3"/>
  <c r="I131" i="3"/>
  <c r="G131" i="3"/>
  <c r="E131" i="3"/>
  <c r="C131" i="3"/>
  <c r="AG130" i="3"/>
  <c r="AF130" i="3"/>
  <c r="AD130" i="3"/>
  <c r="AE130" i="3" s="1"/>
  <c r="AB130" i="3"/>
  <c r="AC130" i="3" s="1"/>
  <c r="AA130" i="3"/>
  <c r="Y130" i="3"/>
  <c r="W130" i="3"/>
  <c r="U130" i="3"/>
  <c r="S130" i="3"/>
  <c r="Q130" i="3"/>
  <c r="O130" i="3"/>
  <c r="M130" i="3"/>
  <c r="K130" i="3"/>
  <c r="I130" i="3"/>
  <c r="G130" i="3"/>
  <c r="E130" i="3"/>
  <c r="C130" i="3"/>
  <c r="AG129" i="3"/>
  <c r="AK129" i="3" s="1"/>
  <c r="AC129" i="3"/>
  <c r="AB129" i="3"/>
  <c r="AF129" i="3" s="1"/>
  <c r="AA129" i="3"/>
  <c r="Y129" i="3"/>
  <c r="W129" i="3"/>
  <c r="U129" i="3"/>
  <c r="S129" i="3"/>
  <c r="Q129" i="3"/>
  <c r="O129" i="3"/>
  <c r="M129" i="3"/>
  <c r="K129" i="3"/>
  <c r="I129" i="3"/>
  <c r="G129" i="3"/>
  <c r="E129" i="3"/>
  <c r="C129" i="3"/>
  <c r="AK128" i="3"/>
  <c r="AI128" i="3"/>
  <c r="AJ128" i="3" s="1"/>
  <c r="AH128" i="3"/>
  <c r="AG128" i="3"/>
  <c r="AF128" i="3"/>
  <c r="AD128" i="3"/>
  <c r="AE128" i="3" s="1"/>
  <c r="AB128" i="3"/>
  <c r="AC128" i="3" s="1"/>
  <c r="AA128" i="3"/>
  <c r="Y128" i="3"/>
  <c r="W128" i="3"/>
  <c r="U128" i="3"/>
  <c r="S128" i="3"/>
  <c r="Q128" i="3"/>
  <c r="O128" i="3"/>
  <c r="M128" i="3"/>
  <c r="K128" i="3"/>
  <c r="I128" i="3"/>
  <c r="G128" i="3"/>
  <c r="E128" i="3"/>
  <c r="C128" i="3"/>
  <c r="AG127" i="3"/>
  <c r="AK127" i="3" s="1"/>
  <c r="AC127" i="3"/>
  <c r="AB127" i="3"/>
  <c r="AF127" i="3" s="1"/>
  <c r="AA127" i="3"/>
  <c r="Y127" i="3"/>
  <c r="W127" i="3"/>
  <c r="U127" i="3"/>
  <c r="S127" i="3"/>
  <c r="Q127" i="3"/>
  <c r="O127" i="3"/>
  <c r="M127" i="3"/>
  <c r="K127" i="3"/>
  <c r="I127" i="3"/>
  <c r="G127" i="3"/>
  <c r="E127" i="3"/>
  <c r="C127" i="3"/>
  <c r="AG126" i="3"/>
  <c r="AF126" i="3"/>
  <c r="AD126" i="3"/>
  <c r="AE126" i="3" s="1"/>
  <c r="AB126" i="3"/>
  <c r="AC126" i="3" s="1"/>
  <c r="AA126" i="3"/>
  <c r="Y126" i="3"/>
  <c r="W126" i="3"/>
  <c r="U126" i="3"/>
  <c r="S126" i="3"/>
  <c r="Q126" i="3"/>
  <c r="O126" i="3"/>
  <c r="M126" i="3"/>
  <c r="K126" i="3"/>
  <c r="I126" i="3"/>
  <c r="G126" i="3"/>
  <c r="E126" i="3"/>
  <c r="C126" i="3"/>
  <c r="AG125" i="3"/>
  <c r="AK125" i="3" s="1"/>
  <c r="AC125" i="3"/>
  <c r="AB125" i="3"/>
  <c r="AF125" i="3" s="1"/>
  <c r="AA125" i="3"/>
  <c r="Y125" i="3"/>
  <c r="W125" i="3"/>
  <c r="U125" i="3"/>
  <c r="S125" i="3"/>
  <c r="Q125" i="3"/>
  <c r="O125" i="3"/>
  <c r="M125" i="3"/>
  <c r="K125" i="3"/>
  <c r="I125" i="3"/>
  <c r="G125" i="3"/>
  <c r="E125" i="3"/>
  <c r="C125" i="3"/>
  <c r="AK124" i="3"/>
  <c r="AI124" i="3"/>
  <c r="AJ124" i="3" s="1"/>
  <c r="AH124" i="3"/>
  <c r="AG124" i="3"/>
  <c r="AF124" i="3"/>
  <c r="AD124" i="3"/>
  <c r="AE124" i="3" s="1"/>
  <c r="AB124" i="3"/>
  <c r="AC124" i="3" s="1"/>
  <c r="AA124" i="3"/>
  <c r="Y124" i="3"/>
  <c r="W124" i="3"/>
  <c r="U124" i="3"/>
  <c r="S124" i="3"/>
  <c r="Q124" i="3"/>
  <c r="O124" i="3"/>
  <c r="M124" i="3"/>
  <c r="K124" i="3"/>
  <c r="I124" i="3"/>
  <c r="G124" i="3"/>
  <c r="E124" i="3"/>
  <c r="C124" i="3"/>
  <c r="AG123" i="3"/>
  <c r="AK123" i="3" s="1"/>
  <c r="AC123" i="3"/>
  <c r="AB123" i="3"/>
  <c r="AF123" i="3" s="1"/>
  <c r="AA123" i="3"/>
  <c r="Y123" i="3"/>
  <c r="W123" i="3"/>
  <c r="U123" i="3"/>
  <c r="S123" i="3"/>
  <c r="Q123" i="3"/>
  <c r="O123" i="3"/>
  <c r="M123" i="3"/>
  <c r="K123" i="3"/>
  <c r="I123" i="3"/>
  <c r="G123" i="3"/>
  <c r="E123" i="3"/>
  <c r="C123" i="3"/>
  <c r="AK122" i="3"/>
  <c r="AI122" i="3"/>
  <c r="AJ122" i="3" s="1"/>
  <c r="AH122" i="3"/>
  <c r="AG122" i="3"/>
  <c r="AF122" i="3"/>
  <c r="AD122" i="3"/>
  <c r="AE122" i="3" s="1"/>
  <c r="AB122" i="3"/>
  <c r="AC122" i="3" s="1"/>
  <c r="AA122" i="3"/>
  <c r="Y122" i="3"/>
  <c r="W122" i="3"/>
  <c r="U122" i="3"/>
  <c r="S122" i="3"/>
  <c r="Q122" i="3"/>
  <c r="O122" i="3"/>
  <c r="M122" i="3"/>
  <c r="K122" i="3"/>
  <c r="I122" i="3"/>
  <c r="G122" i="3"/>
  <c r="E122" i="3"/>
  <c r="C122" i="3"/>
  <c r="AG121" i="3"/>
  <c r="AK121" i="3" s="1"/>
  <c r="AC121" i="3"/>
  <c r="AB121" i="3"/>
  <c r="AF121" i="3" s="1"/>
  <c r="AA121" i="3"/>
  <c r="Y121" i="3"/>
  <c r="W121" i="3"/>
  <c r="U121" i="3"/>
  <c r="S121" i="3"/>
  <c r="Q121" i="3"/>
  <c r="O121" i="3"/>
  <c r="M121" i="3"/>
  <c r="K121" i="3"/>
  <c r="I121" i="3"/>
  <c r="G121" i="3"/>
  <c r="E121" i="3"/>
  <c r="C121" i="3"/>
  <c r="AG120" i="3"/>
  <c r="AK120" i="3" s="1"/>
  <c r="AF120" i="3"/>
  <c r="AE120" i="3"/>
  <c r="AD120" i="3"/>
  <c r="AB120" i="3"/>
  <c r="AC120" i="3" s="1"/>
  <c r="AA120" i="3"/>
  <c r="Y120" i="3"/>
  <c r="W120" i="3"/>
  <c r="U120" i="3"/>
  <c r="S120" i="3"/>
  <c r="Q120" i="3"/>
  <c r="O120" i="3"/>
  <c r="M120" i="3"/>
  <c r="K120" i="3"/>
  <c r="I120" i="3"/>
  <c r="G120" i="3"/>
  <c r="E120" i="3"/>
  <c r="C120" i="3"/>
  <c r="AG119" i="3"/>
  <c r="AC119" i="3"/>
  <c r="AB119" i="3"/>
  <c r="AA119" i="3"/>
  <c r="Y119" i="3"/>
  <c r="W119" i="3"/>
  <c r="U119" i="3"/>
  <c r="S119" i="3"/>
  <c r="Q119" i="3"/>
  <c r="O119" i="3"/>
  <c r="M119" i="3"/>
  <c r="K119" i="3"/>
  <c r="I119" i="3"/>
  <c r="G119" i="3"/>
  <c r="E119" i="3"/>
  <c r="C119" i="3"/>
  <c r="AG118" i="3"/>
  <c r="AK118" i="3" s="1"/>
  <c r="AF118" i="3"/>
  <c r="AD118" i="3"/>
  <c r="AE118" i="3" s="1"/>
  <c r="AB118" i="3"/>
  <c r="AC118" i="3" s="1"/>
  <c r="AA118" i="3"/>
  <c r="Y118" i="3"/>
  <c r="W118" i="3"/>
  <c r="U118" i="3"/>
  <c r="S118" i="3"/>
  <c r="Q118" i="3"/>
  <c r="O118" i="3"/>
  <c r="M118" i="3"/>
  <c r="K118" i="3"/>
  <c r="I118" i="3"/>
  <c r="G118" i="3"/>
  <c r="E118" i="3"/>
  <c r="C118" i="3"/>
  <c r="AG117" i="3"/>
  <c r="AB117" i="3"/>
  <c r="AA117" i="3"/>
  <c r="Y117" i="3"/>
  <c r="W117" i="3"/>
  <c r="U117" i="3"/>
  <c r="S117" i="3"/>
  <c r="Q117" i="3"/>
  <c r="O117" i="3"/>
  <c r="M117" i="3"/>
  <c r="K117" i="3"/>
  <c r="I117" i="3"/>
  <c r="G117" i="3"/>
  <c r="E117" i="3"/>
  <c r="C117" i="3"/>
  <c r="AG116" i="3"/>
  <c r="AF116" i="3"/>
  <c r="AE116" i="3"/>
  <c r="AD116" i="3"/>
  <c r="AB116" i="3"/>
  <c r="AC116" i="3" s="1"/>
  <c r="AA116" i="3"/>
  <c r="Y116" i="3"/>
  <c r="W116" i="3"/>
  <c r="U116" i="3"/>
  <c r="S116" i="3"/>
  <c r="Q116" i="3"/>
  <c r="O116" i="3"/>
  <c r="M116" i="3"/>
  <c r="K116" i="3"/>
  <c r="I116" i="3"/>
  <c r="G116" i="3"/>
  <c r="E116" i="3"/>
  <c r="C116" i="3"/>
  <c r="AG115" i="3"/>
  <c r="AC115" i="3"/>
  <c r="AB115" i="3"/>
  <c r="AA115" i="3"/>
  <c r="Y115" i="3"/>
  <c r="W115" i="3"/>
  <c r="U115" i="3"/>
  <c r="S115" i="3"/>
  <c r="Q115" i="3"/>
  <c r="O115" i="3"/>
  <c r="M115" i="3"/>
  <c r="K115" i="3"/>
  <c r="I115" i="3"/>
  <c r="G115" i="3"/>
  <c r="E115" i="3"/>
  <c r="C115" i="3"/>
  <c r="AK114" i="3"/>
  <c r="AH114" i="3"/>
  <c r="AG114" i="3"/>
  <c r="AI114" i="3" s="1"/>
  <c r="AJ114" i="3" s="1"/>
  <c r="AF114" i="3"/>
  <c r="AE114" i="3"/>
  <c r="AD114" i="3"/>
  <c r="AB114" i="3"/>
  <c r="AC114" i="3" s="1"/>
  <c r="AA114" i="3"/>
  <c r="Y114" i="3"/>
  <c r="W114" i="3"/>
  <c r="U114" i="3"/>
  <c r="S114" i="3"/>
  <c r="Q114" i="3"/>
  <c r="O114" i="3"/>
  <c r="M114" i="3"/>
  <c r="K114" i="3"/>
  <c r="I114" i="3"/>
  <c r="G114" i="3"/>
  <c r="E114" i="3"/>
  <c r="C114" i="3"/>
  <c r="AG113" i="3"/>
  <c r="AB113" i="3"/>
  <c r="AA113" i="3"/>
  <c r="Y113" i="3"/>
  <c r="W113" i="3"/>
  <c r="U113" i="3"/>
  <c r="S113" i="3"/>
  <c r="Q113" i="3"/>
  <c r="O113" i="3"/>
  <c r="M113" i="3"/>
  <c r="K113" i="3"/>
  <c r="I113" i="3"/>
  <c r="G113" i="3"/>
  <c r="E113" i="3"/>
  <c r="C113" i="3"/>
  <c r="AG112" i="3"/>
  <c r="AK112" i="3" s="1"/>
  <c r="AF112" i="3"/>
  <c r="AE112" i="3"/>
  <c r="AD112" i="3"/>
  <c r="AB112" i="3"/>
  <c r="AC112" i="3" s="1"/>
  <c r="AA112" i="3"/>
  <c r="Y112" i="3"/>
  <c r="W112" i="3"/>
  <c r="U112" i="3"/>
  <c r="S112" i="3"/>
  <c r="Q112" i="3"/>
  <c r="O112" i="3"/>
  <c r="M112" i="3"/>
  <c r="K112" i="3"/>
  <c r="I112" i="3"/>
  <c r="G112" i="3"/>
  <c r="E112" i="3"/>
  <c r="C112" i="3"/>
  <c r="AG111" i="3"/>
  <c r="AC111" i="3"/>
  <c r="AB111" i="3"/>
  <c r="AA111" i="3"/>
  <c r="Y111" i="3"/>
  <c r="W111" i="3"/>
  <c r="U111" i="3"/>
  <c r="S111" i="3"/>
  <c r="Q111" i="3"/>
  <c r="O111" i="3"/>
  <c r="M111" i="3"/>
  <c r="K111" i="3"/>
  <c r="I111" i="3"/>
  <c r="G111" i="3"/>
  <c r="E111" i="3"/>
  <c r="C111" i="3"/>
  <c r="AK110" i="3"/>
  <c r="AJ110" i="3"/>
  <c r="AI110" i="3"/>
  <c r="AH110" i="3"/>
  <c r="AG110" i="3"/>
  <c r="AF110" i="3"/>
  <c r="AD110" i="3"/>
  <c r="AE110" i="3" s="1"/>
  <c r="AB110" i="3"/>
  <c r="AC110" i="3" s="1"/>
  <c r="AA110" i="3"/>
  <c r="Y110" i="3"/>
  <c r="W110" i="3"/>
  <c r="U110" i="3"/>
  <c r="S110" i="3"/>
  <c r="Q110" i="3"/>
  <c r="O110" i="3"/>
  <c r="M110" i="3"/>
  <c r="K110" i="3"/>
  <c r="I110" i="3"/>
  <c r="G110" i="3"/>
  <c r="E110" i="3"/>
  <c r="C110" i="3"/>
  <c r="AB105" i="3"/>
  <c r="AC105" i="3" s="1"/>
  <c r="AA105" i="3"/>
  <c r="Z105" i="3"/>
  <c r="X105" i="3"/>
  <c r="Y105" i="3" s="1"/>
  <c r="V105" i="3"/>
  <c r="W105" i="3" s="1"/>
  <c r="U105" i="3"/>
  <c r="T105" i="3"/>
  <c r="R105" i="3"/>
  <c r="S105" i="3" s="1"/>
  <c r="P105" i="3"/>
  <c r="Q105" i="3" s="1"/>
  <c r="N105" i="3"/>
  <c r="O105" i="3" s="1"/>
  <c r="L105" i="3"/>
  <c r="AG105" i="3" s="1"/>
  <c r="K105" i="3"/>
  <c r="J105" i="3"/>
  <c r="H105" i="3"/>
  <c r="I105" i="3" s="1"/>
  <c r="G105" i="3"/>
  <c r="F105" i="3"/>
  <c r="E105" i="3"/>
  <c r="D105" i="3"/>
  <c r="B105" i="3"/>
  <c r="C105" i="3" s="1"/>
  <c r="AG104" i="3"/>
  <c r="AB104" i="3"/>
  <c r="AA104" i="3"/>
  <c r="Y104" i="3"/>
  <c r="W104" i="3"/>
  <c r="U104" i="3"/>
  <c r="S104" i="3"/>
  <c r="Q104" i="3"/>
  <c r="O104" i="3"/>
  <c r="M104" i="3"/>
  <c r="K104" i="3"/>
  <c r="I104" i="3"/>
  <c r="G104" i="3"/>
  <c r="E104" i="3"/>
  <c r="C104" i="3"/>
  <c r="Z99" i="3"/>
  <c r="AA99" i="3" s="1"/>
  <c r="X99" i="3"/>
  <c r="W99" i="3"/>
  <c r="V99" i="3"/>
  <c r="T99" i="3"/>
  <c r="U99" i="3" s="1"/>
  <c r="S99" i="3"/>
  <c r="R99" i="3"/>
  <c r="Q99" i="3"/>
  <c r="P99" i="3"/>
  <c r="N99" i="3"/>
  <c r="O99" i="3" s="1"/>
  <c r="M99" i="3"/>
  <c r="L99" i="3"/>
  <c r="J99" i="3"/>
  <c r="K99" i="3" s="1"/>
  <c r="H99" i="3"/>
  <c r="I99" i="3" s="1"/>
  <c r="G99" i="3"/>
  <c r="F99" i="3"/>
  <c r="D99" i="3"/>
  <c r="E99" i="3" s="1"/>
  <c r="C99" i="3"/>
  <c r="B99" i="3"/>
  <c r="AK98" i="3"/>
  <c r="AJ98" i="3"/>
  <c r="AI98" i="3"/>
  <c r="AH98" i="3"/>
  <c r="AG98" i="3"/>
  <c r="AD98" i="3"/>
  <c r="AE98" i="3" s="1"/>
  <c r="AC98" i="3"/>
  <c r="AB98" i="3"/>
  <c r="AF98" i="3" s="1"/>
  <c r="AA98" i="3"/>
  <c r="Y98" i="3"/>
  <c r="W98" i="3"/>
  <c r="U98" i="3"/>
  <c r="S98" i="3"/>
  <c r="Q98" i="3"/>
  <c r="O98" i="3"/>
  <c r="M98" i="3"/>
  <c r="K98" i="3"/>
  <c r="I98" i="3"/>
  <c r="G98" i="3"/>
  <c r="E98" i="3"/>
  <c r="C98" i="3"/>
  <c r="AG97" i="3"/>
  <c r="AB97" i="3"/>
  <c r="AA97" i="3"/>
  <c r="Y97" i="3"/>
  <c r="W97" i="3"/>
  <c r="U97" i="3"/>
  <c r="S97" i="3"/>
  <c r="Q97" i="3"/>
  <c r="O97" i="3"/>
  <c r="M97" i="3"/>
  <c r="K97" i="3"/>
  <c r="I97" i="3"/>
  <c r="G97" i="3"/>
  <c r="E97" i="3"/>
  <c r="C97" i="3"/>
  <c r="AK96" i="3"/>
  <c r="AI96" i="3"/>
  <c r="AJ96" i="3" s="1"/>
  <c r="AH96" i="3"/>
  <c r="AG96" i="3"/>
  <c r="AD96" i="3"/>
  <c r="AE96" i="3" s="1"/>
  <c r="AC96" i="3"/>
  <c r="AB96" i="3"/>
  <c r="AF96" i="3" s="1"/>
  <c r="AA96" i="3"/>
  <c r="Y96" i="3"/>
  <c r="W96" i="3"/>
  <c r="U96" i="3"/>
  <c r="S96" i="3"/>
  <c r="Q96" i="3"/>
  <c r="O96" i="3"/>
  <c r="M96" i="3"/>
  <c r="K96" i="3"/>
  <c r="I96" i="3"/>
  <c r="G96" i="3"/>
  <c r="E96" i="3"/>
  <c r="C96" i="3"/>
  <c r="AK95" i="3"/>
  <c r="AG95" i="3"/>
  <c r="AI95" i="3" s="1"/>
  <c r="AJ95" i="3" s="1"/>
  <c r="AF95" i="3"/>
  <c r="AB95" i="3"/>
  <c r="AD95" i="3" s="1"/>
  <c r="AE95" i="3" s="1"/>
  <c r="AA95" i="3"/>
  <c r="Y95" i="3"/>
  <c r="W95" i="3"/>
  <c r="U95" i="3"/>
  <c r="S95" i="3"/>
  <c r="Q95" i="3"/>
  <c r="O95" i="3"/>
  <c r="M95" i="3"/>
  <c r="K95" i="3"/>
  <c r="I95" i="3"/>
  <c r="G95" i="3"/>
  <c r="E95" i="3"/>
  <c r="C95" i="3"/>
  <c r="AK94" i="3"/>
  <c r="AI94" i="3"/>
  <c r="AJ94" i="3" s="1"/>
  <c r="AH94" i="3"/>
  <c r="AG94" i="3"/>
  <c r="AD94" i="3"/>
  <c r="AE94" i="3" s="1"/>
  <c r="AC94" i="3"/>
  <c r="AB94" i="3"/>
  <c r="AF94" i="3" s="1"/>
  <c r="AA94" i="3"/>
  <c r="Y94" i="3"/>
  <c r="W94" i="3"/>
  <c r="U94" i="3"/>
  <c r="S94" i="3"/>
  <c r="Q94" i="3"/>
  <c r="O94" i="3"/>
  <c r="M94" i="3"/>
  <c r="K94" i="3"/>
  <c r="I94" i="3"/>
  <c r="G94" i="3"/>
  <c r="E94" i="3"/>
  <c r="C94" i="3"/>
  <c r="AK93" i="3"/>
  <c r="AG93" i="3"/>
  <c r="AB93" i="3"/>
  <c r="AF93" i="3" s="1"/>
  <c r="AA93" i="3"/>
  <c r="Y93" i="3"/>
  <c r="W93" i="3"/>
  <c r="U93" i="3"/>
  <c r="S93" i="3"/>
  <c r="Q93" i="3"/>
  <c r="O93" i="3"/>
  <c r="M93" i="3"/>
  <c r="K93" i="3"/>
  <c r="I93" i="3"/>
  <c r="G93" i="3"/>
  <c r="E93" i="3"/>
  <c r="C93" i="3"/>
  <c r="AK92" i="3"/>
  <c r="AJ92" i="3"/>
  <c r="AI92" i="3"/>
  <c r="AH92" i="3"/>
  <c r="AG92" i="3"/>
  <c r="AD92" i="3"/>
  <c r="AE92" i="3" s="1"/>
  <c r="AC92" i="3"/>
  <c r="AB92" i="3"/>
  <c r="AF92" i="3" s="1"/>
  <c r="AA92" i="3"/>
  <c r="Y92" i="3"/>
  <c r="W92" i="3"/>
  <c r="U92" i="3"/>
  <c r="S92" i="3"/>
  <c r="Q92" i="3"/>
  <c r="O92" i="3"/>
  <c r="M92" i="3"/>
  <c r="K92" i="3"/>
  <c r="I92" i="3"/>
  <c r="G92" i="3"/>
  <c r="E92" i="3"/>
  <c r="C92" i="3"/>
  <c r="AG91" i="3"/>
  <c r="AF91" i="3"/>
  <c r="AE91" i="3"/>
  <c r="AD91" i="3"/>
  <c r="AC91" i="3"/>
  <c r="AB91" i="3"/>
  <c r="AA91" i="3"/>
  <c r="Y91" i="3"/>
  <c r="W91" i="3"/>
  <c r="U91" i="3"/>
  <c r="S91" i="3"/>
  <c r="Q91" i="3"/>
  <c r="O91" i="3"/>
  <c r="M91" i="3"/>
  <c r="K91" i="3"/>
  <c r="I91" i="3"/>
  <c r="G91" i="3"/>
  <c r="E91" i="3"/>
  <c r="C91" i="3"/>
  <c r="AK90" i="3"/>
  <c r="AI90" i="3"/>
  <c r="AJ90" i="3" s="1"/>
  <c r="AH90" i="3"/>
  <c r="AG90" i="3"/>
  <c r="AE90" i="3"/>
  <c r="AD90" i="3"/>
  <c r="AC90" i="3"/>
  <c r="AB90" i="3"/>
  <c r="AF90" i="3" s="1"/>
  <c r="AA90" i="3"/>
  <c r="Y90" i="3"/>
  <c r="W90" i="3"/>
  <c r="U90" i="3"/>
  <c r="S90" i="3"/>
  <c r="Q90" i="3"/>
  <c r="O90" i="3"/>
  <c r="M90" i="3"/>
  <c r="K90" i="3"/>
  <c r="I90" i="3"/>
  <c r="G90" i="3"/>
  <c r="E90" i="3"/>
  <c r="C90" i="3"/>
  <c r="AA85" i="3"/>
  <c r="Z85" i="3"/>
  <c r="Y85" i="3"/>
  <c r="X85" i="3"/>
  <c r="W85" i="3"/>
  <c r="V85" i="3"/>
  <c r="AB85" i="3" s="1"/>
  <c r="U85" i="3"/>
  <c r="T85" i="3"/>
  <c r="S85" i="3"/>
  <c r="R85" i="3"/>
  <c r="P85" i="3"/>
  <c r="Q85" i="3" s="1"/>
  <c r="O85" i="3"/>
  <c r="N85" i="3"/>
  <c r="L85" i="3"/>
  <c r="M85" i="3" s="1"/>
  <c r="J85" i="3"/>
  <c r="AG85" i="3" s="1"/>
  <c r="I85" i="3"/>
  <c r="H85" i="3"/>
  <c r="F85" i="3"/>
  <c r="G85" i="3" s="1"/>
  <c r="D85" i="3"/>
  <c r="E85" i="3" s="1"/>
  <c r="B85" i="3"/>
  <c r="C85" i="3" s="1"/>
  <c r="Z84" i="3"/>
  <c r="AA84" i="3" s="1"/>
  <c r="Y84" i="3"/>
  <c r="X84" i="3"/>
  <c r="V84" i="3"/>
  <c r="W84" i="3" s="1"/>
  <c r="T84" i="3"/>
  <c r="U84" i="3" s="1"/>
  <c r="R84" i="3"/>
  <c r="S84" i="3" s="1"/>
  <c r="P84" i="3"/>
  <c r="Q84" i="3" s="1"/>
  <c r="O84" i="3"/>
  <c r="N84" i="3"/>
  <c r="L84" i="3"/>
  <c r="M84" i="3" s="1"/>
  <c r="J84" i="3"/>
  <c r="AG84" i="3" s="1"/>
  <c r="AH84" i="3" s="1"/>
  <c r="H84" i="3"/>
  <c r="I84" i="3" s="1"/>
  <c r="F84" i="3"/>
  <c r="G84" i="3" s="1"/>
  <c r="D84" i="3"/>
  <c r="E84" i="3" s="1"/>
  <c r="B84" i="3"/>
  <c r="C84" i="3" s="1"/>
  <c r="AI83" i="3"/>
  <c r="AJ83" i="3" s="1"/>
  <c r="AG83" i="3"/>
  <c r="AH83" i="3" s="1"/>
  <c r="AC83" i="3"/>
  <c r="AB83" i="3"/>
  <c r="AF83" i="3" s="1"/>
  <c r="AA83" i="3"/>
  <c r="Y83" i="3"/>
  <c r="W83" i="3"/>
  <c r="U83" i="3"/>
  <c r="S83" i="3"/>
  <c r="Q83" i="3"/>
  <c r="O83" i="3"/>
  <c r="M83" i="3"/>
  <c r="K83" i="3"/>
  <c r="I83" i="3"/>
  <c r="G83" i="3"/>
  <c r="E83" i="3"/>
  <c r="C83" i="3"/>
  <c r="AG82" i="3"/>
  <c r="AK82" i="3" s="1"/>
  <c r="AD82" i="3"/>
  <c r="AE82" i="3" s="1"/>
  <c r="AC82" i="3"/>
  <c r="AB82" i="3"/>
  <c r="AF82" i="3" s="1"/>
  <c r="AA82" i="3"/>
  <c r="Y82" i="3"/>
  <c r="W82" i="3"/>
  <c r="U82" i="3"/>
  <c r="S82" i="3"/>
  <c r="Q82" i="3"/>
  <c r="O82" i="3"/>
  <c r="M82" i="3"/>
  <c r="K82" i="3"/>
  <c r="I82" i="3"/>
  <c r="G82" i="3"/>
  <c r="E82" i="3"/>
  <c r="C82" i="3"/>
  <c r="AA81" i="3"/>
  <c r="Z81" i="3"/>
  <c r="Y81" i="3"/>
  <c r="X81" i="3"/>
  <c r="V81" i="3"/>
  <c r="W81" i="3" s="1"/>
  <c r="T81" i="3"/>
  <c r="U81" i="3" s="1"/>
  <c r="R81" i="3"/>
  <c r="S81" i="3" s="1"/>
  <c r="P81" i="3"/>
  <c r="Q81" i="3" s="1"/>
  <c r="O81" i="3"/>
  <c r="N81" i="3"/>
  <c r="L81" i="3"/>
  <c r="M81" i="3" s="1"/>
  <c r="J81" i="3"/>
  <c r="I81" i="3"/>
  <c r="H81" i="3"/>
  <c r="F81" i="3"/>
  <c r="G81" i="3" s="1"/>
  <c r="E81" i="3"/>
  <c r="D81" i="3"/>
  <c r="C81" i="3"/>
  <c r="B81" i="3"/>
  <c r="AK80" i="3"/>
  <c r="AI80" i="3"/>
  <c r="AJ80" i="3" s="1"/>
  <c r="AH80" i="3"/>
  <c r="AG80" i="3"/>
  <c r="AF80" i="3"/>
  <c r="AD80" i="3"/>
  <c r="AE80" i="3" s="1"/>
  <c r="AB80" i="3"/>
  <c r="AC80" i="3" s="1"/>
  <c r="AA80" i="3"/>
  <c r="Y80" i="3"/>
  <c r="W80" i="3"/>
  <c r="U80" i="3"/>
  <c r="S80" i="3"/>
  <c r="Q80" i="3"/>
  <c r="O80" i="3"/>
  <c r="M80" i="3"/>
  <c r="K80" i="3"/>
  <c r="I80" i="3"/>
  <c r="G80" i="3"/>
  <c r="E80" i="3"/>
  <c r="C80" i="3"/>
  <c r="AG79" i="3"/>
  <c r="AF79" i="3"/>
  <c r="AE79" i="3"/>
  <c r="AD79" i="3"/>
  <c r="AC79" i="3"/>
  <c r="AB79" i="3"/>
  <c r="AA79" i="3"/>
  <c r="Y79" i="3"/>
  <c r="W79" i="3"/>
  <c r="U79" i="3"/>
  <c r="S79" i="3"/>
  <c r="Q79" i="3"/>
  <c r="O79" i="3"/>
  <c r="M79" i="3"/>
  <c r="K79" i="3"/>
  <c r="I79" i="3"/>
  <c r="G79" i="3"/>
  <c r="E79" i="3"/>
  <c r="C79" i="3"/>
  <c r="AK78" i="3"/>
  <c r="AI78" i="3"/>
  <c r="AJ78" i="3" s="1"/>
  <c r="AG78" i="3"/>
  <c r="AH78" i="3" s="1"/>
  <c r="AF78" i="3"/>
  <c r="AE78" i="3"/>
  <c r="AD78" i="3"/>
  <c r="AB78" i="3"/>
  <c r="AC78" i="3" s="1"/>
  <c r="AA78" i="3"/>
  <c r="Y78" i="3"/>
  <c r="W78" i="3"/>
  <c r="U78" i="3"/>
  <c r="S78" i="3"/>
  <c r="Q78" i="3"/>
  <c r="O78" i="3"/>
  <c r="M78" i="3"/>
  <c r="K78" i="3"/>
  <c r="I78" i="3"/>
  <c r="G78" i="3"/>
  <c r="E78" i="3"/>
  <c r="C78" i="3"/>
  <c r="AH77" i="3"/>
  <c r="AG77" i="3"/>
  <c r="AK77" i="3" s="1"/>
  <c r="AC77" i="3"/>
  <c r="AB77" i="3"/>
  <c r="AF77" i="3" s="1"/>
  <c r="AA77" i="3"/>
  <c r="Y77" i="3"/>
  <c r="W77" i="3"/>
  <c r="U77" i="3"/>
  <c r="S77" i="3"/>
  <c r="Q77" i="3"/>
  <c r="O77" i="3"/>
  <c r="M77" i="3"/>
  <c r="K77" i="3"/>
  <c r="I77" i="3"/>
  <c r="G77" i="3"/>
  <c r="E77" i="3"/>
  <c r="C77" i="3"/>
  <c r="AK76" i="3"/>
  <c r="AJ76" i="3"/>
  <c r="AI76" i="3"/>
  <c r="AH76" i="3"/>
  <c r="AG76" i="3"/>
  <c r="AF76" i="3"/>
  <c r="AB76" i="3"/>
  <c r="AC76" i="3" s="1"/>
  <c r="AA76" i="3"/>
  <c r="Y76" i="3"/>
  <c r="W76" i="3"/>
  <c r="U76" i="3"/>
  <c r="S76" i="3"/>
  <c r="Q76" i="3"/>
  <c r="O76" i="3"/>
  <c r="M76" i="3"/>
  <c r="K76" i="3"/>
  <c r="I76" i="3"/>
  <c r="G76" i="3"/>
  <c r="E76" i="3"/>
  <c r="C76" i="3"/>
  <c r="AI75" i="3"/>
  <c r="AJ75" i="3" s="1"/>
  <c r="AH75" i="3"/>
  <c r="AG75" i="3"/>
  <c r="AK75" i="3" s="1"/>
  <c r="AB75" i="3"/>
  <c r="AA75" i="3"/>
  <c r="Y75" i="3"/>
  <c r="W75" i="3"/>
  <c r="U75" i="3"/>
  <c r="S75" i="3"/>
  <c r="Q75" i="3"/>
  <c r="O75" i="3"/>
  <c r="M75" i="3"/>
  <c r="K75" i="3"/>
  <c r="I75" i="3"/>
  <c r="G75" i="3"/>
  <c r="E75" i="3"/>
  <c r="C75" i="3"/>
  <c r="AI74" i="3"/>
  <c r="AJ74" i="3" s="1"/>
  <c r="AH74" i="3"/>
  <c r="AG74" i="3"/>
  <c r="AK74" i="3" s="1"/>
  <c r="AF74" i="3"/>
  <c r="AD74" i="3"/>
  <c r="AE74" i="3" s="1"/>
  <c r="AB74" i="3"/>
  <c r="AC74" i="3" s="1"/>
  <c r="AA74" i="3"/>
  <c r="Y74" i="3"/>
  <c r="W74" i="3"/>
  <c r="U74" i="3"/>
  <c r="S74" i="3"/>
  <c r="Q74" i="3"/>
  <c r="O74" i="3"/>
  <c r="M74" i="3"/>
  <c r="K74" i="3"/>
  <c r="I74" i="3"/>
  <c r="G74" i="3"/>
  <c r="E74" i="3"/>
  <c r="C74" i="3"/>
  <c r="AG72" i="3"/>
  <c r="AK72" i="3" s="1"/>
  <c r="AB72" i="3"/>
  <c r="AF72" i="3" s="1"/>
  <c r="AA72" i="3"/>
  <c r="Y72" i="3"/>
  <c r="W72" i="3"/>
  <c r="U72" i="3"/>
  <c r="S72" i="3"/>
  <c r="Q72" i="3"/>
  <c r="O72" i="3"/>
  <c r="M72" i="3"/>
  <c r="K72" i="3"/>
  <c r="I72" i="3"/>
  <c r="G72" i="3"/>
  <c r="E72" i="3"/>
  <c r="C72" i="3"/>
  <c r="AG71" i="3"/>
  <c r="AF71" i="3"/>
  <c r="AD71" i="3"/>
  <c r="AE71" i="3" s="1"/>
  <c r="AB71" i="3"/>
  <c r="AC71" i="3" s="1"/>
  <c r="AA71" i="3"/>
  <c r="Y71" i="3"/>
  <c r="W71" i="3"/>
  <c r="U71" i="3"/>
  <c r="S71" i="3"/>
  <c r="Q71" i="3"/>
  <c r="O71" i="3"/>
  <c r="M71" i="3"/>
  <c r="K71" i="3"/>
  <c r="I71" i="3"/>
  <c r="G71" i="3"/>
  <c r="E71" i="3"/>
  <c r="C71" i="3"/>
  <c r="Z70" i="3"/>
  <c r="AA70" i="3" s="1"/>
  <c r="X70" i="3"/>
  <c r="V70" i="3"/>
  <c r="W70" i="3" s="1"/>
  <c r="T70" i="3"/>
  <c r="U70" i="3" s="1"/>
  <c r="S70" i="3"/>
  <c r="R70" i="3"/>
  <c r="Q70" i="3"/>
  <c r="P70" i="3"/>
  <c r="N70" i="3"/>
  <c r="O70" i="3" s="1"/>
  <c r="M70" i="3"/>
  <c r="L70" i="3"/>
  <c r="K70" i="3"/>
  <c r="J70" i="3"/>
  <c r="I70" i="3"/>
  <c r="H70" i="3"/>
  <c r="G70" i="3"/>
  <c r="F70" i="3"/>
  <c r="E70" i="3"/>
  <c r="D70" i="3"/>
  <c r="C70" i="3"/>
  <c r="B70" i="3"/>
  <c r="AK69" i="3"/>
  <c r="AI69" i="3"/>
  <c r="AJ69" i="3" s="1"/>
  <c r="AH69" i="3"/>
  <c r="AG69" i="3"/>
  <c r="AB69" i="3"/>
  <c r="AA69" i="3"/>
  <c r="Y69" i="3"/>
  <c r="W69" i="3"/>
  <c r="U69" i="3"/>
  <c r="S69" i="3"/>
  <c r="Q69" i="3"/>
  <c r="O69" i="3"/>
  <c r="M69" i="3"/>
  <c r="K69" i="3"/>
  <c r="I69" i="3"/>
  <c r="G69" i="3"/>
  <c r="E69" i="3"/>
  <c r="C69" i="3"/>
  <c r="AJ68" i="3"/>
  <c r="AI68" i="3"/>
  <c r="AH68" i="3"/>
  <c r="AG68" i="3"/>
  <c r="AK68" i="3" s="1"/>
  <c r="AF68" i="3"/>
  <c r="AD68" i="3"/>
  <c r="AE68" i="3" s="1"/>
  <c r="AC68" i="3"/>
  <c r="AB68" i="3"/>
  <c r="AA68" i="3"/>
  <c r="Y68" i="3"/>
  <c r="W68" i="3"/>
  <c r="U68" i="3"/>
  <c r="S68" i="3"/>
  <c r="Q68" i="3"/>
  <c r="O68" i="3"/>
  <c r="M68" i="3"/>
  <c r="K68" i="3"/>
  <c r="I68" i="3"/>
  <c r="G68" i="3"/>
  <c r="E68" i="3"/>
  <c r="C68" i="3"/>
  <c r="AK67" i="3"/>
  <c r="AI67" i="3"/>
  <c r="AJ67" i="3" s="1"/>
  <c r="AH67" i="3"/>
  <c r="AG67" i="3"/>
  <c r="AB67" i="3"/>
  <c r="AA67" i="3"/>
  <c r="Y67" i="3"/>
  <c r="W67" i="3"/>
  <c r="U67" i="3"/>
  <c r="S67" i="3"/>
  <c r="Q67" i="3"/>
  <c r="O67" i="3"/>
  <c r="M67" i="3"/>
  <c r="K67" i="3"/>
  <c r="I67" i="3"/>
  <c r="G67" i="3"/>
  <c r="E67" i="3"/>
  <c r="C67" i="3"/>
  <c r="AI66" i="3"/>
  <c r="AJ66" i="3" s="1"/>
  <c r="AH66" i="3"/>
  <c r="AG66" i="3"/>
  <c r="AK66" i="3" s="1"/>
  <c r="AF66" i="3"/>
  <c r="AD66" i="3"/>
  <c r="AE66" i="3" s="1"/>
  <c r="AC66" i="3"/>
  <c r="AB66" i="3"/>
  <c r="AA66" i="3"/>
  <c r="Y66" i="3"/>
  <c r="W66" i="3"/>
  <c r="U66" i="3"/>
  <c r="S66" i="3"/>
  <c r="Q66" i="3"/>
  <c r="O66" i="3"/>
  <c r="M66" i="3"/>
  <c r="K66" i="3"/>
  <c r="I66" i="3"/>
  <c r="G66" i="3"/>
  <c r="E66" i="3"/>
  <c r="C66" i="3"/>
  <c r="AK65" i="3"/>
  <c r="AI65" i="3"/>
  <c r="AJ65" i="3" s="1"/>
  <c r="AH65" i="3"/>
  <c r="AG65" i="3"/>
  <c r="AB65" i="3"/>
  <c r="AA65" i="3"/>
  <c r="Y65" i="3"/>
  <c r="W65" i="3"/>
  <c r="U65" i="3"/>
  <c r="S65" i="3"/>
  <c r="Q65" i="3"/>
  <c r="O65" i="3"/>
  <c r="M65" i="3"/>
  <c r="K65" i="3"/>
  <c r="I65" i="3"/>
  <c r="G65" i="3"/>
  <c r="E65" i="3"/>
  <c r="C65" i="3"/>
  <c r="AI63" i="3"/>
  <c r="AJ63" i="3" s="1"/>
  <c r="AH63" i="3"/>
  <c r="AG63" i="3"/>
  <c r="AK63" i="3" s="1"/>
  <c r="AF63" i="3"/>
  <c r="AD63" i="3"/>
  <c r="AE63" i="3" s="1"/>
  <c r="AC63" i="3"/>
  <c r="AB63" i="3"/>
  <c r="AA63" i="3"/>
  <c r="Y63" i="3"/>
  <c r="W63" i="3"/>
  <c r="U63" i="3"/>
  <c r="S63" i="3"/>
  <c r="Q63" i="3"/>
  <c r="O63" i="3"/>
  <c r="M63" i="3"/>
  <c r="K63" i="3"/>
  <c r="I63" i="3"/>
  <c r="G63" i="3"/>
  <c r="E63" i="3"/>
  <c r="C63" i="3"/>
  <c r="AG57" i="3"/>
  <c r="AF57" i="3"/>
  <c r="AE57" i="3"/>
  <c r="AC57" i="3"/>
  <c r="AA57" i="3"/>
  <c r="Z57" i="3"/>
  <c r="X57" i="3"/>
  <c r="Y57" i="3" s="1"/>
  <c r="W57" i="3"/>
  <c r="V57" i="3"/>
  <c r="T57" i="3"/>
  <c r="U57" i="3" s="1"/>
  <c r="S57" i="3"/>
  <c r="R57" i="3"/>
  <c r="AB57" i="3" s="1"/>
  <c r="AD57" i="3" s="1"/>
  <c r="P57" i="3"/>
  <c r="Q57" i="3" s="1"/>
  <c r="O57" i="3"/>
  <c r="N57" i="3"/>
  <c r="M57" i="3"/>
  <c r="L57" i="3"/>
  <c r="K57" i="3"/>
  <c r="J57" i="3"/>
  <c r="H57" i="3"/>
  <c r="I57" i="3" s="1"/>
  <c r="G57" i="3"/>
  <c r="F57" i="3"/>
  <c r="D57" i="3"/>
  <c r="E57" i="3" s="1"/>
  <c r="C57" i="3"/>
  <c r="B57" i="3"/>
  <c r="Z56" i="3"/>
  <c r="AA56" i="3" s="1"/>
  <c r="X56" i="3"/>
  <c r="V56" i="3"/>
  <c r="W56" i="3" s="1"/>
  <c r="T56" i="3"/>
  <c r="U56" i="3" s="1"/>
  <c r="R56" i="3"/>
  <c r="P56" i="3"/>
  <c r="Q56" i="3" s="1"/>
  <c r="O56" i="3"/>
  <c r="N56" i="3"/>
  <c r="M56" i="3"/>
  <c r="L56" i="3"/>
  <c r="J56" i="3"/>
  <c r="AG56" i="3" s="1"/>
  <c r="H56" i="3"/>
  <c r="I56" i="3" s="1"/>
  <c r="F56" i="3"/>
  <c r="G56" i="3" s="1"/>
  <c r="D56" i="3"/>
  <c r="E56" i="3" s="1"/>
  <c r="B56" i="3"/>
  <c r="C56" i="3" s="1"/>
  <c r="AK55" i="3"/>
  <c r="AJ55" i="3"/>
  <c r="AI55" i="3"/>
  <c r="AH55" i="3"/>
  <c r="AG55" i="3"/>
  <c r="AC55" i="3"/>
  <c r="AB55" i="3"/>
  <c r="AF55" i="3" s="1"/>
  <c r="AA55" i="3"/>
  <c r="Y55" i="3"/>
  <c r="W55" i="3"/>
  <c r="U55" i="3"/>
  <c r="S55" i="3"/>
  <c r="Q55" i="3"/>
  <c r="O55" i="3"/>
  <c r="M55" i="3"/>
  <c r="K55" i="3"/>
  <c r="I55" i="3"/>
  <c r="G55" i="3"/>
  <c r="E55" i="3"/>
  <c r="C55" i="3"/>
  <c r="AG54" i="3"/>
  <c r="AF54" i="3"/>
  <c r="AE54" i="3"/>
  <c r="AC54" i="3"/>
  <c r="AB54" i="3"/>
  <c r="AD54" i="3" s="1"/>
  <c r="AA54" i="3"/>
  <c r="Y54" i="3"/>
  <c r="W54" i="3"/>
  <c r="U54" i="3"/>
  <c r="S54" i="3"/>
  <c r="Q54" i="3"/>
  <c r="O54" i="3"/>
  <c r="M54" i="3"/>
  <c r="K54" i="3"/>
  <c r="I54" i="3"/>
  <c r="G54" i="3"/>
  <c r="E54" i="3"/>
  <c r="C54" i="3"/>
  <c r="AK53" i="3"/>
  <c r="AJ53" i="3"/>
  <c r="AI53" i="3"/>
  <c r="AH53" i="3"/>
  <c r="AG53" i="3"/>
  <c r="AC53" i="3"/>
  <c r="AB53" i="3"/>
  <c r="AF53" i="3" s="1"/>
  <c r="AA53" i="3"/>
  <c r="Y53" i="3"/>
  <c r="W53" i="3"/>
  <c r="U53" i="3"/>
  <c r="S53" i="3"/>
  <c r="Q53" i="3"/>
  <c r="O53" i="3"/>
  <c r="M53" i="3"/>
  <c r="K53" i="3"/>
  <c r="I53" i="3"/>
  <c r="G53" i="3"/>
  <c r="E53" i="3"/>
  <c r="C53" i="3"/>
  <c r="Z52" i="3"/>
  <c r="AA52" i="3" s="1"/>
  <c r="Y52" i="3"/>
  <c r="X52" i="3"/>
  <c r="V52" i="3"/>
  <c r="W52" i="3" s="1"/>
  <c r="U52" i="3"/>
  <c r="T52" i="3"/>
  <c r="S52" i="3"/>
  <c r="R52" i="3"/>
  <c r="AB52" i="3" s="1"/>
  <c r="Q52" i="3"/>
  <c r="P52" i="3"/>
  <c r="O52" i="3"/>
  <c r="N52" i="3"/>
  <c r="M52" i="3"/>
  <c r="L52" i="3"/>
  <c r="J52" i="3"/>
  <c r="K52" i="3" s="1"/>
  <c r="I52" i="3"/>
  <c r="H52" i="3"/>
  <c r="F52" i="3"/>
  <c r="G52" i="3" s="1"/>
  <c r="E52" i="3"/>
  <c r="D52" i="3"/>
  <c r="B52" i="3"/>
  <c r="C52" i="3" s="1"/>
  <c r="AK51" i="3"/>
  <c r="AH51" i="3"/>
  <c r="AG51" i="3"/>
  <c r="AI51" i="3" s="1"/>
  <c r="AJ51" i="3" s="1"/>
  <c r="AB51" i="3"/>
  <c r="AF51" i="3" s="1"/>
  <c r="AA51" i="3"/>
  <c r="Y51" i="3"/>
  <c r="W51" i="3"/>
  <c r="U51" i="3"/>
  <c r="S51" i="3"/>
  <c r="Q51" i="3"/>
  <c r="O51" i="3"/>
  <c r="M51" i="3"/>
  <c r="K51" i="3"/>
  <c r="I51" i="3"/>
  <c r="G51" i="3"/>
  <c r="E51" i="3"/>
  <c r="C51" i="3"/>
  <c r="AH50" i="3"/>
  <c r="AG50" i="3"/>
  <c r="AK50" i="3" s="1"/>
  <c r="AB50" i="3"/>
  <c r="AC50" i="3" s="1"/>
  <c r="AA50" i="3"/>
  <c r="Y50" i="3"/>
  <c r="W50" i="3"/>
  <c r="U50" i="3"/>
  <c r="S50" i="3"/>
  <c r="Q50" i="3"/>
  <c r="O50" i="3"/>
  <c r="M50" i="3"/>
  <c r="K50" i="3"/>
  <c r="I50" i="3"/>
  <c r="G50" i="3"/>
  <c r="E50" i="3"/>
  <c r="C50" i="3"/>
  <c r="AK49" i="3"/>
  <c r="AJ49" i="3"/>
  <c r="AH49" i="3"/>
  <c r="AG49" i="3"/>
  <c r="AI49" i="3" s="1"/>
  <c r="AB49" i="3"/>
  <c r="AF49" i="3" s="1"/>
  <c r="AA49" i="3"/>
  <c r="Y49" i="3"/>
  <c r="W49" i="3"/>
  <c r="U49" i="3"/>
  <c r="S49" i="3"/>
  <c r="Q49" i="3"/>
  <c r="O49" i="3"/>
  <c r="M49" i="3"/>
  <c r="K49" i="3"/>
  <c r="I49" i="3"/>
  <c r="G49" i="3"/>
  <c r="E49" i="3"/>
  <c r="C49" i="3"/>
  <c r="AH48" i="3"/>
  <c r="AG48" i="3"/>
  <c r="AK48" i="3" s="1"/>
  <c r="AF48" i="3"/>
  <c r="AD48" i="3"/>
  <c r="AE48" i="3" s="1"/>
  <c r="AB48" i="3"/>
  <c r="AC48" i="3" s="1"/>
  <c r="AA48" i="3"/>
  <c r="Y48" i="3"/>
  <c r="W48" i="3"/>
  <c r="U48" i="3"/>
  <c r="S48" i="3"/>
  <c r="Q48" i="3"/>
  <c r="O48" i="3"/>
  <c r="M48" i="3"/>
  <c r="K48" i="3"/>
  <c r="I48" i="3"/>
  <c r="G48" i="3"/>
  <c r="E48" i="3"/>
  <c r="C48" i="3"/>
  <c r="AK47" i="3"/>
  <c r="AH47" i="3"/>
  <c r="AG47" i="3"/>
  <c r="AI47" i="3" s="1"/>
  <c r="AJ47" i="3" s="1"/>
  <c r="AB47" i="3"/>
  <c r="AF47" i="3" s="1"/>
  <c r="AA47" i="3"/>
  <c r="Y47" i="3"/>
  <c r="W47" i="3"/>
  <c r="U47" i="3"/>
  <c r="S47" i="3"/>
  <c r="Q47" i="3"/>
  <c r="O47" i="3"/>
  <c r="M47" i="3"/>
  <c r="K47" i="3"/>
  <c r="I47" i="3"/>
  <c r="G47" i="3"/>
  <c r="E47" i="3"/>
  <c r="C47" i="3"/>
  <c r="AH46" i="3"/>
  <c r="AG46" i="3"/>
  <c r="AK46" i="3" s="1"/>
  <c r="AB46" i="3"/>
  <c r="AA46" i="3"/>
  <c r="Y46" i="3"/>
  <c r="W46" i="3"/>
  <c r="U46" i="3"/>
  <c r="S46" i="3"/>
  <c r="Q46" i="3"/>
  <c r="O46" i="3"/>
  <c r="M46" i="3"/>
  <c r="K46" i="3"/>
  <c r="I46" i="3"/>
  <c r="G46" i="3"/>
  <c r="E46" i="3"/>
  <c r="C46" i="3"/>
  <c r="Z44" i="3"/>
  <c r="AA44" i="3" s="1"/>
  <c r="X44" i="3"/>
  <c r="V44" i="3"/>
  <c r="W44" i="3" s="1"/>
  <c r="T44" i="3"/>
  <c r="U44" i="3" s="1"/>
  <c r="R44" i="3"/>
  <c r="Q44" i="3"/>
  <c r="P44" i="3"/>
  <c r="O44" i="3"/>
  <c r="N44" i="3"/>
  <c r="L44" i="3"/>
  <c r="M44" i="3" s="1"/>
  <c r="J44" i="3"/>
  <c r="AG44" i="3" s="1"/>
  <c r="AH44" i="3" s="1"/>
  <c r="H44" i="3"/>
  <c r="I44" i="3" s="1"/>
  <c r="G44" i="3"/>
  <c r="F44" i="3"/>
  <c r="D44" i="3"/>
  <c r="E44" i="3" s="1"/>
  <c r="B44" i="3"/>
  <c r="C44" i="3" s="1"/>
  <c r="AG43" i="3"/>
  <c r="AK43" i="3" s="1"/>
  <c r="AB43" i="3"/>
  <c r="AA43" i="3"/>
  <c r="Y43" i="3"/>
  <c r="W43" i="3"/>
  <c r="U43" i="3"/>
  <c r="S43" i="3"/>
  <c r="Q43" i="3"/>
  <c r="O43" i="3"/>
  <c r="M43" i="3"/>
  <c r="K43" i="3"/>
  <c r="I43" i="3"/>
  <c r="G43" i="3"/>
  <c r="E43" i="3"/>
  <c r="C43" i="3"/>
  <c r="AK42" i="3"/>
  <c r="AI42" i="3"/>
  <c r="AJ42" i="3" s="1"/>
  <c r="AG42" i="3"/>
  <c r="AH42" i="3" s="1"/>
  <c r="AB42" i="3"/>
  <c r="AF42" i="3" s="1"/>
  <c r="AA42" i="3"/>
  <c r="Y42" i="3"/>
  <c r="W42" i="3"/>
  <c r="U42" i="3"/>
  <c r="S42" i="3"/>
  <c r="Q42" i="3"/>
  <c r="O42" i="3"/>
  <c r="M42" i="3"/>
  <c r="K42" i="3"/>
  <c r="I42" i="3"/>
  <c r="G42" i="3"/>
  <c r="E42" i="3"/>
  <c r="C42" i="3"/>
  <c r="AG41" i="3"/>
  <c r="AK41" i="3" s="1"/>
  <c r="AC41" i="3"/>
  <c r="AB41" i="3"/>
  <c r="AA41" i="3"/>
  <c r="Y41" i="3"/>
  <c r="W41" i="3"/>
  <c r="U41" i="3"/>
  <c r="S41" i="3"/>
  <c r="Q41" i="3"/>
  <c r="O41" i="3"/>
  <c r="M41" i="3"/>
  <c r="K41" i="3"/>
  <c r="I41" i="3"/>
  <c r="G41" i="3"/>
  <c r="E41" i="3"/>
  <c r="C41" i="3"/>
  <c r="AG40" i="3"/>
  <c r="AH40" i="3" s="1"/>
  <c r="AB40" i="3"/>
  <c r="AF40" i="3" s="1"/>
  <c r="AA40" i="3"/>
  <c r="Y40" i="3"/>
  <c r="W40" i="3"/>
  <c r="U40" i="3"/>
  <c r="S40" i="3"/>
  <c r="Q40" i="3"/>
  <c r="O40" i="3"/>
  <c r="M40" i="3"/>
  <c r="K40" i="3"/>
  <c r="I40" i="3"/>
  <c r="G40" i="3"/>
  <c r="E40" i="3"/>
  <c r="C40" i="3"/>
  <c r="AG39" i="3"/>
  <c r="AK39" i="3" s="1"/>
  <c r="AB39" i="3"/>
  <c r="AA39" i="3"/>
  <c r="Y39" i="3"/>
  <c r="W39" i="3"/>
  <c r="U39" i="3"/>
  <c r="S39" i="3"/>
  <c r="Q39" i="3"/>
  <c r="O39" i="3"/>
  <c r="M39" i="3"/>
  <c r="K39" i="3"/>
  <c r="I39" i="3"/>
  <c r="G39" i="3"/>
  <c r="E39" i="3"/>
  <c r="C39" i="3"/>
  <c r="AI37" i="3"/>
  <c r="AJ37" i="3" s="1"/>
  <c r="AG37" i="3"/>
  <c r="AH37" i="3" s="1"/>
  <c r="AB37" i="3"/>
  <c r="AF37" i="3" s="1"/>
  <c r="AA37" i="3"/>
  <c r="Y37" i="3"/>
  <c r="W37" i="3"/>
  <c r="U37" i="3"/>
  <c r="S37" i="3"/>
  <c r="Q37" i="3"/>
  <c r="O37" i="3"/>
  <c r="M37" i="3"/>
  <c r="K37" i="3"/>
  <c r="I37" i="3"/>
  <c r="G37" i="3"/>
  <c r="E37" i="3"/>
  <c r="C37" i="3"/>
  <c r="AB35" i="3"/>
  <c r="AA35" i="3"/>
  <c r="Z35" i="3"/>
  <c r="Y35" i="3"/>
  <c r="X35" i="3"/>
  <c r="W35" i="3"/>
  <c r="V35" i="3"/>
  <c r="T35" i="3"/>
  <c r="U35" i="3" s="1"/>
  <c r="S35" i="3"/>
  <c r="R35" i="3"/>
  <c r="Q35" i="3"/>
  <c r="P35" i="3"/>
  <c r="O35" i="3"/>
  <c r="N35" i="3"/>
  <c r="L35" i="3"/>
  <c r="M35" i="3" s="1"/>
  <c r="K35" i="3"/>
  <c r="J35" i="3"/>
  <c r="AG35" i="3" s="1"/>
  <c r="I35" i="3"/>
  <c r="H35" i="3"/>
  <c r="G35" i="3"/>
  <c r="F35" i="3"/>
  <c r="D35" i="3"/>
  <c r="E35" i="3" s="1"/>
  <c r="C35" i="3"/>
  <c r="B35" i="3"/>
  <c r="AD34" i="3"/>
  <c r="AE34" i="3" s="1"/>
  <c r="AB34" i="3"/>
  <c r="AC34" i="3" s="1"/>
  <c r="AA34" i="3"/>
  <c r="Z34" i="3"/>
  <c r="Y34" i="3"/>
  <c r="X34" i="3"/>
  <c r="V34" i="3"/>
  <c r="W34" i="3" s="1"/>
  <c r="T34" i="3"/>
  <c r="U34" i="3" s="1"/>
  <c r="R34" i="3"/>
  <c r="S34" i="3" s="1"/>
  <c r="P34" i="3"/>
  <c r="Q34" i="3" s="1"/>
  <c r="N34" i="3"/>
  <c r="O34" i="3" s="1"/>
  <c r="L34" i="3"/>
  <c r="M34" i="3" s="1"/>
  <c r="K34" i="3"/>
  <c r="J34" i="3"/>
  <c r="I34" i="3"/>
  <c r="H34" i="3"/>
  <c r="F34" i="3"/>
  <c r="G34" i="3" s="1"/>
  <c r="D34" i="3"/>
  <c r="E34" i="3" s="1"/>
  <c r="B34" i="3"/>
  <c r="C34" i="3" s="1"/>
  <c r="AI33" i="3"/>
  <c r="AJ33" i="3" s="1"/>
  <c r="AG33" i="3"/>
  <c r="AH33" i="3" s="1"/>
  <c r="AF33" i="3"/>
  <c r="AD33" i="3"/>
  <c r="AE33" i="3" s="1"/>
  <c r="AC33" i="3"/>
  <c r="AB33" i="3"/>
  <c r="AA33" i="3"/>
  <c r="Y33" i="3"/>
  <c r="W33" i="3"/>
  <c r="U33" i="3"/>
  <c r="S33" i="3"/>
  <c r="Q33" i="3"/>
  <c r="O33" i="3"/>
  <c r="M33" i="3"/>
  <c r="K33" i="3"/>
  <c r="I33" i="3"/>
  <c r="G33" i="3"/>
  <c r="E33" i="3"/>
  <c r="C33" i="3"/>
  <c r="AG32" i="3"/>
  <c r="AE32" i="3"/>
  <c r="AD32" i="3"/>
  <c r="AC32" i="3"/>
  <c r="AB32" i="3"/>
  <c r="AF32" i="3" s="1"/>
  <c r="AA32" i="3"/>
  <c r="Y32" i="3"/>
  <c r="W32" i="3"/>
  <c r="U32" i="3"/>
  <c r="S32" i="3"/>
  <c r="Q32" i="3"/>
  <c r="O32" i="3"/>
  <c r="M32" i="3"/>
  <c r="K32" i="3"/>
  <c r="I32" i="3"/>
  <c r="G32" i="3"/>
  <c r="E32" i="3"/>
  <c r="C32" i="3"/>
  <c r="AK31" i="3"/>
  <c r="AG31" i="3"/>
  <c r="AH31" i="3" s="1"/>
  <c r="AF31" i="3"/>
  <c r="AD31" i="3"/>
  <c r="AE31" i="3" s="1"/>
  <c r="AC31" i="3"/>
  <c r="AB31" i="3"/>
  <c r="AA31" i="3"/>
  <c r="Y31" i="3"/>
  <c r="W31" i="3"/>
  <c r="U31" i="3"/>
  <c r="S31" i="3"/>
  <c r="Q31" i="3"/>
  <c r="O31" i="3"/>
  <c r="M31" i="3"/>
  <c r="K31" i="3"/>
  <c r="I31" i="3"/>
  <c r="G31" i="3"/>
  <c r="E31" i="3"/>
  <c r="C31" i="3"/>
  <c r="AG30" i="3"/>
  <c r="AD30" i="3"/>
  <c r="AE30" i="3" s="1"/>
  <c r="AB30" i="3"/>
  <c r="AF30" i="3" s="1"/>
  <c r="AA30" i="3"/>
  <c r="Y30" i="3"/>
  <c r="W30" i="3"/>
  <c r="U30" i="3"/>
  <c r="S30" i="3"/>
  <c r="Q30" i="3"/>
  <c r="O30" i="3"/>
  <c r="M30" i="3"/>
  <c r="K30" i="3"/>
  <c r="I30" i="3"/>
  <c r="G30" i="3"/>
  <c r="E30" i="3"/>
  <c r="C30" i="3"/>
  <c r="AG29" i="3"/>
  <c r="AH29" i="3" s="1"/>
  <c r="AF29" i="3"/>
  <c r="AD29" i="3"/>
  <c r="AE29" i="3" s="1"/>
  <c r="AC29" i="3"/>
  <c r="AB29" i="3"/>
  <c r="AA29" i="3"/>
  <c r="Y29" i="3"/>
  <c r="W29" i="3"/>
  <c r="U29" i="3"/>
  <c r="S29" i="3"/>
  <c r="Q29" i="3"/>
  <c r="O29" i="3"/>
  <c r="M29" i="3"/>
  <c r="K29" i="3"/>
  <c r="I29" i="3"/>
  <c r="G29" i="3"/>
  <c r="E29" i="3"/>
  <c r="C29" i="3"/>
  <c r="AA27" i="3"/>
  <c r="Z27" i="3"/>
  <c r="Y27" i="3"/>
  <c r="X27" i="3"/>
  <c r="V27" i="3"/>
  <c r="U27" i="3"/>
  <c r="T27" i="3"/>
  <c r="S27" i="3"/>
  <c r="R27" i="3"/>
  <c r="Q27" i="3"/>
  <c r="P27" i="3"/>
  <c r="O27" i="3"/>
  <c r="N27" i="3"/>
  <c r="M27" i="3"/>
  <c r="L27" i="3"/>
  <c r="K27" i="3"/>
  <c r="J27" i="3"/>
  <c r="I27" i="3"/>
  <c r="H27" i="3"/>
  <c r="F27" i="3"/>
  <c r="G27" i="3" s="1"/>
  <c r="E27" i="3"/>
  <c r="D27" i="3"/>
  <c r="C27" i="3"/>
  <c r="B27" i="3"/>
  <c r="AG26" i="3"/>
  <c r="AK26" i="3" s="1"/>
  <c r="AF26" i="3"/>
  <c r="AD26" i="3"/>
  <c r="AE26" i="3" s="1"/>
  <c r="AC26" i="3"/>
  <c r="AB26" i="3"/>
  <c r="AA26" i="3"/>
  <c r="Y26" i="3"/>
  <c r="W26" i="3"/>
  <c r="U26" i="3"/>
  <c r="S26" i="3"/>
  <c r="Q26" i="3"/>
  <c r="O26" i="3"/>
  <c r="M26" i="3"/>
  <c r="K26" i="3"/>
  <c r="I26" i="3"/>
  <c r="G26" i="3"/>
  <c r="E26" i="3"/>
  <c r="C26" i="3"/>
  <c r="AK25" i="3"/>
  <c r="AI25" i="3"/>
  <c r="AJ25" i="3" s="1"/>
  <c r="AH25" i="3"/>
  <c r="AG25" i="3"/>
  <c r="AB25" i="3"/>
  <c r="AA25" i="3"/>
  <c r="Y25" i="3"/>
  <c r="W25" i="3"/>
  <c r="U25" i="3"/>
  <c r="S25" i="3"/>
  <c r="Q25" i="3"/>
  <c r="O25" i="3"/>
  <c r="M25" i="3"/>
  <c r="K25" i="3"/>
  <c r="I25" i="3"/>
  <c r="G25" i="3"/>
  <c r="E25" i="3"/>
  <c r="C25" i="3"/>
  <c r="AJ24" i="3"/>
  <c r="AI24" i="3"/>
  <c r="AG24" i="3"/>
  <c r="AK24" i="3" s="1"/>
  <c r="AF24" i="3"/>
  <c r="AD24" i="3"/>
  <c r="AE24" i="3" s="1"/>
  <c r="AC24" i="3"/>
  <c r="AB24" i="3"/>
  <c r="AA24" i="3"/>
  <c r="Y24" i="3"/>
  <c r="W24" i="3"/>
  <c r="U24" i="3"/>
  <c r="S24" i="3"/>
  <c r="Q24" i="3"/>
  <c r="O24" i="3"/>
  <c r="M24" i="3"/>
  <c r="K24" i="3"/>
  <c r="I24" i="3"/>
  <c r="G24" i="3"/>
  <c r="E24" i="3"/>
  <c r="C24" i="3"/>
  <c r="AK23" i="3"/>
  <c r="AI23" i="3"/>
  <c r="AJ23" i="3" s="1"/>
  <c r="AG23" i="3"/>
  <c r="AH23" i="3" s="1"/>
  <c r="AB23" i="3"/>
  <c r="AA23" i="3"/>
  <c r="Y23" i="3"/>
  <c r="W23" i="3"/>
  <c r="U23" i="3"/>
  <c r="S23" i="3"/>
  <c r="Q23" i="3"/>
  <c r="O23" i="3"/>
  <c r="M23" i="3"/>
  <c r="K23" i="3"/>
  <c r="I23" i="3"/>
  <c r="G23" i="3"/>
  <c r="E23" i="3"/>
  <c r="C23" i="3"/>
  <c r="AI22" i="3"/>
  <c r="AJ22" i="3" s="1"/>
  <c r="AG22" i="3"/>
  <c r="AK22" i="3" s="1"/>
  <c r="AF22" i="3"/>
  <c r="AD22" i="3"/>
  <c r="AE22" i="3" s="1"/>
  <c r="AC22" i="3"/>
  <c r="AB22" i="3"/>
  <c r="AA22" i="3"/>
  <c r="Y22" i="3"/>
  <c r="W22" i="3"/>
  <c r="U22" i="3"/>
  <c r="S22" i="3"/>
  <c r="Q22" i="3"/>
  <c r="O22" i="3"/>
  <c r="M22" i="3"/>
  <c r="K22" i="3"/>
  <c r="I22" i="3"/>
  <c r="G22" i="3"/>
  <c r="E22" i="3"/>
  <c r="C22" i="3"/>
  <c r="AK21" i="3"/>
  <c r="AI21" i="3"/>
  <c r="AJ21" i="3" s="1"/>
  <c r="AG21" i="3"/>
  <c r="AH21" i="3" s="1"/>
  <c r="AB21" i="3"/>
  <c r="AA21" i="3"/>
  <c r="Y21" i="3"/>
  <c r="W21" i="3"/>
  <c r="U21" i="3"/>
  <c r="S21" i="3"/>
  <c r="Q21" i="3"/>
  <c r="O21" i="3"/>
  <c r="M21" i="3"/>
  <c r="K21" i="3"/>
  <c r="I21" i="3"/>
  <c r="G21" i="3"/>
  <c r="E21" i="3"/>
  <c r="C21" i="3"/>
  <c r="AI20" i="3"/>
  <c r="AJ20" i="3" s="1"/>
  <c r="AG20" i="3"/>
  <c r="AK20" i="3" s="1"/>
  <c r="AF20" i="3"/>
  <c r="AD20" i="3"/>
  <c r="AE20" i="3" s="1"/>
  <c r="AC20" i="3"/>
  <c r="AB20" i="3"/>
  <c r="AA20" i="3"/>
  <c r="Y20" i="3"/>
  <c r="W20" i="3"/>
  <c r="U20" i="3"/>
  <c r="S20" i="3"/>
  <c r="Q20" i="3"/>
  <c r="O20" i="3"/>
  <c r="M20" i="3"/>
  <c r="K20" i="3"/>
  <c r="I20" i="3"/>
  <c r="G20" i="3"/>
  <c r="E20" i="3"/>
  <c r="C20" i="3"/>
  <c r="AK19" i="3"/>
  <c r="AI19" i="3"/>
  <c r="AJ19" i="3" s="1"/>
  <c r="AG19" i="3"/>
  <c r="AH19" i="3" s="1"/>
  <c r="AB19" i="3"/>
  <c r="AA19" i="3"/>
  <c r="Y19" i="3"/>
  <c r="W19" i="3"/>
  <c r="U19" i="3"/>
  <c r="S19" i="3"/>
  <c r="Q19" i="3"/>
  <c r="O19" i="3"/>
  <c r="M19" i="3"/>
  <c r="K19" i="3"/>
  <c r="I19" i="3"/>
  <c r="G19" i="3"/>
  <c r="E19" i="3"/>
  <c r="C19" i="3"/>
  <c r="AH18" i="3"/>
  <c r="AG18" i="3"/>
  <c r="AK18" i="3" s="1"/>
  <c r="AF18" i="3"/>
  <c r="AD18" i="3"/>
  <c r="AE18" i="3" s="1"/>
  <c r="AC18" i="3"/>
  <c r="AB18" i="3"/>
  <c r="AA18" i="3"/>
  <c r="Y18" i="3"/>
  <c r="W18" i="3"/>
  <c r="U18" i="3"/>
  <c r="S18" i="3"/>
  <c r="Q18" i="3"/>
  <c r="O18" i="3"/>
  <c r="M18" i="3"/>
  <c r="K18" i="3"/>
  <c r="I18" i="3"/>
  <c r="G18" i="3"/>
  <c r="E18" i="3"/>
  <c r="C18" i="3"/>
  <c r="AK17" i="3"/>
  <c r="AI17" i="3"/>
  <c r="AJ17" i="3" s="1"/>
  <c r="AG17" i="3"/>
  <c r="AH17" i="3" s="1"/>
  <c r="AB17" i="3"/>
  <c r="AA17" i="3"/>
  <c r="Y17" i="3"/>
  <c r="W17" i="3"/>
  <c r="U17" i="3"/>
  <c r="S17" i="3"/>
  <c r="Q17" i="3"/>
  <c r="O17" i="3"/>
  <c r="M17" i="3"/>
  <c r="K17" i="3"/>
  <c r="I17" i="3"/>
  <c r="G17" i="3"/>
  <c r="E17" i="3"/>
  <c r="C17" i="3"/>
  <c r="AI16" i="3"/>
  <c r="AJ16" i="3" s="1"/>
  <c r="AG16" i="3"/>
  <c r="AK16" i="3" s="1"/>
  <c r="AF16" i="3"/>
  <c r="AD16" i="3"/>
  <c r="AE16" i="3" s="1"/>
  <c r="AC16" i="3"/>
  <c r="AB16" i="3"/>
  <c r="AA16" i="3"/>
  <c r="Y16" i="3"/>
  <c r="W16" i="3"/>
  <c r="U16" i="3"/>
  <c r="S16" i="3"/>
  <c r="Q16" i="3"/>
  <c r="O16" i="3"/>
  <c r="M16" i="3"/>
  <c r="K16" i="3"/>
  <c r="I16" i="3"/>
  <c r="G16" i="3"/>
  <c r="E16" i="3"/>
  <c r="C16" i="3"/>
  <c r="AK15" i="3"/>
  <c r="AI15" i="3"/>
  <c r="AJ15" i="3" s="1"/>
  <c r="AG15" i="3"/>
  <c r="AH15" i="3" s="1"/>
  <c r="AD15" i="3"/>
  <c r="AE15" i="3" s="1"/>
  <c r="AB15" i="3"/>
  <c r="AA15" i="3"/>
  <c r="Y15" i="3"/>
  <c r="W15" i="3"/>
  <c r="U15" i="3"/>
  <c r="S15" i="3"/>
  <c r="Q15" i="3"/>
  <c r="O15" i="3"/>
  <c r="M15" i="3"/>
  <c r="K15" i="3"/>
  <c r="I15" i="3"/>
  <c r="G15" i="3"/>
  <c r="E15" i="3"/>
  <c r="C15" i="3"/>
  <c r="AG13" i="3"/>
  <c r="AF13" i="3"/>
  <c r="AD13" i="3"/>
  <c r="AE13" i="3" s="1"/>
  <c r="AC13" i="3"/>
  <c r="AB13" i="3"/>
  <c r="AA13" i="3"/>
  <c r="Y13" i="3"/>
  <c r="W13" i="3"/>
  <c r="U13" i="3"/>
  <c r="S13" i="3"/>
  <c r="Q13" i="3"/>
  <c r="O13" i="3"/>
  <c r="M13" i="3"/>
  <c r="K13" i="3"/>
  <c r="I13" i="3"/>
  <c r="G13" i="3"/>
  <c r="E13" i="3"/>
  <c r="C13" i="3"/>
  <c r="Z9" i="3"/>
  <c r="Z59" i="3" s="1"/>
  <c r="Z87" i="3" s="1"/>
  <c r="Y9" i="3"/>
  <c r="X9" i="3"/>
  <c r="X59" i="3" s="1"/>
  <c r="V9" i="3"/>
  <c r="U9" i="3"/>
  <c r="T9" i="3"/>
  <c r="T59" i="3" s="1"/>
  <c r="S9" i="3"/>
  <c r="R9" i="3"/>
  <c r="R59" i="3" s="1"/>
  <c r="P9" i="3"/>
  <c r="N9" i="3"/>
  <c r="L9" i="3"/>
  <c r="M9" i="3" s="1"/>
  <c r="J9" i="3"/>
  <c r="J59" i="3" s="1"/>
  <c r="H9" i="3"/>
  <c r="I9" i="3" s="1"/>
  <c r="F9" i="3"/>
  <c r="E9" i="3"/>
  <c r="D9" i="3"/>
  <c r="D59" i="3" s="1"/>
  <c r="C9" i="3"/>
  <c r="B9" i="3"/>
  <c r="B59" i="3" s="1"/>
  <c r="C59" i="3" s="1"/>
  <c r="AK8" i="3"/>
  <c r="AG8" i="3"/>
  <c r="AF8" i="3"/>
  <c r="AE8" i="3"/>
  <c r="AD8" i="3"/>
  <c r="AC8" i="3"/>
  <c r="AB8" i="3"/>
  <c r="AA8" i="3"/>
  <c r="Y8" i="3"/>
  <c r="W8" i="3"/>
  <c r="U8" i="3"/>
  <c r="S8" i="3"/>
  <c r="Q8" i="3"/>
  <c r="O8" i="3"/>
  <c r="M8" i="3"/>
  <c r="K8" i="3"/>
  <c r="I8" i="3"/>
  <c r="G8" i="3"/>
  <c r="E8" i="3"/>
  <c r="C8" i="3"/>
  <c r="AK7" i="3"/>
  <c r="AI7" i="3"/>
  <c r="AJ7" i="3" s="1"/>
  <c r="AH7" i="3"/>
  <c r="AG7" i="3"/>
  <c r="AF7" i="3"/>
  <c r="AC7" i="3"/>
  <c r="AB7" i="3"/>
  <c r="AD7" i="3" s="1"/>
  <c r="AE7" i="3" s="1"/>
  <c r="AA7" i="3"/>
  <c r="Y7" i="3"/>
  <c r="W7" i="3"/>
  <c r="U7" i="3"/>
  <c r="S7" i="3"/>
  <c r="Q7" i="3"/>
  <c r="O7" i="3"/>
  <c r="M7" i="3"/>
  <c r="K7" i="3"/>
  <c r="I7" i="3"/>
  <c r="G7" i="3"/>
  <c r="E7" i="3"/>
  <c r="C7" i="3"/>
  <c r="AI148" i="2"/>
  <c r="AG148" i="2"/>
  <c r="AK148" i="2" s="1"/>
  <c r="AB148" i="2"/>
  <c r="AD148" i="2" s="1"/>
  <c r="AD145" i="2"/>
  <c r="AE145" i="2" s="1"/>
  <c r="AB145" i="2"/>
  <c r="AC145" i="2" s="1"/>
  <c r="Z145" i="2"/>
  <c r="AA145" i="2" s="1"/>
  <c r="Y145" i="2"/>
  <c r="X145" i="2"/>
  <c r="V145" i="2"/>
  <c r="W145" i="2" s="1"/>
  <c r="T145" i="2"/>
  <c r="U145" i="2" s="1"/>
  <c r="S145" i="2"/>
  <c r="R145" i="2"/>
  <c r="P145" i="2"/>
  <c r="Q145" i="2" s="1"/>
  <c r="N145" i="2"/>
  <c r="O145" i="2" s="1"/>
  <c r="L145" i="2"/>
  <c r="M145" i="2" s="1"/>
  <c r="J145" i="2"/>
  <c r="H145" i="2"/>
  <c r="I145" i="2" s="1"/>
  <c r="F145" i="2"/>
  <c r="G145" i="2" s="1"/>
  <c r="E145" i="2"/>
  <c r="D145" i="2"/>
  <c r="C145" i="2"/>
  <c r="B145" i="2"/>
  <c r="AK144" i="2"/>
  <c r="AL144" i="2" s="1"/>
  <c r="AG144" i="2"/>
  <c r="AH144" i="2" s="1"/>
  <c r="AF144" i="2"/>
  <c r="AE144" i="2"/>
  <c r="AD144" i="2"/>
  <c r="AB144" i="2"/>
  <c r="AA144" i="2"/>
  <c r="Y144" i="2"/>
  <c r="W144" i="2"/>
  <c r="U144" i="2"/>
  <c r="S144" i="2"/>
  <c r="Q144" i="2"/>
  <c r="O144" i="2"/>
  <c r="M144" i="2"/>
  <c r="K144" i="2"/>
  <c r="I144" i="2"/>
  <c r="G144" i="2"/>
  <c r="E144" i="2"/>
  <c r="C144" i="2"/>
  <c r="AA141" i="2"/>
  <c r="Z141" i="2"/>
  <c r="Y141" i="2"/>
  <c r="X141" i="2"/>
  <c r="V141" i="2"/>
  <c r="W141" i="2" s="1"/>
  <c r="U141" i="2"/>
  <c r="T141" i="2"/>
  <c r="R141" i="2"/>
  <c r="AB141" i="2" s="1"/>
  <c r="AF141" i="2" s="1"/>
  <c r="Q141" i="2"/>
  <c r="P141" i="2"/>
  <c r="N141" i="2"/>
  <c r="O141" i="2" s="1"/>
  <c r="L141" i="2"/>
  <c r="M141" i="2" s="1"/>
  <c r="K141" i="2"/>
  <c r="J141" i="2"/>
  <c r="H141" i="2"/>
  <c r="I141" i="2" s="1"/>
  <c r="F141" i="2"/>
  <c r="G141" i="2" s="1"/>
  <c r="E141" i="2"/>
  <c r="D141" i="2"/>
  <c r="C141" i="2"/>
  <c r="B141" i="2"/>
  <c r="AG140" i="2"/>
  <c r="AF140" i="2"/>
  <c r="AD140" i="2"/>
  <c r="AE140" i="2" s="1"/>
  <c r="AB140" i="2"/>
  <c r="AC140" i="2" s="1"/>
  <c r="AA140" i="2"/>
  <c r="Y140" i="2"/>
  <c r="W140" i="2"/>
  <c r="U140" i="2"/>
  <c r="S140" i="2"/>
  <c r="Q140" i="2"/>
  <c r="O140" i="2"/>
  <c r="M140" i="2"/>
  <c r="K140" i="2"/>
  <c r="I140" i="2"/>
  <c r="G140" i="2"/>
  <c r="E140" i="2"/>
  <c r="C140" i="2"/>
  <c r="AA135" i="2"/>
  <c r="Z135" i="2"/>
  <c r="X135" i="2"/>
  <c r="W135" i="2"/>
  <c r="V135" i="2"/>
  <c r="T135" i="2"/>
  <c r="U135" i="2" s="1"/>
  <c r="S135" i="2"/>
  <c r="R135" i="2"/>
  <c r="AB135" i="2" s="1"/>
  <c r="AD135" i="2" s="1"/>
  <c r="AE135" i="2" s="1"/>
  <c r="P135" i="2"/>
  <c r="Q135" i="2" s="1"/>
  <c r="N135" i="2"/>
  <c r="O135" i="2" s="1"/>
  <c r="L135" i="2"/>
  <c r="M135" i="2" s="1"/>
  <c r="J135" i="2"/>
  <c r="H135" i="2"/>
  <c r="I135" i="2" s="1"/>
  <c r="G135" i="2"/>
  <c r="F135" i="2"/>
  <c r="E135" i="2"/>
  <c r="D135" i="2"/>
  <c r="B135" i="2"/>
  <c r="C135" i="2" s="1"/>
  <c r="AH134" i="2"/>
  <c r="AG134" i="2"/>
  <c r="AB134" i="2"/>
  <c r="AF134" i="2" s="1"/>
  <c r="AA134" i="2"/>
  <c r="Y134" i="2"/>
  <c r="W134" i="2"/>
  <c r="U134" i="2"/>
  <c r="S134" i="2"/>
  <c r="Q134" i="2"/>
  <c r="O134" i="2"/>
  <c r="M134" i="2"/>
  <c r="K134" i="2"/>
  <c r="I134" i="2"/>
  <c r="G134" i="2"/>
  <c r="E134" i="2"/>
  <c r="C134" i="2"/>
  <c r="AG133" i="2"/>
  <c r="AK133" i="2" s="1"/>
  <c r="AL133" i="2" s="1"/>
  <c r="AF133" i="2"/>
  <c r="AB133" i="2"/>
  <c r="AA133" i="2"/>
  <c r="Y133" i="2"/>
  <c r="W133" i="2"/>
  <c r="U133" i="2"/>
  <c r="S133" i="2"/>
  <c r="Q133" i="2"/>
  <c r="O133" i="2"/>
  <c r="M133" i="2"/>
  <c r="K133" i="2"/>
  <c r="I133" i="2"/>
  <c r="G133" i="2"/>
  <c r="E133" i="2"/>
  <c r="C133" i="2"/>
  <c r="AH132" i="2"/>
  <c r="AG132" i="2"/>
  <c r="AK132" i="2" s="1"/>
  <c r="AL132" i="2" s="1"/>
  <c r="AF132" i="2"/>
  <c r="AD132" i="2"/>
  <c r="AE132" i="2" s="1"/>
  <c r="AB132" i="2"/>
  <c r="AC132" i="2" s="1"/>
  <c r="AA132" i="2"/>
  <c r="Y132" i="2"/>
  <c r="W132" i="2"/>
  <c r="U132" i="2"/>
  <c r="S132" i="2"/>
  <c r="Q132" i="2"/>
  <c r="O132" i="2"/>
  <c r="M132" i="2"/>
  <c r="K132" i="2"/>
  <c r="I132" i="2"/>
  <c r="G132" i="2"/>
  <c r="E132" i="2"/>
  <c r="C132" i="2"/>
  <c r="AL131" i="2"/>
  <c r="AH131" i="2"/>
  <c r="AG131" i="2"/>
  <c r="AK131" i="2" s="1"/>
  <c r="AB131" i="2"/>
  <c r="AD131" i="2" s="1"/>
  <c r="AE131" i="2" s="1"/>
  <c r="AA131" i="2"/>
  <c r="Y131" i="2"/>
  <c r="W131" i="2"/>
  <c r="U131" i="2"/>
  <c r="S131" i="2"/>
  <c r="Q131" i="2"/>
  <c r="O131" i="2"/>
  <c r="M131" i="2"/>
  <c r="K131" i="2"/>
  <c r="I131" i="2"/>
  <c r="G131" i="2"/>
  <c r="E131" i="2"/>
  <c r="C131" i="2"/>
  <c r="AI130" i="2"/>
  <c r="AJ130" i="2" s="1"/>
  <c r="AG130" i="2"/>
  <c r="AK130" i="2" s="1"/>
  <c r="AL130" i="2" s="1"/>
  <c r="AB130" i="2"/>
  <c r="AF130" i="2" s="1"/>
  <c r="AA130" i="2"/>
  <c r="Y130" i="2"/>
  <c r="W130" i="2"/>
  <c r="U130" i="2"/>
  <c r="S130" i="2"/>
  <c r="Q130" i="2"/>
  <c r="O130" i="2"/>
  <c r="M130" i="2"/>
  <c r="K130" i="2"/>
  <c r="I130" i="2"/>
  <c r="G130" i="2"/>
  <c r="E130" i="2"/>
  <c r="C130" i="2"/>
  <c r="AK129" i="2"/>
  <c r="AL129" i="2" s="1"/>
  <c r="AJ129" i="2"/>
  <c r="AH129" i="2"/>
  <c r="AG129" i="2"/>
  <c r="AI129" i="2" s="1"/>
  <c r="AF129" i="2"/>
  <c r="AB129" i="2"/>
  <c r="AD129" i="2" s="1"/>
  <c r="AE129" i="2" s="1"/>
  <c r="AA129" i="2"/>
  <c r="Y129" i="2"/>
  <c r="W129" i="2"/>
  <c r="U129" i="2"/>
  <c r="S129" i="2"/>
  <c r="Q129" i="2"/>
  <c r="O129" i="2"/>
  <c r="M129" i="2"/>
  <c r="K129" i="2"/>
  <c r="I129" i="2"/>
  <c r="G129" i="2"/>
  <c r="E129" i="2"/>
  <c r="C129" i="2"/>
  <c r="AG128" i="2"/>
  <c r="AK128" i="2" s="1"/>
  <c r="AL128" i="2" s="1"/>
  <c r="AB128" i="2"/>
  <c r="AA128" i="2"/>
  <c r="Y128" i="2"/>
  <c r="W128" i="2"/>
  <c r="U128" i="2"/>
  <c r="S128" i="2"/>
  <c r="Q128" i="2"/>
  <c r="O128" i="2"/>
  <c r="M128" i="2"/>
  <c r="K128" i="2"/>
  <c r="I128" i="2"/>
  <c r="G128" i="2"/>
  <c r="E128" i="2"/>
  <c r="C128" i="2"/>
  <c r="AL127" i="2"/>
  <c r="AK127" i="2"/>
  <c r="AI127" i="2"/>
  <c r="AJ127" i="2" s="1"/>
  <c r="AH127" i="2"/>
  <c r="AG127" i="2"/>
  <c r="AF127" i="2"/>
  <c r="AD127" i="2"/>
  <c r="AE127" i="2" s="1"/>
  <c r="AB127" i="2"/>
  <c r="AC127" i="2" s="1"/>
  <c r="AA127" i="2"/>
  <c r="Y127" i="2"/>
  <c r="W127" i="2"/>
  <c r="U127" i="2"/>
  <c r="S127" i="2"/>
  <c r="Q127" i="2"/>
  <c r="O127" i="2"/>
  <c r="M127" i="2"/>
  <c r="K127" i="2"/>
  <c r="I127" i="2"/>
  <c r="G127" i="2"/>
  <c r="E127" i="2"/>
  <c r="C127" i="2"/>
  <c r="AG126" i="2"/>
  <c r="AK126" i="2" s="1"/>
  <c r="AL126" i="2" s="1"/>
  <c r="AD126" i="2"/>
  <c r="AE126" i="2" s="1"/>
  <c r="AB126" i="2"/>
  <c r="AA126" i="2"/>
  <c r="Y126" i="2"/>
  <c r="W126" i="2"/>
  <c r="U126" i="2"/>
  <c r="S126" i="2"/>
  <c r="Q126" i="2"/>
  <c r="O126" i="2"/>
  <c r="M126" i="2"/>
  <c r="K126" i="2"/>
  <c r="I126" i="2"/>
  <c r="G126" i="2"/>
  <c r="E126" i="2"/>
  <c r="C126" i="2"/>
  <c r="AL125" i="2"/>
  <c r="AK125" i="2"/>
  <c r="AI125" i="2"/>
  <c r="AJ125" i="2" s="1"/>
  <c r="AH125" i="2"/>
  <c r="AG125" i="2"/>
  <c r="AF125" i="2"/>
  <c r="AD125" i="2"/>
  <c r="AE125" i="2" s="1"/>
  <c r="AB125" i="2"/>
  <c r="AC125" i="2" s="1"/>
  <c r="AA125" i="2"/>
  <c r="Y125" i="2"/>
  <c r="W125" i="2"/>
  <c r="U125" i="2"/>
  <c r="S125" i="2"/>
  <c r="Q125" i="2"/>
  <c r="O125" i="2"/>
  <c r="M125" i="2"/>
  <c r="K125" i="2"/>
  <c r="I125" i="2"/>
  <c r="G125" i="2"/>
  <c r="E125" i="2"/>
  <c r="C125" i="2"/>
  <c r="AG124" i="2"/>
  <c r="AK124" i="2" s="1"/>
  <c r="AL124" i="2" s="1"/>
  <c r="AB124" i="2"/>
  <c r="AA124" i="2"/>
  <c r="Y124" i="2"/>
  <c r="W124" i="2"/>
  <c r="U124" i="2"/>
  <c r="S124" i="2"/>
  <c r="Q124" i="2"/>
  <c r="O124" i="2"/>
  <c r="M124" i="2"/>
  <c r="K124" i="2"/>
  <c r="I124" i="2"/>
  <c r="G124" i="2"/>
  <c r="E124" i="2"/>
  <c r="C124" i="2"/>
  <c r="AL123" i="2"/>
  <c r="AK123" i="2"/>
  <c r="AI123" i="2"/>
  <c r="AJ123" i="2" s="1"/>
  <c r="AH123" i="2"/>
  <c r="AG123" i="2"/>
  <c r="AF123" i="2"/>
  <c r="AD123" i="2"/>
  <c r="AE123" i="2" s="1"/>
  <c r="AB123" i="2"/>
  <c r="AC123" i="2" s="1"/>
  <c r="AA123" i="2"/>
  <c r="Y123" i="2"/>
  <c r="W123" i="2"/>
  <c r="U123" i="2"/>
  <c r="S123" i="2"/>
  <c r="Q123" i="2"/>
  <c r="O123" i="2"/>
  <c r="M123" i="2"/>
  <c r="K123" i="2"/>
  <c r="I123" i="2"/>
  <c r="G123" i="2"/>
  <c r="E123" i="2"/>
  <c r="C123" i="2"/>
  <c r="AG122" i="2"/>
  <c r="AK122" i="2" s="1"/>
  <c r="AL122" i="2" s="1"/>
  <c r="AD122" i="2"/>
  <c r="AE122" i="2" s="1"/>
  <c r="AB122" i="2"/>
  <c r="AA122" i="2"/>
  <c r="Y122" i="2"/>
  <c r="W122" i="2"/>
  <c r="U122" i="2"/>
  <c r="S122" i="2"/>
  <c r="Q122" i="2"/>
  <c r="O122" i="2"/>
  <c r="M122" i="2"/>
  <c r="K122" i="2"/>
  <c r="I122" i="2"/>
  <c r="G122" i="2"/>
  <c r="E122" i="2"/>
  <c r="C122" i="2"/>
  <c r="AL121" i="2"/>
  <c r="AK121" i="2"/>
  <c r="AI121" i="2"/>
  <c r="AJ121" i="2" s="1"/>
  <c r="AH121" i="2"/>
  <c r="AG121" i="2"/>
  <c r="AF121" i="2"/>
  <c r="AD121" i="2"/>
  <c r="AE121" i="2" s="1"/>
  <c r="AB121" i="2"/>
  <c r="AC121" i="2" s="1"/>
  <c r="AA121" i="2"/>
  <c r="Y121" i="2"/>
  <c r="W121" i="2"/>
  <c r="U121" i="2"/>
  <c r="S121" i="2"/>
  <c r="Q121" i="2"/>
  <c r="O121" i="2"/>
  <c r="M121" i="2"/>
  <c r="K121" i="2"/>
  <c r="I121" i="2"/>
  <c r="G121" i="2"/>
  <c r="E121" i="2"/>
  <c r="C121" i="2"/>
  <c r="AG120" i="2"/>
  <c r="AK120" i="2" s="1"/>
  <c r="AL120" i="2" s="1"/>
  <c r="AD120" i="2"/>
  <c r="AE120" i="2" s="1"/>
  <c r="AB120" i="2"/>
  <c r="AA120" i="2"/>
  <c r="Y120" i="2"/>
  <c r="W120" i="2"/>
  <c r="U120" i="2"/>
  <c r="S120" i="2"/>
  <c r="Q120" i="2"/>
  <c r="O120" i="2"/>
  <c r="M120" i="2"/>
  <c r="K120" i="2"/>
  <c r="I120" i="2"/>
  <c r="G120" i="2"/>
  <c r="E120" i="2"/>
  <c r="C120" i="2"/>
  <c r="AL119" i="2"/>
  <c r="AK119" i="2"/>
  <c r="AI119" i="2"/>
  <c r="AJ119" i="2" s="1"/>
  <c r="AH119" i="2"/>
  <c r="AG119" i="2"/>
  <c r="AF119" i="2"/>
  <c r="AD119" i="2"/>
  <c r="AE119" i="2" s="1"/>
  <c r="AB119" i="2"/>
  <c r="AC119" i="2" s="1"/>
  <c r="AA119" i="2"/>
  <c r="Y119" i="2"/>
  <c r="W119" i="2"/>
  <c r="U119" i="2"/>
  <c r="S119" i="2"/>
  <c r="Q119" i="2"/>
  <c r="O119" i="2"/>
  <c r="M119" i="2"/>
  <c r="K119" i="2"/>
  <c r="I119" i="2"/>
  <c r="G119" i="2"/>
  <c r="E119" i="2"/>
  <c r="C119" i="2"/>
  <c r="AG118" i="2"/>
  <c r="AK118" i="2" s="1"/>
  <c r="AL118" i="2" s="1"/>
  <c r="AD118" i="2"/>
  <c r="AE118" i="2" s="1"/>
  <c r="AB118" i="2"/>
  <c r="AA118" i="2"/>
  <c r="Y118" i="2"/>
  <c r="W118" i="2"/>
  <c r="U118" i="2"/>
  <c r="S118" i="2"/>
  <c r="Q118" i="2"/>
  <c r="O118" i="2"/>
  <c r="M118" i="2"/>
  <c r="K118" i="2"/>
  <c r="I118" i="2"/>
  <c r="G118" i="2"/>
  <c r="E118" i="2"/>
  <c r="C118" i="2"/>
  <c r="AL117" i="2"/>
  <c r="AK117" i="2"/>
  <c r="AJ117" i="2"/>
  <c r="AI117" i="2"/>
  <c r="AH117" i="2"/>
  <c r="AG117" i="2"/>
  <c r="AF117" i="2"/>
  <c r="AD117" i="2"/>
  <c r="AE117" i="2" s="1"/>
  <c r="AB117" i="2"/>
  <c r="AC117" i="2" s="1"/>
  <c r="AA117" i="2"/>
  <c r="Y117" i="2"/>
  <c r="W117" i="2"/>
  <c r="U117" i="2"/>
  <c r="S117" i="2"/>
  <c r="Q117" i="2"/>
  <c r="O117" i="2"/>
  <c r="M117" i="2"/>
  <c r="K117" i="2"/>
  <c r="I117" i="2"/>
  <c r="G117" i="2"/>
  <c r="E117" i="2"/>
  <c r="C117" i="2"/>
  <c r="AG116" i="2"/>
  <c r="AK116" i="2" s="1"/>
  <c r="AL116" i="2" s="1"/>
  <c r="AB116" i="2"/>
  <c r="AA116" i="2"/>
  <c r="Y116" i="2"/>
  <c r="W116" i="2"/>
  <c r="U116" i="2"/>
  <c r="S116" i="2"/>
  <c r="Q116" i="2"/>
  <c r="O116" i="2"/>
  <c r="M116" i="2"/>
  <c r="K116" i="2"/>
  <c r="I116" i="2"/>
  <c r="G116" i="2"/>
  <c r="E116" i="2"/>
  <c r="C116" i="2"/>
  <c r="AL115" i="2"/>
  <c r="AK115" i="2"/>
  <c r="AI115" i="2"/>
  <c r="AJ115" i="2" s="1"/>
  <c r="AH115" i="2"/>
  <c r="AG115" i="2"/>
  <c r="AF115" i="2"/>
  <c r="AD115" i="2"/>
  <c r="AE115" i="2" s="1"/>
  <c r="AB115" i="2"/>
  <c r="AC115" i="2" s="1"/>
  <c r="AA115" i="2"/>
  <c r="Y115" i="2"/>
  <c r="W115" i="2"/>
  <c r="U115" i="2"/>
  <c r="S115" i="2"/>
  <c r="Q115" i="2"/>
  <c r="O115" i="2"/>
  <c r="M115" i="2"/>
  <c r="K115" i="2"/>
  <c r="I115" i="2"/>
  <c r="G115" i="2"/>
  <c r="E115" i="2"/>
  <c r="C115" i="2"/>
  <c r="AG114" i="2"/>
  <c r="AK114" i="2" s="1"/>
  <c r="AL114" i="2" s="1"/>
  <c r="AB114" i="2"/>
  <c r="AA114" i="2"/>
  <c r="Y114" i="2"/>
  <c r="W114" i="2"/>
  <c r="U114" i="2"/>
  <c r="S114" i="2"/>
  <c r="Q114" i="2"/>
  <c r="O114" i="2"/>
  <c r="M114" i="2"/>
  <c r="K114" i="2"/>
  <c r="I114" i="2"/>
  <c r="G114" i="2"/>
  <c r="E114" i="2"/>
  <c r="C114" i="2"/>
  <c r="AL113" i="2"/>
  <c r="AK113" i="2"/>
  <c r="AI113" i="2"/>
  <c r="AJ113" i="2" s="1"/>
  <c r="AH113" i="2"/>
  <c r="AG113" i="2"/>
  <c r="AF113" i="2"/>
  <c r="AD113" i="2"/>
  <c r="AE113" i="2" s="1"/>
  <c r="AB113" i="2"/>
  <c r="AC113" i="2" s="1"/>
  <c r="AA113" i="2"/>
  <c r="Y113" i="2"/>
  <c r="W113" i="2"/>
  <c r="U113" i="2"/>
  <c r="S113" i="2"/>
  <c r="Q113" i="2"/>
  <c r="O113" i="2"/>
  <c r="M113" i="2"/>
  <c r="K113" i="2"/>
  <c r="I113" i="2"/>
  <c r="G113" i="2"/>
  <c r="E113" i="2"/>
  <c r="C113" i="2"/>
  <c r="AG112" i="2"/>
  <c r="AK112" i="2" s="1"/>
  <c r="AL112" i="2" s="1"/>
  <c r="AB112" i="2"/>
  <c r="AA112" i="2"/>
  <c r="Y112" i="2"/>
  <c r="W112" i="2"/>
  <c r="U112" i="2"/>
  <c r="S112" i="2"/>
  <c r="Q112" i="2"/>
  <c r="O112" i="2"/>
  <c r="M112" i="2"/>
  <c r="K112" i="2"/>
  <c r="I112" i="2"/>
  <c r="G112" i="2"/>
  <c r="E112" i="2"/>
  <c r="C112" i="2"/>
  <c r="AL111" i="2"/>
  <c r="AK111" i="2"/>
  <c r="AJ111" i="2"/>
  <c r="AI111" i="2"/>
  <c r="AH111" i="2"/>
  <c r="AG111" i="2"/>
  <c r="AF111" i="2"/>
  <c r="AD111" i="2"/>
  <c r="AE111" i="2" s="1"/>
  <c r="AB111" i="2"/>
  <c r="AC111" i="2" s="1"/>
  <c r="AA111" i="2"/>
  <c r="Y111" i="2"/>
  <c r="W111" i="2"/>
  <c r="U111" i="2"/>
  <c r="S111" i="2"/>
  <c r="Q111" i="2"/>
  <c r="O111" i="2"/>
  <c r="M111" i="2"/>
  <c r="K111" i="2"/>
  <c r="I111" i="2"/>
  <c r="G111" i="2"/>
  <c r="E111" i="2"/>
  <c r="C111" i="2"/>
  <c r="AG110" i="2"/>
  <c r="AK110" i="2" s="1"/>
  <c r="AL110" i="2" s="1"/>
  <c r="AD110" i="2"/>
  <c r="AE110" i="2" s="1"/>
  <c r="AB110" i="2"/>
  <c r="AA110" i="2"/>
  <c r="Y110" i="2"/>
  <c r="W110" i="2"/>
  <c r="U110" i="2"/>
  <c r="S110" i="2"/>
  <c r="Q110" i="2"/>
  <c r="O110" i="2"/>
  <c r="M110" i="2"/>
  <c r="K110" i="2"/>
  <c r="I110" i="2"/>
  <c r="G110" i="2"/>
  <c r="E110" i="2"/>
  <c r="C110" i="2"/>
  <c r="AA105" i="2"/>
  <c r="Z105" i="2"/>
  <c r="X105" i="2"/>
  <c r="W105" i="2"/>
  <c r="V105" i="2"/>
  <c r="U105" i="2"/>
  <c r="T105" i="2"/>
  <c r="S105" i="2"/>
  <c r="R105" i="2"/>
  <c r="Q105" i="2"/>
  <c r="P105" i="2"/>
  <c r="N105" i="2"/>
  <c r="O105" i="2" s="1"/>
  <c r="L105" i="2"/>
  <c r="M105" i="2" s="1"/>
  <c r="K105" i="2"/>
  <c r="J105" i="2"/>
  <c r="I105" i="2"/>
  <c r="H105" i="2"/>
  <c r="G105" i="2"/>
  <c r="F105" i="2"/>
  <c r="E105" i="2"/>
  <c r="D105" i="2"/>
  <c r="C105" i="2"/>
  <c r="B105" i="2"/>
  <c r="AI104" i="2"/>
  <c r="AJ104" i="2" s="1"/>
  <c r="AG104" i="2"/>
  <c r="AK104" i="2" s="1"/>
  <c r="AL104" i="2" s="1"/>
  <c r="AC104" i="2"/>
  <c r="AB104" i="2"/>
  <c r="AF104" i="2" s="1"/>
  <c r="AA104" i="2"/>
  <c r="Y104" i="2"/>
  <c r="W104" i="2"/>
  <c r="U104" i="2"/>
  <c r="S104" i="2"/>
  <c r="Q104" i="2"/>
  <c r="O104" i="2"/>
  <c r="M104" i="2"/>
  <c r="K104" i="2"/>
  <c r="I104" i="2"/>
  <c r="G104" i="2"/>
  <c r="E104" i="2"/>
  <c r="C104" i="2"/>
  <c r="AF99" i="2"/>
  <c r="AC99" i="2"/>
  <c r="AB99" i="2"/>
  <c r="AD99" i="2" s="1"/>
  <c r="AE99" i="2" s="1"/>
  <c r="Z99" i="2"/>
  <c r="AA99" i="2" s="1"/>
  <c r="Y99" i="2"/>
  <c r="X99" i="2"/>
  <c r="W99" i="2"/>
  <c r="V99" i="2"/>
  <c r="U99" i="2"/>
  <c r="T99" i="2"/>
  <c r="S99" i="2"/>
  <c r="R99" i="2"/>
  <c r="P99" i="2"/>
  <c r="Q99" i="2" s="1"/>
  <c r="N99" i="2"/>
  <c r="O99" i="2" s="1"/>
  <c r="M99" i="2"/>
  <c r="L99" i="2"/>
  <c r="K99" i="2"/>
  <c r="J99" i="2"/>
  <c r="AG99" i="2" s="1"/>
  <c r="I99" i="2"/>
  <c r="H99" i="2"/>
  <c r="G99" i="2"/>
  <c r="F99" i="2"/>
  <c r="E99" i="2"/>
  <c r="D99" i="2"/>
  <c r="C99" i="2"/>
  <c r="B99" i="2"/>
  <c r="AK98" i="2"/>
  <c r="AL98" i="2" s="1"/>
  <c r="AH98" i="2"/>
  <c r="AG98" i="2"/>
  <c r="AI98" i="2" s="1"/>
  <c r="AJ98" i="2" s="1"/>
  <c r="AF98" i="2"/>
  <c r="AE98" i="2"/>
  <c r="AD98" i="2"/>
  <c r="AB98" i="2"/>
  <c r="AC98" i="2" s="1"/>
  <c r="AA98" i="2"/>
  <c r="Y98" i="2"/>
  <c r="W98" i="2"/>
  <c r="U98" i="2"/>
  <c r="S98" i="2"/>
  <c r="Q98" i="2"/>
  <c r="O98" i="2"/>
  <c r="M98" i="2"/>
  <c r="K98" i="2"/>
  <c r="I98" i="2"/>
  <c r="G98" i="2"/>
  <c r="E98" i="2"/>
  <c r="C98" i="2"/>
  <c r="AL97" i="2"/>
  <c r="AK97" i="2"/>
  <c r="AH97" i="2"/>
  <c r="AG97" i="2"/>
  <c r="AI97" i="2" s="1"/>
  <c r="AJ97" i="2" s="1"/>
  <c r="AD97" i="2"/>
  <c r="AE97" i="2" s="1"/>
  <c r="AC97" i="2"/>
  <c r="AB97" i="2"/>
  <c r="AF97" i="2" s="1"/>
  <c r="AA97" i="2"/>
  <c r="Y97" i="2"/>
  <c r="W97" i="2"/>
  <c r="U97" i="2"/>
  <c r="S97" i="2"/>
  <c r="Q97" i="2"/>
  <c r="O97" i="2"/>
  <c r="M97" i="2"/>
  <c r="K97" i="2"/>
  <c r="I97" i="2"/>
  <c r="G97" i="2"/>
  <c r="E97" i="2"/>
  <c r="C97" i="2"/>
  <c r="AK96" i="2"/>
  <c r="AL96" i="2" s="1"/>
  <c r="AH96" i="2"/>
  <c r="AG96" i="2"/>
  <c r="AI96" i="2" s="1"/>
  <c r="AJ96" i="2" s="1"/>
  <c r="AF96" i="2"/>
  <c r="AE96" i="2"/>
  <c r="AD96" i="2"/>
  <c r="AB96" i="2"/>
  <c r="AC96" i="2" s="1"/>
  <c r="AA96" i="2"/>
  <c r="Y96" i="2"/>
  <c r="W96" i="2"/>
  <c r="U96" i="2"/>
  <c r="S96" i="2"/>
  <c r="Q96" i="2"/>
  <c r="O96" i="2"/>
  <c r="M96" i="2"/>
  <c r="K96" i="2"/>
  <c r="I96" i="2"/>
  <c r="G96" i="2"/>
  <c r="E96" i="2"/>
  <c r="C96" i="2"/>
  <c r="AL95" i="2"/>
  <c r="AK95" i="2"/>
  <c r="AH95" i="2"/>
  <c r="AG95" i="2"/>
  <c r="AI95" i="2" s="1"/>
  <c r="AJ95" i="2" s="1"/>
  <c r="AF95" i="2"/>
  <c r="AD95" i="2"/>
  <c r="AE95" i="2" s="1"/>
  <c r="AC95" i="2"/>
  <c r="AB95" i="2"/>
  <c r="AA95" i="2"/>
  <c r="Y95" i="2"/>
  <c r="W95" i="2"/>
  <c r="U95" i="2"/>
  <c r="S95" i="2"/>
  <c r="Q95" i="2"/>
  <c r="O95" i="2"/>
  <c r="M95" i="2"/>
  <c r="K95" i="2"/>
  <c r="I95" i="2"/>
  <c r="G95" i="2"/>
  <c r="E95" i="2"/>
  <c r="C95" i="2"/>
  <c r="AG94" i="2"/>
  <c r="AF94" i="2"/>
  <c r="AE94" i="2"/>
  <c r="AD94" i="2"/>
  <c r="AB94" i="2"/>
  <c r="AC94" i="2" s="1"/>
  <c r="AA94" i="2"/>
  <c r="Y94" i="2"/>
  <c r="W94" i="2"/>
  <c r="U94" i="2"/>
  <c r="S94" i="2"/>
  <c r="Q94" i="2"/>
  <c r="O94" i="2"/>
  <c r="M94" i="2"/>
  <c r="K94" i="2"/>
  <c r="I94" i="2"/>
  <c r="G94" i="2"/>
  <c r="E94" i="2"/>
  <c r="C94" i="2"/>
  <c r="AL93" i="2"/>
  <c r="AK93" i="2"/>
  <c r="AH93" i="2"/>
  <c r="AG93" i="2"/>
  <c r="AI93" i="2" s="1"/>
  <c r="AJ93" i="2" s="1"/>
  <c r="AF93" i="2"/>
  <c r="AD93" i="2"/>
  <c r="AE93" i="2" s="1"/>
  <c r="AC93" i="2"/>
  <c r="AB93" i="2"/>
  <c r="AA93" i="2"/>
  <c r="Y93" i="2"/>
  <c r="W93" i="2"/>
  <c r="U93" i="2"/>
  <c r="S93" i="2"/>
  <c r="Q93" i="2"/>
  <c r="O93" i="2"/>
  <c r="M93" i="2"/>
  <c r="K93" i="2"/>
  <c r="I93" i="2"/>
  <c r="G93" i="2"/>
  <c r="E93" i="2"/>
  <c r="C93" i="2"/>
  <c r="AG92" i="2"/>
  <c r="AI92" i="2" s="1"/>
  <c r="AJ92" i="2" s="1"/>
  <c r="AF92" i="2"/>
  <c r="AE92" i="2"/>
  <c r="AD92" i="2"/>
  <c r="AB92" i="2"/>
  <c r="AC92" i="2" s="1"/>
  <c r="AA92" i="2"/>
  <c r="Y92" i="2"/>
  <c r="W92" i="2"/>
  <c r="U92" i="2"/>
  <c r="S92" i="2"/>
  <c r="Q92" i="2"/>
  <c r="O92" i="2"/>
  <c r="M92" i="2"/>
  <c r="K92" i="2"/>
  <c r="I92" i="2"/>
  <c r="G92" i="2"/>
  <c r="E92" i="2"/>
  <c r="C92" i="2"/>
  <c r="AL91" i="2"/>
  <c r="AK91" i="2"/>
  <c r="AH91" i="2"/>
  <c r="AG91" i="2"/>
  <c r="AI91" i="2" s="1"/>
  <c r="AJ91" i="2" s="1"/>
  <c r="AF91" i="2"/>
  <c r="AD91" i="2"/>
  <c r="AE91" i="2" s="1"/>
  <c r="AC91" i="2"/>
  <c r="AB91" i="2"/>
  <c r="AA91" i="2"/>
  <c r="Y91" i="2"/>
  <c r="W91" i="2"/>
  <c r="U91" i="2"/>
  <c r="S91" i="2"/>
  <c r="Q91" i="2"/>
  <c r="O91" i="2"/>
  <c r="M91" i="2"/>
  <c r="K91" i="2"/>
  <c r="I91" i="2"/>
  <c r="G91" i="2"/>
  <c r="E91" i="2"/>
  <c r="C91" i="2"/>
  <c r="AK90" i="2"/>
  <c r="AL90" i="2" s="1"/>
  <c r="AH90" i="2"/>
  <c r="AG90" i="2"/>
  <c r="AI90" i="2" s="1"/>
  <c r="AJ90" i="2" s="1"/>
  <c r="AF90" i="2"/>
  <c r="AE90" i="2"/>
  <c r="AD90" i="2"/>
  <c r="AB90" i="2"/>
  <c r="AC90" i="2" s="1"/>
  <c r="AA90" i="2"/>
  <c r="Y90" i="2"/>
  <c r="W90" i="2"/>
  <c r="U90" i="2"/>
  <c r="S90" i="2"/>
  <c r="Q90" i="2"/>
  <c r="O90" i="2"/>
  <c r="M90" i="2"/>
  <c r="K90" i="2"/>
  <c r="I90" i="2"/>
  <c r="G90" i="2"/>
  <c r="E90" i="2"/>
  <c r="C90" i="2"/>
  <c r="AA85" i="2"/>
  <c r="Z85" i="2"/>
  <c r="Y85" i="2"/>
  <c r="X85" i="2"/>
  <c r="W85" i="2"/>
  <c r="V85" i="2"/>
  <c r="U85" i="2"/>
  <c r="T85" i="2"/>
  <c r="R85" i="2"/>
  <c r="S85" i="2" s="1"/>
  <c r="P85" i="2"/>
  <c r="Q85" i="2" s="1"/>
  <c r="O85" i="2"/>
  <c r="N85" i="2"/>
  <c r="M85" i="2"/>
  <c r="L85" i="2"/>
  <c r="K85" i="2"/>
  <c r="J85" i="2"/>
  <c r="I85" i="2"/>
  <c r="H85" i="2"/>
  <c r="G85" i="2"/>
  <c r="F85" i="2"/>
  <c r="E85" i="2"/>
  <c r="D85" i="2"/>
  <c r="B85" i="2"/>
  <c r="C85" i="2" s="1"/>
  <c r="AG84" i="2"/>
  <c r="AF84" i="2"/>
  <c r="Z84" i="2"/>
  <c r="AA84" i="2" s="1"/>
  <c r="X84" i="2"/>
  <c r="Y84" i="2" s="1"/>
  <c r="W84" i="2"/>
  <c r="V84" i="2"/>
  <c r="T84" i="2"/>
  <c r="U84" i="2" s="1"/>
  <c r="R84" i="2"/>
  <c r="AB84" i="2" s="1"/>
  <c r="Q84" i="2"/>
  <c r="P84" i="2"/>
  <c r="N84" i="2"/>
  <c r="O84" i="2" s="1"/>
  <c r="L84" i="2"/>
  <c r="M84" i="2" s="1"/>
  <c r="J84" i="2"/>
  <c r="K84" i="2" s="1"/>
  <c r="H84" i="2"/>
  <c r="I84" i="2" s="1"/>
  <c r="G84" i="2"/>
  <c r="F84" i="2"/>
  <c r="D84" i="2"/>
  <c r="E84" i="2" s="1"/>
  <c r="C84" i="2"/>
  <c r="B84" i="2"/>
  <c r="AL83" i="2"/>
  <c r="AK83" i="2"/>
  <c r="AI83" i="2"/>
  <c r="AJ83" i="2" s="1"/>
  <c r="AG83" i="2"/>
  <c r="AH83" i="2" s="1"/>
  <c r="AB83" i="2"/>
  <c r="AA83" i="2"/>
  <c r="Y83" i="2"/>
  <c r="W83" i="2"/>
  <c r="U83" i="2"/>
  <c r="S83" i="2"/>
  <c r="Q83" i="2"/>
  <c r="O83" i="2"/>
  <c r="M83" i="2"/>
  <c r="K83" i="2"/>
  <c r="I83" i="2"/>
  <c r="G83" i="2"/>
  <c r="E83" i="2"/>
  <c r="C83" i="2"/>
  <c r="AG82" i="2"/>
  <c r="AF82" i="2"/>
  <c r="AE82" i="2"/>
  <c r="AD82" i="2"/>
  <c r="AC82" i="2"/>
  <c r="AB82" i="2"/>
  <c r="AA82" i="2"/>
  <c r="Y82" i="2"/>
  <c r="W82" i="2"/>
  <c r="U82" i="2"/>
  <c r="S82" i="2"/>
  <c r="Q82" i="2"/>
  <c r="O82" i="2"/>
  <c r="M82" i="2"/>
  <c r="K82" i="2"/>
  <c r="I82" i="2"/>
  <c r="G82" i="2"/>
  <c r="E82" i="2"/>
  <c r="C82" i="2"/>
  <c r="Z81" i="2"/>
  <c r="AA81" i="2" s="1"/>
  <c r="X81" i="2"/>
  <c r="V81" i="2"/>
  <c r="U81" i="2"/>
  <c r="T81" i="2"/>
  <c r="S81" i="2"/>
  <c r="R81" i="2"/>
  <c r="Q81" i="2"/>
  <c r="P81" i="2"/>
  <c r="O81" i="2"/>
  <c r="N81" i="2"/>
  <c r="L81" i="2"/>
  <c r="J81" i="2"/>
  <c r="K81" i="2" s="1"/>
  <c r="H81" i="2"/>
  <c r="I81" i="2" s="1"/>
  <c r="F81" i="2"/>
  <c r="G81" i="2" s="1"/>
  <c r="E81" i="2"/>
  <c r="D81" i="2"/>
  <c r="C81" i="2"/>
  <c r="B81" i="2"/>
  <c r="AG80" i="2"/>
  <c r="AB80" i="2"/>
  <c r="AF80" i="2" s="1"/>
  <c r="AA80" i="2"/>
  <c r="Y80" i="2"/>
  <c r="W80" i="2"/>
  <c r="U80" i="2"/>
  <c r="S80" i="2"/>
  <c r="Q80" i="2"/>
  <c r="O80" i="2"/>
  <c r="M80" i="2"/>
  <c r="K80" i="2"/>
  <c r="I80" i="2"/>
  <c r="G80" i="2"/>
  <c r="E80" i="2"/>
  <c r="C80" i="2"/>
  <c r="AL79" i="2"/>
  <c r="AK79" i="2"/>
  <c r="AI79" i="2"/>
  <c r="AJ79" i="2" s="1"/>
  <c r="AH79" i="2"/>
  <c r="AG79" i="2"/>
  <c r="AF79" i="2"/>
  <c r="AD79" i="2"/>
  <c r="AE79" i="2" s="1"/>
  <c r="AB79" i="2"/>
  <c r="AC79" i="2" s="1"/>
  <c r="AA79" i="2"/>
  <c r="Y79" i="2"/>
  <c r="W79" i="2"/>
  <c r="U79" i="2"/>
  <c r="S79" i="2"/>
  <c r="Q79" i="2"/>
  <c r="O79" i="2"/>
  <c r="M79" i="2"/>
  <c r="K79" i="2"/>
  <c r="I79" i="2"/>
  <c r="G79" i="2"/>
  <c r="E79" i="2"/>
  <c r="C79" i="2"/>
  <c r="AG78" i="2"/>
  <c r="AB78" i="2"/>
  <c r="AA78" i="2"/>
  <c r="Y78" i="2"/>
  <c r="W78" i="2"/>
  <c r="U78" i="2"/>
  <c r="S78" i="2"/>
  <c r="Q78" i="2"/>
  <c r="O78" i="2"/>
  <c r="M78" i="2"/>
  <c r="K78" i="2"/>
  <c r="I78" i="2"/>
  <c r="G78" i="2"/>
  <c r="E78" i="2"/>
  <c r="C78" i="2"/>
  <c r="AL77" i="2"/>
  <c r="AK77" i="2"/>
  <c r="AJ77" i="2"/>
  <c r="AI77" i="2"/>
  <c r="AH77" i="2"/>
  <c r="AG77" i="2"/>
  <c r="AF77" i="2"/>
  <c r="AD77" i="2"/>
  <c r="AE77" i="2" s="1"/>
  <c r="AB77" i="2"/>
  <c r="AC77" i="2" s="1"/>
  <c r="AA77" i="2"/>
  <c r="Y77" i="2"/>
  <c r="W77" i="2"/>
  <c r="U77" i="2"/>
  <c r="S77" i="2"/>
  <c r="Q77" i="2"/>
  <c r="O77" i="2"/>
  <c r="M77" i="2"/>
  <c r="K77" i="2"/>
  <c r="I77" i="2"/>
  <c r="G77" i="2"/>
  <c r="E77" i="2"/>
  <c r="C77" i="2"/>
  <c r="AG76" i="2"/>
  <c r="AB76" i="2"/>
  <c r="AF76" i="2" s="1"/>
  <c r="AA76" i="2"/>
  <c r="Y76" i="2"/>
  <c r="W76" i="2"/>
  <c r="U76" i="2"/>
  <c r="S76" i="2"/>
  <c r="Q76" i="2"/>
  <c r="O76" i="2"/>
  <c r="M76" i="2"/>
  <c r="K76" i="2"/>
  <c r="I76" i="2"/>
  <c r="G76" i="2"/>
  <c r="E76" i="2"/>
  <c r="C76" i="2"/>
  <c r="AK75" i="2"/>
  <c r="AL75" i="2" s="1"/>
  <c r="AJ75" i="2"/>
  <c r="AI75" i="2"/>
  <c r="AH75" i="2"/>
  <c r="AG75" i="2"/>
  <c r="AF75" i="2"/>
  <c r="AD75" i="2"/>
  <c r="AE75" i="2" s="1"/>
  <c r="AB75" i="2"/>
  <c r="AC75" i="2" s="1"/>
  <c r="AA75" i="2"/>
  <c r="Y75" i="2"/>
  <c r="W75" i="2"/>
  <c r="U75" i="2"/>
  <c r="S75" i="2"/>
  <c r="Q75" i="2"/>
  <c r="O75" i="2"/>
  <c r="M75" i="2"/>
  <c r="K75" i="2"/>
  <c r="I75" i="2"/>
  <c r="G75" i="2"/>
  <c r="E75" i="2"/>
  <c r="C75" i="2"/>
  <c r="AG74" i="2"/>
  <c r="AD74" i="2"/>
  <c r="AE74" i="2" s="1"/>
  <c r="AC74" i="2"/>
  <c r="AB74" i="2"/>
  <c r="AF74" i="2" s="1"/>
  <c r="AA74" i="2"/>
  <c r="Y74" i="2"/>
  <c r="W74" i="2"/>
  <c r="U74" i="2"/>
  <c r="S74" i="2"/>
  <c r="Q74" i="2"/>
  <c r="O74" i="2"/>
  <c r="M74" i="2"/>
  <c r="K74" i="2"/>
  <c r="I74" i="2"/>
  <c r="G74" i="2"/>
  <c r="E74" i="2"/>
  <c r="C74" i="2"/>
  <c r="AK72" i="2"/>
  <c r="AL72" i="2" s="1"/>
  <c r="AI72" i="2"/>
  <c r="AJ72" i="2" s="1"/>
  <c r="AH72" i="2"/>
  <c r="AG72" i="2"/>
  <c r="AB72" i="2"/>
  <c r="AC72" i="2" s="1"/>
  <c r="AA72" i="2"/>
  <c r="Y72" i="2"/>
  <c r="W72" i="2"/>
  <c r="U72" i="2"/>
  <c r="S72" i="2"/>
  <c r="Q72" i="2"/>
  <c r="O72" i="2"/>
  <c r="M72" i="2"/>
  <c r="K72" i="2"/>
  <c r="I72" i="2"/>
  <c r="G72" i="2"/>
  <c r="E72" i="2"/>
  <c r="C72" i="2"/>
  <c r="AH71" i="2"/>
  <c r="AG71" i="2"/>
  <c r="AB71" i="2"/>
  <c r="AF71" i="2" s="1"/>
  <c r="AA71" i="2"/>
  <c r="Y71" i="2"/>
  <c r="W71" i="2"/>
  <c r="U71" i="2"/>
  <c r="S71" i="2"/>
  <c r="Q71" i="2"/>
  <c r="O71" i="2"/>
  <c r="M71" i="2"/>
  <c r="K71" i="2"/>
  <c r="I71" i="2"/>
  <c r="G71" i="2"/>
  <c r="E71" i="2"/>
  <c r="C71" i="2"/>
  <c r="AB70" i="2"/>
  <c r="AC70" i="2" s="1"/>
  <c r="Z70" i="2"/>
  <c r="AA70" i="2" s="1"/>
  <c r="Y70" i="2"/>
  <c r="X70" i="2"/>
  <c r="V70" i="2"/>
  <c r="W70" i="2" s="1"/>
  <c r="T70" i="2"/>
  <c r="U70" i="2" s="1"/>
  <c r="S70" i="2"/>
  <c r="R70" i="2"/>
  <c r="P70" i="2"/>
  <c r="Q70" i="2" s="1"/>
  <c r="N70" i="2"/>
  <c r="O70" i="2" s="1"/>
  <c r="L70" i="2"/>
  <c r="M70" i="2" s="1"/>
  <c r="J70" i="2"/>
  <c r="I70" i="2"/>
  <c r="H70" i="2"/>
  <c r="F70" i="2"/>
  <c r="G70" i="2" s="1"/>
  <c r="E70" i="2"/>
  <c r="D70" i="2"/>
  <c r="C70" i="2"/>
  <c r="B70" i="2"/>
  <c r="AG69" i="2"/>
  <c r="AH69" i="2" s="1"/>
  <c r="AE69" i="2"/>
  <c r="AD69" i="2"/>
  <c r="AC69" i="2"/>
  <c r="AB69" i="2"/>
  <c r="AF69" i="2" s="1"/>
  <c r="AA69" i="2"/>
  <c r="Y69" i="2"/>
  <c r="W69" i="2"/>
  <c r="U69" i="2"/>
  <c r="S69" i="2"/>
  <c r="Q69" i="2"/>
  <c r="O69" i="2"/>
  <c r="M69" i="2"/>
  <c r="K69" i="2"/>
  <c r="I69" i="2"/>
  <c r="G69" i="2"/>
  <c r="E69" i="2"/>
  <c r="C69" i="2"/>
  <c r="AG68" i="2"/>
  <c r="AK68" i="2" s="1"/>
  <c r="AL68" i="2" s="1"/>
  <c r="AF68" i="2"/>
  <c r="AE68" i="2"/>
  <c r="AD68" i="2"/>
  <c r="AC68" i="2"/>
  <c r="AB68" i="2"/>
  <c r="AA68" i="2"/>
  <c r="Y68" i="2"/>
  <c r="W68" i="2"/>
  <c r="U68" i="2"/>
  <c r="S68" i="2"/>
  <c r="Q68" i="2"/>
  <c r="O68" i="2"/>
  <c r="M68" i="2"/>
  <c r="K68" i="2"/>
  <c r="I68" i="2"/>
  <c r="G68" i="2"/>
  <c r="E68" i="2"/>
  <c r="C68" i="2"/>
  <c r="AK67" i="2"/>
  <c r="AL67" i="2" s="1"/>
  <c r="AI67" i="2"/>
  <c r="AJ67" i="2" s="1"/>
  <c r="AG67" i="2"/>
  <c r="AH67" i="2" s="1"/>
  <c r="AC67" i="2"/>
  <c r="AB67" i="2"/>
  <c r="AF67" i="2" s="1"/>
  <c r="AA67" i="2"/>
  <c r="Y67" i="2"/>
  <c r="W67" i="2"/>
  <c r="U67" i="2"/>
  <c r="S67" i="2"/>
  <c r="Q67" i="2"/>
  <c r="O67" i="2"/>
  <c r="M67" i="2"/>
  <c r="K67" i="2"/>
  <c r="I67" i="2"/>
  <c r="G67" i="2"/>
  <c r="E67" i="2"/>
  <c r="C67" i="2"/>
  <c r="AH66" i="2"/>
  <c r="AG66" i="2"/>
  <c r="AK66" i="2" s="1"/>
  <c r="AL66" i="2" s="1"/>
  <c r="AF66" i="2"/>
  <c r="AE66" i="2"/>
  <c r="AD66" i="2"/>
  <c r="AC66" i="2"/>
  <c r="AB66" i="2"/>
  <c r="AA66" i="2"/>
  <c r="Y66" i="2"/>
  <c r="W66" i="2"/>
  <c r="U66" i="2"/>
  <c r="S66" i="2"/>
  <c r="Q66" i="2"/>
  <c r="O66" i="2"/>
  <c r="M66" i="2"/>
  <c r="K66" i="2"/>
  <c r="I66" i="2"/>
  <c r="G66" i="2"/>
  <c r="E66" i="2"/>
  <c r="C66" i="2"/>
  <c r="AK65" i="2"/>
  <c r="AL65" i="2" s="1"/>
  <c r="AI65" i="2"/>
  <c r="AJ65" i="2" s="1"/>
  <c r="AG65" i="2"/>
  <c r="AH65" i="2" s="1"/>
  <c r="AD65" i="2"/>
  <c r="AE65" i="2" s="1"/>
  <c r="AC65" i="2"/>
  <c r="AB65" i="2"/>
  <c r="AF65" i="2" s="1"/>
  <c r="AA65" i="2"/>
  <c r="Y65" i="2"/>
  <c r="W65" i="2"/>
  <c r="U65" i="2"/>
  <c r="S65" i="2"/>
  <c r="Q65" i="2"/>
  <c r="O65" i="2"/>
  <c r="M65" i="2"/>
  <c r="K65" i="2"/>
  <c r="I65" i="2"/>
  <c r="G65" i="2"/>
  <c r="E65" i="2"/>
  <c r="C65" i="2"/>
  <c r="AL63" i="2"/>
  <c r="AK63" i="2"/>
  <c r="AI63" i="2"/>
  <c r="AJ63" i="2" s="1"/>
  <c r="AG63" i="2"/>
  <c r="AH63" i="2" s="1"/>
  <c r="AF63" i="2"/>
  <c r="AD63" i="2"/>
  <c r="AE63" i="2" s="1"/>
  <c r="AC63" i="2"/>
  <c r="AB63" i="2"/>
  <c r="AA63" i="2"/>
  <c r="Y63" i="2"/>
  <c r="W63" i="2"/>
  <c r="U63" i="2"/>
  <c r="S63" i="2"/>
  <c r="Q63" i="2"/>
  <c r="O63" i="2"/>
  <c r="M63" i="2"/>
  <c r="K63" i="2"/>
  <c r="I63" i="2"/>
  <c r="G63" i="2"/>
  <c r="E63" i="2"/>
  <c r="C63" i="2"/>
  <c r="H59" i="2"/>
  <c r="H87" i="2" s="1"/>
  <c r="G59" i="2"/>
  <c r="Z57" i="2"/>
  <c r="AA57" i="2" s="1"/>
  <c r="X57" i="2"/>
  <c r="V57" i="2"/>
  <c r="W57" i="2" s="1"/>
  <c r="T57" i="2"/>
  <c r="R57" i="2"/>
  <c r="S57" i="2" s="1"/>
  <c r="P57" i="2"/>
  <c r="Q57" i="2" s="1"/>
  <c r="O57" i="2"/>
  <c r="N57" i="2"/>
  <c r="M57" i="2"/>
  <c r="L57" i="2"/>
  <c r="J57" i="2"/>
  <c r="H57" i="2"/>
  <c r="I57" i="2" s="1"/>
  <c r="F57" i="2"/>
  <c r="G57" i="2" s="1"/>
  <c r="D57" i="2"/>
  <c r="E57" i="2" s="1"/>
  <c r="C57" i="2"/>
  <c r="B57" i="2"/>
  <c r="AA56" i="2"/>
  <c r="Z56" i="2"/>
  <c r="X56" i="2"/>
  <c r="V56" i="2"/>
  <c r="W56" i="2" s="1"/>
  <c r="T56" i="2"/>
  <c r="U56" i="2" s="1"/>
  <c r="R56" i="2"/>
  <c r="P56" i="2"/>
  <c r="Q56" i="2" s="1"/>
  <c r="O56" i="2"/>
  <c r="N56" i="2"/>
  <c r="M56" i="2"/>
  <c r="L56" i="2"/>
  <c r="K56" i="2"/>
  <c r="J56" i="2"/>
  <c r="H56" i="2"/>
  <c r="I56" i="2" s="1"/>
  <c r="G56" i="2"/>
  <c r="F56" i="2"/>
  <c r="D56" i="2"/>
  <c r="E56" i="2" s="1"/>
  <c r="B56" i="2"/>
  <c r="C56" i="2" s="1"/>
  <c r="AK55" i="2"/>
  <c r="AL55" i="2" s="1"/>
  <c r="AJ55" i="2"/>
  <c r="AH55" i="2"/>
  <c r="AG55" i="2"/>
  <c r="AI55" i="2" s="1"/>
  <c r="AC55" i="2"/>
  <c r="AB55" i="2"/>
  <c r="AF55" i="2" s="1"/>
  <c r="AA55" i="2"/>
  <c r="Y55" i="2"/>
  <c r="W55" i="2"/>
  <c r="U55" i="2"/>
  <c r="S55" i="2"/>
  <c r="Q55" i="2"/>
  <c r="O55" i="2"/>
  <c r="M55" i="2"/>
  <c r="K55" i="2"/>
  <c r="I55" i="2"/>
  <c r="G55" i="2"/>
  <c r="E55" i="2"/>
  <c r="C55" i="2"/>
  <c r="AI54" i="2"/>
  <c r="AJ54" i="2" s="1"/>
  <c r="AH54" i="2"/>
  <c r="AG54" i="2"/>
  <c r="AK54" i="2" s="1"/>
  <c r="AL54" i="2" s="1"/>
  <c r="AF54" i="2"/>
  <c r="AC54" i="2"/>
  <c r="AB54" i="2"/>
  <c r="AD54" i="2" s="1"/>
  <c r="AE54" i="2" s="1"/>
  <c r="AA54" i="2"/>
  <c r="Y54" i="2"/>
  <c r="W54" i="2"/>
  <c r="U54" i="2"/>
  <c r="S54" i="2"/>
  <c r="Q54" i="2"/>
  <c r="O54" i="2"/>
  <c r="M54" i="2"/>
  <c r="K54" i="2"/>
  <c r="I54" i="2"/>
  <c r="G54" i="2"/>
  <c r="E54" i="2"/>
  <c r="C54" i="2"/>
  <c r="AK53" i="2"/>
  <c r="AL53" i="2" s="1"/>
  <c r="AH53" i="2"/>
  <c r="AG53" i="2"/>
  <c r="AI53" i="2" s="1"/>
  <c r="AJ53" i="2" s="1"/>
  <c r="AB53" i="2"/>
  <c r="AF53" i="2" s="1"/>
  <c r="AA53" i="2"/>
  <c r="Y53" i="2"/>
  <c r="W53" i="2"/>
  <c r="U53" i="2"/>
  <c r="S53" i="2"/>
  <c r="Q53" i="2"/>
  <c r="O53" i="2"/>
  <c r="M53" i="2"/>
  <c r="K53" i="2"/>
  <c r="I53" i="2"/>
  <c r="G53" i="2"/>
  <c r="E53" i="2"/>
  <c r="C53" i="2"/>
  <c r="AF52" i="2"/>
  <c r="AE52" i="2"/>
  <c r="AC52" i="2"/>
  <c r="Z52" i="2"/>
  <c r="AA52" i="2" s="1"/>
  <c r="X52" i="2"/>
  <c r="Y52" i="2" s="1"/>
  <c r="V52" i="2"/>
  <c r="W52" i="2" s="1"/>
  <c r="U52" i="2"/>
  <c r="T52" i="2"/>
  <c r="S52" i="2"/>
  <c r="R52" i="2"/>
  <c r="AB52" i="2" s="1"/>
  <c r="AD52" i="2" s="1"/>
  <c r="P52" i="2"/>
  <c r="Q52" i="2" s="1"/>
  <c r="N52" i="2"/>
  <c r="O52" i="2" s="1"/>
  <c r="L52" i="2"/>
  <c r="M52" i="2" s="1"/>
  <c r="J52" i="2"/>
  <c r="K52" i="2" s="1"/>
  <c r="H52" i="2"/>
  <c r="I52" i="2" s="1"/>
  <c r="F52" i="2"/>
  <c r="G52" i="2" s="1"/>
  <c r="E52" i="2"/>
  <c r="D52" i="2"/>
  <c r="C52" i="2"/>
  <c r="B52" i="2"/>
  <c r="AH51" i="2"/>
  <c r="AG51" i="2"/>
  <c r="AK51" i="2" s="1"/>
  <c r="AL51" i="2" s="1"/>
  <c r="AC51" i="2"/>
  <c r="AB51" i="2"/>
  <c r="AF51" i="2" s="1"/>
  <c r="AA51" i="2"/>
  <c r="Y51" i="2"/>
  <c r="W51" i="2"/>
  <c r="U51" i="2"/>
  <c r="S51" i="2"/>
  <c r="Q51" i="2"/>
  <c r="O51" i="2"/>
  <c r="M51" i="2"/>
  <c r="K51" i="2"/>
  <c r="I51" i="2"/>
  <c r="G51" i="2"/>
  <c r="E51" i="2"/>
  <c r="C51" i="2"/>
  <c r="AK50" i="2"/>
  <c r="AL50" i="2" s="1"/>
  <c r="AI50" i="2"/>
  <c r="AJ50" i="2" s="1"/>
  <c r="AH50" i="2"/>
  <c r="AG50" i="2"/>
  <c r="AF50" i="2"/>
  <c r="AD50" i="2"/>
  <c r="AE50" i="2" s="1"/>
  <c r="AB50" i="2"/>
  <c r="AC50" i="2" s="1"/>
  <c r="AA50" i="2"/>
  <c r="Y50" i="2"/>
  <c r="W50" i="2"/>
  <c r="U50" i="2"/>
  <c r="S50" i="2"/>
  <c r="Q50" i="2"/>
  <c r="O50" i="2"/>
  <c r="M50" i="2"/>
  <c r="K50" i="2"/>
  <c r="I50" i="2"/>
  <c r="G50" i="2"/>
  <c r="E50" i="2"/>
  <c r="C50" i="2"/>
  <c r="AJ49" i="2"/>
  <c r="AI49" i="2"/>
  <c r="AH49" i="2"/>
  <c r="AG49" i="2"/>
  <c r="AK49" i="2" s="1"/>
  <c r="AL49" i="2" s="1"/>
  <c r="AB49" i="2"/>
  <c r="AA49" i="2"/>
  <c r="Y49" i="2"/>
  <c r="W49" i="2"/>
  <c r="U49" i="2"/>
  <c r="S49" i="2"/>
  <c r="Q49" i="2"/>
  <c r="O49" i="2"/>
  <c r="M49" i="2"/>
  <c r="K49" i="2"/>
  <c r="I49" i="2"/>
  <c r="G49" i="2"/>
  <c r="E49" i="2"/>
  <c r="C49" i="2"/>
  <c r="AG48" i="2"/>
  <c r="AF48" i="2"/>
  <c r="AE48" i="2"/>
  <c r="AD48" i="2"/>
  <c r="AC48" i="2"/>
  <c r="AB48" i="2"/>
  <c r="AA48" i="2"/>
  <c r="Y48" i="2"/>
  <c r="W48" i="2"/>
  <c r="U48" i="2"/>
  <c r="S48" i="2"/>
  <c r="Q48" i="2"/>
  <c r="O48" i="2"/>
  <c r="M48" i="2"/>
  <c r="K48" i="2"/>
  <c r="I48" i="2"/>
  <c r="G48" i="2"/>
  <c r="E48" i="2"/>
  <c r="C48" i="2"/>
  <c r="AK47" i="2"/>
  <c r="AL47" i="2" s="1"/>
  <c r="AG47" i="2"/>
  <c r="AI47" i="2" s="1"/>
  <c r="AJ47" i="2" s="1"/>
  <c r="AC47" i="2"/>
  <c r="AB47" i="2"/>
  <c r="AA47" i="2"/>
  <c r="Y47" i="2"/>
  <c r="W47" i="2"/>
  <c r="U47" i="2"/>
  <c r="S47" i="2"/>
  <c r="Q47" i="2"/>
  <c r="O47" i="2"/>
  <c r="M47" i="2"/>
  <c r="K47" i="2"/>
  <c r="I47" i="2"/>
  <c r="G47" i="2"/>
  <c r="E47" i="2"/>
  <c r="C47" i="2"/>
  <c r="AG46" i="2"/>
  <c r="AK46" i="2" s="1"/>
  <c r="AL46" i="2" s="1"/>
  <c r="AD46" i="2"/>
  <c r="AE46" i="2" s="1"/>
  <c r="AC46" i="2"/>
  <c r="AB46" i="2"/>
  <c r="AF46" i="2" s="1"/>
  <c r="AA46" i="2"/>
  <c r="Y46" i="2"/>
  <c r="W46" i="2"/>
  <c r="U46" i="2"/>
  <c r="S46" i="2"/>
  <c r="Q46" i="2"/>
  <c r="O46" i="2"/>
  <c r="M46" i="2"/>
  <c r="K46" i="2"/>
  <c r="I46" i="2"/>
  <c r="G46" i="2"/>
  <c r="E46" i="2"/>
  <c r="C46" i="2"/>
  <c r="Z44" i="2"/>
  <c r="AA44" i="2" s="1"/>
  <c r="Y44" i="2"/>
  <c r="X44" i="2"/>
  <c r="V44" i="2"/>
  <c r="W44" i="2" s="1"/>
  <c r="U44" i="2"/>
  <c r="T44" i="2"/>
  <c r="S44" i="2"/>
  <c r="R44" i="2"/>
  <c r="Q44" i="2"/>
  <c r="P44" i="2"/>
  <c r="O44" i="2"/>
  <c r="N44" i="2"/>
  <c r="M44" i="2"/>
  <c r="L44" i="2"/>
  <c r="J44" i="2"/>
  <c r="AG44" i="2" s="1"/>
  <c r="AH44" i="2" s="1"/>
  <c r="I44" i="2"/>
  <c r="H44" i="2"/>
  <c r="F44" i="2"/>
  <c r="G44" i="2" s="1"/>
  <c r="E44" i="2"/>
  <c r="D44" i="2"/>
  <c r="C44" i="2"/>
  <c r="B44" i="2"/>
  <c r="AJ43" i="2"/>
  <c r="AI43" i="2"/>
  <c r="AH43" i="2"/>
  <c r="AG43" i="2"/>
  <c r="AK43" i="2" s="1"/>
  <c r="AL43" i="2" s="1"/>
  <c r="AB43" i="2"/>
  <c r="AA43" i="2"/>
  <c r="Y43" i="2"/>
  <c r="W43" i="2"/>
  <c r="U43" i="2"/>
  <c r="S43" i="2"/>
  <c r="Q43" i="2"/>
  <c r="O43" i="2"/>
  <c r="M43" i="2"/>
  <c r="K43" i="2"/>
  <c r="I43" i="2"/>
  <c r="G43" i="2"/>
  <c r="E43" i="2"/>
  <c r="C43" i="2"/>
  <c r="AI42" i="2"/>
  <c r="AJ42" i="2" s="1"/>
  <c r="AH42" i="2"/>
  <c r="AG42" i="2"/>
  <c r="AK42" i="2" s="1"/>
  <c r="AL42" i="2" s="1"/>
  <c r="AF42" i="2"/>
  <c r="AB42" i="2"/>
  <c r="AD42" i="2" s="1"/>
  <c r="AE42" i="2" s="1"/>
  <c r="AA42" i="2"/>
  <c r="Y42" i="2"/>
  <c r="W42" i="2"/>
  <c r="U42" i="2"/>
  <c r="S42" i="2"/>
  <c r="Q42" i="2"/>
  <c r="O42" i="2"/>
  <c r="M42" i="2"/>
  <c r="K42" i="2"/>
  <c r="I42" i="2"/>
  <c r="G42" i="2"/>
  <c r="E42" i="2"/>
  <c r="C42" i="2"/>
  <c r="AJ41" i="2"/>
  <c r="AI41" i="2"/>
  <c r="AH41" i="2"/>
  <c r="AG41" i="2"/>
  <c r="AK41" i="2" s="1"/>
  <c r="AL41" i="2" s="1"/>
  <c r="AB41" i="2"/>
  <c r="AA41" i="2"/>
  <c r="Y41" i="2"/>
  <c r="W41" i="2"/>
  <c r="U41" i="2"/>
  <c r="S41" i="2"/>
  <c r="Q41" i="2"/>
  <c r="O41" i="2"/>
  <c r="M41" i="2"/>
  <c r="K41" i="2"/>
  <c r="I41" i="2"/>
  <c r="G41" i="2"/>
  <c r="E41" i="2"/>
  <c r="C41" i="2"/>
  <c r="AJ40" i="2"/>
  <c r="AI40" i="2"/>
  <c r="AH40" i="2"/>
  <c r="AG40" i="2"/>
  <c r="AK40" i="2" s="1"/>
  <c r="AL40" i="2" s="1"/>
  <c r="AF40" i="2"/>
  <c r="AB40" i="2"/>
  <c r="AD40" i="2" s="1"/>
  <c r="AE40" i="2" s="1"/>
  <c r="AA40" i="2"/>
  <c r="Y40" i="2"/>
  <c r="W40" i="2"/>
  <c r="U40" i="2"/>
  <c r="S40" i="2"/>
  <c r="Q40" i="2"/>
  <c r="O40" i="2"/>
  <c r="M40" i="2"/>
  <c r="K40" i="2"/>
  <c r="I40" i="2"/>
  <c r="G40" i="2"/>
  <c r="E40" i="2"/>
  <c r="C40" i="2"/>
  <c r="AJ39" i="2"/>
  <c r="AI39" i="2"/>
  <c r="AH39" i="2"/>
  <c r="AG39" i="2"/>
  <c r="AK39" i="2" s="1"/>
  <c r="AL39" i="2" s="1"/>
  <c r="AB39" i="2"/>
  <c r="AA39" i="2"/>
  <c r="Y39" i="2"/>
  <c r="W39" i="2"/>
  <c r="U39" i="2"/>
  <c r="S39" i="2"/>
  <c r="Q39" i="2"/>
  <c r="O39" i="2"/>
  <c r="M39" i="2"/>
  <c r="K39" i="2"/>
  <c r="I39" i="2"/>
  <c r="G39" i="2"/>
  <c r="E39" i="2"/>
  <c r="C39" i="2"/>
  <c r="AI37" i="2"/>
  <c r="AJ37" i="2" s="1"/>
  <c r="AH37" i="2"/>
  <c r="AG37" i="2"/>
  <c r="AK37" i="2" s="1"/>
  <c r="AL37" i="2" s="1"/>
  <c r="AF37" i="2"/>
  <c r="AB37" i="2"/>
  <c r="AD37" i="2" s="1"/>
  <c r="AE37" i="2" s="1"/>
  <c r="AA37" i="2"/>
  <c r="Y37" i="2"/>
  <c r="W37" i="2"/>
  <c r="U37" i="2"/>
  <c r="S37" i="2"/>
  <c r="Q37" i="2"/>
  <c r="O37" i="2"/>
  <c r="M37" i="2"/>
  <c r="K37" i="2"/>
  <c r="I37" i="2"/>
  <c r="G37" i="2"/>
  <c r="E37" i="2"/>
  <c r="C37" i="2"/>
  <c r="Z35" i="2"/>
  <c r="AA35" i="2" s="1"/>
  <c r="X35" i="2"/>
  <c r="V35" i="2"/>
  <c r="W35" i="2" s="1"/>
  <c r="T35" i="2"/>
  <c r="U35" i="2" s="1"/>
  <c r="S35" i="2"/>
  <c r="R35" i="2"/>
  <c r="Q35" i="2"/>
  <c r="P35" i="2"/>
  <c r="N35" i="2"/>
  <c r="O35" i="2" s="1"/>
  <c r="L35" i="2"/>
  <c r="M35" i="2" s="1"/>
  <c r="J35" i="2"/>
  <c r="H35" i="2"/>
  <c r="I35" i="2" s="1"/>
  <c r="F35" i="2"/>
  <c r="G35" i="2" s="1"/>
  <c r="D35" i="2"/>
  <c r="E35" i="2" s="1"/>
  <c r="C35" i="2"/>
  <c r="B35" i="2"/>
  <c r="AG34" i="2"/>
  <c r="AF34" i="2"/>
  <c r="AE34" i="2"/>
  <c r="AC34" i="2"/>
  <c r="AA34" i="2"/>
  <c r="Z34" i="2"/>
  <c r="Y34" i="2"/>
  <c r="X34" i="2"/>
  <c r="W34" i="2"/>
  <c r="V34" i="2"/>
  <c r="T34" i="2"/>
  <c r="U34" i="2" s="1"/>
  <c r="S34" i="2"/>
  <c r="R34" i="2"/>
  <c r="AB34" i="2" s="1"/>
  <c r="AD34" i="2" s="1"/>
  <c r="P34" i="2"/>
  <c r="Q34" i="2" s="1"/>
  <c r="O34" i="2"/>
  <c r="N34" i="2"/>
  <c r="M34" i="2"/>
  <c r="L34" i="2"/>
  <c r="K34" i="2"/>
  <c r="J34" i="2"/>
  <c r="I34" i="2"/>
  <c r="H34" i="2"/>
  <c r="G34" i="2"/>
  <c r="F34" i="2"/>
  <c r="D34" i="2"/>
  <c r="E34" i="2" s="1"/>
  <c r="C34" i="2"/>
  <c r="B34" i="2"/>
  <c r="AK33" i="2"/>
  <c r="AL33" i="2" s="1"/>
  <c r="AJ33" i="2"/>
  <c r="AI33" i="2"/>
  <c r="AH33" i="2"/>
  <c r="AG33" i="2"/>
  <c r="AF33" i="2"/>
  <c r="AD33" i="2"/>
  <c r="AE33" i="2" s="1"/>
  <c r="AC33" i="2"/>
  <c r="AB33" i="2"/>
  <c r="AA33" i="2"/>
  <c r="Y33" i="2"/>
  <c r="W33" i="2"/>
  <c r="U33" i="2"/>
  <c r="S33" i="2"/>
  <c r="Q33" i="2"/>
  <c r="O33" i="2"/>
  <c r="M33" i="2"/>
  <c r="K33" i="2"/>
  <c r="I33" i="2"/>
  <c r="G33" i="2"/>
  <c r="E33" i="2"/>
  <c r="C33" i="2"/>
  <c r="AG32" i="2"/>
  <c r="AK32" i="2" s="1"/>
  <c r="AL32" i="2" s="1"/>
  <c r="AD32" i="2"/>
  <c r="AE32" i="2" s="1"/>
  <c r="AC32" i="2"/>
  <c r="AB32" i="2"/>
  <c r="AF32" i="2" s="1"/>
  <c r="AA32" i="2"/>
  <c r="Y32" i="2"/>
  <c r="W32" i="2"/>
  <c r="U32" i="2"/>
  <c r="S32" i="2"/>
  <c r="Q32" i="2"/>
  <c r="O32" i="2"/>
  <c r="M32" i="2"/>
  <c r="K32" i="2"/>
  <c r="I32" i="2"/>
  <c r="G32" i="2"/>
  <c r="E32" i="2"/>
  <c r="C32" i="2"/>
  <c r="AK31" i="2"/>
  <c r="AL31" i="2" s="1"/>
  <c r="AJ31" i="2"/>
  <c r="AI31" i="2"/>
  <c r="AH31" i="2"/>
  <c r="AG31" i="2"/>
  <c r="AF31" i="2"/>
  <c r="AD31" i="2"/>
  <c r="AE31" i="2" s="1"/>
  <c r="AC31" i="2"/>
  <c r="AB31" i="2"/>
  <c r="AA31" i="2"/>
  <c r="Y31" i="2"/>
  <c r="W31" i="2"/>
  <c r="U31" i="2"/>
  <c r="S31" i="2"/>
  <c r="Q31" i="2"/>
  <c r="O31" i="2"/>
  <c r="M31" i="2"/>
  <c r="K31" i="2"/>
  <c r="I31" i="2"/>
  <c r="G31" i="2"/>
  <c r="E31" i="2"/>
  <c r="C31" i="2"/>
  <c r="AG30" i="2"/>
  <c r="AK30" i="2" s="1"/>
  <c r="AL30" i="2" s="1"/>
  <c r="AB30" i="2"/>
  <c r="AF30" i="2" s="1"/>
  <c r="AA30" i="2"/>
  <c r="Y30" i="2"/>
  <c r="W30" i="2"/>
  <c r="U30" i="2"/>
  <c r="S30" i="2"/>
  <c r="Q30" i="2"/>
  <c r="O30" i="2"/>
  <c r="M30" i="2"/>
  <c r="K30" i="2"/>
  <c r="I30" i="2"/>
  <c r="G30" i="2"/>
  <c r="E30" i="2"/>
  <c r="C30" i="2"/>
  <c r="AK29" i="2"/>
  <c r="AL29" i="2" s="1"/>
  <c r="AJ29" i="2"/>
  <c r="AI29" i="2"/>
  <c r="AH29" i="2"/>
  <c r="AG29" i="2"/>
  <c r="AF29" i="2"/>
  <c r="AD29" i="2"/>
  <c r="AE29" i="2" s="1"/>
  <c r="AC29" i="2"/>
  <c r="AB29" i="2"/>
  <c r="AA29" i="2"/>
  <c r="Y29" i="2"/>
  <c r="W29" i="2"/>
  <c r="U29" i="2"/>
  <c r="S29" i="2"/>
  <c r="Q29" i="2"/>
  <c r="O29" i="2"/>
  <c r="M29" i="2"/>
  <c r="K29" i="2"/>
  <c r="I29" i="2"/>
  <c r="G29" i="2"/>
  <c r="E29" i="2"/>
  <c r="C29" i="2"/>
  <c r="AD27" i="2"/>
  <c r="AE27" i="2" s="1"/>
  <c r="AB27" i="2"/>
  <c r="AF27" i="2" s="1"/>
  <c r="Z27" i="2"/>
  <c r="AA27" i="2" s="1"/>
  <c r="X27" i="2"/>
  <c r="Y27" i="2" s="1"/>
  <c r="V27" i="2"/>
  <c r="W27" i="2" s="1"/>
  <c r="U27" i="2"/>
  <c r="T27" i="2"/>
  <c r="S27" i="2"/>
  <c r="R27" i="2"/>
  <c r="P27" i="2"/>
  <c r="Q27" i="2" s="1"/>
  <c r="N27" i="2"/>
  <c r="O27" i="2" s="1"/>
  <c r="L27" i="2"/>
  <c r="M27" i="2" s="1"/>
  <c r="J27" i="2"/>
  <c r="H27" i="2"/>
  <c r="I27" i="2" s="1"/>
  <c r="F27" i="2"/>
  <c r="G27" i="2" s="1"/>
  <c r="E27" i="2"/>
  <c r="D27" i="2"/>
  <c r="C27" i="2"/>
  <c r="B27" i="2"/>
  <c r="AG26" i="2"/>
  <c r="AK26" i="2" s="1"/>
  <c r="AL26" i="2" s="1"/>
  <c r="AF26" i="2"/>
  <c r="AE26" i="2"/>
  <c r="AD26" i="2"/>
  <c r="AC26" i="2"/>
  <c r="AB26" i="2"/>
  <c r="AA26" i="2"/>
  <c r="Y26" i="2"/>
  <c r="W26" i="2"/>
  <c r="U26" i="2"/>
  <c r="S26" i="2"/>
  <c r="Q26" i="2"/>
  <c r="O26" i="2"/>
  <c r="M26" i="2"/>
  <c r="K26" i="2"/>
  <c r="I26" i="2"/>
  <c r="G26" i="2"/>
  <c r="E26" i="2"/>
  <c r="C26" i="2"/>
  <c r="AK25" i="2"/>
  <c r="AL25" i="2" s="1"/>
  <c r="AI25" i="2"/>
  <c r="AJ25" i="2" s="1"/>
  <c r="AH25" i="2"/>
  <c r="AG25" i="2"/>
  <c r="AD25" i="2"/>
  <c r="AE25" i="2" s="1"/>
  <c r="AC25" i="2"/>
  <c r="AB25" i="2"/>
  <c r="AF25" i="2" s="1"/>
  <c r="AA25" i="2"/>
  <c r="Y25" i="2"/>
  <c r="W25" i="2"/>
  <c r="U25" i="2"/>
  <c r="S25" i="2"/>
  <c r="Q25" i="2"/>
  <c r="O25" i="2"/>
  <c r="M25" i="2"/>
  <c r="K25" i="2"/>
  <c r="I25" i="2"/>
  <c r="G25" i="2"/>
  <c r="E25" i="2"/>
  <c r="C25" i="2"/>
  <c r="AG24" i="2"/>
  <c r="AF24" i="2"/>
  <c r="AE24" i="2"/>
  <c r="AD24" i="2"/>
  <c r="AC24" i="2"/>
  <c r="AB24" i="2"/>
  <c r="AA24" i="2"/>
  <c r="Y24" i="2"/>
  <c r="W24" i="2"/>
  <c r="U24" i="2"/>
  <c r="S24" i="2"/>
  <c r="Q24" i="2"/>
  <c r="O24" i="2"/>
  <c r="M24" i="2"/>
  <c r="K24" i="2"/>
  <c r="I24" i="2"/>
  <c r="G24" i="2"/>
  <c r="E24" i="2"/>
  <c r="C24" i="2"/>
  <c r="AK23" i="2"/>
  <c r="AL23" i="2" s="1"/>
  <c r="AI23" i="2"/>
  <c r="AJ23" i="2" s="1"/>
  <c r="AH23" i="2"/>
  <c r="AG23" i="2"/>
  <c r="AD23" i="2"/>
  <c r="AE23" i="2" s="1"/>
  <c r="AC23" i="2"/>
  <c r="AB23" i="2"/>
  <c r="AF23" i="2" s="1"/>
  <c r="AA23" i="2"/>
  <c r="Y23" i="2"/>
  <c r="W23" i="2"/>
  <c r="U23" i="2"/>
  <c r="S23" i="2"/>
  <c r="Q23" i="2"/>
  <c r="O23" i="2"/>
  <c r="M23" i="2"/>
  <c r="K23" i="2"/>
  <c r="I23" i="2"/>
  <c r="G23" i="2"/>
  <c r="E23" i="2"/>
  <c r="C23" i="2"/>
  <c r="AI22" i="2"/>
  <c r="AJ22" i="2" s="1"/>
  <c r="AH22" i="2"/>
  <c r="AG22" i="2"/>
  <c r="AK22" i="2" s="1"/>
  <c r="AL22" i="2" s="1"/>
  <c r="AF22" i="2"/>
  <c r="AE22" i="2"/>
  <c r="AD22" i="2"/>
  <c r="AC22" i="2"/>
  <c r="AB22" i="2"/>
  <c r="AA22" i="2"/>
  <c r="Y22" i="2"/>
  <c r="W22" i="2"/>
  <c r="U22" i="2"/>
  <c r="S22" i="2"/>
  <c r="Q22" i="2"/>
  <c r="O22" i="2"/>
  <c r="M22" i="2"/>
  <c r="K22" i="2"/>
  <c r="I22" i="2"/>
  <c r="G22" i="2"/>
  <c r="E22" i="2"/>
  <c r="C22" i="2"/>
  <c r="AK21" i="2"/>
  <c r="AL21" i="2" s="1"/>
  <c r="AI21" i="2"/>
  <c r="AJ21" i="2" s="1"/>
  <c r="AH21" i="2"/>
  <c r="AG21" i="2"/>
  <c r="AD21" i="2"/>
  <c r="AE21" i="2" s="1"/>
  <c r="AC21" i="2"/>
  <c r="AB21" i="2"/>
  <c r="AF21" i="2" s="1"/>
  <c r="AA21" i="2"/>
  <c r="Y21" i="2"/>
  <c r="W21" i="2"/>
  <c r="U21" i="2"/>
  <c r="S21" i="2"/>
  <c r="Q21" i="2"/>
  <c r="O21" i="2"/>
  <c r="M21" i="2"/>
  <c r="K21" i="2"/>
  <c r="I21" i="2"/>
  <c r="G21" i="2"/>
  <c r="E21" i="2"/>
  <c r="C21" i="2"/>
  <c r="AI20" i="2"/>
  <c r="AJ20" i="2" s="1"/>
  <c r="AG20" i="2"/>
  <c r="AK20" i="2" s="1"/>
  <c r="AL20" i="2" s="1"/>
  <c r="AF20" i="2"/>
  <c r="AE20" i="2"/>
  <c r="AD20" i="2"/>
  <c r="AC20" i="2"/>
  <c r="AB20" i="2"/>
  <c r="AA20" i="2"/>
  <c r="Y20" i="2"/>
  <c r="W20" i="2"/>
  <c r="U20" i="2"/>
  <c r="S20" i="2"/>
  <c r="Q20" i="2"/>
  <c r="O20" i="2"/>
  <c r="M20" i="2"/>
  <c r="K20" i="2"/>
  <c r="I20" i="2"/>
  <c r="G20" i="2"/>
  <c r="E20" i="2"/>
  <c r="C20" i="2"/>
  <c r="AK19" i="2"/>
  <c r="AL19" i="2" s="1"/>
  <c r="AI19" i="2"/>
  <c r="AJ19" i="2" s="1"/>
  <c r="AH19" i="2"/>
  <c r="AG19" i="2"/>
  <c r="AD19" i="2"/>
  <c r="AE19" i="2" s="1"/>
  <c r="AC19" i="2"/>
  <c r="AB19" i="2"/>
  <c r="AF19" i="2" s="1"/>
  <c r="AA19" i="2"/>
  <c r="Y19" i="2"/>
  <c r="W19" i="2"/>
  <c r="U19" i="2"/>
  <c r="S19" i="2"/>
  <c r="Q19" i="2"/>
  <c r="O19" i="2"/>
  <c r="M19" i="2"/>
  <c r="K19" i="2"/>
  <c r="I19" i="2"/>
  <c r="G19" i="2"/>
  <c r="E19" i="2"/>
  <c r="C19" i="2"/>
  <c r="AG18" i="2"/>
  <c r="AK18" i="2" s="1"/>
  <c r="AL18" i="2" s="1"/>
  <c r="AF18" i="2"/>
  <c r="AE18" i="2"/>
  <c r="AD18" i="2"/>
  <c r="AC18" i="2"/>
  <c r="AB18" i="2"/>
  <c r="AA18" i="2"/>
  <c r="Y18" i="2"/>
  <c r="W18" i="2"/>
  <c r="U18" i="2"/>
  <c r="S18" i="2"/>
  <c r="Q18" i="2"/>
  <c r="O18" i="2"/>
  <c r="M18" i="2"/>
  <c r="K18" i="2"/>
  <c r="I18" i="2"/>
  <c r="G18" i="2"/>
  <c r="E18" i="2"/>
  <c r="C18" i="2"/>
  <c r="AK17" i="2"/>
  <c r="AL17" i="2" s="1"/>
  <c r="AI17" i="2"/>
  <c r="AJ17" i="2" s="1"/>
  <c r="AH17" i="2"/>
  <c r="AG17" i="2"/>
  <c r="AD17" i="2"/>
  <c r="AE17" i="2" s="1"/>
  <c r="AC17" i="2"/>
  <c r="AB17" i="2"/>
  <c r="AF17" i="2" s="1"/>
  <c r="AA17" i="2"/>
  <c r="Y17" i="2"/>
  <c r="W17" i="2"/>
  <c r="U17" i="2"/>
  <c r="S17" i="2"/>
  <c r="Q17" i="2"/>
  <c r="O17" i="2"/>
  <c r="M17" i="2"/>
  <c r="K17" i="2"/>
  <c r="I17" i="2"/>
  <c r="G17" i="2"/>
  <c r="E17" i="2"/>
  <c r="C17" i="2"/>
  <c r="AI16" i="2"/>
  <c r="AJ16" i="2" s="1"/>
  <c r="AG16" i="2"/>
  <c r="AK16" i="2" s="1"/>
  <c r="AL16" i="2" s="1"/>
  <c r="AF16" i="2"/>
  <c r="AE16" i="2"/>
  <c r="AD16" i="2"/>
  <c r="AC16" i="2"/>
  <c r="AB16" i="2"/>
  <c r="AA16" i="2"/>
  <c r="Y16" i="2"/>
  <c r="W16" i="2"/>
  <c r="U16" i="2"/>
  <c r="S16" i="2"/>
  <c r="Q16" i="2"/>
  <c r="O16" i="2"/>
  <c r="M16" i="2"/>
  <c r="K16" i="2"/>
  <c r="I16" i="2"/>
  <c r="G16" i="2"/>
  <c r="E16" i="2"/>
  <c r="C16" i="2"/>
  <c r="AK15" i="2"/>
  <c r="AL15" i="2" s="1"/>
  <c r="AI15" i="2"/>
  <c r="AJ15" i="2" s="1"/>
  <c r="AH15" i="2"/>
  <c r="AG15" i="2"/>
  <c r="AD15" i="2"/>
  <c r="AE15" i="2" s="1"/>
  <c r="AC15" i="2"/>
  <c r="AB15" i="2"/>
  <c r="AF15" i="2" s="1"/>
  <c r="AA15" i="2"/>
  <c r="Y15" i="2"/>
  <c r="W15" i="2"/>
  <c r="U15" i="2"/>
  <c r="S15" i="2"/>
  <c r="Q15" i="2"/>
  <c r="O15" i="2"/>
  <c r="M15" i="2"/>
  <c r="K15" i="2"/>
  <c r="I15" i="2"/>
  <c r="G15" i="2"/>
  <c r="E15" i="2"/>
  <c r="C15" i="2"/>
  <c r="AG13" i="2"/>
  <c r="AK13" i="2" s="1"/>
  <c r="AL13" i="2" s="1"/>
  <c r="AF13" i="2"/>
  <c r="AE13" i="2"/>
  <c r="AD13" i="2"/>
  <c r="AC13" i="2"/>
  <c r="AB13" i="2"/>
  <c r="AA13" i="2"/>
  <c r="Y13" i="2"/>
  <c r="W13" i="2"/>
  <c r="U13" i="2"/>
  <c r="S13" i="2"/>
  <c r="Q13" i="2"/>
  <c r="O13" i="2"/>
  <c r="M13" i="2"/>
  <c r="K13" i="2"/>
  <c r="I13" i="2"/>
  <c r="G13" i="2"/>
  <c r="E13" i="2"/>
  <c r="C13" i="2"/>
  <c r="AA9" i="2"/>
  <c r="Z9" i="2"/>
  <c r="Z59" i="2" s="1"/>
  <c r="Y9" i="2"/>
  <c r="X9" i="2"/>
  <c r="W9" i="2"/>
  <c r="V9" i="2"/>
  <c r="V59" i="2" s="1"/>
  <c r="U9" i="2"/>
  <c r="T9" i="2"/>
  <c r="S9" i="2"/>
  <c r="R9" i="2"/>
  <c r="R59" i="2" s="1"/>
  <c r="R87" i="2" s="1"/>
  <c r="P9" i="2"/>
  <c r="P59" i="2" s="1"/>
  <c r="P87" i="2" s="1"/>
  <c r="N9" i="2"/>
  <c r="N59" i="2" s="1"/>
  <c r="M9" i="2"/>
  <c r="L9" i="2"/>
  <c r="L59" i="2" s="1"/>
  <c r="J9" i="2"/>
  <c r="I9" i="2"/>
  <c r="H9" i="2"/>
  <c r="G9" i="2"/>
  <c r="F9" i="2"/>
  <c r="F59" i="2" s="1"/>
  <c r="F87" i="2" s="1"/>
  <c r="E9" i="2"/>
  <c r="D9" i="2"/>
  <c r="C9" i="2"/>
  <c r="B9" i="2"/>
  <c r="B59" i="2" s="1"/>
  <c r="B87" i="2" s="1"/>
  <c r="B107" i="2" s="1"/>
  <c r="AI8" i="2"/>
  <c r="AJ8" i="2" s="1"/>
  <c r="AH8" i="2"/>
  <c r="AG8" i="2"/>
  <c r="AK8" i="2" s="1"/>
  <c r="AL8" i="2" s="1"/>
  <c r="AB8" i="2"/>
  <c r="AC8" i="2" s="1"/>
  <c r="AA8" i="2"/>
  <c r="Y8" i="2"/>
  <c r="W8" i="2"/>
  <c r="U8" i="2"/>
  <c r="S8" i="2"/>
  <c r="Q8" i="2"/>
  <c r="O8" i="2"/>
  <c r="M8" i="2"/>
  <c r="K8" i="2"/>
  <c r="I8" i="2"/>
  <c r="G8" i="2"/>
  <c r="E8" i="2"/>
  <c r="C8" i="2"/>
  <c r="AL7" i="2"/>
  <c r="AK7" i="2"/>
  <c r="AJ7" i="2"/>
  <c r="AI7" i="2"/>
  <c r="AH7" i="2"/>
  <c r="AG7" i="2"/>
  <c r="AF7" i="2"/>
  <c r="AE7" i="2"/>
  <c r="AD7" i="2"/>
  <c r="AC7" i="2"/>
  <c r="AB7" i="2"/>
  <c r="AA7" i="2"/>
  <c r="Y7" i="2"/>
  <c r="W7" i="2"/>
  <c r="U7" i="2"/>
  <c r="S7" i="2"/>
  <c r="Q7" i="2"/>
  <c r="O7" i="2"/>
  <c r="M7" i="2"/>
  <c r="K7" i="2"/>
  <c r="I7" i="2"/>
  <c r="G7" i="2"/>
  <c r="E7" i="2"/>
  <c r="C7" i="2"/>
  <c r="AF65" i="3" l="1"/>
  <c r="AD65" i="3"/>
  <c r="AE65" i="3" s="1"/>
  <c r="AC65" i="3"/>
  <c r="AF78" i="2"/>
  <c r="AD78" i="2"/>
  <c r="AE78" i="2" s="1"/>
  <c r="AC78" i="2"/>
  <c r="F107" i="2"/>
  <c r="G87" i="2"/>
  <c r="F101" i="2"/>
  <c r="G101" i="2" s="1"/>
  <c r="Z87" i="2"/>
  <c r="AA59" i="2"/>
  <c r="AK24" i="2"/>
  <c r="AL24" i="2" s="1"/>
  <c r="AI24" i="2"/>
  <c r="AJ24" i="2" s="1"/>
  <c r="AH24" i="2"/>
  <c r="AI44" i="2"/>
  <c r="AJ44" i="2" s="1"/>
  <c r="AI140" i="2"/>
  <c r="AJ140" i="2" s="1"/>
  <c r="AH140" i="2"/>
  <c r="AF25" i="3"/>
  <c r="AC25" i="3"/>
  <c r="AH20" i="2"/>
  <c r="AC27" i="2"/>
  <c r="AK44" i="2"/>
  <c r="AL44" i="2" s="1"/>
  <c r="Y57" i="2"/>
  <c r="AK94" i="2"/>
  <c r="AL94" i="2" s="1"/>
  <c r="AI94" i="2"/>
  <c r="AJ94" i="2" s="1"/>
  <c r="AH94" i="2"/>
  <c r="AK140" i="2"/>
  <c r="AL140" i="2" s="1"/>
  <c r="Q9" i="3"/>
  <c r="P59" i="3"/>
  <c r="AD25" i="3"/>
  <c r="AE25" i="3" s="1"/>
  <c r="AF43" i="2"/>
  <c r="AD43" i="2"/>
  <c r="AE43" i="2" s="1"/>
  <c r="AC43" i="2"/>
  <c r="AK54" i="3"/>
  <c r="AI54" i="3"/>
  <c r="AJ54" i="3" s="1"/>
  <c r="AH54" i="3"/>
  <c r="AD8" i="2"/>
  <c r="AE8" i="2" s="1"/>
  <c r="L87" i="2"/>
  <c r="M59" i="2"/>
  <c r="AI34" i="2"/>
  <c r="AJ34" i="2" s="1"/>
  <c r="AH34" i="2"/>
  <c r="Y35" i="2"/>
  <c r="AF70" i="2"/>
  <c r="AF105" i="2"/>
  <c r="AB105" i="2"/>
  <c r="AC105" i="2" s="1"/>
  <c r="Y105" i="2"/>
  <c r="AH13" i="2"/>
  <c r="AG52" i="2"/>
  <c r="H107" i="2"/>
  <c r="I87" i="2"/>
  <c r="H101" i="2"/>
  <c r="I101" i="2" s="1"/>
  <c r="AF8" i="2"/>
  <c r="N87" i="2"/>
  <c r="O59" i="2"/>
  <c r="AI13" i="2"/>
  <c r="AJ13" i="2" s="1"/>
  <c r="I59" i="2"/>
  <c r="AF116" i="2"/>
  <c r="AC116" i="2"/>
  <c r="AH18" i="2"/>
  <c r="AC30" i="2"/>
  <c r="AB35" i="2"/>
  <c r="AC35" i="2" s="1"/>
  <c r="AK48" i="2"/>
  <c r="AL48" i="2" s="1"/>
  <c r="AI48" i="2"/>
  <c r="AJ48" i="2" s="1"/>
  <c r="AH48" i="2"/>
  <c r="AG57" i="2"/>
  <c r="AH57" i="2" s="1"/>
  <c r="X59" i="2"/>
  <c r="AB81" i="2"/>
  <c r="AC81" i="2" s="1"/>
  <c r="AD116" i="2"/>
  <c r="AE116" i="2" s="1"/>
  <c r="AI18" i="2"/>
  <c r="AJ18" i="2" s="1"/>
  <c r="AD30" i="2"/>
  <c r="AE30" i="2" s="1"/>
  <c r="AF39" i="2"/>
  <c r="AD39" i="2"/>
  <c r="AE39" i="2" s="1"/>
  <c r="AC39" i="2"/>
  <c r="AB44" i="2"/>
  <c r="AC44" i="2" s="1"/>
  <c r="AK74" i="2"/>
  <c r="AL74" i="2" s="1"/>
  <c r="AI74" i="2"/>
  <c r="AJ74" i="2" s="1"/>
  <c r="AH74" i="2"/>
  <c r="W81" i="2"/>
  <c r="AF81" i="2"/>
  <c r="AD81" i="2"/>
  <c r="AE81" i="2" s="1"/>
  <c r="AK81" i="2"/>
  <c r="AL81" i="2" s="1"/>
  <c r="AI81" i="2"/>
  <c r="AJ81" i="2" s="1"/>
  <c r="Y81" i="2"/>
  <c r="B137" i="2"/>
  <c r="C107" i="2"/>
  <c r="AG35" i="2"/>
  <c r="AH35" i="2" s="1"/>
  <c r="AK134" i="2"/>
  <c r="AL134" i="2" s="1"/>
  <c r="AI134" i="2"/>
  <c r="AJ134" i="2" s="1"/>
  <c r="AG9" i="2"/>
  <c r="AH9" i="2" s="1"/>
  <c r="J59" i="2"/>
  <c r="AH26" i="2"/>
  <c r="K35" i="2"/>
  <c r="AI91" i="3"/>
  <c r="AJ91" i="3" s="1"/>
  <c r="AK91" i="3"/>
  <c r="AH91" i="3"/>
  <c r="AG27" i="2"/>
  <c r="AH27" i="2" s="1"/>
  <c r="K27" i="2"/>
  <c r="AD70" i="2"/>
  <c r="AE70" i="2" s="1"/>
  <c r="W59" i="2"/>
  <c r="V87" i="2"/>
  <c r="AI26" i="2"/>
  <c r="AJ26" i="2" s="1"/>
  <c r="AK34" i="2"/>
  <c r="AL34" i="2" s="1"/>
  <c r="AF41" i="2"/>
  <c r="AD41" i="2"/>
  <c r="AE41" i="2" s="1"/>
  <c r="AC41" i="2"/>
  <c r="AK84" i="2"/>
  <c r="AL84" i="2" s="1"/>
  <c r="AI84" i="2"/>
  <c r="AJ84" i="2" s="1"/>
  <c r="AH84" i="2"/>
  <c r="K9" i="2"/>
  <c r="AH16" i="2"/>
  <c r="AD56" i="2"/>
  <c r="AE56" i="2" s="1"/>
  <c r="AK56" i="2"/>
  <c r="AL56" i="2" s="1"/>
  <c r="AI56" i="2"/>
  <c r="AJ56" i="2" s="1"/>
  <c r="Y56" i="2"/>
  <c r="U57" i="2"/>
  <c r="AB57" i="2"/>
  <c r="AC57" i="2" s="1"/>
  <c r="AG85" i="2"/>
  <c r="AF110" i="2"/>
  <c r="AC110" i="2"/>
  <c r="AF126" i="2"/>
  <c r="AC126" i="2"/>
  <c r="R87" i="3"/>
  <c r="S59" i="3"/>
  <c r="AB9" i="2"/>
  <c r="AC9" i="2" s="1"/>
  <c r="AF122" i="2"/>
  <c r="AC122" i="2"/>
  <c r="AH8" i="3"/>
  <c r="AI8" i="3"/>
  <c r="AJ8" i="3" s="1"/>
  <c r="AF49" i="2"/>
  <c r="AD49" i="2"/>
  <c r="AE49" i="2" s="1"/>
  <c r="AG70" i="2"/>
  <c r="K70" i="2"/>
  <c r="AG145" i="2"/>
  <c r="K145" i="2"/>
  <c r="X87" i="3"/>
  <c r="Y59" i="3"/>
  <c r="AK30" i="3"/>
  <c r="AI30" i="3"/>
  <c r="AJ30" i="3" s="1"/>
  <c r="AH30" i="3"/>
  <c r="AD9" i="2"/>
  <c r="AE9" i="2" s="1"/>
  <c r="AH46" i="2"/>
  <c r="AC49" i="2"/>
  <c r="AI51" i="2"/>
  <c r="AJ51" i="2" s="1"/>
  <c r="AD55" i="2"/>
  <c r="AE55" i="2" s="1"/>
  <c r="K57" i="2"/>
  <c r="AH68" i="2"/>
  <c r="AK78" i="2"/>
  <c r="AL78" i="2" s="1"/>
  <c r="AI78" i="2"/>
  <c r="AJ78" i="2" s="1"/>
  <c r="AH78" i="2"/>
  <c r="AF112" i="2"/>
  <c r="AC112" i="2"/>
  <c r="AF128" i="2"/>
  <c r="AC128" i="2"/>
  <c r="O9" i="2"/>
  <c r="AH30" i="2"/>
  <c r="AH32" i="2"/>
  <c r="K44" i="2"/>
  <c r="AI46" i="2"/>
  <c r="AJ46" i="2" s="1"/>
  <c r="AK52" i="2"/>
  <c r="AL52" i="2" s="1"/>
  <c r="AC53" i="2"/>
  <c r="AI68" i="2"/>
  <c r="AJ68" i="2" s="1"/>
  <c r="AC71" i="2"/>
  <c r="AG105" i="2"/>
  <c r="AH105" i="2" s="1"/>
  <c r="AD112" i="2"/>
  <c r="AE112" i="2" s="1"/>
  <c r="AD128" i="2"/>
  <c r="AE128" i="2" s="1"/>
  <c r="Z101" i="3"/>
  <c r="AA101" i="3" s="1"/>
  <c r="Z107" i="3"/>
  <c r="AA87" i="3"/>
  <c r="AD104" i="3"/>
  <c r="AE104" i="3" s="1"/>
  <c r="AC104" i="3"/>
  <c r="P107" i="2"/>
  <c r="P101" i="2"/>
  <c r="Q101" i="2" s="1"/>
  <c r="Q87" i="2"/>
  <c r="AI27" i="2"/>
  <c r="AJ27" i="2" s="1"/>
  <c r="AI30" i="2"/>
  <c r="AJ30" i="2" s="1"/>
  <c r="AI32" i="2"/>
  <c r="AJ32" i="2" s="1"/>
  <c r="AF47" i="2"/>
  <c r="AD47" i="2"/>
  <c r="AE47" i="2" s="1"/>
  <c r="AD53" i="2"/>
  <c r="AE53" i="2" s="1"/>
  <c r="AD71" i="2"/>
  <c r="AE71" i="2" s="1"/>
  <c r="AG81" i="2"/>
  <c r="AH81" i="2" s="1"/>
  <c r="M81" i="2"/>
  <c r="AF118" i="2"/>
  <c r="AC118" i="2"/>
  <c r="AC141" i="2"/>
  <c r="AK79" i="3"/>
  <c r="AI79" i="3"/>
  <c r="AJ79" i="3" s="1"/>
  <c r="AH79" i="3"/>
  <c r="AK85" i="3"/>
  <c r="AI85" i="3"/>
  <c r="AJ85" i="3" s="1"/>
  <c r="AH85" i="3"/>
  <c r="AF104" i="3"/>
  <c r="Q9" i="2"/>
  <c r="AK71" i="2"/>
  <c r="AL71" i="2" s="1"/>
  <c r="AI71" i="2"/>
  <c r="AJ71" i="2" s="1"/>
  <c r="AK13" i="3"/>
  <c r="AI13" i="3"/>
  <c r="AJ13" i="3" s="1"/>
  <c r="AK35" i="3"/>
  <c r="AI35" i="3"/>
  <c r="AJ35" i="3" s="1"/>
  <c r="AH35" i="3"/>
  <c r="AF35" i="3"/>
  <c r="AD35" i="3"/>
  <c r="AE35" i="3" s="1"/>
  <c r="AF39" i="3"/>
  <c r="AD39" i="3"/>
  <c r="AE39" i="3" s="1"/>
  <c r="AC39" i="3"/>
  <c r="AF75" i="3"/>
  <c r="AD75" i="3"/>
  <c r="AE75" i="3" s="1"/>
  <c r="AC75" i="3"/>
  <c r="B101" i="2"/>
  <c r="C101" i="2" s="1"/>
  <c r="C87" i="2"/>
  <c r="R101" i="2"/>
  <c r="S87" i="2"/>
  <c r="AK27" i="2"/>
  <c r="AL27" i="2" s="1"/>
  <c r="AG56" i="2"/>
  <c r="AH56" i="2" s="1"/>
  <c r="Q59" i="2"/>
  <c r="AF124" i="2"/>
  <c r="AC124" i="2"/>
  <c r="AG141" i="2"/>
  <c r="AH13" i="3"/>
  <c r="AC35" i="3"/>
  <c r="AC46" i="3"/>
  <c r="AF46" i="3"/>
  <c r="AI56" i="3"/>
  <c r="AJ56" i="3" s="1"/>
  <c r="AK56" i="3"/>
  <c r="AH56" i="3"/>
  <c r="AI9" i="2"/>
  <c r="AJ9" i="2" s="1"/>
  <c r="S59" i="2"/>
  <c r="AI66" i="2"/>
  <c r="AJ66" i="2" s="1"/>
  <c r="AD72" i="2"/>
  <c r="AE72" i="2" s="1"/>
  <c r="AC76" i="2"/>
  <c r="AF83" i="2"/>
  <c r="AD83" i="2"/>
  <c r="AE83" i="2" s="1"/>
  <c r="AC83" i="2"/>
  <c r="AD84" i="2"/>
  <c r="AE84" i="2" s="1"/>
  <c r="AC84" i="2"/>
  <c r="AH92" i="2"/>
  <c r="AD104" i="2"/>
  <c r="AE104" i="2" s="1"/>
  <c r="R107" i="2"/>
  <c r="AD124" i="2"/>
  <c r="AE124" i="2" s="1"/>
  <c r="AC130" i="2"/>
  <c r="AD46" i="3"/>
  <c r="AE46" i="3" s="1"/>
  <c r="D59" i="2"/>
  <c r="T59" i="2"/>
  <c r="AC37" i="2"/>
  <c r="AC40" i="2"/>
  <c r="AC42" i="2"/>
  <c r="AH47" i="2"/>
  <c r="AI69" i="2"/>
  <c r="AJ69" i="2" s="1"/>
  <c r="AF72" i="2"/>
  <c r="AD76" i="2"/>
  <c r="AE76" i="2" s="1"/>
  <c r="AC80" i="2"/>
  <c r="AK82" i="2"/>
  <c r="AL82" i="2" s="1"/>
  <c r="AI82" i="2"/>
  <c r="AJ82" i="2" s="1"/>
  <c r="AH82" i="2"/>
  <c r="S84" i="2"/>
  <c r="AK92" i="2"/>
  <c r="AL92" i="2" s="1"/>
  <c r="AF114" i="2"/>
  <c r="AC114" i="2"/>
  <c r="AD130" i="2"/>
  <c r="AE130" i="2" s="1"/>
  <c r="K59" i="3"/>
  <c r="J87" i="3"/>
  <c r="AF97" i="3"/>
  <c r="AD97" i="3"/>
  <c r="AE97" i="3" s="1"/>
  <c r="AH120" i="3"/>
  <c r="AB56" i="2"/>
  <c r="AC56" i="2" s="1"/>
  <c r="AK69" i="2"/>
  <c r="AL69" i="2" s="1"/>
  <c r="AK76" i="2"/>
  <c r="AL76" i="2" s="1"/>
  <c r="AI76" i="2"/>
  <c r="AJ76" i="2" s="1"/>
  <c r="AD80" i="2"/>
  <c r="AE80" i="2" s="1"/>
  <c r="AD114" i="2"/>
  <c r="AE114" i="2" s="1"/>
  <c r="W27" i="3"/>
  <c r="AG27" i="3"/>
  <c r="AH27" i="3" s="1"/>
  <c r="AB27" i="3"/>
  <c r="AC97" i="3"/>
  <c r="AI120" i="3"/>
  <c r="AJ120" i="3" s="1"/>
  <c r="S56" i="2"/>
  <c r="C59" i="2"/>
  <c r="AD67" i="2"/>
  <c r="AE67" i="2" s="1"/>
  <c r="AH76" i="2"/>
  <c r="AK80" i="2"/>
  <c r="AL80" i="2" s="1"/>
  <c r="AI80" i="2"/>
  <c r="AJ80" i="2" s="1"/>
  <c r="AH80" i="2"/>
  <c r="AB85" i="2"/>
  <c r="AK99" i="2"/>
  <c r="AL99" i="2" s="1"/>
  <c r="AI99" i="2"/>
  <c r="AJ99" i="2" s="1"/>
  <c r="AH99" i="2"/>
  <c r="AF120" i="2"/>
  <c r="AC120" i="2"/>
  <c r="AK27" i="3"/>
  <c r="AA59" i="3"/>
  <c r="AF69" i="3"/>
  <c r="AD69" i="3"/>
  <c r="AE69" i="3" s="1"/>
  <c r="AC69" i="3"/>
  <c r="T87" i="3"/>
  <c r="U59" i="3"/>
  <c r="AF15" i="3"/>
  <c r="AC15" i="3"/>
  <c r="AC52" i="3"/>
  <c r="AF52" i="3"/>
  <c r="B87" i="3"/>
  <c r="AK104" i="3"/>
  <c r="AI104" i="3"/>
  <c r="AJ104" i="3" s="1"/>
  <c r="AH104" i="3"/>
  <c r="AK111" i="3"/>
  <c r="AI111" i="3"/>
  <c r="AJ111" i="3" s="1"/>
  <c r="AH111" i="3"/>
  <c r="AK50" i="5"/>
  <c r="AL50" i="5" s="1"/>
  <c r="AH50" i="5"/>
  <c r="AI50" i="5"/>
  <c r="AI132" i="2"/>
  <c r="AJ132" i="2" s="1"/>
  <c r="AD133" i="2"/>
  <c r="AE133" i="2" s="1"/>
  <c r="AC133" i="2"/>
  <c r="AC144" i="2"/>
  <c r="W9" i="3"/>
  <c r="V59" i="3"/>
  <c r="AI18" i="3"/>
  <c r="AJ18" i="3" s="1"/>
  <c r="AF19" i="3"/>
  <c r="AC19" i="3"/>
  <c r="AF34" i="3"/>
  <c r="AH145" i="3"/>
  <c r="AK145" i="3"/>
  <c r="AH104" i="2"/>
  <c r="AH130" i="2"/>
  <c r="S141" i="2"/>
  <c r="AF145" i="2"/>
  <c r="AD19" i="3"/>
  <c r="AE19" i="3" s="1"/>
  <c r="AH22" i="3"/>
  <c r="AI31" i="3"/>
  <c r="AJ31" i="3" s="1"/>
  <c r="AG34" i="3"/>
  <c r="AK37" i="3"/>
  <c r="AB56" i="3"/>
  <c r="S56" i="3"/>
  <c r="AI93" i="3"/>
  <c r="AJ93" i="3" s="1"/>
  <c r="AH93" i="3"/>
  <c r="AK134" i="3"/>
  <c r="AI134" i="3"/>
  <c r="AJ134" i="3" s="1"/>
  <c r="AH134" i="3"/>
  <c r="D87" i="3"/>
  <c r="E59" i="3"/>
  <c r="AF23" i="3"/>
  <c r="AC23" i="3"/>
  <c r="AF18" i="4"/>
  <c r="AD18" i="4"/>
  <c r="AE18" i="4" s="1"/>
  <c r="AH110" i="2"/>
  <c r="AH112" i="2"/>
  <c r="AH114" i="2"/>
  <c r="AH116" i="2"/>
  <c r="AH118" i="2"/>
  <c r="AH120" i="2"/>
  <c r="AH122" i="2"/>
  <c r="AH124" i="2"/>
  <c r="AH126" i="2"/>
  <c r="AH128" i="2"/>
  <c r="AC131" i="2"/>
  <c r="AF148" i="2"/>
  <c r="AD23" i="3"/>
  <c r="AE23" i="3" s="1"/>
  <c r="AI40" i="3"/>
  <c r="AJ40" i="3" s="1"/>
  <c r="AF41" i="3"/>
  <c r="AD41" i="3"/>
  <c r="AE41" i="3" s="1"/>
  <c r="AD52" i="3"/>
  <c r="AE52" i="3" s="1"/>
  <c r="AD77" i="3"/>
  <c r="AE77" i="3" s="1"/>
  <c r="AD105" i="3"/>
  <c r="AE105" i="3" s="1"/>
  <c r="AC18" i="4"/>
  <c r="AI110" i="2"/>
  <c r="AJ110" i="2" s="1"/>
  <c r="AI112" i="2"/>
  <c r="AJ112" i="2" s="1"/>
  <c r="AI114" i="2"/>
  <c r="AJ114" i="2" s="1"/>
  <c r="AI116" i="2"/>
  <c r="AJ116" i="2" s="1"/>
  <c r="AI118" i="2"/>
  <c r="AJ118" i="2" s="1"/>
  <c r="AI120" i="2"/>
  <c r="AJ120" i="2" s="1"/>
  <c r="AI122" i="2"/>
  <c r="AJ122" i="2" s="1"/>
  <c r="AI124" i="2"/>
  <c r="AJ124" i="2" s="1"/>
  <c r="AI126" i="2"/>
  <c r="AJ126" i="2" s="1"/>
  <c r="AI128" i="2"/>
  <c r="AJ128" i="2" s="1"/>
  <c r="AH133" i="2"/>
  <c r="AF135" i="2"/>
  <c r="G9" i="3"/>
  <c r="F59" i="3"/>
  <c r="AA9" i="3"/>
  <c r="AH26" i="3"/>
  <c r="AI57" i="3"/>
  <c r="AJ57" i="3" s="1"/>
  <c r="AH57" i="3"/>
  <c r="AC129" i="2"/>
  <c r="AF131" i="2"/>
  <c r="AI133" i="2"/>
  <c r="AJ133" i="2" s="1"/>
  <c r="Y135" i="2"/>
  <c r="AI144" i="2"/>
  <c r="AJ144" i="2" s="1"/>
  <c r="AB9" i="3"/>
  <c r="AC9" i="3" s="1"/>
  <c r="AI26" i="3"/>
  <c r="AJ26" i="3" s="1"/>
  <c r="AK32" i="3"/>
  <c r="AI32" i="3"/>
  <c r="AJ32" i="3" s="1"/>
  <c r="AH32" i="3"/>
  <c r="AK40" i="3"/>
  <c r="S44" i="3"/>
  <c r="AB44" i="3"/>
  <c r="AC44" i="3" s="1"/>
  <c r="AD56" i="3"/>
  <c r="AE56" i="3" s="1"/>
  <c r="H59" i="3"/>
  <c r="Y99" i="3"/>
  <c r="AF105" i="3"/>
  <c r="AD51" i="2"/>
  <c r="AE51" i="2" s="1"/>
  <c r="AD141" i="2"/>
  <c r="AE141" i="2" s="1"/>
  <c r="AD9" i="3"/>
  <c r="AE9" i="3" s="1"/>
  <c r="AH16" i="3"/>
  <c r="AF67" i="3"/>
  <c r="AD67" i="3"/>
  <c r="AE67" i="3" s="1"/>
  <c r="AC67" i="3"/>
  <c r="AK70" i="3"/>
  <c r="AI70" i="3"/>
  <c r="AJ70" i="3" s="1"/>
  <c r="Y70" i="3"/>
  <c r="AH82" i="3"/>
  <c r="AI84" i="3"/>
  <c r="AJ84" i="3" s="1"/>
  <c r="AK84" i="3"/>
  <c r="AF84" i="3"/>
  <c r="AD84" i="3"/>
  <c r="AE84" i="3" s="1"/>
  <c r="AK77" i="4"/>
  <c r="AL77" i="4" s="1"/>
  <c r="AI77" i="4"/>
  <c r="AJ77" i="4" s="1"/>
  <c r="AH77" i="4"/>
  <c r="AC134" i="2"/>
  <c r="AG135" i="2"/>
  <c r="AG9" i="3"/>
  <c r="AF9" i="3"/>
  <c r="AF17" i="3"/>
  <c r="AC17" i="3"/>
  <c r="AF43" i="3"/>
  <c r="AD43" i="3"/>
  <c r="AE43" i="3" s="1"/>
  <c r="AG52" i="3"/>
  <c r="AI82" i="3"/>
  <c r="AJ82" i="3" s="1"/>
  <c r="AK105" i="3"/>
  <c r="AI105" i="3"/>
  <c r="AJ105" i="3" s="1"/>
  <c r="AH105" i="3"/>
  <c r="AK126" i="3"/>
  <c r="AI126" i="3"/>
  <c r="AJ126" i="3" s="1"/>
  <c r="AH126" i="3"/>
  <c r="AF63" i="4"/>
  <c r="AD63" i="4"/>
  <c r="AE63" i="4" s="1"/>
  <c r="AC63" i="4"/>
  <c r="AI131" i="2"/>
  <c r="AJ131" i="2" s="1"/>
  <c r="AD134" i="2"/>
  <c r="AE134" i="2" s="1"/>
  <c r="K135" i="2"/>
  <c r="AC135" i="2"/>
  <c r="K9" i="3"/>
  <c r="AI9" i="3"/>
  <c r="AJ9" i="3" s="1"/>
  <c r="AD17" i="3"/>
  <c r="AE17" i="3" s="1"/>
  <c r="AH20" i="3"/>
  <c r="AI29" i="3"/>
  <c r="AJ29" i="3" s="1"/>
  <c r="AC43" i="3"/>
  <c r="AD50" i="3"/>
  <c r="AE50" i="3" s="1"/>
  <c r="L59" i="3"/>
  <c r="AG81" i="3"/>
  <c r="AC85" i="3"/>
  <c r="AF85" i="3"/>
  <c r="M105" i="3"/>
  <c r="AK116" i="3"/>
  <c r="AI116" i="3"/>
  <c r="AJ116" i="3" s="1"/>
  <c r="AH116" i="3"/>
  <c r="AF21" i="3"/>
  <c r="AC21" i="3"/>
  <c r="AL43" i="3"/>
  <c r="AI44" i="3"/>
  <c r="AJ44" i="3" s="1"/>
  <c r="AF44" i="3"/>
  <c r="AD44" i="3"/>
  <c r="AE44" i="3" s="1"/>
  <c r="Y44" i="3"/>
  <c r="AK44" i="3"/>
  <c r="AK71" i="3"/>
  <c r="AI71" i="3"/>
  <c r="AJ71" i="3" s="1"/>
  <c r="AK140" i="3"/>
  <c r="AI140" i="3"/>
  <c r="AJ140" i="3" s="1"/>
  <c r="AH140" i="3"/>
  <c r="O9" i="3"/>
  <c r="N59" i="3"/>
  <c r="AD21" i="3"/>
  <c r="AE21" i="3" s="1"/>
  <c r="AH24" i="3"/>
  <c r="AK29" i="3"/>
  <c r="AC30" i="3"/>
  <c r="AK33" i="3"/>
  <c r="AF50" i="3"/>
  <c r="AG70" i="3"/>
  <c r="AH70" i="3" s="1"/>
  <c r="AH71" i="3"/>
  <c r="AD85" i="3"/>
  <c r="AE85" i="3" s="1"/>
  <c r="AF111" i="3"/>
  <c r="AD111" i="3"/>
  <c r="AE111" i="3" s="1"/>
  <c r="AK115" i="3"/>
  <c r="AI115" i="3"/>
  <c r="AJ115" i="3" s="1"/>
  <c r="AH115" i="3"/>
  <c r="AK132" i="3"/>
  <c r="AL132" i="3" s="1"/>
  <c r="AI132" i="3"/>
  <c r="AJ132" i="3" s="1"/>
  <c r="U57" i="5"/>
  <c r="T59" i="5"/>
  <c r="AF27" i="3"/>
  <c r="D87" i="4"/>
  <c r="E59" i="4"/>
  <c r="Z59" i="4"/>
  <c r="AA9" i="4"/>
  <c r="T87" i="4"/>
  <c r="AB84" i="3"/>
  <c r="AC84" i="3" s="1"/>
  <c r="AF117" i="3"/>
  <c r="AD117" i="3"/>
  <c r="AE117" i="3" s="1"/>
  <c r="K44" i="3"/>
  <c r="AI46" i="3"/>
  <c r="AJ46" i="3" s="1"/>
  <c r="AI48" i="3"/>
  <c r="AJ48" i="3" s="1"/>
  <c r="AI50" i="3"/>
  <c r="AJ50" i="3" s="1"/>
  <c r="AD53" i="3"/>
  <c r="AE53" i="3" s="1"/>
  <c r="AD55" i="3"/>
  <c r="AE55" i="3" s="1"/>
  <c r="Y56" i="3"/>
  <c r="AC72" i="3"/>
  <c r="K81" i="3"/>
  <c r="AB81" i="3"/>
  <c r="AD83" i="3"/>
  <c r="AE83" i="3" s="1"/>
  <c r="K84" i="3"/>
  <c r="K85" i="3"/>
  <c r="AH112" i="3"/>
  <c r="AC117" i="3"/>
  <c r="AF42" i="4"/>
  <c r="AD42" i="4"/>
  <c r="AE42" i="4" s="1"/>
  <c r="AC42" i="4"/>
  <c r="AI27" i="3"/>
  <c r="AJ27" i="3" s="1"/>
  <c r="AK57" i="3"/>
  <c r="AB70" i="3"/>
  <c r="AC70" i="3" s="1"/>
  <c r="AD72" i="3"/>
  <c r="AE72" i="3" s="1"/>
  <c r="AC95" i="3"/>
  <c r="AI97" i="3"/>
  <c r="AJ97" i="3" s="1"/>
  <c r="AH97" i="3"/>
  <c r="AI112" i="3"/>
  <c r="AJ112" i="3" s="1"/>
  <c r="AF113" i="3"/>
  <c r="AD113" i="3"/>
  <c r="AE113" i="3" s="1"/>
  <c r="AK117" i="3"/>
  <c r="AI117" i="3"/>
  <c r="AJ117" i="3" s="1"/>
  <c r="AH117" i="3"/>
  <c r="AD141" i="3"/>
  <c r="AE141" i="3" s="1"/>
  <c r="AK23" i="4"/>
  <c r="AL23" i="4" s="1"/>
  <c r="AI23" i="4"/>
  <c r="AJ23" i="4" s="1"/>
  <c r="AH23" i="4"/>
  <c r="AK29" i="4"/>
  <c r="AL29" i="4" s="1"/>
  <c r="AI29" i="4"/>
  <c r="AJ29" i="4" s="1"/>
  <c r="AH29" i="4"/>
  <c r="AI44" i="4"/>
  <c r="AJ44" i="4" s="1"/>
  <c r="AH44" i="4"/>
  <c r="AK49" i="4"/>
  <c r="AL49" i="4" s="1"/>
  <c r="AI49" i="4"/>
  <c r="AJ49" i="4" s="1"/>
  <c r="AG85" i="4"/>
  <c r="AH85" i="4" s="1"/>
  <c r="K85" i="4"/>
  <c r="AH39" i="3"/>
  <c r="AH41" i="3"/>
  <c r="AH43" i="3"/>
  <c r="AC47" i="3"/>
  <c r="AC49" i="3"/>
  <c r="AC51" i="3"/>
  <c r="K56" i="3"/>
  <c r="AI77" i="3"/>
  <c r="AJ77" i="3" s="1"/>
  <c r="AK97" i="3"/>
  <c r="AC113" i="3"/>
  <c r="AF141" i="3"/>
  <c r="AB145" i="3"/>
  <c r="AC145" i="3" s="1"/>
  <c r="S145" i="3"/>
  <c r="J59" i="4"/>
  <c r="AG9" i="4"/>
  <c r="K9" i="4"/>
  <c r="AH49" i="4"/>
  <c r="AI39" i="3"/>
  <c r="AJ39" i="3" s="1"/>
  <c r="AI41" i="3"/>
  <c r="AJ41" i="3" s="1"/>
  <c r="AI43" i="3"/>
  <c r="AJ43" i="3" s="1"/>
  <c r="AD47" i="3"/>
  <c r="AE47" i="3" s="1"/>
  <c r="AD49" i="3"/>
  <c r="AE49" i="3" s="1"/>
  <c r="AD51" i="3"/>
  <c r="AE51" i="3" s="1"/>
  <c r="AK113" i="3"/>
  <c r="AI113" i="3"/>
  <c r="AJ113" i="3" s="1"/>
  <c r="AH113" i="3"/>
  <c r="AF135" i="3"/>
  <c r="AD135" i="3"/>
  <c r="AE135" i="3" s="1"/>
  <c r="AG141" i="3"/>
  <c r="L87" i="4"/>
  <c r="M59" i="4"/>
  <c r="AG27" i="4"/>
  <c r="AH27" i="4" s="1"/>
  <c r="AF82" i="4"/>
  <c r="AD82" i="4"/>
  <c r="AE82" i="4" s="1"/>
  <c r="AC82" i="4"/>
  <c r="AG99" i="3"/>
  <c r="AH99" i="3" s="1"/>
  <c r="AC135" i="3"/>
  <c r="AG56" i="4"/>
  <c r="M56" i="4"/>
  <c r="AF68" i="4"/>
  <c r="AD68" i="4"/>
  <c r="AE68" i="4" s="1"/>
  <c r="AC37" i="3"/>
  <c r="AC40" i="3"/>
  <c r="AC42" i="3"/>
  <c r="AH72" i="3"/>
  <c r="AD76" i="3"/>
  <c r="AE76" i="3" s="1"/>
  <c r="AC93" i="3"/>
  <c r="AH118" i="3"/>
  <c r="AG135" i="3"/>
  <c r="N87" i="4"/>
  <c r="O59" i="4"/>
  <c r="AH15" i="4"/>
  <c r="AK57" i="4"/>
  <c r="AL57" i="4" s="1"/>
  <c r="AI57" i="4"/>
  <c r="AJ57" i="4" s="1"/>
  <c r="AC68" i="4"/>
  <c r="AD37" i="3"/>
  <c r="AE37" i="3" s="1"/>
  <c r="AD40" i="3"/>
  <c r="AE40" i="3" s="1"/>
  <c r="AD42" i="3"/>
  <c r="AE42" i="3" s="1"/>
  <c r="AI72" i="3"/>
  <c r="AJ72" i="3" s="1"/>
  <c r="AK83" i="3"/>
  <c r="AD93" i="3"/>
  <c r="AE93" i="3" s="1"/>
  <c r="AH95" i="3"/>
  <c r="AI118" i="3"/>
  <c r="AJ118" i="3" s="1"/>
  <c r="AF119" i="3"/>
  <c r="AD119" i="3"/>
  <c r="AE119" i="3" s="1"/>
  <c r="AI15" i="4"/>
  <c r="AJ15" i="4" s="1"/>
  <c r="AK130" i="3"/>
  <c r="AI130" i="3"/>
  <c r="AJ130" i="3" s="1"/>
  <c r="AB99" i="3"/>
  <c r="AC99" i="3" s="1"/>
  <c r="AF115" i="3"/>
  <c r="AD115" i="3"/>
  <c r="AE115" i="3" s="1"/>
  <c r="AK119" i="3"/>
  <c r="AI119" i="3"/>
  <c r="AJ119" i="3" s="1"/>
  <c r="AH119" i="3"/>
  <c r="AH130" i="3"/>
  <c r="AC26" i="4"/>
  <c r="AK44" i="4"/>
  <c r="AL44" i="4" s="1"/>
  <c r="V87" i="4"/>
  <c r="W59" i="4"/>
  <c r="AF125" i="4"/>
  <c r="AD125" i="4"/>
  <c r="AE125" i="4" s="1"/>
  <c r="AC125" i="4"/>
  <c r="AK22" i="5"/>
  <c r="AL22" i="5" s="1"/>
  <c r="AI22" i="5"/>
  <c r="AF90" i="4"/>
  <c r="AD90" i="4"/>
  <c r="AE90" i="4" s="1"/>
  <c r="AK94" i="4"/>
  <c r="AL94" i="4" s="1"/>
  <c r="AI94" i="4"/>
  <c r="AJ94" i="4" s="1"/>
  <c r="AH94" i="4"/>
  <c r="AF127" i="4"/>
  <c r="AD127" i="4"/>
  <c r="AE127" i="4" s="1"/>
  <c r="AC127" i="4"/>
  <c r="AD145" i="3"/>
  <c r="AE145" i="3" s="1"/>
  <c r="P87" i="4"/>
  <c r="Q59" i="4"/>
  <c r="AC16" i="4"/>
  <c r="AK33" i="4"/>
  <c r="AL33" i="4" s="1"/>
  <c r="AI33" i="4"/>
  <c r="AJ33" i="4" s="1"/>
  <c r="AH33" i="4"/>
  <c r="AG81" i="4"/>
  <c r="Q81" i="4"/>
  <c r="AC90" i="4"/>
  <c r="AD16" i="4"/>
  <c r="AE16" i="4" s="1"/>
  <c r="AG35" i="4"/>
  <c r="B59" i="4"/>
  <c r="AD121" i="3"/>
  <c r="AE121" i="3" s="1"/>
  <c r="AD123" i="3"/>
  <c r="AE123" i="3" s="1"/>
  <c r="AD125" i="3"/>
  <c r="AE125" i="3" s="1"/>
  <c r="AD127" i="3"/>
  <c r="AE127" i="3" s="1"/>
  <c r="AD129" i="3"/>
  <c r="AE129" i="3" s="1"/>
  <c r="AD131" i="3"/>
  <c r="AE131" i="3" s="1"/>
  <c r="AD133" i="3"/>
  <c r="AE133" i="3" s="1"/>
  <c r="AD144" i="3"/>
  <c r="AE144" i="3" s="1"/>
  <c r="AK148" i="3"/>
  <c r="AL53" i="3" s="1"/>
  <c r="AD7" i="4"/>
  <c r="AE7" i="4" s="1"/>
  <c r="AB9" i="4"/>
  <c r="AC24" i="4"/>
  <c r="AD37" i="4"/>
  <c r="AE37" i="4" s="1"/>
  <c r="AK51" i="4"/>
  <c r="AL51" i="4" s="1"/>
  <c r="AI51" i="4"/>
  <c r="AJ51" i="4" s="1"/>
  <c r="AK72" i="4"/>
  <c r="AL72" i="4" s="1"/>
  <c r="AI72" i="4"/>
  <c r="AJ72" i="4" s="1"/>
  <c r="AH72" i="4"/>
  <c r="S81" i="4"/>
  <c r="AF99" i="4"/>
  <c r="AD99" i="4"/>
  <c r="AE99" i="4" s="1"/>
  <c r="AF133" i="4"/>
  <c r="AD133" i="4"/>
  <c r="AE133" i="4" s="1"/>
  <c r="AC133" i="4"/>
  <c r="D87" i="5"/>
  <c r="E59" i="5"/>
  <c r="AC9" i="5"/>
  <c r="AF9" i="5"/>
  <c r="K145" i="3"/>
  <c r="S9" i="4"/>
  <c r="AC13" i="4"/>
  <c r="AD24" i="4"/>
  <c r="AE24" i="4" s="1"/>
  <c r="AH51" i="4"/>
  <c r="AK79" i="4"/>
  <c r="AL79" i="4" s="1"/>
  <c r="AI79" i="4"/>
  <c r="AJ79" i="4" s="1"/>
  <c r="AH79" i="4"/>
  <c r="AK85" i="4"/>
  <c r="AL85" i="4" s="1"/>
  <c r="AI85" i="4"/>
  <c r="AJ85" i="4" s="1"/>
  <c r="AC99" i="4"/>
  <c r="AK110" i="4"/>
  <c r="AL110" i="4" s="1"/>
  <c r="AI110" i="4"/>
  <c r="AJ110" i="4" s="1"/>
  <c r="AH110" i="4"/>
  <c r="AB135" i="4"/>
  <c r="AC135" i="4" s="1"/>
  <c r="U135" i="4"/>
  <c r="AF98" i="5"/>
  <c r="AD98" i="5"/>
  <c r="AC98" i="5"/>
  <c r="AI27" i="4"/>
  <c r="AJ27" i="4" s="1"/>
  <c r="AG57" i="4"/>
  <c r="AH57" i="4" s="1"/>
  <c r="AH111" i="4"/>
  <c r="AK111" i="4"/>
  <c r="AL111" i="4" s="1"/>
  <c r="F87" i="5"/>
  <c r="G59" i="5"/>
  <c r="AI34" i="4"/>
  <c r="AJ34" i="4" s="1"/>
  <c r="F59" i="4"/>
  <c r="AK84" i="4"/>
  <c r="AL84" i="4" s="1"/>
  <c r="AI84" i="4"/>
  <c r="AJ84" i="4" s="1"/>
  <c r="AH84" i="4"/>
  <c r="AF92" i="4"/>
  <c r="AD92" i="4"/>
  <c r="AE92" i="4" s="1"/>
  <c r="AG99" i="4"/>
  <c r="K99" i="4"/>
  <c r="AI135" i="4"/>
  <c r="AJ135" i="4" s="1"/>
  <c r="AF135" i="4"/>
  <c r="AD135" i="4"/>
  <c r="AE135" i="4" s="1"/>
  <c r="AK135" i="4"/>
  <c r="AL135" i="4" s="1"/>
  <c r="Y135" i="4"/>
  <c r="AH121" i="3"/>
  <c r="AH123" i="3"/>
  <c r="AH125" i="3"/>
  <c r="AH127" i="3"/>
  <c r="AH129" i="3"/>
  <c r="AH131" i="3"/>
  <c r="AH133" i="3"/>
  <c r="AF145" i="3"/>
  <c r="AH7" i="4"/>
  <c r="AK31" i="4"/>
  <c r="AL31" i="4" s="1"/>
  <c r="AI31" i="4"/>
  <c r="AJ31" i="4" s="1"/>
  <c r="AH31" i="4"/>
  <c r="Y34" i="4"/>
  <c r="R59" i="4"/>
  <c r="AC66" i="4"/>
  <c r="AC92" i="4"/>
  <c r="AF117" i="4"/>
  <c r="AD117" i="4"/>
  <c r="AE117" i="4" s="1"/>
  <c r="AC117" i="4"/>
  <c r="AI121" i="3"/>
  <c r="AJ121" i="3" s="1"/>
  <c r="AI123" i="3"/>
  <c r="AJ123" i="3" s="1"/>
  <c r="AI125" i="3"/>
  <c r="AJ125" i="3" s="1"/>
  <c r="AI127" i="3"/>
  <c r="AJ127" i="3" s="1"/>
  <c r="AI129" i="3"/>
  <c r="AJ129" i="3" s="1"/>
  <c r="AI131" i="3"/>
  <c r="AJ131" i="3" s="1"/>
  <c r="AI133" i="3"/>
  <c r="AJ133" i="3" s="1"/>
  <c r="AI7" i="4"/>
  <c r="AJ7" i="4" s="1"/>
  <c r="AH19" i="4"/>
  <c r="AC22" i="4"/>
  <c r="AC52" i="4"/>
  <c r="AH53" i="4"/>
  <c r="AD66" i="4"/>
  <c r="AE66" i="4" s="1"/>
  <c r="AK91" i="4"/>
  <c r="AL91" i="4" s="1"/>
  <c r="H87" i="4"/>
  <c r="I59" i="4"/>
  <c r="AD9" i="4"/>
  <c r="AE9" i="4" s="1"/>
  <c r="X59" i="4"/>
  <c r="AH13" i="4"/>
  <c r="AD22" i="4"/>
  <c r="AE22" i="4" s="1"/>
  <c r="AK27" i="4"/>
  <c r="AL27" i="4" s="1"/>
  <c r="AB35" i="4"/>
  <c r="AC40" i="4"/>
  <c r="AB44" i="4"/>
  <c r="S44" i="4"/>
  <c r="AK47" i="4"/>
  <c r="AL47" i="4" s="1"/>
  <c r="AI47" i="4"/>
  <c r="AJ47" i="4" s="1"/>
  <c r="AF54" i="4"/>
  <c r="AD54" i="4"/>
  <c r="AE54" i="4" s="1"/>
  <c r="AC70" i="4"/>
  <c r="AK75" i="4"/>
  <c r="AL75" i="4" s="1"/>
  <c r="AI75" i="4"/>
  <c r="AJ75" i="4" s="1"/>
  <c r="AH75" i="4"/>
  <c r="AF140" i="4"/>
  <c r="AD140" i="4"/>
  <c r="AE140" i="4" s="1"/>
  <c r="AC140" i="4"/>
  <c r="AF140" i="3"/>
  <c r="AD140" i="3"/>
  <c r="AE140" i="3" s="1"/>
  <c r="AI145" i="3"/>
  <c r="AJ145" i="3" s="1"/>
  <c r="I9" i="4"/>
  <c r="Y9" i="4"/>
  <c r="AG34" i="4"/>
  <c r="AH34" i="4" s="1"/>
  <c r="AB34" i="4"/>
  <c r="AC34" i="4" s="1"/>
  <c r="U35" i="4"/>
  <c r="AD40" i="4"/>
  <c r="AE40" i="4" s="1"/>
  <c r="AH47" i="4"/>
  <c r="AG52" i="4"/>
  <c r="AK52" i="4" s="1"/>
  <c r="AL52" i="4" s="1"/>
  <c r="AC54" i="4"/>
  <c r="AF81" i="4"/>
  <c r="U105" i="4"/>
  <c r="AB105" i="4"/>
  <c r="AG105" i="4"/>
  <c r="AH105" i="4" s="1"/>
  <c r="AF119" i="4"/>
  <c r="AD119" i="4"/>
  <c r="AE119" i="4" s="1"/>
  <c r="AC119" i="4"/>
  <c r="AF111" i="4"/>
  <c r="AD111" i="4"/>
  <c r="AE111" i="4" s="1"/>
  <c r="AC111" i="4"/>
  <c r="AK116" i="4"/>
  <c r="AL116" i="4" s="1"/>
  <c r="AI116" i="4"/>
  <c r="AJ116" i="4" s="1"/>
  <c r="AH116" i="4"/>
  <c r="AB141" i="4"/>
  <c r="S141" i="4"/>
  <c r="B107" i="5"/>
  <c r="C87" i="5"/>
  <c r="B101" i="5"/>
  <c r="C101" i="5" s="1"/>
  <c r="AK16" i="5"/>
  <c r="AL16" i="5" s="1"/>
  <c r="AI16" i="5"/>
  <c r="AJ16" i="5" s="1"/>
  <c r="AF50" i="5"/>
  <c r="AC50" i="5"/>
  <c r="AB57" i="4"/>
  <c r="AC57" i="4" s="1"/>
  <c r="AD35" i="5"/>
  <c r="AC35" i="5"/>
  <c r="W44" i="5"/>
  <c r="AG44" i="5"/>
  <c r="AH44" i="5" s="1"/>
  <c r="K27" i="4"/>
  <c r="Y35" i="4"/>
  <c r="S70" i="4"/>
  <c r="AI70" i="4"/>
  <c r="AJ70" i="4" s="1"/>
  <c r="AB85" i="4"/>
  <c r="AC85" i="4" s="1"/>
  <c r="AK105" i="4"/>
  <c r="AL105" i="4" s="1"/>
  <c r="AI105" i="4"/>
  <c r="AJ105" i="4" s="1"/>
  <c r="AC112" i="4"/>
  <c r="AI119" i="4"/>
  <c r="AJ119" i="4" s="1"/>
  <c r="AI127" i="4"/>
  <c r="AJ127" i="4" s="1"/>
  <c r="AG145" i="4"/>
  <c r="AI145" i="4" s="1"/>
  <c r="AJ145" i="4" s="1"/>
  <c r="K145" i="4"/>
  <c r="Z59" i="5"/>
  <c r="AA9" i="5"/>
  <c r="AG27" i="5"/>
  <c r="K27" i="5"/>
  <c r="AK52" i="5"/>
  <c r="AL52" i="5" s="1"/>
  <c r="AF71" i="5"/>
  <c r="AD71" i="5"/>
  <c r="AC71" i="5"/>
  <c r="AC84" i="5"/>
  <c r="AD84" i="5"/>
  <c r="AB27" i="4"/>
  <c r="AC27" i="4" s="1"/>
  <c r="AH37" i="4"/>
  <c r="AH40" i="4"/>
  <c r="AH42" i="4"/>
  <c r="AC46" i="4"/>
  <c r="AC48" i="4"/>
  <c r="AC50" i="4"/>
  <c r="AF52" i="4"/>
  <c r="Y105" i="4"/>
  <c r="AD112" i="4"/>
  <c r="AE112" i="4" s="1"/>
  <c r="AF113" i="4"/>
  <c r="AD113" i="4"/>
  <c r="AE113" i="4" s="1"/>
  <c r="AC113" i="4"/>
  <c r="AK119" i="4"/>
  <c r="AL119" i="4" s="1"/>
  <c r="AK127" i="4"/>
  <c r="AL127" i="4" s="1"/>
  <c r="AK18" i="5"/>
  <c r="AL18" i="5" s="1"/>
  <c r="AI18" i="5"/>
  <c r="AH31" i="5"/>
  <c r="AK31" i="5"/>
  <c r="AL31" i="5" s="1"/>
  <c r="AI31" i="5"/>
  <c r="AF32" i="5"/>
  <c r="AC32" i="5"/>
  <c r="AH99" i="5"/>
  <c r="AK99" i="5"/>
  <c r="AL99" i="5" s="1"/>
  <c r="AI37" i="4"/>
  <c r="AJ37" i="4" s="1"/>
  <c r="AI40" i="4"/>
  <c r="AJ40" i="4" s="1"/>
  <c r="AK70" i="4"/>
  <c r="AL70" i="4" s="1"/>
  <c r="AK112" i="4"/>
  <c r="AL112" i="4" s="1"/>
  <c r="AI112" i="4"/>
  <c r="AJ112" i="4" s="1"/>
  <c r="AH112" i="4"/>
  <c r="AF121" i="4"/>
  <c r="AD121" i="4"/>
  <c r="AE121" i="4" s="1"/>
  <c r="AC121" i="4"/>
  <c r="AF129" i="4"/>
  <c r="AD129" i="4"/>
  <c r="AE129" i="4" s="1"/>
  <c r="AC129" i="4"/>
  <c r="AF144" i="4"/>
  <c r="AC144" i="4"/>
  <c r="J59" i="5"/>
  <c r="AG9" i="5"/>
  <c r="AI9" i="5" s="1"/>
  <c r="AJ9" i="5" s="1"/>
  <c r="K9" i="5"/>
  <c r="AH18" i="5"/>
  <c r="AD32" i="5"/>
  <c r="AH34" i="5"/>
  <c r="AB145" i="5"/>
  <c r="AC145" i="5" s="1"/>
  <c r="S145" i="5"/>
  <c r="AK24" i="5"/>
  <c r="AL24" i="5" s="1"/>
  <c r="AI24" i="5"/>
  <c r="AJ24" i="5" s="1"/>
  <c r="AF52" i="5"/>
  <c r="AC52" i="5"/>
  <c r="V87" i="5"/>
  <c r="W59" i="5"/>
  <c r="AC39" i="4"/>
  <c r="AC41" i="4"/>
  <c r="AC43" i="4"/>
  <c r="AH82" i="4"/>
  <c r="AI121" i="4"/>
  <c r="AJ121" i="4" s="1"/>
  <c r="AI129" i="4"/>
  <c r="AJ129" i="4" s="1"/>
  <c r="AH24" i="5"/>
  <c r="AJ53" i="5"/>
  <c r="AK54" i="5"/>
  <c r="AL54" i="5" s="1"/>
  <c r="AI54" i="5"/>
  <c r="AH54" i="5"/>
  <c r="K70" i="5"/>
  <c r="AG70" i="5"/>
  <c r="U81" i="5"/>
  <c r="AG81" i="5"/>
  <c r="AI82" i="4"/>
  <c r="AJ82" i="4" s="1"/>
  <c r="AF8" i="5"/>
  <c r="AC8" i="5"/>
  <c r="AK13" i="5"/>
  <c r="AL13" i="5" s="1"/>
  <c r="AI13" i="5"/>
  <c r="AJ41" i="5"/>
  <c r="AH46" i="4"/>
  <c r="AH48" i="4"/>
  <c r="AH50" i="4"/>
  <c r="AC53" i="4"/>
  <c r="AC55" i="4"/>
  <c r="AD65" i="4"/>
  <c r="AE65" i="4" s="1"/>
  <c r="AD67" i="4"/>
  <c r="AE67" i="4" s="1"/>
  <c r="AD69" i="4"/>
  <c r="AE69" i="4" s="1"/>
  <c r="AC91" i="4"/>
  <c r="AI98" i="4"/>
  <c r="AJ98" i="4" s="1"/>
  <c r="AF115" i="4"/>
  <c r="AD115" i="4"/>
  <c r="AE115" i="4" s="1"/>
  <c r="AC115" i="4"/>
  <c r="AF123" i="4"/>
  <c r="AD123" i="4"/>
  <c r="AE123" i="4" s="1"/>
  <c r="AC123" i="4"/>
  <c r="AF131" i="4"/>
  <c r="AD131" i="4"/>
  <c r="AE131" i="4" s="1"/>
  <c r="AC131" i="4"/>
  <c r="AG135" i="4"/>
  <c r="AH135" i="4" s="1"/>
  <c r="AG141" i="4"/>
  <c r="AD8" i="5"/>
  <c r="AG52" i="5"/>
  <c r="K52" i="5"/>
  <c r="AD56" i="5"/>
  <c r="AC56" i="5"/>
  <c r="AK66" i="5"/>
  <c r="AL66" i="5" s="1"/>
  <c r="AI66" i="5"/>
  <c r="AH66" i="5"/>
  <c r="AF90" i="5"/>
  <c r="AD90" i="5"/>
  <c r="AC90" i="5"/>
  <c r="AI46" i="4"/>
  <c r="AJ46" i="4" s="1"/>
  <c r="AI48" i="4"/>
  <c r="AJ48" i="4" s="1"/>
  <c r="AI50" i="4"/>
  <c r="AJ50" i="4" s="1"/>
  <c r="AD53" i="4"/>
  <c r="AE53" i="4" s="1"/>
  <c r="AD55" i="4"/>
  <c r="AE55" i="4" s="1"/>
  <c r="AH71" i="4"/>
  <c r="AH74" i="4"/>
  <c r="AH76" i="4"/>
  <c r="AH78" i="4"/>
  <c r="AH80" i="4"/>
  <c r="AC83" i="4"/>
  <c r="AD91" i="4"/>
  <c r="AE91" i="4" s="1"/>
  <c r="AF93" i="4"/>
  <c r="AK114" i="4"/>
  <c r="AL114" i="4" s="1"/>
  <c r="AI114" i="4"/>
  <c r="AJ114" i="4" s="1"/>
  <c r="AH114" i="4"/>
  <c r="P59" i="5"/>
  <c r="Q9" i="5"/>
  <c r="AK20" i="5"/>
  <c r="AL20" i="5" s="1"/>
  <c r="AI20" i="5"/>
  <c r="AI115" i="4"/>
  <c r="AJ115" i="4" s="1"/>
  <c r="AI123" i="4"/>
  <c r="AJ123" i="4" s="1"/>
  <c r="AI131" i="4"/>
  <c r="AJ131" i="4" s="1"/>
  <c r="AF35" i="5"/>
  <c r="AF92" i="5"/>
  <c r="AD92" i="5"/>
  <c r="AC92" i="5"/>
  <c r="AI93" i="4"/>
  <c r="AJ93" i="4" s="1"/>
  <c r="AK99" i="4"/>
  <c r="AL99" i="4" s="1"/>
  <c r="AK115" i="4"/>
  <c r="AL115" i="4" s="1"/>
  <c r="AK123" i="4"/>
  <c r="AL123" i="4" s="1"/>
  <c r="AK131" i="4"/>
  <c r="AL131" i="4" s="1"/>
  <c r="AK26" i="5"/>
  <c r="AL26" i="5" s="1"/>
  <c r="AI26" i="5"/>
  <c r="AK27" i="5"/>
  <c r="AL27" i="5" s="1"/>
  <c r="AF27" i="5"/>
  <c r="AD27" i="5"/>
  <c r="Y27" i="5"/>
  <c r="AJ33" i="5"/>
  <c r="AF68" i="5"/>
  <c r="AD68" i="5"/>
  <c r="AC68" i="5"/>
  <c r="AF76" i="5"/>
  <c r="AD76" i="5"/>
  <c r="AC76" i="5"/>
  <c r="AI44" i="5"/>
  <c r="AK75" i="5"/>
  <c r="AL75" i="5" s="1"/>
  <c r="AI75" i="5"/>
  <c r="AH75" i="5"/>
  <c r="H107" i="5"/>
  <c r="H101" i="5"/>
  <c r="I101" i="5" s="1"/>
  <c r="I87" i="5"/>
  <c r="X87" i="5"/>
  <c r="AF57" i="5"/>
  <c r="Y59" i="5"/>
  <c r="AF81" i="5"/>
  <c r="AK111" i="5"/>
  <c r="AL111" i="5" s="1"/>
  <c r="AI111" i="5"/>
  <c r="AH111" i="5"/>
  <c r="AH40" i="5"/>
  <c r="AK47" i="5"/>
  <c r="AL47" i="5" s="1"/>
  <c r="AC48" i="5"/>
  <c r="AF78" i="5"/>
  <c r="AD78" i="5"/>
  <c r="AC78" i="5"/>
  <c r="AF82" i="5"/>
  <c r="AD82" i="5"/>
  <c r="AC82" i="5"/>
  <c r="AG84" i="5"/>
  <c r="AH84" i="5" s="1"/>
  <c r="M84" i="5"/>
  <c r="AI99" i="5"/>
  <c r="AD99" i="5"/>
  <c r="Y99" i="5"/>
  <c r="AH104" i="4"/>
  <c r="K135" i="4"/>
  <c r="Y141" i="4"/>
  <c r="L87" i="5"/>
  <c r="M59" i="5"/>
  <c r="AI40" i="5"/>
  <c r="AD48" i="5"/>
  <c r="AC63" i="5"/>
  <c r="AK68" i="5"/>
  <c r="AL68" i="5" s="1"/>
  <c r="AI68" i="5"/>
  <c r="AH68" i="5"/>
  <c r="AK77" i="5"/>
  <c r="AL77" i="5" s="1"/>
  <c r="AI77" i="5"/>
  <c r="AH77" i="5"/>
  <c r="AJ78" i="5"/>
  <c r="AK135" i="5"/>
  <c r="AL135" i="5" s="1"/>
  <c r="AH135" i="5"/>
  <c r="AK141" i="5"/>
  <c r="AL141" i="5" s="1"/>
  <c r="AI141" i="5"/>
  <c r="AH141" i="5"/>
  <c r="AF53" i="5"/>
  <c r="AC53" i="5"/>
  <c r="AG57" i="5"/>
  <c r="AH57" i="5" s="1"/>
  <c r="AF94" i="5"/>
  <c r="AD94" i="5"/>
  <c r="AF105" i="5"/>
  <c r="AI135" i="5"/>
  <c r="AJ144" i="5"/>
  <c r="AH118" i="4"/>
  <c r="AH120" i="4"/>
  <c r="AH122" i="4"/>
  <c r="AH124" i="4"/>
  <c r="AH126" i="4"/>
  <c r="AH128" i="4"/>
  <c r="AH130" i="4"/>
  <c r="AH132" i="4"/>
  <c r="AH134" i="4"/>
  <c r="K141" i="4"/>
  <c r="AD145" i="4"/>
  <c r="AE145" i="4" s="1"/>
  <c r="N101" i="5"/>
  <c r="O101" i="5" s="1"/>
  <c r="O87" i="5"/>
  <c r="AD9" i="5"/>
  <c r="AH30" i="5"/>
  <c r="AC41" i="5"/>
  <c r="AK48" i="5"/>
  <c r="AL48" i="5" s="1"/>
  <c r="AH48" i="5"/>
  <c r="AD53" i="5"/>
  <c r="K57" i="5"/>
  <c r="C59" i="5"/>
  <c r="AK63" i="5"/>
  <c r="AL63" i="5" s="1"/>
  <c r="AI63" i="5"/>
  <c r="AH63" i="5"/>
  <c r="AC94" i="5"/>
  <c r="AI118" i="4"/>
  <c r="AJ118" i="4" s="1"/>
  <c r="AI120" i="4"/>
  <c r="AJ120" i="4" s="1"/>
  <c r="AI122" i="4"/>
  <c r="AJ122" i="4" s="1"/>
  <c r="AI124" i="4"/>
  <c r="AJ124" i="4" s="1"/>
  <c r="AI126" i="4"/>
  <c r="AJ126" i="4" s="1"/>
  <c r="AI128" i="4"/>
  <c r="AJ128" i="4" s="1"/>
  <c r="AI130" i="4"/>
  <c r="AJ130" i="4" s="1"/>
  <c r="AI132" i="4"/>
  <c r="AJ132" i="4" s="1"/>
  <c r="AI134" i="4"/>
  <c r="AJ134" i="4" s="1"/>
  <c r="AI30" i="5"/>
  <c r="Y34" i="5"/>
  <c r="AD41" i="5"/>
  <c r="AI48" i="5"/>
  <c r="AJ48" i="5" s="1"/>
  <c r="AH51" i="5"/>
  <c r="AF74" i="5"/>
  <c r="AD74" i="5"/>
  <c r="AC74" i="5"/>
  <c r="AK44" i="5"/>
  <c r="AL44" i="5" s="1"/>
  <c r="AK72" i="5"/>
  <c r="AL72" i="5" s="1"/>
  <c r="AI72" i="5"/>
  <c r="AJ72" i="5" s="1"/>
  <c r="AH72" i="5"/>
  <c r="AC31" i="5"/>
  <c r="AK51" i="5"/>
  <c r="AL51" i="5" s="1"/>
  <c r="AF80" i="5"/>
  <c r="AD80" i="5"/>
  <c r="AC80" i="5"/>
  <c r="AK83" i="5"/>
  <c r="AL83" i="5" s="1"/>
  <c r="AH83" i="5"/>
  <c r="AG85" i="5"/>
  <c r="AH85" i="5" s="1"/>
  <c r="K85" i="5"/>
  <c r="AF96" i="5"/>
  <c r="AD96" i="5"/>
  <c r="AG105" i="5"/>
  <c r="AB59" i="5"/>
  <c r="AC59" i="5" s="1"/>
  <c r="AH15" i="5"/>
  <c r="AH17" i="5"/>
  <c r="AH19" i="5"/>
  <c r="AH21" i="5"/>
  <c r="AH23" i="5"/>
  <c r="AH25" i="5"/>
  <c r="AC29" i="5"/>
  <c r="AD31" i="5"/>
  <c r="AG35" i="5"/>
  <c r="AB44" i="5"/>
  <c r="S44" i="5"/>
  <c r="AC54" i="5"/>
  <c r="AG56" i="5"/>
  <c r="I59" i="5"/>
  <c r="AB70" i="5"/>
  <c r="U70" i="5"/>
  <c r="AK79" i="5"/>
  <c r="AL79" i="5" s="1"/>
  <c r="AI79" i="5"/>
  <c r="AH79" i="5"/>
  <c r="AJ80" i="5"/>
  <c r="AI83" i="5"/>
  <c r="R87" i="5"/>
  <c r="AC96" i="5"/>
  <c r="C9" i="5"/>
  <c r="K35" i="5"/>
  <c r="AK46" i="5"/>
  <c r="AL46" i="5" s="1"/>
  <c r="AH46" i="5"/>
  <c r="O59" i="5"/>
  <c r="AC66" i="5"/>
  <c r="AB81" i="5"/>
  <c r="AC81" i="5" s="1"/>
  <c r="N107" i="5"/>
  <c r="AC141" i="5"/>
  <c r="AF141" i="5"/>
  <c r="AG145" i="5"/>
  <c r="AI46" i="5"/>
  <c r="AH49" i="5"/>
  <c r="AF54" i="5"/>
  <c r="S59" i="5"/>
  <c r="AD66" i="5"/>
  <c r="S81" i="5"/>
  <c r="AD52" i="5"/>
  <c r="AB57" i="5"/>
  <c r="AC57" i="5" s="1"/>
  <c r="AF84" i="5"/>
  <c r="AH113" i="5"/>
  <c r="AH115" i="5"/>
  <c r="AH117" i="5"/>
  <c r="AH119" i="5"/>
  <c r="AH121" i="5"/>
  <c r="AH123" i="5"/>
  <c r="AH125" i="5"/>
  <c r="AH127" i="5"/>
  <c r="AH129" i="5"/>
  <c r="AH131" i="5"/>
  <c r="AH133" i="5"/>
  <c r="AI70" i="5"/>
  <c r="AJ70" i="5" s="1"/>
  <c r="AB85" i="5"/>
  <c r="AC85" i="5" s="1"/>
  <c r="AI113" i="5"/>
  <c r="AI115" i="5"/>
  <c r="AI117" i="5"/>
  <c r="AI119" i="5"/>
  <c r="AI121" i="5"/>
  <c r="AI123" i="5"/>
  <c r="AI125" i="5"/>
  <c r="AJ125" i="5" s="1"/>
  <c r="AI127" i="5"/>
  <c r="AI129" i="5"/>
  <c r="AI131" i="5"/>
  <c r="AI133" i="5"/>
  <c r="AC144" i="5"/>
  <c r="AI84" i="5"/>
  <c r="AJ84" i="5" s="1"/>
  <c r="AD85" i="5"/>
  <c r="AB99" i="5"/>
  <c r="AC99" i="5" s="1"/>
  <c r="AC110" i="5"/>
  <c r="AC112" i="5"/>
  <c r="AC114" i="5"/>
  <c r="AC116" i="5"/>
  <c r="AC118" i="5"/>
  <c r="AC120" i="5"/>
  <c r="Y81" i="5"/>
  <c r="AH90" i="5"/>
  <c r="AH92" i="5"/>
  <c r="AH94" i="5"/>
  <c r="AH96" i="5"/>
  <c r="AH98" i="5"/>
  <c r="K105" i="5"/>
  <c r="AD110" i="5"/>
  <c r="AD112" i="5"/>
  <c r="AD114" i="5"/>
  <c r="AD116" i="5"/>
  <c r="AD118" i="5"/>
  <c r="AD120" i="5"/>
  <c r="AD122" i="5"/>
  <c r="AD124" i="5"/>
  <c r="AD126" i="5"/>
  <c r="AD128" i="5"/>
  <c r="AD130" i="5"/>
  <c r="AE130" i="5" s="1"/>
  <c r="AD132" i="5"/>
  <c r="AD134" i="5"/>
  <c r="Y135" i="5"/>
  <c r="AI90" i="5"/>
  <c r="AJ90" i="5" s="1"/>
  <c r="AI92" i="5"/>
  <c r="AJ92" i="5" s="1"/>
  <c r="AI94" i="5"/>
  <c r="AJ94" i="5" s="1"/>
  <c r="AI96" i="5"/>
  <c r="AI98" i="5"/>
  <c r="K145" i="5"/>
  <c r="AC55" i="5"/>
  <c r="AD65" i="5"/>
  <c r="AD67" i="5"/>
  <c r="AD69" i="5"/>
  <c r="AC91" i="5"/>
  <c r="AC93" i="5"/>
  <c r="AC95" i="5"/>
  <c r="AC97" i="5"/>
  <c r="AD105" i="5"/>
  <c r="AH144" i="5"/>
  <c r="AD148" i="5"/>
  <c r="AE141" i="5" s="1"/>
  <c r="AD145" i="5"/>
  <c r="AF148" i="5"/>
  <c r="AD81" i="5"/>
  <c r="AI110" i="5"/>
  <c r="AI112" i="5"/>
  <c r="AI114" i="5"/>
  <c r="AI116" i="5"/>
  <c r="AI118" i="5"/>
  <c r="AI120" i="5"/>
  <c r="AJ120" i="5" s="1"/>
  <c r="AI122" i="5"/>
  <c r="AI124" i="5"/>
  <c r="AI126" i="5"/>
  <c r="AI128" i="5"/>
  <c r="AI130" i="5"/>
  <c r="AI132" i="5"/>
  <c r="AJ132" i="5" s="1"/>
  <c r="AI134" i="5"/>
  <c r="AJ134" i="5" s="1"/>
  <c r="AD135" i="5"/>
  <c r="AH140" i="5"/>
  <c r="AI148" i="5"/>
  <c r="AJ104" i="5" l="1"/>
  <c r="AJ95" i="5"/>
  <c r="AJ43" i="5"/>
  <c r="AJ69" i="5"/>
  <c r="AJ93" i="5"/>
  <c r="AJ91" i="5"/>
  <c r="AJ47" i="5"/>
  <c r="AJ97" i="5"/>
  <c r="AJ55" i="5"/>
  <c r="AJ7" i="5"/>
  <c r="AJ49" i="5"/>
  <c r="AJ67" i="5"/>
  <c r="AE81" i="5"/>
  <c r="AJ98" i="5"/>
  <c r="AE118" i="5"/>
  <c r="AJ113" i="5"/>
  <c r="AH105" i="5"/>
  <c r="AK105" i="5"/>
  <c r="AL105" i="5" s="1"/>
  <c r="AI105" i="5"/>
  <c r="AJ105" i="5" s="1"/>
  <c r="AJ74" i="5"/>
  <c r="AE43" i="5"/>
  <c r="AE82" i="5"/>
  <c r="AE125" i="5"/>
  <c r="AJ20" i="5"/>
  <c r="AE47" i="5"/>
  <c r="AE32" i="5"/>
  <c r="AB59" i="4"/>
  <c r="AC59" i="4" s="1"/>
  <c r="R87" i="4"/>
  <c r="S59" i="4"/>
  <c r="AE34" i="5"/>
  <c r="D107" i="5"/>
  <c r="D101" i="5"/>
  <c r="E101" i="5" s="1"/>
  <c r="E87" i="5"/>
  <c r="AK81" i="4"/>
  <c r="AL81" i="4" s="1"/>
  <c r="AI81" i="4"/>
  <c r="AJ81" i="4" s="1"/>
  <c r="AH81" i="4"/>
  <c r="AD57" i="4"/>
  <c r="AE57" i="4" s="1"/>
  <c r="AI81" i="3"/>
  <c r="AJ81" i="3" s="1"/>
  <c r="AH81" i="3"/>
  <c r="AK81" i="3"/>
  <c r="AL81" i="3" s="1"/>
  <c r="AL127" i="3"/>
  <c r="AK135" i="2"/>
  <c r="AL135" i="2" s="1"/>
  <c r="AI135" i="2"/>
  <c r="AJ135" i="2" s="1"/>
  <c r="AH135" i="2"/>
  <c r="H87" i="3"/>
  <c r="I59" i="3"/>
  <c r="AL13" i="3"/>
  <c r="AK85" i="2"/>
  <c r="AL85" i="2" s="1"/>
  <c r="AI85" i="2"/>
  <c r="AJ85" i="2" s="1"/>
  <c r="AH85" i="2"/>
  <c r="AJ96" i="5"/>
  <c r="AE116" i="5"/>
  <c r="AE52" i="5"/>
  <c r="AK56" i="5"/>
  <c r="AL56" i="5" s="1"/>
  <c r="AH56" i="5"/>
  <c r="AI56" i="5"/>
  <c r="AJ56" i="5" s="1"/>
  <c r="AE96" i="5"/>
  <c r="AE53" i="5"/>
  <c r="AJ40" i="5"/>
  <c r="AE111" i="5"/>
  <c r="AJ75" i="5"/>
  <c r="AJ21" i="5"/>
  <c r="AJ34" i="5"/>
  <c r="AE25" i="5"/>
  <c r="AE123" i="5"/>
  <c r="AC44" i="4"/>
  <c r="AF44" i="4"/>
  <c r="AD44" i="4"/>
  <c r="AE44" i="4" s="1"/>
  <c r="AD85" i="4"/>
  <c r="AE85" i="4" s="1"/>
  <c r="AL80" i="3"/>
  <c r="AL69" i="3"/>
  <c r="AL67" i="3"/>
  <c r="AL65" i="3"/>
  <c r="AL75" i="3"/>
  <c r="AL49" i="3"/>
  <c r="AL16" i="3"/>
  <c r="AL23" i="3"/>
  <c r="AL98" i="3"/>
  <c r="AL47" i="3"/>
  <c r="AL25" i="3"/>
  <c r="AL131" i="3"/>
  <c r="AL20" i="3"/>
  <c r="AL51" i="3"/>
  <c r="AL24" i="3"/>
  <c r="AL17" i="3"/>
  <c r="AE50" i="5"/>
  <c r="AF57" i="4"/>
  <c r="T87" i="5"/>
  <c r="U59" i="5"/>
  <c r="AL33" i="3"/>
  <c r="L87" i="3"/>
  <c r="AG87" i="3" s="1"/>
  <c r="M59" i="3"/>
  <c r="AL77" i="3"/>
  <c r="T107" i="3"/>
  <c r="U87" i="3"/>
  <c r="T101" i="3"/>
  <c r="U101" i="3" s="1"/>
  <c r="AL21" i="3"/>
  <c r="AL30" i="3"/>
  <c r="AL93" i="3"/>
  <c r="AE135" i="5"/>
  <c r="AE145" i="5"/>
  <c r="AE114" i="5"/>
  <c r="AE133" i="5"/>
  <c r="AE115" i="5"/>
  <c r="AJ15" i="5"/>
  <c r="AE33" i="5"/>
  <c r="AH81" i="5"/>
  <c r="AI81" i="5"/>
  <c r="AJ81" i="5" s="1"/>
  <c r="AE71" i="5"/>
  <c r="F107" i="5"/>
  <c r="F101" i="5"/>
  <c r="G101" i="5" s="1"/>
  <c r="G87" i="5"/>
  <c r="AF85" i="4"/>
  <c r="AJ22" i="5"/>
  <c r="AL97" i="3"/>
  <c r="AL41" i="3"/>
  <c r="AL55" i="3"/>
  <c r="AL134" i="3"/>
  <c r="AL145" i="3"/>
  <c r="AE23" i="5"/>
  <c r="AL133" i="3"/>
  <c r="AL129" i="3"/>
  <c r="AL18" i="3"/>
  <c r="P87" i="3"/>
  <c r="Q59" i="3"/>
  <c r="Z107" i="2"/>
  <c r="Z101" i="2"/>
  <c r="AA101" i="2" s="1"/>
  <c r="AA87" i="2"/>
  <c r="AI85" i="5"/>
  <c r="AJ85" i="5" s="1"/>
  <c r="AE112" i="5"/>
  <c r="AE85" i="5"/>
  <c r="AK85" i="5"/>
  <c r="AL85" i="5" s="1"/>
  <c r="L107" i="5"/>
  <c r="L101" i="5"/>
  <c r="M101" i="5" s="1"/>
  <c r="M87" i="5"/>
  <c r="AE78" i="5"/>
  <c r="AJ44" i="5"/>
  <c r="AE21" i="5"/>
  <c r="AD35" i="4"/>
  <c r="AE35" i="4" s="1"/>
  <c r="AC35" i="4"/>
  <c r="AL130" i="3"/>
  <c r="AL113" i="3"/>
  <c r="AL57" i="3"/>
  <c r="AL29" i="3"/>
  <c r="AL126" i="3"/>
  <c r="AL48" i="3"/>
  <c r="AL123" i="3"/>
  <c r="AL96" i="3"/>
  <c r="S101" i="2"/>
  <c r="AL85" i="3"/>
  <c r="L107" i="2"/>
  <c r="L101" i="2"/>
  <c r="M101" i="2" s="1"/>
  <c r="M87" i="2"/>
  <c r="F137" i="2"/>
  <c r="G107" i="2"/>
  <c r="AL112" i="3"/>
  <c r="R137" i="2"/>
  <c r="S107" i="2"/>
  <c r="AL56" i="3"/>
  <c r="AF9" i="2"/>
  <c r="AF56" i="2"/>
  <c r="AE49" i="5"/>
  <c r="AE79" i="5"/>
  <c r="AE16" i="5"/>
  <c r="AE42" i="5"/>
  <c r="AE26" i="5"/>
  <c r="AE20" i="5"/>
  <c r="AE40" i="5"/>
  <c r="AE13" i="5"/>
  <c r="AE24" i="5"/>
  <c r="AE18" i="5"/>
  <c r="AE22" i="5"/>
  <c r="AJ130" i="5"/>
  <c r="AF85" i="5"/>
  <c r="AE121" i="5"/>
  <c r="AH35" i="5"/>
  <c r="AI35" i="5"/>
  <c r="AJ35" i="5" s="1"/>
  <c r="AK35" i="5"/>
  <c r="AL35" i="5" s="1"/>
  <c r="AJ82" i="5"/>
  <c r="AJ135" i="5"/>
  <c r="AI57" i="5"/>
  <c r="AJ57" i="5" s="1"/>
  <c r="AE76" i="5"/>
  <c r="AK141" i="4"/>
  <c r="AL141" i="4" s="1"/>
  <c r="AI141" i="4"/>
  <c r="AJ141" i="4" s="1"/>
  <c r="AH141" i="4"/>
  <c r="AK70" i="5"/>
  <c r="AL70" i="5" s="1"/>
  <c r="AH70" i="5"/>
  <c r="V107" i="5"/>
  <c r="V101" i="5"/>
  <c r="W101" i="5" s="1"/>
  <c r="W87" i="5"/>
  <c r="AG59" i="5"/>
  <c r="J87" i="5"/>
  <c r="K59" i="5"/>
  <c r="AH99" i="4"/>
  <c r="AI99" i="4"/>
  <c r="AJ99" i="4" s="1"/>
  <c r="AK56" i="4"/>
  <c r="AL56" i="4" s="1"/>
  <c r="AI56" i="4"/>
  <c r="AJ56" i="4" s="1"/>
  <c r="AH56" i="4"/>
  <c r="AL42" i="3"/>
  <c r="AL111" i="3"/>
  <c r="B147" i="2"/>
  <c r="C147" i="2" s="1"/>
  <c r="C137" i="2"/>
  <c r="AE72" i="5"/>
  <c r="AJ128" i="5"/>
  <c r="AE105" i="5"/>
  <c r="AK84" i="5"/>
  <c r="AL84" i="5" s="1"/>
  <c r="AJ133" i="5"/>
  <c r="AE97" i="5"/>
  <c r="AE31" i="5"/>
  <c r="AE9" i="5"/>
  <c r="AJ77" i="5"/>
  <c r="AK57" i="5"/>
  <c r="AL57" i="5" s="1"/>
  <c r="AE90" i="5"/>
  <c r="AE55" i="5"/>
  <c r="AJ39" i="5"/>
  <c r="AH27" i="5"/>
  <c r="AI27" i="5"/>
  <c r="AJ27" i="5" s="1"/>
  <c r="AC105" i="4"/>
  <c r="AD105" i="4"/>
  <c r="AE105" i="4" s="1"/>
  <c r="AD27" i="4"/>
  <c r="AE27" i="4" s="1"/>
  <c r="P107" i="4"/>
  <c r="P101" i="4"/>
  <c r="Q101" i="4" s="1"/>
  <c r="Q87" i="4"/>
  <c r="N107" i="4"/>
  <c r="O87" i="4"/>
  <c r="N101" i="4"/>
  <c r="O101" i="4" s="1"/>
  <c r="N87" i="3"/>
  <c r="O59" i="3"/>
  <c r="AL105" i="3"/>
  <c r="AL40" i="3"/>
  <c r="G59" i="3"/>
  <c r="F87" i="3"/>
  <c r="AL110" i="3"/>
  <c r="AL121" i="3"/>
  <c r="AL79" i="3"/>
  <c r="AD105" i="2"/>
  <c r="AE105" i="2" s="1"/>
  <c r="P87" i="5"/>
  <c r="Q59" i="5"/>
  <c r="AH9" i="5"/>
  <c r="AK9" i="5"/>
  <c r="AL9" i="5" s="1"/>
  <c r="AJ126" i="5"/>
  <c r="AJ131" i="5"/>
  <c r="AE74" i="5"/>
  <c r="AE129" i="5"/>
  <c r="AE94" i="5"/>
  <c r="AE144" i="5"/>
  <c r="X107" i="5"/>
  <c r="X101" i="5"/>
  <c r="Y87" i="5"/>
  <c r="AE54" i="5"/>
  <c r="AE19" i="5"/>
  <c r="AJ140" i="5"/>
  <c r="AF59" i="4"/>
  <c r="AD59" i="4"/>
  <c r="AE59" i="4" s="1"/>
  <c r="X87" i="4"/>
  <c r="Y59" i="4"/>
  <c r="AL144" i="3"/>
  <c r="AL115" i="3"/>
  <c r="AL94" i="3"/>
  <c r="AL84" i="3"/>
  <c r="AL124" i="3"/>
  <c r="AL31" i="3"/>
  <c r="P137" i="2"/>
  <c r="Q107" i="2"/>
  <c r="Y87" i="3"/>
  <c r="X101" i="3"/>
  <c r="AF87" i="3"/>
  <c r="X107" i="3"/>
  <c r="AL7" i="3"/>
  <c r="AE66" i="5"/>
  <c r="AC44" i="5"/>
  <c r="AD44" i="5"/>
  <c r="AE44" i="5" s="1"/>
  <c r="AE8" i="5"/>
  <c r="AJ124" i="5"/>
  <c r="AE134" i="5"/>
  <c r="AJ129" i="5"/>
  <c r="AJ46" i="5"/>
  <c r="R107" i="5"/>
  <c r="S87" i="5"/>
  <c r="R101" i="5"/>
  <c r="AE80" i="5"/>
  <c r="AE117" i="5"/>
  <c r="AE127" i="5"/>
  <c r="AF145" i="5"/>
  <c r="AD59" i="5"/>
  <c r="AE59" i="5" s="1"/>
  <c r="AE68" i="5"/>
  <c r="AE92" i="5"/>
  <c r="AJ54" i="5"/>
  <c r="AJ51" i="5"/>
  <c r="B137" i="5"/>
  <c r="C107" i="5"/>
  <c r="AJ17" i="5"/>
  <c r="V107" i="4"/>
  <c r="V101" i="4"/>
  <c r="W101" i="4" s="1"/>
  <c r="W87" i="4"/>
  <c r="AK135" i="3"/>
  <c r="AL135" i="3" s="1"/>
  <c r="AI135" i="3"/>
  <c r="AJ135" i="3" s="1"/>
  <c r="AH135" i="3"/>
  <c r="AL114" i="3"/>
  <c r="AL118" i="3"/>
  <c r="AF56" i="3"/>
  <c r="AC56" i="3"/>
  <c r="W59" i="3"/>
  <c r="V87" i="3"/>
  <c r="AB59" i="3"/>
  <c r="AL27" i="3"/>
  <c r="AL8" i="3"/>
  <c r="AL50" i="3"/>
  <c r="AI105" i="2"/>
  <c r="AJ105" i="2" s="1"/>
  <c r="AD57" i="2"/>
  <c r="AE57" i="2" s="1"/>
  <c r="AE110" i="5"/>
  <c r="AJ122" i="5"/>
  <c r="AE132" i="5"/>
  <c r="AJ127" i="5"/>
  <c r="AK145" i="5"/>
  <c r="AL145" i="5" s="1"/>
  <c r="AI145" i="5"/>
  <c r="AJ145" i="5" s="1"/>
  <c r="AH145" i="5"/>
  <c r="AJ83" i="5"/>
  <c r="AE95" i="5"/>
  <c r="AE63" i="5"/>
  <c r="AJ68" i="5"/>
  <c r="AE113" i="5"/>
  <c r="AF59" i="5"/>
  <c r="AJ66" i="5"/>
  <c r="AJ31" i="5"/>
  <c r="Z87" i="5"/>
  <c r="AA59" i="5"/>
  <c r="AE98" i="5"/>
  <c r="AL128" i="3"/>
  <c r="AK52" i="3"/>
  <c r="AL52" i="3" s="1"/>
  <c r="AI52" i="3"/>
  <c r="AJ52" i="3" s="1"/>
  <c r="AH52" i="3"/>
  <c r="AL32" i="3"/>
  <c r="AL37" i="3"/>
  <c r="AL104" i="3"/>
  <c r="AL68" i="3"/>
  <c r="J107" i="3"/>
  <c r="K87" i="3"/>
  <c r="J101" i="3"/>
  <c r="AL19" i="3"/>
  <c r="AL76" i="3"/>
  <c r="AK9" i="2"/>
  <c r="AL9" i="2" s="1"/>
  <c r="AK105" i="2"/>
  <c r="AL105" i="2" s="1"/>
  <c r="AE37" i="5"/>
  <c r="AF57" i="2"/>
  <c r="B87" i="4"/>
  <c r="C59" i="4"/>
  <c r="AL83" i="3"/>
  <c r="AL122" i="3"/>
  <c r="AL117" i="3"/>
  <c r="AE17" i="5"/>
  <c r="AL140" i="3"/>
  <c r="AD99" i="3"/>
  <c r="AE99" i="3" s="1"/>
  <c r="AL92" i="3"/>
  <c r="AK34" i="3"/>
  <c r="AL34" i="3" s="1"/>
  <c r="AI34" i="3"/>
  <c r="AJ34" i="3" s="1"/>
  <c r="AH34" i="3"/>
  <c r="B101" i="3"/>
  <c r="C101" i="3" s="1"/>
  <c r="C87" i="3"/>
  <c r="B107" i="3"/>
  <c r="AL46" i="3"/>
  <c r="AK141" i="2"/>
  <c r="AL141" i="2" s="1"/>
  <c r="AH141" i="2"/>
  <c r="AI141" i="2"/>
  <c r="AJ141" i="2" s="1"/>
  <c r="AH145" i="2"/>
  <c r="AK145" i="2"/>
  <c r="AL145" i="2" s="1"/>
  <c r="AI145" i="2"/>
  <c r="AJ145" i="2" s="1"/>
  <c r="AF59" i="2"/>
  <c r="X87" i="2"/>
  <c r="AD59" i="2"/>
  <c r="AE59" i="2" s="1"/>
  <c r="Y59" i="2"/>
  <c r="AI57" i="2"/>
  <c r="AJ57" i="2" s="1"/>
  <c r="AI52" i="4"/>
  <c r="AJ52" i="4" s="1"/>
  <c r="AH52" i="4"/>
  <c r="AJ118" i="5"/>
  <c r="AE69" i="5"/>
  <c r="AE128" i="5"/>
  <c r="AJ123" i="5"/>
  <c r="AE46" i="5"/>
  <c r="AE41" i="5"/>
  <c r="AE83" i="5"/>
  <c r="AF99" i="5"/>
  <c r="AJ111" i="5"/>
  <c r="AJ65" i="5"/>
  <c r="AJ32" i="5"/>
  <c r="AH145" i="4"/>
  <c r="AK145" i="4"/>
  <c r="AL145" i="4" s="1"/>
  <c r="AD141" i="4"/>
  <c r="AE141" i="4" s="1"/>
  <c r="AC141" i="4"/>
  <c r="F87" i="4"/>
  <c r="G59" i="4"/>
  <c r="AH35" i="4"/>
  <c r="AK35" i="4"/>
  <c r="AL35" i="4" s="1"/>
  <c r="AI35" i="4"/>
  <c r="AJ35" i="4" s="1"/>
  <c r="T107" i="4"/>
  <c r="T101" i="4"/>
  <c r="U101" i="4" s="1"/>
  <c r="U87" i="4"/>
  <c r="AL90" i="3"/>
  <c r="AL78" i="3"/>
  <c r="AL116" i="3"/>
  <c r="AD70" i="3"/>
  <c r="AE70" i="3" s="1"/>
  <c r="AF99" i="3"/>
  <c r="AL39" i="3"/>
  <c r="AL63" i="3"/>
  <c r="AD27" i="3"/>
  <c r="AE27" i="3" s="1"/>
  <c r="AC27" i="3"/>
  <c r="AG59" i="3"/>
  <c r="R101" i="3"/>
  <c r="S87" i="3"/>
  <c r="R107" i="3"/>
  <c r="AB87" i="3"/>
  <c r="AC87" i="3" s="1"/>
  <c r="AF44" i="2"/>
  <c r="AF35" i="4"/>
  <c r="H137" i="2"/>
  <c r="I107" i="2"/>
  <c r="AK57" i="2"/>
  <c r="AL57" i="2" s="1"/>
  <c r="AJ116" i="5"/>
  <c r="AE67" i="5"/>
  <c r="AE126" i="5"/>
  <c r="AJ121" i="5"/>
  <c r="O107" i="5"/>
  <c r="N137" i="5"/>
  <c r="AJ79" i="5"/>
  <c r="AE39" i="5"/>
  <c r="AJ99" i="5"/>
  <c r="H137" i="5"/>
  <c r="I107" i="5"/>
  <c r="AE27" i="5"/>
  <c r="AJ8" i="5"/>
  <c r="AJ25" i="5"/>
  <c r="AE15" i="5"/>
  <c r="AJ19" i="5"/>
  <c r="AE30" i="5"/>
  <c r="AE35" i="5"/>
  <c r="AD34" i="4"/>
  <c r="AE34" i="4" s="1"/>
  <c r="AK9" i="4"/>
  <c r="AL9" i="4" s="1"/>
  <c r="AI9" i="4"/>
  <c r="AJ9" i="4" s="1"/>
  <c r="AH9" i="4"/>
  <c r="AL72" i="3"/>
  <c r="AF70" i="3"/>
  <c r="AI99" i="3"/>
  <c r="AJ99" i="3" s="1"/>
  <c r="T87" i="2"/>
  <c r="U59" i="2"/>
  <c r="AB59" i="2"/>
  <c r="AC59" i="2" s="1"/>
  <c r="AK70" i="2"/>
  <c r="AL70" i="2" s="1"/>
  <c r="AI70" i="2"/>
  <c r="AJ70" i="2" s="1"/>
  <c r="AH70" i="2"/>
  <c r="AI52" i="2"/>
  <c r="AJ52" i="2" s="1"/>
  <c r="AH52" i="2"/>
  <c r="AD35" i="2"/>
  <c r="AE35" i="2" s="1"/>
  <c r="AL54" i="3"/>
  <c r="AE99" i="5"/>
  <c r="AE75" i="5"/>
  <c r="AE29" i="5"/>
  <c r="AJ114" i="5"/>
  <c r="AE65" i="5"/>
  <c r="AE124" i="5"/>
  <c r="AJ119" i="5"/>
  <c r="AJ30" i="5"/>
  <c r="AJ63" i="5"/>
  <c r="AD57" i="5"/>
  <c r="AE57" i="5" s="1"/>
  <c r="AE93" i="5"/>
  <c r="AE104" i="5"/>
  <c r="AE56" i="5"/>
  <c r="AJ13" i="5"/>
  <c r="AJ18" i="5"/>
  <c r="AJ29" i="5"/>
  <c r="AF34" i="4"/>
  <c r="AJ37" i="5"/>
  <c r="L101" i="4"/>
  <c r="M101" i="4" s="1"/>
  <c r="M87" i="4"/>
  <c r="L107" i="4"/>
  <c r="AG59" i="4"/>
  <c r="AH59" i="4" s="1"/>
  <c r="J87" i="4"/>
  <c r="K59" i="4"/>
  <c r="AF81" i="3"/>
  <c r="AD81" i="3"/>
  <c r="AE81" i="3" s="1"/>
  <c r="AC81" i="3"/>
  <c r="Z87" i="4"/>
  <c r="AA59" i="4"/>
  <c r="AL74" i="3"/>
  <c r="AL95" i="3"/>
  <c r="AK99" i="3"/>
  <c r="AL99" i="3" s="1"/>
  <c r="D87" i="2"/>
  <c r="E59" i="2"/>
  <c r="AL35" i="3"/>
  <c r="Z137" i="3"/>
  <c r="AA107" i="3"/>
  <c r="V107" i="2"/>
  <c r="W87" i="2"/>
  <c r="V101" i="2"/>
  <c r="W101" i="2" s="1"/>
  <c r="AF35" i="2"/>
  <c r="H107" i="4"/>
  <c r="H101" i="4"/>
  <c r="I101" i="4" s="1"/>
  <c r="I87" i="4"/>
  <c r="AJ112" i="5"/>
  <c r="AE122" i="5"/>
  <c r="AJ117" i="5"/>
  <c r="AE140" i="5"/>
  <c r="AJ141" i="5"/>
  <c r="AE48" i="5"/>
  <c r="AJ71" i="5"/>
  <c r="AE91" i="5"/>
  <c r="AJ23" i="5"/>
  <c r="AE77" i="5"/>
  <c r="AL119" i="3"/>
  <c r="AK141" i="3"/>
  <c r="AL141" i="3" s="1"/>
  <c r="AI141" i="3"/>
  <c r="AJ141" i="3" s="1"/>
  <c r="AH141" i="3"/>
  <c r="AL71" i="3"/>
  <c r="AL70" i="3"/>
  <c r="AL82" i="3"/>
  <c r="AE51" i="5"/>
  <c r="AF85" i="2"/>
  <c r="AD85" i="2"/>
  <c r="AE85" i="2" s="1"/>
  <c r="AC85" i="2"/>
  <c r="AL22" i="3"/>
  <c r="AL26" i="3"/>
  <c r="AL125" i="3"/>
  <c r="AL91" i="3"/>
  <c r="N107" i="2"/>
  <c r="N101" i="2"/>
  <c r="O101" i="2" s="1"/>
  <c r="O87" i="2"/>
  <c r="AI35" i="2"/>
  <c r="AJ35" i="2" s="1"/>
  <c r="AJ110" i="5"/>
  <c r="AE120" i="5"/>
  <c r="AJ115" i="5"/>
  <c r="AK81" i="5"/>
  <c r="AL81" i="5" s="1"/>
  <c r="AC70" i="5"/>
  <c r="AF70" i="5"/>
  <c r="AD70" i="5"/>
  <c r="AE70" i="5" s="1"/>
  <c r="AE131" i="5"/>
  <c r="AE119" i="5"/>
  <c r="AF44" i="5"/>
  <c r="AJ42" i="5"/>
  <c r="AJ76" i="5"/>
  <c r="AJ26" i="5"/>
  <c r="AI52" i="5"/>
  <c r="AJ52" i="5" s="1"/>
  <c r="AH52" i="5"/>
  <c r="AE7" i="5"/>
  <c r="AE84" i="5"/>
  <c r="AF105" i="4"/>
  <c r="AF141" i="4"/>
  <c r="AF27" i="4"/>
  <c r="AK34" i="4"/>
  <c r="AL34" i="4" s="1"/>
  <c r="AF9" i="4"/>
  <c r="AC9" i="4"/>
  <c r="D107" i="4"/>
  <c r="D101" i="4"/>
  <c r="E101" i="4" s="1"/>
  <c r="E87" i="4"/>
  <c r="AL44" i="3"/>
  <c r="AH9" i="3"/>
  <c r="AK9" i="3"/>
  <c r="AL9" i="3" s="1"/>
  <c r="AL66" i="3"/>
  <c r="D107" i="3"/>
  <c r="E87" i="3"/>
  <c r="D101" i="3"/>
  <c r="E101" i="3" s="1"/>
  <c r="AJ50" i="5"/>
  <c r="AL15" i="3"/>
  <c r="AL120" i="3"/>
  <c r="AD44" i="2"/>
  <c r="AE44" i="2" s="1"/>
  <c r="J87" i="2"/>
  <c r="AG59" i="2"/>
  <c r="AH59" i="2" s="1"/>
  <c r="K59" i="2"/>
  <c r="AK35" i="2"/>
  <c r="AL35" i="2" s="1"/>
  <c r="AH87" i="3" l="1"/>
  <c r="AI87" i="3"/>
  <c r="AJ87" i="3" s="1"/>
  <c r="AK87" i="3"/>
  <c r="AL87" i="3" s="1"/>
  <c r="B101" i="4"/>
  <c r="C101" i="4" s="1"/>
  <c r="B107" i="4"/>
  <c r="C87" i="4"/>
  <c r="X107" i="4"/>
  <c r="AD87" i="4"/>
  <c r="AE87" i="4" s="1"/>
  <c r="X101" i="4"/>
  <c r="Y87" i="4"/>
  <c r="AK87" i="4"/>
  <c r="AL87" i="4" s="1"/>
  <c r="AI87" i="4"/>
  <c r="AJ87" i="4" s="1"/>
  <c r="L107" i="3"/>
  <c r="M87" i="3"/>
  <c r="L101" i="3"/>
  <c r="M101" i="3" s="1"/>
  <c r="AC59" i="3"/>
  <c r="AF59" i="3"/>
  <c r="AD59" i="3"/>
  <c r="AE59" i="3" s="1"/>
  <c r="J137" i="3"/>
  <c r="K107" i="3"/>
  <c r="P107" i="3"/>
  <c r="P101" i="3"/>
  <c r="Q101" i="3" s="1"/>
  <c r="Q87" i="3"/>
  <c r="D137" i="5"/>
  <c r="E107" i="5"/>
  <c r="Z107" i="4"/>
  <c r="Z101" i="4"/>
  <c r="AA101" i="4" s="1"/>
  <c r="AA87" i="4"/>
  <c r="I87" i="3"/>
  <c r="H107" i="3"/>
  <c r="H101" i="3"/>
  <c r="I101" i="3" s="1"/>
  <c r="V101" i="3"/>
  <c r="W101" i="3" s="1"/>
  <c r="W87" i="3"/>
  <c r="V107" i="3"/>
  <c r="N107" i="3"/>
  <c r="O87" i="3"/>
  <c r="N101" i="3"/>
  <c r="O101" i="3" s="1"/>
  <c r="R101" i="4"/>
  <c r="R107" i="4"/>
  <c r="AB87" i="4"/>
  <c r="AC87" i="4" s="1"/>
  <c r="S87" i="4"/>
  <c r="B137" i="3"/>
  <c r="C107" i="3"/>
  <c r="T107" i="5"/>
  <c r="T101" i="5"/>
  <c r="U101" i="5" s="1"/>
  <c r="U87" i="5"/>
  <c r="D137" i="4"/>
  <c r="E107" i="4"/>
  <c r="H147" i="2"/>
  <c r="I147" i="2" s="1"/>
  <c r="I137" i="2"/>
  <c r="Q137" i="2"/>
  <c r="P147" i="2"/>
  <c r="Q147" i="2" s="1"/>
  <c r="Q87" i="5"/>
  <c r="P107" i="5"/>
  <c r="P101" i="5"/>
  <c r="Q101" i="5" s="1"/>
  <c r="N137" i="2"/>
  <c r="O107" i="2"/>
  <c r="G137" i="2"/>
  <c r="F147" i="2"/>
  <c r="G147" i="2" s="1"/>
  <c r="N137" i="4"/>
  <c r="O107" i="4"/>
  <c r="AG87" i="5"/>
  <c r="J107" i="5"/>
  <c r="J101" i="5"/>
  <c r="K87" i="5"/>
  <c r="AG87" i="2"/>
  <c r="AH87" i="2" s="1"/>
  <c r="J107" i="2"/>
  <c r="J101" i="2"/>
  <c r="K87" i="2"/>
  <c r="W107" i="2"/>
  <c r="V137" i="2"/>
  <c r="J107" i="4"/>
  <c r="J101" i="4"/>
  <c r="K87" i="4"/>
  <c r="AG87" i="4"/>
  <c r="AH87" i="4" s="1"/>
  <c r="AH59" i="5"/>
  <c r="AI59" i="5"/>
  <c r="AJ59" i="5" s="1"/>
  <c r="AK59" i="5"/>
  <c r="AL59" i="5" s="1"/>
  <c r="Y101" i="3"/>
  <c r="L137" i="4"/>
  <c r="M107" i="4"/>
  <c r="U87" i="2"/>
  <c r="T107" i="2"/>
  <c r="T101" i="2"/>
  <c r="AB87" i="2"/>
  <c r="AC87" i="2" s="1"/>
  <c r="I137" i="5"/>
  <c r="H147" i="5"/>
  <c r="I147" i="5" s="1"/>
  <c r="U107" i="4"/>
  <c r="T137" i="4"/>
  <c r="AI59" i="2"/>
  <c r="AJ59" i="2" s="1"/>
  <c r="X137" i="5"/>
  <c r="Y107" i="5"/>
  <c r="P137" i="4"/>
  <c r="Q107" i="4"/>
  <c r="C137" i="5"/>
  <c r="B147" i="5"/>
  <c r="C147" i="5" s="1"/>
  <c r="Y101" i="5"/>
  <c r="AF101" i="5"/>
  <c r="Z147" i="3"/>
  <c r="AA147" i="3" s="1"/>
  <c r="AA137" i="3"/>
  <c r="R137" i="3"/>
  <c r="S107" i="3"/>
  <c r="AB107" i="3"/>
  <c r="AC107" i="3" s="1"/>
  <c r="AK59" i="2"/>
  <c r="AL59" i="2" s="1"/>
  <c r="V137" i="5"/>
  <c r="W107" i="5"/>
  <c r="M107" i="5"/>
  <c r="L137" i="5"/>
  <c r="AK87" i="2"/>
  <c r="AL87" i="2" s="1"/>
  <c r="AI87" i="2"/>
  <c r="AJ87" i="2" s="1"/>
  <c r="X107" i="2"/>
  <c r="Y87" i="2"/>
  <c r="X101" i="2"/>
  <c r="Z107" i="5"/>
  <c r="Z101" i="5"/>
  <c r="AA101" i="5" s="1"/>
  <c r="AA87" i="5"/>
  <c r="AB101" i="5"/>
  <c r="AC101" i="5" s="1"/>
  <c r="S101" i="5"/>
  <c r="R147" i="2"/>
  <c r="S137" i="2"/>
  <c r="L137" i="2"/>
  <c r="M107" i="2"/>
  <c r="AA107" i="2"/>
  <c r="Z137" i="2"/>
  <c r="AI59" i="4"/>
  <c r="AJ59" i="4" s="1"/>
  <c r="AB101" i="3"/>
  <c r="AC101" i="3" s="1"/>
  <c r="S101" i="3"/>
  <c r="E87" i="2"/>
  <c r="D107" i="2"/>
  <c r="D101" i="2"/>
  <c r="E101" i="2" s="1"/>
  <c r="O137" i="5"/>
  <c r="N147" i="5"/>
  <c r="O147" i="5" s="1"/>
  <c r="AH59" i="3"/>
  <c r="AK59" i="3"/>
  <c r="AL59" i="3" s="1"/>
  <c r="AI59" i="3"/>
  <c r="AJ59" i="3" s="1"/>
  <c r="K101" i="3"/>
  <c r="AB107" i="5"/>
  <c r="AC107" i="5" s="1"/>
  <c r="R137" i="5"/>
  <c r="S107" i="5"/>
  <c r="AD87" i="3"/>
  <c r="AE87" i="3" s="1"/>
  <c r="AK59" i="4"/>
  <c r="AL59" i="4" s="1"/>
  <c r="E107" i="3"/>
  <c r="D137" i="3"/>
  <c r="H137" i="4"/>
  <c r="I107" i="4"/>
  <c r="F101" i="4"/>
  <c r="G101" i="4" s="1"/>
  <c r="G87" i="4"/>
  <c r="F107" i="4"/>
  <c r="V137" i="4"/>
  <c r="W107" i="4"/>
  <c r="AB87" i="5"/>
  <c r="AF107" i="3"/>
  <c r="AD107" i="3"/>
  <c r="AE107" i="3" s="1"/>
  <c r="Y107" i="3"/>
  <c r="X137" i="3"/>
  <c r="F101" i="3"/>
  <c r="G101" i="3" s="1"/>
  <c r="F107" i="3"/>
  <c r="G87" i="3"/>
  <c r="F137" i="5"/>
  <c r="G107" i="5"/>
  <c r="U107" i="3"/>
  <c r="T137" i="3"/>
  <c r="Y137" i="5" l="1"/>
  <c r="X147" i="5"/>
  <c r="AG101" i="4"/>
  <c r="AH101" i="4" s="1"/>
  <c r="K101" i="4"/>
  <c r="L147" i="5"/>
  <c r="M147" i="5" s="1"/>
  <c r="M137" i="5"/>
  <c r="I137" i="4"/>
  <c r="H147" i="4"/>
  <c r="I147" i="4" s="1"/>
  <c r="S147" i="2"/>
  <c r="K107" i="4"/>
  <c r="AG107" i="4"/>
  <c r="AH107" i="4" s="1"/>
  <c r="J137" i="4"/>
  <c r="AA107" i="4"/>
  <c r="Z137" i="4"/>
  <c r="U137" i="4"/>
  <c r="T147" i="4"/>
  <c r="U147" i="4" s="1"/>
  <c r="W137" i="2"/>
  <c r="V147" i="2"/>
  <c r="W147" i="2" s="1"/>
  <c r="R137" i="4"/>
  <c r="AB107" i="4"/>
  <c r="AC107" i="4" s="1"/>
  <c r="S107" i="4"/>
  <c r="AD101" i="5"/>
  <c r="AE101" i="5" s="1"/>
  <c r="K101" i="5"/>
  <c r="AG101" i="5"/>
  <c r="AB101" i="4"/>
  <c r="AC101" i="4" s="1"/>
  <c r="S101" i="4"/>
  <c r="E137" i="5"/>
  <c r="D147" i="5"/>
  <c r="E147" i="5" s="1"/>
  <c r="AF101" i="4"/>
  <c r="AK101" i="4"/>
  <c r="AL101" i="4" s="1"/>
  <c r="AI101" i="4"/>
  <c r="AJ101" i="4" s="1"/>
  <c r="AD101" i="4"/>
  <c r="AE101" i="4" s="1"/>
  <c r="Y101" i="4"/>
  <c r="X147" i="3"/>
  <c r="Y137" i="3"/>
  <c r="J137" i="5"/>
  <c r="K107" i="5"/>
  <c r="AG107" i="5"/>
  <c r="W137" i="5"/>
  <c r="V147" i="5"/>
  <c r="W147" i="5" s="1"/>
  <c r="AG101" i="2"/>
  <c r="AH101" i="2" s="1"/>
  <c r="K101" i="2"/>
  <c r="AH87" i="5"/>
  <c r="AI87" i="5"/>
  <c r="AJ87" i="5" s="1"/>
  <c r="AK87" i="5"/>
  <c r="AL87" i="5" s="1"/>
  <c r="AF87" i="4"/>
  <c r="AG107" i="2"/>
  <c r="AH107" i="2" s="1"/>
  <c r="J137" i="2"/>
  <c r="K107" i="2"/>
  <c r="N137" i="3"/>
  <c r="O107" i="3"/>
  <c r="P137" i="3"/>
  <c r="Q107" i="3"/>
  <c r="X137" i="4"/>
  <c r="AI107" i="4"/>
  <c r="AJ107" i="4" s="1"/>
  <c r="Y107" i="4"/>
  <c r="AK107" i="4"/>
  <c r="AL107" i="4" s="1"/>
  <c r="D137" i="2"/>
  <c r="E107" i="2"/>
  <c r="U101" i="2"/>
  <c r="AB101" i="2"/>
  <c r="AC101" i="2" s="1"/>
  <c r="N147" i="4"/>
  <c r="O147" i="4" s="1"/>
  <c r="O137" i="4"/>
  <c r="V137" i="3"/>
  <c r="W107" i="3"/>
  <c r="AG107" i="3"/>
  <c r="U107" i="2"/>
  <c r="T137" i="2"/>
  <c r="AB107" i="2"/>
  <c r="AC107" i="2" s="1"/>
  <c r="E137" i="4"/>
  <c r="D147" i="4"/>
  <c r="E147" i="4" s="1"/>
  <c r="J147" i="3"/>
  <c r="K137" i="3"/>
  <c r="D147" i="3"/>
  <c r="E147" i="3" s="1"/>
  <c r="E137" i="3"/>
  <c r="AC87" i="5"/>
  <c r="AF87" i="5"/>
  <c r="AD87" i="5"/>
  <c r="AE87" i="5" s="1"/>
  <c r="S137" i="5"/>
  <c r="R147" i="5"/>
  <c r="Z137" i="5"/>
  <c r="AA107" i="5"/>
  <c r="Q137" i="4"/>
  <c r="P147" i="4"/>
  <c r="Q147" i="4" s="1"/>
  <c r="U137" i="3"/>
  <c r="T147" i="3"/>
  <c r="U147" i="3" s="1"/>
  <c r="AA137" i="2"/>
  <c r="Z147" i="2"/>
  <c r="AA147" i="2" s="1"/>
  <c r="AI101" i="2"/>
  <c r="AJ101" i="2" s="1"/>
  <c r="AF101" i="2"/>
  <c r="AD101" i="2"/>
  <c r="AE101" i="2" s="1"/>
  <c r="Y101" i="2"/>
  <c r="AK101" i="2"/>
  <c r="AL101" i="2" s="1"/>
  <c r="AF107" i="5"/>
  <c r="M137" i="4"/>
  <c r="L147" i="4"/>
  <c r="M147" i="4" s="1"/>
  <c r="T137" i="5"/>
  <c r="U107" i="5"/>
  <c r="B137" i="4"/>
  <c r="C107" i="4"/>
  <c r="W137" i="4"/>
  <c r="V147" i="4"/>
  <c r="W147" i="4" s="1"/>
  <c r="S137" i="3"/>
  <c r="R147" i="3"/>
  <c r="AD107" i="5"/>
  <c r="AE107" i="5" s="1"/>
  <c r="F137" i="3"/>
  <c r="G107" i="3"/>
  <c r="F137" i="4"/>
  <c r="G107" i="4"/>
  <c r="AG101" i="3"/>
  <c r="Y107" i="2"/>
  <c r="X137" i="2"/>
  <c r="AD101" i="3"/>
  <c r="AE101" i="3" s="1"/>
  <c r="O137" i="2"/>
  <c r="N147" i="2"/>
  <c r="O147" i="2" s="1"/>
  <c r="C137" i="3"/>
  <c r="B147" i="3"/>
  <c r="C147" i="3" s="1"/>
  <c r="H137" i="3"/>
  <c r="I107" i="3"/>
  <c r="G137" i="5"/>
  <c r="F147" i="5"/>
  <c r="G147" i="5" s="1"/>
  <c r="L147" i="2"/>
  <c r="M147" i="2" s="1"/>
  <c r="M137" i="2"/>
  <c r="AD87" i="2"/>
  <c r="AE87" i="2" s="1"/>
  <c r="AF87" i="2"/>
  <c r="AF101" i="3"/>
  <c r="P137" i="5"/>
  <c r="Q107" i="5"/>
  <c r="L137" i="3"/>
  <c r="M107" i="3"/>
  <c r="S147" i="5" l="1"/>
  <c r="V147" i="3"/>
  <c r="W147" i="3" s="1"/>
  <c r="W137" i="3"/>
  <c r="N147" i="3"/>
  <c r="O147" i="3" s="1"/>
  <c r="O137" i="3"/>
  <c r="AB137" i="4"/>
  <c r="AC137" i="4" s="1"/>
  <c r="S137" i="4"/>
  <c r="R147" i="4"/>
  <c r="AH101" i="3"/>
  <c r="AI101" i="3"/>
  <c r="AJ101" i="3" s="1"/>
  <c r="AK101" i="3"/>
  <c r="AL101" i="3" s="1"/>
  <c r="AH107" i="5"/>
  <c r="AK107" i="5"/>
  <c r="AL107" i="5" s="1"/>
  <c r="AI107" i="5"/>
  <c r="AJ107" i="5" s="1"/>
  <c r="L147" i="3"/>
  <c r="M147" i="3" s="1"/>
  <c r="M137" i="3"/>
  <c r="K137" i="5"/>
  <c r="J147" i="5"/>
  <c r="AG137" i="5"/>
  <c r="D147" i="2"/>
  <c r="E147" i="2" s="1"/>
  <c r="E137" i="2"/>
  <c r="P147" i="3"/>
  <c r="Q147" i="3" s="1"/>
  <c r="Q137" i="3"/>
  <c r="G137" i="4"/>
  <c r="F147" i="4"/>
  <c r="G147" i="4" s="1"/>
  <c r="F147" i="3"/>
  <c r="G147" i="3" s="1"/>
  <c r="G137" i="3"/>
  <c r="AB147" i="3"/>
  <c r="AC147" i="3" s="1"/>
  <c r="S147" i="3"/>
  <c r="AB137" i="3"/>
  <c r="AI107" i="2"/>
  <c r="AJ107" i="2" s="1"/>
  <c r="AH101" i="5"/>
  <c r="AI101" i="5"/>
  <c r="AJ101" i="5" s="1"/>
  <c r="AK101" i="5"/>
  <c r="AL101" i="5" s="1"/>
  <c r="AK107" i="2"/>
  <c r="AL107" i="2" s="1"/>
  <c r="AA137" i="4"/>
  <c r="Z147" i="4"/>
  <c r="AA147" i="4" s="1"/>
  <c r="K147" i="3"/>
  <c r="AD137" i="4"/>
  <c r="AE137" i="4" s="1"/>
  <c r="Y137" i="4"/>
  <c r="X147" i="4"/>
  <c r="AK137" i="4"/>
  <c r="AL137" i="4" s="1"/>
  <c r="AF137" i="4"/>
  <c r="AI137" i="4"/>
  <c r="AJ137" i="4" s="1"/>
  <c r="Y147" i="5"/>
  <c r="AG137" i="2"/>
  <c r="AH137" i="2" s="1"/>
  <c r="K137" i="2"/>
  <c r="J147" i="2"/>
  <c r="Q137" i="5"/>
  <c r="P147" i="5"/>
  <c r="Q147" i="5" s="1"/>
  <c r="AG137" i="3"/>
  <c r="AD107" i="4"/>
  <c r="AE107" i="4" s="1"/>
  <c r="Y147" i="3"/>
  <c r="AF147" i="3"/>
  <c r="AD147" i="3"/>
  <c r="AE147" i="3" s="1"/>
  <c r="K137" i="4"/>
  <c r="J147" i="4"/>
  <c r="AG137" i="4"/>
  <c r="AH137" i="4" s="1"/>
  <c r="AH107" i="3"/>
  <c r="AK107" i="3"/>
  <c r="AL107" i="3" s="1"/>
  <c r="AI107" i="3"/>
  <c r="AJ107" i="3" s="1"/>
  <c r="H147" i="3"/>
  <c r="I147" i="3" s="1"/>
  <c r="I137" i="3"/>
  <c r="T147" i="2"/>
  <c r="U137" i="2"/>
  <c r="AB137" i="2"/>
  <c r="AC137" i="2" s="1"/>
  <c r="AD107" i="2"/>
  <c r="AE107" i="2" s="1"/>
  <c r="AF107" i="4"/>
  <c r="X147" i="2"/>
  <c r="AK137" i="2"/>
  <c r="AL137" i="2" s="1"/>
  <c r="AI137" i="2"/>
  <c r="AJ137" i="2" s="1"/>
  <c r="Y137" i="2"/>
  <c r="C137" i="4"/>
  <c r="B147" i="4"/>
  <c r="C147" i="4" s="1"/>
  <c r="U137" i="5"/>
  <c r="T147" i="5"/>
  <c r="U147" i="5" s="1"/>
  <c r="AA137" i="5"/>
  <c r="Z147" i="5"/>
  <c r="AA147" i="5" s="1"/>
  <c r="AF107" i="2"/>
  <c r="AB137" i="5"/>
  <c r="AH137" i="3" l="1"/>
  <c r="AK137" i="3"/>
  <c r="AL137" i="3" s="1"/>
  <c r="AI137" i="3"/>
  <c r="AJ137" i="3" s="1"/>
  <c r="AB147" i="4"/>
  <c r="AC147" i="4" s="1"/>
  <c r="S147" i="4"/>
  <c r="AD137" i="2"/>
  <c r="AE137" i="2" s="1"/>
  <c r="AF137" i="2"/>
  <c r="AC137" i="3"/>
  <c r="AF137" i="3"/>
  <c r="AD137" i="3"/>
  <c r="AE137" i="3" s="1"/>
  <c r="AH137" i="5"/>
  <c r="AK137" i="5"/>
  <c r="AL137" i="5" s="1"/>
  <c r="AI137" i="5"/>
  <c r="AJ137" i="5" s="1"/>
  <c r="U147" i="2"/>
  <c r="AB147" i="2"/>
  <c r="AC147" i="2" s="1"/>
  <c r="K147" i="5"/>
  <c r="AG147" i="5"/>
  <c r="AC137" i="5"/>
  <c r="AF137" i="5"/>
  <c r="AD137" i="5"/>
  <c r="AE137" i="5" s="1"/>
  <c r="AD147" i="2"/>
  <c r="AE147" i="2" s="1"/>
  <c r="Y147" i="2"/>
  <c r="AK147" i="2"/>
  <c r="AL147" i="2" s="1"/>
  <c r="AI147" i="2"/>
  <c r="AJ147" i="2" s="1"/>
  <c r="AF147" i="2"/>
  <c r="AG147" i="3"/>
  <c r="AD147" i="4"/>
  <c r="AE147" i="4" s="1"/>
  <c r="Y147" i="4"/>
  <c r="AI147" i="4"/>
  <c r="AJ147" i="4" s="1"/>
  <c r="AG147" i="2"/>
  <c r="AH147" i="2" s="1"/>
  <c r="K147" i="2"/>
  <c r="AG147" i="4"/>
  <c r="AH147" i="4" s="1"/>
  <c r="K147" i="4"/>
  <c r="AB147" i="5"/>
  <c r="AC147" i="5" l="1"/>
  <c r="AF147" i="5"/>
  <c r="AD147" i="5"/>
  <c r="AE147" i="5" s="1"/>
  <c r="AH147" i="3"/>
  <c r="AI147" i="3"/>
  <c r="AJ147" i="3" s="1"/>
  <c r="AK147" i="3"/>
  <c r="AL147" i="3" s="1"/>
  <c r="AH147" i="5"/>
  <c r="AI147" i="5"/>
  <c r="AJ147" i="5" s="1"/>
  <c r="AK147" i="5"/>
  <c r="AL147" i="5" s="1"/>
  <c r="AK147" i="4"/>
  <c r="AL147" i="4" s="1"/>
  <c r="AF147" i="4"/>
</calcChain>
</file>

<file path=xl/sharedStrings.xml><?xml version="1.0" encoding="utf-8"?>
<sst xmlns="http://schemas.openxmlformats.org/spreadsheetml/2006/main" count="1884" uniqueCount="318">
  <si>
    <t>Prime Margin - Trailing 12 Week</t>
  </si>
  <si>
    <t>09/20/2026</t>
  </si>
  <si>
    <t>Consolidated</t>
  </si>
  <si>
    <t/>
  </si>
  <si>
    <t>Week Ending 07/05/2026</t>
  </si>
  <si>
    <t>Week Ending 07/12/2026</t>
  </si>
  <si>
    <t>Week Ending 07/19/2026</t>
  </si>
  <si>
    <t>Week Ending 07/26/2026</t>
  </si>
  <si>
    <t>Week Ending 08/02/2026</t>
  </si>
  <si>
    <t>Week Ending 08/09/2026</t>
  </si>
  <si>
    <t>Week Ending 08/16/2026</t>
  </si>
  <si>
    <t>Week Ending 08/23/2026</t>
  </si>
  <si>
    <t>Week Ending 08/30/2026</t>
  </si>
  <si>
    <t>Week Ending 09/06/2026</t>
  </si>
  <si>
    <t>Week Ending 09/13/2026</t>
  </si>
  <si>
    <t>Week Ending 09/20/2026</t>
  </si>
  <si>
    <t>Period to Date</t>
  </si>
  <si>
    <t>Trailing 4 Week</t>
  </si>
  <si>
    <t>$ vs. 4 Week</t>
  </si>
  <si>
    <t>% vs. 4 Week</t>
  </si>
  <si>
    <t>Trailing 8 Week</t>
  </si>
  <si>
    <t>$ vs. 8 Week</t>
  </si>
  <si>
    <t>% vs. 8 Week</t>
  </si>
  <si>
    <t>Sales</t>
  </si>
  <si>
    <t>49600 - Toast Order Processing Fee Pass-Through</t>
  </si>
  <si>
    <t>Total Sales</t>
  </si>
  <si>
    <t>Cost of Goods Sold</t>
  </si>
  <si>
    <t>Food &amp; Beverage Costs</t>
  </si>
  <si>
    <t>50000 - Food &amp; Beverage Costs</t>
  </si>
  <si>
    <t>Food Costs</t>
  </si>
  <si>
    <t>50100 - Food Costs</t>
  </si>
  <si>
    <t>50110 - COGS - Produce</t>
  </si>
  <si>
    <t>50120 - COGS - Grocery Dry &amp; Canned</t>
  </si>
  <si>
    <t>50130 - COGS - Poultry</t>
  </si>
  <si>
    <t>50140 - COGS - Dairy</t>
  </si>
  <si>
    <t>50150 - COGS - Frozen</t>
  </si>
  <si>
    <t>50160 - COGS - Meat</t>
  </si>
  <si>
    <t>50170 - COGS - Seafood</t>
  </si>
  <si>
    <t>50180 - COGS - Spices</t>
  </si>
  <si>
    <t>50190 - COGS - Prepped Food</t>
  </si>
  <si>
    <t>50191 - COGS - Wow Bao</t>
  </si>
  <si>
    <t>50195 - COGS - Distribution</t>
  </si>
  <si>
    <t>Total Food Costs</t>
  </si>
  <si>
    <t>Beverage Costs</t>
  </si>
  <si>
    <t>50101 - Beverage Costs</t>
  </si>
  <si>
    <t>50200 - COGS - N/A Beverage</t>
  </si>
  <si>
    <t>50300 - COGS - Beer</t>
  </si>
  <si>
    <t>50400 - COGS - Liquor</t>
  </si>
  <si>
    <t>50500 - COGS - Wine</t>
  </si>
  <si>
    <t>Total Beverage Costs</t>
  </si>
  <si>
    <t>Total Food &amp; Beverage Costs</t>
  </si>
  <si>
    <t>Other Costs</t>
  </si>
  <si>
    <t>50550 - Other Costs</t>
  </si>
  <si>
    <t>Paper Costs</t>
  </si>
  <si>
    <t>50600 - Paper Costs</t>
  </si>
  <si>
    <t>50610 - COGS - Paper Supplies</t>
  </si>
  <si>
    <t>50620 - COGS - Catering Supplies</t>
  </si>
  <si>
    <t>50630 - COGS - Event Supplies</t>
  </si>
  <si>
    <t>50640 - COGS - Wow Bao Supplies</t>
  </si>
  <si>
    <t>Total Paper Costs</t>
  </si>
  <si>
    <t>Waste Costs</t>
  </si>
  <si>
    <t>50700 - Waste Costs</t>
  </si>
  <si>
    <t>50710 - Waste - Food</t>
  </si>
  <si>
    <t>50720 - Waste - N/A Beverage</t>
  </si>
  <si>
    <t>50730 - Waste - Beer</t>
  </si>
  <si>
    <t>50740 - Waste - Liquor</t>
  </si>
  <si>
    <t>50750 - Waste - Wine</t>
  </si>
  <si>
    <t>Total Waste Costs</t>
  </si>
  <si>
    <t>50800 - COGS - Freight, Delivery, &amp; Sales Tax</t>
  </si>
  <si>
    <t>50850 - COGS - Fuel Surcharge</t>
  </si>
  <si>
    <t>50900 - COGS - Credit for Discounts</t>
  </si>
  <si>
    <t>Total Other Costs</t>
  </si>
  <si>
    <t>Total Cost of Goods Sold</t>
  </si>
  <si>
    <t>Gross Profit</t>
  </si>
  <si>
    <t>Payroll Expenses</t>
  </si>
  <si>
    <t>61000 - Payroll Expenses</t>
  </si>
  <si>
    <t>Salaries &amp; Wages</t>
  </si>
  <si>
    <t>61100 - Salaries &amp; Wages</t>
  </si>
  <si>
    <t>61110 - Management</t>
  </si>
  <si>
    <t>61120 - Culinary</t>
  </si>
  <si>
    <t>61150 - Hourly</t>
  </si>
  <si>
    <t>61200 - Overtime</t>
  </si>
  <si>
    <t>Total Salaries &amp; Wages</t>
  </si>
  <si>
    <t>61105 - Salaries &amp; Wages Adjustment</t>
  </si>
  <si>
    <t>61250 - Bonus</t>
  </si>
  <si>
    <t>Payroll Taxes</t>
  </si>
  <si>
    <t>61300 - Payroll Taxes</t>
  </si>
  <si>
    <t>61310 - FICA Tax Expense</t>
  </si>
  <si>
    <t>61330 - FUTA Tax Expense</t>
  </si>
  <si>
    <t>61335 - SUTA Tax Expense (VA)</t>
  </si>
  <si>
    <t>61340 - SUTA Tax Expense (DC)</t>
  </si>
  <si>
    <t>61360 - FL Tax Expense (DC)</t>
  </si>
  <si>
    <t>61395 - Other Payroll Taxes</t>
  </si>
  <si>
    <t>Total Payroll Taxes</t>
  </si>
  <si>
    <t>61400 - Payroll Processing Fee</t>
  </si>
  <si>
    <t>61500 - Health Insurance</t>
  </si>
  <si>
    <t>Total Payroll Expenses</t>
  </si>
  <si>
    <t>Prime Profit</t>
  </si>
  <si>
    <t>Operating Expense</t>
  </si>
  <si>
    <t>Supplies</t>
  </si>
  <si>
    <t>Marketing</t>
  </si>
  <si>
    <t>Delivery Fees</t>
  </si>
  <si>
    <t>Third-Party Fees</t>
  </si>
  <si>
    <t>Credit Card Fees</t>
  </si>
  <si>
    <t>Insurance</t>
  </si>
  <si>
    <t>Professional Fees</t>
  </si>
  <si>
    <t>Repairs &amp; Maintenance</t>
  </si>
  <si>
    <t>Other Expenses</t>
  </si>
  <si>
    <t>Total Operating Expense</t>
  </si>
  <si>
    <t>Store Level EBITDAR</t>
  </si>
  <si>
    <t>Non Controllable Expense</t>
  </si>
  <si>
    <t>Occupancy Cost</t>
  </si>
  <si>
    <t>Total Non Controllable Expense</t>
  </si>
  <si>
    <t>Store Level EBITDA</t>
  </si>
  <si>
    <t>Corporate Overhead &amp; Other</t>
  </si>
  <si>
    <t>70000 - Corporate G&amp;A Expenses</t>
  </si>
  <si>
    <t>Corp - Payroll Expenses</t>
  </si>
  <si>
    <t>Corp - Meals, Entertainment, &amp; Travel</t>
  </si>
  <si>
    <t>73000 - Corp - Other G&amp;A Expenses</t>
  </si>
  <si>
    <t>73100 - Corp - Dues &amp; Subscriptions</t>
  </si>
  <si>
    <t>73200 - Corp - Office Supplies</t>
  </si>
  <si>
    <t>73300 - Corp - Other Taxes</t>
  </si>
  <si>
    <t>73400 - Corp - Rent Expense</t>
  </si>
  <si>
    <t>73500 - Corp - Insurance Expense</t>
  </si>
  <si>
    <t>73600 - Corp - Charitable Contributions</t>
  </si>
  <si>
    <t>73650 - Corp - Other Employee Incentives</t>
  </si>
  <si>
    <t>74000 - Corp - Professional Fees</t>
  </si>
  <si>
    <t>74050 - Corp - IT &amp; Technology</t>
  </si>
  <si>
    <t>74060 - Corp - R&amp;D</t>
  </si>
  <si>
    <t>74100 - Corp - Accounting Fees</t>
  </si>
  <si>
    <t>74200 - Corp - Legal Fees</t>
  </si>
  <si>
    <t>74300 - Corp - Recruiting Fees</t>
  </si>
  <si>
    <t>74400 - Corp - Public Relations</t>
  </si>
  <si>
    <t>Corp - Marketing</t>
  </si>
  <si>
    <t>74600 - Corp - Other Professional Fees</t>
  </si>
  <si>
    <t>74700 - Corp - Bank Fees</t>
  </si>
  <si>
    <t>74800 - Corp - Licenses &amp; Permits</t>
  </si>
  <si>
    <t>81000 - Corp - Management Fee</t>
  </si>
  <si>
    <t>81500 - Corp - Investor Advisory Fees</t>
  </si>
  <si>
    <t>82100 - Corp - Realty Tax</t>
  </si>
  <si>
    <t>Total Corporate Overhead &amp; Other</t>
  </si>
  <si>
    <t>EBITDA</t>
  </si>
  <si>
    <t>Other Income &amp; Expense</t>
  </si>
  <si>
    <t>Other (Income)/Expense</t>
  </si>
  <si>
    <t>Total Other Income &amp; Expense</t>
  </si>
  <si>
    <t>Pre-Opening Costs</t>
  </si>
  <si>
    <t>Pre-Opening Expenses</t>
  </si>
  <si>
    <t>Total Pre-Opening Costs</t>
  </si>
  <si>
    <t>Net Income</t>
  </si>
  <si>
    <t>Powered by Restaurant365</t>
  </si>
  <si>
    <t>1</t>
  </si>
  <si>
    <t>09/28/2026 08:49 AM PDT</t>
  </si>
  <si>
    <t>4 - RASA - MVT</t>
  </si>
  <si>
    <t>5 - RASA - National Landing</t>
  </si>
  <si>
    <t>6 - RASA - Mosaic</t>
  </si>
  <si>
    <t>7 - RASA - Rockville</t>
  </si>
  <si>
    <t>Period To Date</t>
  </si>
  <si>
    <t>Trailing 4 week</t>
  </si>
  <si>
    <t>Trailing 8 week</t>
  </si>
  <si>
    <t>Current Period</t>
  </si>
  <si>
    <t>4-Week Average</t>
  </si>
  <si>
    <t>4-Week Average Comparison</t>
  </si>
  <si>
    <t>8-Week Average</t>
  </si>
  <si>
    <t>8-Week Average Comparison</t>
  </si>
  <si>
    <t>Location</t>
  </si>
  <si>
    <t>COGS</t>
  </si>
  <si>
    <t>Labor</t>
  </si>
  <si>
    <t>Prime Margin</t>
  </si>
  <si>
    <t>Total Labor Cost</t>
  </si>
  <si>
    <t>Sales
 Current Week vs 4-week</t>
  </si>
  <si>
    <t>COGS
 Current Week vs 4-week</t>
  </si>
  <si>
    <t>Labor
 Current Week vs 4-week</t>
  </si>
  <si>
    <t>Sales
 Current Week vs 8-week</t>
  </si>
  <si>
    <t>COGS
 Current Week vs 8-week</t>
  </si>
  <si>
    <t>Labor
 Current Week vs 8-week</t>
  </si>
  <si>
    <t>Week 2</t>
  </si>
  <si>
    <t>Week 2, 2026</t>
  </si>
  <si>
    <t>Week Ending 01/11/2026</t>
  </si>
  <si>
    <t>5 - RASA - National Landin</t>
  </si>
  <si>
    <t>Week 3</t>
  </si>
  <si>
    <t>Week 3, 2026</t>
  </si>
  <si>
    <t>Week Ending 01/18/2026</t>
  </si>
  <si>
    <t>Week 4</t>
  </si>
  <si>
    <t>Week 4, 2026</t>
  </si>
  <si>
    <t>Week Ending 01/25/2026</t>
  </si>
  <si>
    <t>Week 5</t>
  </si>
  <si>
    <t>Week 5, 2026</t>
  </si>
  <si>
    <t>Week Ending 02/01/2026</t>
  </si>
  <si>
    <t>All</t>
  </si>
  <si>
    <t>Week 6</t>
  </si>
  <si>
    <t>Week 6, 2026</t>
  </si>
  <si>
    <t>Week Ending 02/08/2026</t>
  </si>
  <si>
    <t>Week 7</t>
  </si>
  <si>
    <t>Week 7, 2026</t>
  </si>
  <si>
    <t>Week Ending 02/15/2026</t>
  </si>
  <si>
    <t>Week 8</t>
  </si>
  <si>
    <t>Week 8, 2026</t>
  </si>
  <si>
    <t>Week Ending 02/22/2026</t>
  </si>
  <si>
    <t>Notes:</t>
  </si>
  <si>
    <t>Week 9</t>
  </si>
  <si>
    <t>Week 9, 2026</t>
  </si>
  <si>
    <t>Week Ending 03/01/2026</t>
  </si>
  <si>
    <t>Week 10</t>
  </si>
  <si>
    <t>Week 10, 2026</t>
  </si>
  <si>
    <t>Week Ending 03/08/2026</t>
  </si>
  <si>
    <t xml:space="preserve"> RASA - MVT</t>
  </si>
  <si>
    <t>Week 15</t>
  </si>
  <si>
    <t>Week 15, 2026</t>
  </si>
  <si>
    <t>Week Ending 04/12/2026</t>
  </si>
  <si>
    <t>COGS -</t>
  </si>
  <si>
    <t>No notes</t>
  </si>
  <si>
    <t>Week 16</t>
  </si>
  <si>
    <t>Week 16, 2026</t>
  </si>
  <si>
    <t>Week Ending 04/19/2026</t>
  </si>
  <si>
    <t>Labor -</t>
  </si>
  <si>
    <t>Health insurance posted this week</t>
  </si>
  <si>
    <t>Week 17</t>
  </si>
  <si>
    <t>Week 17, 2026</t>
  </si>
  <si>
    <t>Week Ending 04/26/2026</t>
  </si>
  <si>
    <t>Week 18</t>
  </si>
  <si>
    <t>Week 18, 2026</t>
  </si>
  <si>
    <t>Week Ending 05/03/2026</t>
  </si>
  <si>
    <t>RASA - National Landing</t>
  </si>
  <si>
    <t>Week 19</t>
  </si>
  <si>
    <t>Week 19, 2026</t>
  </si>
  <si>
    <t>Week Ending 05/10/2026</t>
  </si>
  <si>
    <t>Week 20</t>
  </si>
  <si>
    <t>Week 20, 2026</t>
  </si>
  <si>
    <t>Week Ending 05/17/2026</t>
  </si>
  <si>
    <t>Large sales jump skewing labor</t>
  </si>
  <si>
    <t>Week 21</t>
  </si>
  <si>
    <t>Week 21, 2026</t>
  </si>
  <si>
    <t>Week Ending 05/24/2026</t>
  </si>
  <si>
    <t>Week 22</t>
  </si>
  <si>
    <t>Week 22, 2026</t>
  </si>
  <si>
    <t>Week Ending 05/31/2026</t>
  </si>
  <si>
    <t xml:space="preserve"> RASA - Mosaic</t>
  </si>
  <si>
    <t>Week 23</t>
  </si>
  <si>
    <t>Week 23, 2026</t>
  </si>
  <si>
    <t>Week Ending 06/07/2026</t>
  </si>
  <si>
    <t>Week 24</t>
  </si>
  <si>
    <t>Week 24, 2026</t>
  </si>
  <si>
    <t>Week Ending 06/14/2026</t>
  </si>
  <si>
    <t>Week 25</t>
  </si>
  <si>
    <t>Week 25, 2026</t>
  </si>
  <si>
    <t>Week Ending 06/21/2026</t>
  </si>
  <si>
    <t>Week 26</t>
  </si>
  <si>
    <t>Week 26, 2026</t>
  </si>
  <si>
    <t>Week Ending 06/28/2026</t>
  </si>
  <si>
    <t>RASA - Rockville</t>
  </si>
  <si>
    <t>Week 27</t>
  </si>
  <si>
    <t>Week 27, 2026</t>
  </si>
  <si>
    <t>Week 28</t>
  </si>
  <si>
    <t>Week 28, 2026</t>
  </si>
  <si>
    <t>Week 29</t>
  </si>
  <si>
    <t>Week 29, 2026</t>
  </si>
  <si>
    <t>Week 30</t>
  </si>
  <si>
    <t>Week 30, 2026</t>
  </si>
  <si>
    <t>Week 31</t>
  </si>
  <si>
    <t>Week 31, 2026</t>
  </si>
  <si>
    <t>Week 32</t>
  </si>
  <si>
    <t>Week 32, 2026</t>
  </si>
  <si>
    <t>Week 33</t>
  </si>
  <si>
    <t>Week 33, 2026</t>
  </si>
  <si>
    <t>Week 34</t>
  </si>
  <si>
    <t>Week 34, 2026</t>
  </si>
  <si>
    <t>Week 35</t>
  </si>
  <si>
    <t>Week 35, 2026</t>
  </si>
  <si>
    <t>Week 36</t>
  </si>
  <si>
    <t>Week 36, 2026</t>
  </si>
  <si>
    <t>Week 37</t>
  </si>
  <si>
    <t>Week 37, 2026</t>
  </si>
  <si>
    <t>Week 38</t>
  </si>
  <si>
    <t>Week 38, 2026</t>
  </si>
  <si>
    <t>Week 39</t>
  </si>
  <si>
    <t>Week 39, 2026</t>
  </si>
  <si>
    <t>Week Ending 09/27/2026</t>
  </si>
  <si>
    <t>Week 40</t>
  </si>
  <si>
    <t>Week 40, 2026</t>
  </si>
  <si>
    <t>Week Ending 10/04/2026</t>
  </si>
  <si>
    <t>Week 41</t>
  </si>
  <si>
    <t>Week 41, 2026</t>
  </si>
  <si>
    <t>Week Ending 10/11/2026</t>
  </si>
  <si>
    <t>Week 42</t>
  </si>
  <si>
    <t>Week 42, 2026</t>
  </si>
  <si>
    <t>Week Ending 10/18/2026</t>
  </si>
  <si>
    <t>Week 43</t>
  </si>
  <si>
    <t>Week 43, 2026</t>
  </si>
  <si>
    <t>Week Ending 10/25/2026</t>
  </si>
  <si>
    <t>Week 44</t>
  </si>
  <si>
    <t>Week 44, 2026</t>
  </si>
  <si>
    <t>Week Ending 11/01/2026</t>
  </si>
  <si>
    <t>Week 45</t>
  </si>
  <si>
    <t>Week 45, 2026</t>
  </si>
  <si>
    <t>Week Ending 11/08/2026</t>
  </si>
  <si>
    <t>Week 46</t>
  </si>
  <si>
    <t>Week 46, 2026</t>
  </si>
  <si>
    <t>Week Ending 11/15/2026</t>
  </si>
  <si>
    <t>Week 47</t>
  </si>
  <si>
    <t>Week 47, 2026</t>
  </si>
  <si>
    <t>Week Ending 11/22/2026</t>
  </si>
  <si>
    <t>Week 48</t>
  </si>
  <si>
    <t>Week 48, 2026</t>
  </si>
  <si>
    <t>Week Ending 11/29/2026</t>
  </si>
  <si>
    <t>Week 49</t>
  </si>
  <si>
    <t>Week 49, 2026</t>
  </si>
  <si>
    <t>Week Ending 12/06/2026</t>
  </si>
  <si>
    <t>Week 50</t>
  </si>
  <si>
    <t>Week 50, 2026</t>
  </si>
  <si>
    <t>Week Ending 12/13/2026</t>
  </si>
  <si>
    <t>Week 51</t>
  </si>
  <si>
    <t>Week 51, 2026</t>
  </si>
  <si>
    <t>Week Ending 12/20/2026</t>
  </si>
  <si>
    <t>Week 52</t>
  </si>
  <si>
    <t>Week 52, 2026</t>
  </si>
  <si>
    <t>Week Ending 12/27/2026</t>
  </si>
  <si>
    <t>NA</t>
  </si>
  <si>
    <t>Sales down 8% vs 4 week comp but total labor $s are up 1.8% vs 4 week comp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</si>
</sst>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#,##0.0%"/>
    <numFmt numFmtId="165" formatCode="#,##0.0%;\(#,##0.0%\)"/>
    <numFmt numFmtId="166" formatCode="#,##0.0;\(#,##0.0\)"/>
    <numFmt numFmtId="167" formatCode="#,##0.0"/>
    <numFmt numFmtId="168" formatCode="_(&quot;$&quot;* #,##0_);_(&quot;$&quot;* \(#,##0\);_(&quot;$&quot;* &quot;-&quot;??_);_(@_)"/>
    <numFmt numFmtId="169" formatCode="0.0%"/>
  </numFmts>
  <fonts count="32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0"/>
      <name val="Calibri"/>
      <scheme val="minor"/>
    </font>
    <font>
      <b/>
      <sz val="10"/>
      <color rgb="FF4A90E2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b/>
      <sz val="12"/>
      <color rgb="FF4A90E2"/>
      <name val="Calibri"/>
      <scheme val="minor"/>
    </font>
    <font>
      <b/>
      <i/>
      <sz val="8"/>
      <color rgb="FFFFFFFF"/>
      <name val="Calibri"/>
      <scheme val="minor"/>
    </font>
    <font>
      <i/>
      <sz val="8"/>
      <name val="Calibri"/>
      <scheme val="minor"/>
    </font>
    <font>
      <sz val="12"/>
      <color rgb="FF4A90E2"/>
      <name val="Calibri"/>
      <scheme val="minor"/>
    </font>
    <font>
      <i/>
      <sz val="8"/>
      <color rgb="FFFFFFFF"/>
      <name val="Calibri"/>
      <scheme val="minor"/>
    </font>
    <font>
      <sz val="7"/>
      <color rgb="FF000000"/>
      <name val="Calibri"/>
      <scheme val="minor"/>
    </font>
    <font>
      <i/>
      <sz val="8"/>
      <color rgb="FF000000"/>
      <name val="Calibri"/>
      <scheme val="minor"/>
    </font>
    <font>
      <sz val="7"/>
      <color rgb="FF4A90E2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2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0"/>
      <color theme="1"/>
      <name val="Arial"/>
      <family val="2"/>
    </font>
    <font>
      <b/>
      <i/>
      <u/>
      <sz val="12"/>
      <color theme="1"/>
      <name val="Arial"/>
      <family val="2"/>
    </font>
    <font>
      <b/>
      <i/>
      <sz val="10"/>
      <color theme="1"/>
      <name val="Arial"/>
      <family val="2"/>
    </font>
    <font>
      <b/>
      <i/>
      <sz val="10"/>
      <color rgb="FF0070C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00B0F0"/>
        <bgColor indexed="64"/>
      </patternFill>
    </fill>
  </fills>
  <borders count="21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medium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 style="medium">
        <color indexed="64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medium">
        <color indexed="64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 style="medium">
        <color indexed="64"/>
      </right>
      <top style="dashed">
        <color auto="1"/>
      </top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 style="medium">
        <color indexed="64"/>
      </bottom>
      <diagonal/>
    </border>
  </borders>
  <cellStyleXfs count="4">
    <xf numFmtId="0" fontId="0" fillId="0" borderId="0"/>
    <xf numFmtId="43" fontId="19" fillId="0" borderId="0" applyFont="0" applyFill="0" applyBorder="0" applyAlignment="0" applyProtection="0"/>
    <xf numFmtId="44" fontId="19" fillId="0" borderId="0" applyFont="0" applyFill="0" applyBorder="0" applyAlignment="0" applyProtection="0"/>
    <xf numFmtId="9" fontId="19" fillId="0" borderId="0" applyFont="0" applyFill="0" applyBorder="0" applyAlignment="0" applyProtection="0"/>
  </cellStyleXfs>
  <cellXfs count="121">
    <xf numFmtId="0" fontId="0" fillId="0" borderId="0" xfId="0"/>
    <xf numFmtId="0" fontId="7" fillId="0" borderId="0" xfId="0" applyFont="1" applyAlignment="1">
      <alignment horizontal="left" vertical="center" wrapText="1"/>
    </xf>
    <xf numFmtId="39" fontId="7" fillId="0" borderId="0" xfId="0" applyNumberFormat="1" applyFont="1" applyAlignment="1">
      <alignment vertical="center"/>
    </xf>
    <xf numFmtId="165" fontId="8" fillId="0" borderId="0" xfId="0" applyNumberFormat="1" applyFont="1" applyAlignment="1">
      <alignment vertical="center"/>
    </xf>
    <xf numFmtId="39" fontId="9" fillId="0" borderId="0" xfId="0" applyNumberFormat="1" applyFont="1" applyAlignment="1">
      <alignment vertical="center"/>
    </xf>
    <xf numFmtId="165" fontId="10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 indent="1"/>
    </xf>
    <xf numFmtId="39" fontId="4" fillId="0" borderId="0" xfId="0" applyNumberFormat="1" applyFont="1" applyAlignment="1">
      <alignment vertical="center"/>
    </xf>
    <xf numFmtId="165" fontId="11" fillId="0" borderId="0" xfId="0" applyNumberFormat="1" applyFont="1" applyAlignment="1">
      <alignment horizontal="right" vertical="center"/>
    </xf>
    <xf numFmtId="39" fontId="4" fillId="0" borderId="0" xfId="0" applyNumberFormat="1" applyFont="1" applyAlignment="1">
      <alignment horizontal="right" vertical="center"/>
    </xf>
    <xf numFmtId="39" fontId="12" fillId="0" borderId="0" xfId="0" applyNumberFormat="1" applyFont="1" applyAlignment="1">
      <alignment horizontal="right" vertical="center"/>
    </xf>
    <xf numFmtId="165" fontId="13" fillId="0" borderId="0" xfId="0" applyNumberFormat="1" applyFont="1" applyAlignment="1">
      <alignment horizontal="right" vertical="center"/>
    </xf>
    <xf numFmtId="39" fontId="7" fillId="0" borderId="0" xfId="0" applyNumberFormat="1" applyFont="1" applyAlignment="1">
      <alignment horizontal="left" vertical="center" wrapText="1"/>
    </xf>
    <xf numFmtId="39" fontId="7" fillId="0" borderId="0" xfId="0" applyNumberFormat="1" applyFont="1" applyAlignment="1">
      <alignment horizontal="right" vertical="center"/>
    </xf>
    <xf numFmtId="165" fontId="8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0" fontId="14" fillId="0" borderId="0" xfId="0" applyFont="1" applyAlignment="1">
      <alignment horizontal="left" vertical="center" wrapText="1"/>
    </xf>
    <xf numFmtId="39" fontId="14" fillId="0" borderId="0" xfId="0" applyNumberFormat="1" applyFont="1" applyAlignment="1">
      <alignment vertical="center"/>
    </xf>
    <xf numFmtId="165" fontId="15" fillId="0" borderId="0" xfId="0" applyNumberFormat="1" applyFont="1" applyAlignment="1">
      <alignment vertical="center"/>
    </xf>
    <xf numFmtId="39" fontId="16" fillId="0" borderId="0" xfId="0" applyNumberFormat="1" applyFont="1" applyAlignment="1">
      <alignment vertical="center"/>
    </xf>
    <xf numFmtId="165" fontId="13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 wrapText="1" indent="1"/>
    </xf>
    <xf numFmtId="0" fontId="4" fillId="0" borderId="0" xfId="0" applyFont="1" applyAlignment="1">
      <alignment horizontal="left" vertical="center" wrapText="1" indent="2"/>
    </xf>
    <xf numFmtId="0" fontId="7" fillId="0" borderId="0" xfId="0" applyFont="1" applyAlignment="1">
      <alignment horizontal="left" vertical="center" wrapText="1" indent="2"/>
    </xf>
    <xf numFmtId="0" fontId="4" fillId="0" borderId="0" xfId="0" applyFont="1" applyAlignment="1">
      <alignment horizontal="left" vertical="center" wrapText="1" indent="3"/>
    </xf>
    <xf numFmtId="39" fontId="7" fillId="0" borderId="0" xfId="0" applyNumberFormat="1" applyFont="1" applyAlignment="1">
      <alignment horizontal="left" vertical="center" wrapText="1" indent="2"/>
    </xf>
    <xf numFmtId="39" fontId="7" fillId="0" borderId="0" xfId="0" applyNumberFormat="1" applyFont="1" applyAlignment="1">
      <alignment horizontal="left" vertical="center" wrapText="1" indent="1"/>
    </xf>
    <xf numFmtId="39" fontId="7" fillId="0" borderId="1" xfId="0" applyNumberFormat="1" applyFont="1" applyBorder="1" applyAlignment="1">
      <alignment horizontal="right" vertical="center"/>
    </xf>
    <xf numFmtId="165" fontId="8" fillId="0" borderId="1" xfId="0" applyNumberFormat="1" applyFont="1" applyBorder="1" applyAlignment="1">
      <alignment horizontal="right" vertical="center"/>
    </xf>
    <xf numFmtId="39" fontId="9" fillId="0" borderId="1" xfId="0" applyNumberFormat="1" applyFont="1" applyBorder="1" applyAlignment="1">
      <alignment horizontal="right" vertical="center"/>
    </xf>
    <xf numFmtId="165" fontId="10" fillId="0" borderId="1" xfId="0" applyNumberFormat="1" applyFont="1" applyBorder="1" applyAlignment="1">
      <alignment horizontal="right" vertical="center"/>
    </xf>
    <xf numFmtId="39" fontId="17" fillId="0" borderId="0" xfId="0" applyNumberFormat="1" applyFont="1" applyAlignment="1">
      <alignment horizontal="left" vertical="center" wrapText="1"/>
    </xf>
    <xf numFmtId="39" fontId="17" fillId="0" borderId="0" xfId="0" applyNumberFormat="1" applyFont="1" applyAlignment="1">
      <alignment horizontal="right" vertical="center"/>
    </xf>
    <xf numFmtId="165" fontId="18" fillId="0" borderId="0" xfId="0" applyNumberFormat="1" applyFont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39" fontId="3" fillId="0" borderId="0" xfId="0" applyNumberFormat="1" applyFont="1" applyAlignment="1">
      <alignment vertical="center"/>
    </xf>
    <xf numFmtId="39" fontId="12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wrapText="1"/>
    </xf>
    <xf numFmtId="39" fontId="17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 wrapText="1"/>
    </xf>
    <xf numFmtId="166" fontId="11" fillId="0" borderId="0" xfId="0" applyNumberFormat="1" applyFont="1" applyAlignment="1">
      <alignment vertical="center"/>
    </xf>
    <xf numFmtId="166" fontId="13" fillId="0" borderId="0" xfId="0" applyNumberFormat="1" applyFont="1" applyAlignment="1">
      <alignment vertical="center"/>
    </xf>
    <xf numFmtId="0" fontId="4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horizontal="center" vertical="center" wrapText="1"/>
    </xf>
    <xf numFmtId="4" fontId="6" fillId="0" borderId="0" xfId="0" applyNumberFormat="1" applyFont="1" applyAlignment="1">
      <alignment horizontal="center" vertical="center" wrapText="1"/>
    </xf>
    <xf numFmtId="164" fontId="6" fillId="0" borderId="0" xfId="0" applyNumberFormat="1" applyFont="1" applyAlignment="1">
      <alignment horizontal="center" vertical="center" wrapText="1"/>
    </xf>
    <xf numFmtId="4" fontId="21" fillId="0" borderId="0" xfId="0" applyNumberFormat="1" applyFont="1" applyAlignment="1">
      <alignment horizontal="center" vertical="center" wrapText="1"/>
    </xf>
    <xf numFmtId="167" fontId="22" fillId="0" borderId="0" xfId="0" applyNumberFormat="1" applyFont="1" applyAlignment="1">
      <alignment horizontal="center" vertical="center" wrapText="1"/>
    </xf>
    <xf numFmtId="4" fontId="0" fillId="0" borderId="0" xfId="0" applyNumberFormat="1"/>
    <xf numFmtId="4" fontId="21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" borderId="0" xfId="0" applyFill="1"/>
    <xf numFmtId="0" fontId="23" fillId="2" borderId="0" xfId="0" applyFont="1" applyFill="1"/>
    <xf numFmtId="0" fontId="23" fillId="2" borderId="2" xfId="0" applyFont="1" applyFill="1" applyBorder="1" applyAlignment="1">
      <alignment horizontal="center"/>
    </xf>
    <xf numFmtId="0" fontId="24" fillId="0" borderId="0" xfId="0" applyFont="1" applyAlignment="1">
      <alignment wrapText="1"/>
    </xf>
    <xf numFmtId="0" fontId="24" fillId="3" borderId="3" xfId="0" applyFont="1" applyFill="1" applyBorder="1" applyAlignment="1">
      <alignment horizontal="center" vertical="center" wrapText="1"/>
    </xf>
    <xf numFmtId="0" fontId="24" fillId="3" borderId="4" xfId="0" applyFont="1" applyFill="1" applyBorder="1" applyAlignment="1">
      <alignment horizontal="center" vertical="center" wrapText="1"/>
    </xf>
    <xf numFmtId="39" fontId="25" fillId="3" borderId="4" xfId="0" applyNumberFormat="1" applyFont="1" applyFill="1" applyBorder="1" applyAlignment="1">
      <alignment horizontal="center" vertical="center" wrapText="1"/>
    </xf>
    <xf numFmtId="39" fontId="25" fillId="3" borderId="5" xfId="0" applyNumberFormat="1" applyFont="1" applyFill="1" applyBorder="1" applyAlignment="1">
      <alignment horizontal="center" vertical="center" wrapText="1"/>
    </xf>
    <xf numFmtId="0" fontId="24" fillId="4" borderId="3" xfId="0" applyFont="1" applyFill="1" applyBorder="1" applyAlignment="1">
      <alignment horizontal="center" vertical="center" wrapText="1"/>
    </xf>
    <xf numFmtId="0" fontId="24" fillId="4" borderId="4" xfId="0" applyFont="1" applyFill="1" applyBorder="1" applyAlignment="1">
      <alignment horizontal="center" vertical="center" wrapText="1"/>
    </xf>
    <xf numFmtId="39" fontId="25" fillId="4" borderId="4" xfId="0" applyNumberFormat="1" applyFont="1" applyFill="1" applyBorder="1" applyAlignment="1">
      <alignment horizontal="center" vertical="center" wrapText="1"/>
    </xf>
    <xf numFmtId="39" fontId="25" fillId="4" borderId="6" xfId="0" applyNumberFormat="1" applyFont="1" applyFill="1" applyBorder="1" applyAlignment="1">
      <alignment horizontal="center" vertical="center" wrapText="1"/>
    </xf>
    <xf numFmtId="0" fontId="24" fillId="5" borderId="3" xfId="0" applyFont="1" applyFill="1" applyBorder="1" applyAlignment="1">
      <alignment horizontal="center" vertical="center" wrapText="1"/>
    </xf>
    <xf numFmtId="0" fontId="24" fillId="5" borderId="4" xfId="0" applyFont="1" applyFill="1" applyBorder="1" applyAlignment="1">
      <alignment horizontal="center" vertical="center" wrapText="1"/>
    </xf>
    <xf numFmtId="39" fontId="25" fillId="5" borderId="4" xfId="0" applyNumberFormat="1" applyFont="1" applyFill="1" applyBorder="1" applyAlignment="1">
      <alignment horizontal="center" vertical="center" wrapText="1"/>
    </xf>
    <xf numFmtId="39" fontId="25" fillId="5" borderId="5" xfId="0" applyNumberFormat="1" applyFont="1" applyFill="1" applyBorder="1" applyAlignment="1">
      <alignment horizontal="center" vertical="center" wrapText="1"/>
    </xf>
    <xf numFmtId="0" fontId="24" fillId="6" borderId="7" xfId="0" applyFont="1" applyFill="1" applyBorder="1" applyAlignment="1">
      <alignment horizontal="center" wrapText="1"/>
    </xf>
    <xf numFmtId="0" fontId="24" fillId="6" borderId="4" xfId="0" applyFont="1" applyFill="1" applyBorder="1" applyAlignment="1">
      <alignment horizontal="center" wrapText="1"/>
    </xf>
    <xf numFmtId="0" fontId="24" fillId="6" borderId="8" xfId="0" applyFont="1" applyFill="1" applyBorder="1" applyAlignment="1">
      <alignment horizontal="center" wrapText="1"/>
    </xf>
    <xf numFmtId="0" fontId="24" fillId="7" borderId="3" xfId="0" applyFont="1" applyFill="1" applyBorder="1" applyAlignment="1">
      <alignment horizontal="center" vertical="center" wrapText="1"/>
    </xf>
    <xf numFmtId="0" fontId="24" fillId="7" borderId="4" xfId="0" applyFont="1" applyFill="1" applyBorder="1" applyAlignment="1">
      <alignment horizontal="center" vertical="center" wrapText="1"/>
    </xf>
    <xf numFmtId="39" fontId="25" fillId="7" borderId="4" xfId="0" applyNumberFormat="1" applyFont="1" applyFill="1" applyBorder="1" applyAlignment="1">
      <alignment horizontal="center" vertical="center" wrapText="1"/>
    </xf>
    <xf numFmtId="39" fontId="25" fillId="7" borderId="6" xfId="0" applyNumberFormat="1" applyFont="1" applyFill="1" applyBorder="1" applyAlignment="1">
      <alignment horizontal="center" vertical="center" wrapText="1"/>
    </xf>
    <xf numFmtId="0" fontId="24" fillId="7" borderId="7" xfId="0" applyFont="1" applyFill="1" applyBorder="1" applyAlignment="1">
      <alignment horizontal="center" wrapText="1"/>
    </xf>
    <xf numFmtId="0" fontId="24" fillId="7" borderId="4" xfId="0" applyFont="1" applyFill="1" applyBorder="1" applyAlignment="1">
      <alignment horizontal="center" wrapText="1"/>
    </xf>
    <xf numFmtId="0" fontId="24" fillId="7" borderId="8" xfId="0" applyFont="1" applyFill="1" applyBorder="1" applyAlignment="1">
      <alignment horizontal="center" wrapText="1"/>
    </xf>
    <xf numFmtId="39" fontId="26" fillId="0" borderId="0" xfId="0" applyNumberFormat="1" applyFont="1" applyAlignment="1">
      <alignment vertical="center" wrapText="1"/>
    </xf>
    <xf numFmtId="4" fontId="27" fillId="0" borderId="0" xfId="0" applyNumberFormat="1" applyFont="1" applyAlignment="1">
      <alignment vertical="center" wrapText="1"/>
    </xf>
    <xf numFmtId="4" fontId="26" fillId="0" borderId="0" xfId="0" applyNumberFormat="1" applyFont="1" applyAlignment="1">
      <alignment vertical="center" wrapText="1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9" xfId="0" applyBorder="1"/>
    <xf numFmtId="4" fontId="26" fillId="0" borderId="10" xfId="0" applyNumberFormat="1" applyFont="1" applyBorder="1" applyAlignment="1">
      <alignment vertical="center" wrapText="1"/>
    </xf>
    <xf numFmtId="43" fontId="20" fillId="6" borderId="11" xfId="1" applyFont="1" applyFill="1" applyBorder="1" applyAlignment="1">
      <alignment horizontal="left" vertical="center"/>
    </xf>
    <xf numFmtId="168" fontId="19" fillId="8" borderId="12" xfId="2" applyNumberFormat="1" applyFont="1" applyFill="1" applyBorder="1" applyAlignment="1">
      <alignment horizontal="center" vertical="center"/>
    </xf>
    <xf numFmtId="169" fontId="19" fillId="8" borderId="13" xfId="3" applyNumberFormat="1" applyFont="1" applyFill="1" applyBorder="1" applyAlignment="1">
      <alignment horizontal="center" vertical="center"/>
    </xf>
    <xf numFmtId="169" fontId="0" fillId="8" borderId="14" xfId="3" applyNumberFormat="1" applyFont="1" applyFill="1" applyBorder="1" applyAlignment="1">
      <alignment horizontal="center" vertical="center"/>
    </xf>
    <xf numFmtId="168" fontId="0" fillId="8" borderId="12" xfId="2" applyNumberFormat="1" applyFont="1" applyFill="1" applyBorder="1" applyAlignment="1">
      <alignment horizontal="center" vertical="center"/>
    </xf>
    <xf numFmtId="169" fontId="0" fillId="8" borderId="13" xfId="3" applyNumberFormat="1" applyFont="1" applyFill="1" applyBorder="1" applyAlignment="1">
      <alignment horizontal="center" vertical="center"/>
    </xf>
    <xf numFmtId="169" fontId="0" fillId="8" borderId="15" xfId="3" applyNumberFormat="1" applyFont="1" applyFill="1" applyBorder="1" applyAlignment="1">
      <alignment horizontal="center" vertical="center"/>
    </xf>
    <xf numFmtId="9" fontId="0" fillId="8" borderId="12" xfId="3" applyFont="1" applyFill="1" applyBorder="1" applyAlignment="1">
      <alignment horizontal="center" vertical="center"/>
    </xf>
    <xf numFmtId="169" fontId="0" fillId="0" borderId="0" xfId="0" applyNumberFormat="1"/>
    <xf numFmtId="14" fontId="0" fillId="0" borderId="0" xfId="0" applyNumberFormat="1"/>
    <xf numFmtId="169" fontId="19" fillId="8" borderId="14" xfId="3" applyNumberFormat="1" applyFont="1" applyFill="1" applyBorder="1" applyAlignment="1">
      <alignment horizontal="center" vertical="center"/>
    </xf>
    <xf numFmtId="43" fontId="20" fillId="9" borderId="16" xfId="1" applyFont="1" applyFill="1" applyBorder="1" applyAlignment="1">
      <alignment horizontal="left" vertical="center"/>
    </xf>
    <xf numFmtId="168" fontId="0" fillId="9" borderId="17" xfId="2" applyNumberFormat="1" applyFont="1" applyFill="1" applyBorder="1" applyAlignment="1">
      <alignment horizontal="center" vertical="center"/>
    </xf>
    <xf numFmtId="169" fontId="0" fillId="9" borderId="18" xfId="3" applyNumberFormat="1" applyFont="1" applyFill="1" applyBorder="1" applyAlignment="1">
      <alignment horizontal="center" vertical="center"/>
    </xf>
    <xf numFmtId="169" fontId="0" fillId="9" borderId="19" xfId="3" applyNumberFormat="1" applyFont="1" applyFill="1" applyBorder="1" applyAlignment="1">
      <alignment horizontal="center" vertical="center"/>
    </xf>
    <xf numFmtId="169" fontId="0" fillId="9" borderId="20" xfId="3" applyNumberFormat="1" applyFont="1" applyFill="1" applyBorder="1" applyAlignment="1">
      <alignment horizontal="center" vertical="center"/>
    </xf>
    <xf numFmtId="9" fontId="0" fillId="9" borderId="17" xfId="3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28" fillId="0" borderId="0" xfId="0" applyFont="1"/>
    <xf numFmtId="168" fontId="28" fillId="0" borderId="0" xfId="0" applyNumberFormat="1" applyFont="1" applyAlignment="1">
      <alignment horizontal="right"/>
    </xf>
    <xf numFmtId="10" fontId="28" fillId="0" borderId="0" xfId="3" applyNumberFormat="1" applyFont="1"/>
    <xf numFmtId="10" fontId="28" fillId="0" borderId="0" xfId="0" applyNumberFormat="1" applyFont="1"/>
    <xf numFmtId="169" fontId="28" fillId="0" borderId="0" xfId="0" applyNumberFormat="1" applyFont="1"/>
    <xf numFmtId="0" fontId="28" fillId="0" borderId="0" xfId="0" applyFont="1" applyAlignment="1">
      <alignment horizontal="center"/>
    </xf>
    <xf numFmtId="0" fontId="29" fillId="0" borderId="0" xfId="0" applyFont="1"/>
    <xf numFmtId="0" fontId="28" fillId="0" borderId="0" xfId="0" applyFont="1" applyAlignment="1">
      <alignment horizontal="right"/>
    </xf>
    <xf numFmtId="169" fontId="28" fillId="0" borderId="0" xfId="0" applyNumberFormat="1" applyFont="1" applyAlignment="1">
      <alignment horizontal="center"/>
    </xf>
    <xf numFmtId="0" fontId="30" fillId="10" borderId="0" xfId="0" applyFont="1" applyFill="1"/>
    <xf numFmtId="0" fontId="31" fillId="0" borderId="0" xfId="0" applyFont="1" applyAlignment="1">
      <alignment horizontal="left"/>
    </xf>
    <xf numFmtId="0" fontId="31" fillId="0" borderId="0" xfId="0" applyFont="1" applyAlignment="1">
      <alignment horizontal="right"/>
    </xf>
    <xf numFmtId="0" fontId="31" fillId="0" borderId="0" xfId="0" applyFont="1"/>
  </cellXfs>
  <cellStyles count="4">
    <cellStyle name="Comma 2" xfId="1" xr:uid="{B69CFD6A-42B9-4398-AA32-CD51C6BD9B0C}"/>
    <cellStyle name="Currency 2" xfId="2" xr:uid="{5C6A40BD-B72A-4B40-8D68-9DC16BB12DB3}"/>
    <cellStyle name="Normal" xfId="0" builtinId="0"/>
    <cellStyle name="Percent 2" xfId="3" xr:uid="{2283BF87-531C-4503-A719-86EF550E4E3D}"/>
  </cellStyles>
  <dxfs count="4"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0ACF3-4541-4790-9F20-004049AD472D}">
  <sheetPr>
    <tabColor theme="4" tint="0.39997558519241921"/>
  </sheetPr>
  <dimension ref="A1:AP65"/>
  <sheetViews>
    <sheetView tabSelected="1" topLeftCell="B2" workbookViewId="0">
      <selection activeCell="G14" sqref="G14"/>
    </sheetView>
  </sheetViews>
  <sheetFormatPr defaultRowHeight="43.5" customHeight="1"/>
  <cols>
    <col min="1" max="1" width="23.44140625" hidden="1" customWidth="1"/>
    <col min="2" max="2" width="26.88671875" customWidth="1"/>
    <col min="3" max="3" width="11.109375" customWidth="1"/>
    <col min="4" max="4" width="6.88671875" customWidth="1"/>
    <col min="5" max="5" width="9.109375" bestFit="1" customWidth="1"/>
    <col min="6" max="6" width="9.88671875" bestFit="1" customWidth="1"/>
    <col min="7" max="7" width="10.109375" customWidth="1"/>
    <col min="8" max="8" width="8.109375" customWidth="1"/>
    <col min="9" max="9" width="9.109375" bestFit="1" customWidth="1"/>
    <col min="10" max="10" width="9.88671875" bestFit="1" customWidth="1"/>
    <col min="11" max="11" width="10.109375" customWidth="1"/>
    <col min="12" max="12" width="8.109375" customWidth="1"/>
    <col min="13" max="13" width="7.5546875" customWidth="1"/>
    <col min="14" max="14" width="7.109375" bestFit="1" customWidth="1"/>
    <col min="15" max="15" width="9.6640625" style="56" customWidth="1"/>
    <col min="16" max="16" width="9.6640625" style="56" bestFit="1" customWidth="1"/>
    <col min="17" max="17" width="11.109375" style="56" customWidth="1"/>
    <col min="18" max="18" width="10.109375" bestFit="1" customWidth="1"/>
    <col min="19" max="19" width="8.109375" bestFit="1" customWidth="1"/>
    <col min="20" max="21" width="7.109375" bestFit="1" customWidth="1"/>
    <col min="22" max="23" width="9.6640625" style="56" bestFit="1" customWidth="1"/>
    <col min="24" max="24" width="11.6640625" style="56" customWidth="1"/>
    <col min="34" max="36" width="0" hidden="1" customWidth="1"/>
    <col min="37" max="37" width="8.88671875" hidden="1" customWidth="1"/>
    <col min="38" max="38" width="10.88671875" hidden="1" customWidth="1"/>
    <col min="39" max="39" width="8.88671875" hidden="1" customWidth="1"/>
    <col min="40" max="40" width="12.5546875" hidden="1" customWidth="1"/>
    <col min="41" max="41" width="18.88671875" hidden="1" customWidth="1"/>
    <col min="42" max="42" width="8.88671875" hidden="1" customWidth="1"/>
  </cols>
  <sheetData>
    <row r="1" spans="1:41" ht="55.2" hidden="1">
      <c r="A1" s="52"/>
      <c r="B1" s="53"/>
      <c r="C1" s="54" t="s">
        <v>15</v>
      </c>
      <c r="D1" s="55" t="s">
        <v>15</v>
      </c>
      <c r="E1" s="55" t="s">
        <v>15</v>
      </c>
      <c r="F1" s="55" t="s">
        <v>15</v>
      </c>
      <c r="G1" s="55" t="s">
        <v>156</v>
      </c>
      <c r="H1" s="55" t="s">
        <v>156</v>
      </c>
      <c r="I1" s="55" t="s">
        <v>156</v>
      </c>
      <c r="J1" s="55" t="s">
        <v>156</v>
      </c>
      <c r="K1" s="55" t="s">
        <v>157</v>
      </c>
      <c r="L1" s="55" t="s">
        <v>157</v>
      </c>
      <c r="M1" s="55" t="s">
        <v>157</v>
      </c>
      <c r="N1" s="55" t="s">
        <v>157</v>
      </c>
      <c r="R1" s="55" t="s">
        <v>158</v>
      </c>
      <c r="S1" s="55" t="s">
        <v>158</v>
      </c>
      <c r="T1" s="55" t="s">
        <v>158</v>
      </c>
      <c r="U1" s="55" t="s">
        <v>158</v>
      </c>
    </row>
    <row r="2" spans="1:41" s="57" customFormat="1" ht="15" thickBot="1">
      <c r="B2" s="58" t="s">
        <v>15</v>
      </c>
      <c r="G2" s="59" t="s">
        <v>159</v>
      </c>
      <c r="H2" s="59"/>
      <c r="I2" s="59"/>
      <c r="J2" s="59"/>
      <c r="K2" s="59" t="s">
        <v>160</v>
      </c>
      <c r="L2" s="59"/>
      <c r="M2" s="59"/>
      <c r="N2" s="59"/>
      <c r="O2" s="59" t="s">
        <v>161</v>
      </c>
      <c r="P2" s="59"/>
      <c r="Q2" s="59"/>
      <c r="R2" s="59" t="s">
        <v>162</v>
      </c>
      <c r="S2" s="59"/>
      <c r="T2" s="59"/>
      <c r="U2" s="59"/>
      <c r="V2" s="59" t="s">
        <v>163</v>
      </c>
      <c r="W2" s="59"/>
      <c r="X2" s="59"/>
    </row>
    <row r="3" spans="1:41" s="60" customFormat="1" ht="55.8" thickBot="1">
      <c r="B3" s="61" t="s">
        <v>164</v>
      </c>
      <c r="C3" s="61" t="s">
        <v>23</v>
      </c>
      <c r="D3" s="62" t="s">
        <v>165</v>
      </c>
      <c r="E3" s="63" t="s">
        <v>166</v>
      </c>
      <c r="F3" s="64" t="s">
        <v>167</v>
      </c>
      <c r="G3" s="65" t="s">
        <v>23</v>
      </c>
      <c r="H3" s="66" t="s">
        <v>165</v>
      </c>
      <c r="I3" s="67" t="s">
        <v>168</v>
      </c>
      <c r="J3" s="68" t="s">
        <v>167</v>
      </c>
      <c r="K3" s="69" t="s">
        <v>23</v>
      </c>
      <c r="L3" s="70" t="s">
        <v>165</v>
      </c>
      <c r="M3" s="71" t="s">
        <v>168</v>
      </c>
      <c r="N3" s="72" t="s">
        <v>167</v>
      </c>
      <c r="O3" s="73" t="s">
        <v>169</v>
      </c>
      <c r="P3" s="74" t="s">
        <v>170</v>
      </c>
      <c r="Q3" s="75" t="s">
        <v>171</v>
      </c>
      <c r="R3" s="76" t="s">
        <v>23</v>
      </c>
      <c r="S3" s="77" t="s">
        <v>165</v>
      </c>
      <c r="T3" s="78" t="s">
        <v>168</v>
      </c>
      <c r="U3" s="79" t="s">
        <v>167</v>
      </c>
      <c r="V3" s="80" t="s">
        <v>172</v>
      </c>
      <c r="W3" s="81" t="s">
        <v>173</v>
      </c>
      <c r="X3" s="82" t="s">
        <v>174</v>
      </c>
    </row>
    <row r="4" spans="1:41" ht="78.599999999999994" hidden="1" thickBot="1">
      <c r="B4" s="61" t="s">
        <v>164</v>
      </c>
      <c r="C4" t="s">
        <v>25</v>
      </c>
      <c r="D4" s="83" t="s">
        <v>72</v>
      </c>
      <c r="E4" s="84" t="s">
        <v>96</v>
      </c>
      <c r="F4" s="85" t="s">
        <v>97</v>
      </c>
      <c r="G4" t="s">
        <v>25</v>
      </c>
      <c r="H4" s="83" t="s">
        <v>72</v>
      </c>
      <c r="I4" s="84" t="s">
        <v>96</v>
      </c>
      <c r="J4" s="85" t="s">
        <v>97</v>
      </c>
      <c r="K4" t="s">
        <v>25</v>
      </c>
      <c r="L4" s="83" t="s">
        <v>72</v>
      </c>
      <c r="M4" s="84" t="s">
        <v>96</v>
      </c>
      <c r="N4" s="85" t="s">
        <v>97</v>
      </c>
      <c r="O4" s="86"/>
      <c r="P4" s="86"/>
      <c r="Q4" s="87"/>
      <c r="R4" s="88" t="s">
        <v>25</v>
      </c>
      <c r="S4" s="83" t="s">
        <v>72</v>
      </c>
      <c r="T4" s="84" t="s">
        <v>96</v>
      </c>
      <c r="U4" s="89" t="s">
        <v>97</v>
      </c>
      <c r="V4" s="86"/>
      <c r="W4" s="86"/>
      <c r="X4" s="87"/>
    </row>
    <row r="5" spans="1:41" ht="15" customHeight="1">
      <c r="A5" t="s">
        <v>152</v>
      </c>
      <c r="B5" s="90" t="s">
        <v>152</v>
      </c>
      <c r="C5" s="91">
        <v>38893.35</v>
      </c>
      <c r="D5" s="92">
        <v>0.24089285186285067</v>
      </c>
      <c r="E5" s="92">
        <v>0.2838210131037826</v>
      </c>
      <c r="F5" s="93">
        <v>0.47528613503336675</v>
      </c>
      <c r="G5" s="94">
        <v>174022.74999999994</v>
      </c>
      <c r="H5" s="95">
        <v>0.23319433809659942</v>
      </c>
      <c r="I5" s="95">
        <v>0.25290457713143827</v>
      </c>
      <c r="J5" s="93">
        <v>0.51390108477196206</v>
      </c>
      <c r="K5" s="94">
        <v>43505.687500000007</v>
      </c>
      <c r="L5" s="95">
        <v>0.23319433809659951</v>
      </c>
      <c r="M5" s="95">
        <v>0.25290457713143827</v>
      </c>
      <c r="N5" s="96">
        <v>0.51390108477196239</v>
      </c>
      <c r="O5" s="97">
        <v>-0.10601688572327488</v>
      </c>
      <c r="P5" s="95">
        <v>7.6985137662511638E-3</v>
      </c>
      <c r="Q5" s="93">
        <v>3.0916435972344336E-2</v>
      </c>
      <c r="R5" s="94">
        <v>45488.282500000001</v>
      </c>
      <c r="S5" s="95">
        <v>0.23786383889081769</v>
      </c>
      <c r="T5" s="95">
        <v>0.24724125383278645</v>
      </c>
      <c r="U5" s="93">
        <v>0.51489490727639586</v>
      </c>
      <c r="V5" s="97">
        <v>-0.14498090799537228</v>
      </c>
      <c r="W5" s="95">
        <v>3.0290129720329795E-3</v>
      </c>
      <c r="X5" s="93">
        <v>3.6579759270996159E-2</v>
      </c>
      <c r="Z5" s="98"/>
      <c r="AK5" t="s">
        <v>175</v>
      </c>
      <c r="AL5" s="99">
        <v>46033</v>
      </c>
      <c r="AM5">
        <v>2026</v>
      </c>
      <c r="AN5" t="s">
        <v>176</v>
      </c>
      <c r="AO5" t="s">
        <v>177</v>
      </c>
    </row>
    <row r="6" spans="1:41" ht="15" customHeight="1">
      <c r="A6" t="s">
        <v>178</v>
      </c>
      <c r="B6" s="90" t="s">
        <v>178</v>
      </c>
      <c r="C6" s="91">
        <v>44464.369999999995</v>
      </c>
      <c r="D6" s="92">
        <v>0.23691508504449743</v>
      </c>
      <c r="E6" s="92">
        <v>0.20806569394776087</v>
      </c>
      <c r="F6" s="93">
        <v>0.55501922100774159</v>
      </c>
      <c r="G6" s="94">
        <v>118966.80999999998</v>
      </c>
      <c r="H6" s="95">
        <v>0.23571507044695908</v>
      </c>
      <c r="I6" s="95">
        <v>0.25585051830842576</v>
      </c>
      <c r="J6" s="93">
        <v>0.50843441124461497</v>
      </c>
      <c r="K6" s="94">
        <v>29741.702499999999</v>
      </c>
      <c r="L6" s="95">
        <v>0.23571507044695908</v>
      </c>
      <c r="M6" s="95">
        <v>0.2558505183084257</v>
      </c>
      <c r="N6" s="96">
        <v>0.50843441124461519</v>
      </c>
      <c r="O6" s="97">
        <v>0.49501764399667425</v>
      </c>
      <c r="P6" s="95">
        <v>1.2000145975383514E-3</v>
      </c>
      <c r="Q6" s="93">
        <v>-4.7784824360664835E-2</v>
      </c>
      <c r="R6" s="94">
        <v>27235.798749999994</v>
      </c>
      <c r="S6" s="95">
        <v>0.23902929411974741</v>
      </c>
      <c r="T6" s="95">
        <v>0.28152969995051086</v>
      </c>
      <c r="U6" s="93">
        <v>0.47944100592974154</v>
      </c>
      <c r="V6" s="97">
        <v>0.6325708090349289</v>
      </c>
      <c r="W6" s="95">
        <v>-2.1142090752499787E-3</v>
      </c>
      <c r="X6" s="93">
        <v>-7.3464006002749993E-2</v>
      </c>
      <c r="Z6" s="98"/>
      <c r="AK6" t="s">
        <v>179</v>
      </c>
      <c r="AL6" s="99">
        <v>46040</v>
      </c>
      <c r="AM6">
        <v>2026</v>
      </c>
      <c r="AN6" t="s">
        <v>180</v>
      </c>
      <c r="AO6" t="s">
        <v>181</v>
      </c>
    </row>
    <row r="7" spans="1:41" ht="14.4">
      <c r="A7" t="s">
        <v>154</v>
      </c>
      <c r="B7" s="90" t="s">
        <v>154</v>
      </c>
      <c r="C7" s="91">
        <v>24521.89</v>
      </c>
      <c r="D7" s="92">
        <v>0.25689659320713043</v>
      </c>
      <c r="E7" s="92">
        <v>0.28902136009907881</v>
      </c>
      <c r="F7" s="93">
        <v>0.45408204669379076</v>
      </c>
      <c r="G7" s="94">
        <v>98935.23000000001</v>
      </c>
      <c r="H7" s="95">
        <v>0.25427090026474902</v>
      </c>
      <c r="I7" s="95">
        <v>0.29368870926969093</v>
      </c>
      <c r="J7" s="93">
        <v>0.45204039046556016</v>
      </c>
      <c r="K7" s="94">
        <v>24733.807499999999</v>
      </c>
      <c r="L7" s="95">
        <v>0.25427090026474902</v>
      </c>
      <c r="M7" s="95">
        <v>0.29368870926969087</v>
      </c>
      <c r="N7" s="96">
        <v>0.45204039046556005</v>
      </c>
      <c r="O7" s="97">
        <v>-8.5679287347894002E-3</v>
      </c>
      <c r="P7" s="95">
        <v>2.6256929423814079E-3</v>
      </c>
      <c r="Q7" s="93">
        <v>-4.6673491706120673E-3</v>
      </c>
      <c r="R7" s="94">
        <v>25538.597499999996</v>
      </c>
      <c r="S7" s="95">
        <v>0.26454722112285145</v>
      </c>
      <c r="T7" s="95">
        <v>0.28006202180836282</v>
      </c>
      <c r="U7" s="93">
        <v>0.45539075706878573</v>
      </c>
      <c r="V7" s="97">
        <v>-3.9810623899765717E-2</v>
      </c>
      <c r="W7" s="95">
        <v>-7.65062791572102E-3</v>
      </c>
      <c r="X7" s="93">
        <v>8.9593382907159902E-3</v>
      </c>
      <c r="AK7" t="s">
        <v>182</v>
      </c>
      <c r="AL7" s="99">
        <v>46047</v>
      </c>
      <c r="AM7">
        <v>2026</v>
      </c>
      <c r="AN7" t="s">
        <v>183</v>
      </c>
      <c r="AO7" t="s">
        <v>184</v>
      </c>
    </row>
    <row r="8" spans="1:41" ht="14.4">
      <c r="A8" t="s">
        <v>155</v>
      </c>
      <c r="B8" s="90" t="s">
        <v>155</v>
      </c>
      <c r="C8" s="91">
        <v>23432.869999999995</v>
      </c>
      <c r="D8" s="92">
        <v>0.26532985502842799</v>
      </c>
      <c r="E8" s="92">
        <v>0.32189526933747337</v>
      </c>
      <c r="F8" s="100">
        <v>0.41277487563409848</v>
      </c>
      <c r="G8" s="94">
        <v>101612.7</v>
      </c>
      <c r="H8" s="95">
        <v>0.25106782911978526</v>
      </c>
      <c r="I8" s="95">
        <v>0.29153826244160425</v>
      </c>
      <c r="J8" s="93">
        <v>0.45739390843861044</v>
      </c>
      <c r="K8" s="94">
        <v>25403.174999999999</v>
      </c>
      <c r="L8" s="95">
        <v>0.2510678291197852</v>
      </c>
      <c r="M8" s="95">
        <v>0.29153826244160425</v>
      </c>
      <c r="N8" s="96">
        <v>0.45739390843861055</v>
      </c>
      <c r="O8" s="97">
        <v>-7.7561367821148502E-2</v>
      </c>
      <c r="P8" s="95">
        <v>1.4262025908642784E-2</v>
      </c>
      <c r="Q8" s="93">
        <v>3.0357006895869121E-2</v>
      </c>
      <c r="R8" s="94">
        <v>25072.178749999999</v>
      </c>
      <c r="S8" s="95">
        <v>0.2578117587806365</v>
      </c>
      <c r="T8" s="95">
        <v>0.30213050391562007</v>
      </c>
      <c r="U8" s="93">
        <v>0.44005773730374348</v>
      </c>
      <c r="V8" s="97">
        <v>-6.5383577803345222E-2</v>
      </c>
      <c r="W8" s="95">
        <v>7.5180962477914837E-3</v>
      </c>
      <c r="X8" s="93">
        <v>1.9764765421853292E-2</v>
      </c>
      <c r="AK8" t="s">
        <v>185</v>
      </c>
      <c r="AL8" s="99">
        <v>46054</v>
      </c>
      <c r="AM8">
        <v>2026</v>
      </c>
      <c r="AN8" t="s">
        <v>186</v>
      </c>
      <c r="AO8" t="s">
        <v>187</v>
      </c>
    </row>
    <row r="9" spans="1:41" ht="15" customHeight="1" thickBot="1">
      <c r="A9" t="s">
        <v>2</v>
      </c>
      <c r="B9" s="101" t="s">
        <v>188</v>
      </c>
      <c r="C9" s="102">
        <v>131312.48000000007</v>
      </c>
      <c r="D9" s="103">
        <v>0.2468953446009092</v>
      </c>
      <c r="E9" s="103">
        <v>0.26593466211284716</v>
      </c>
      <c r="F9" s="104">
        <v>0.48716999328624411</v>
      </c>
      <c r="G9" s="102">
        <v>493537.48999999982</v>
      </c>
      <c r="H9" s="103">
        <v>0.24170690660196864</v>
      </c>
      <c r="I9" s="103">
        <v>0.26974449296648167</v>
      </c>
      <c r="J9" s="104">
        <v>0.4885486004315493</v>
      </c>
      <c r="K9" s="102">
        <v>123384.37250000003</v>
      </c>
      <c r="L9" s="103">
        <v>0.24170690660196859</v>
      </c>
      <c r="M9" s="103">
        <v>0.26974449296648167</v>
      </c>
      <c r="N9" s="105">
        <v>0.48854860043154991</v>
      </c>
      <c r="O9" s="106">
        <v>6.4255361836848823E-2</v>
      </c>
      <c r="P9" s="103">
        <v>5.1884379989406149E-3</v>
      </c>
      <c r="Q9" s="104">
        <v>-3.8098308536345105E-3</v>
      </c>
      <c r="R9" s="102">
        <v>123334.85750000003</v>
      </c>
      <c r="S9" s="103">
        <v>0.24770157739064161</v>
      </c>
      <c r="T9" s="103">
        <v>0.2727673926245871</v>
      </c>
      <c r="U9" s="104">
        <v>0.47953102998477143</v>
      </c>
      <c r="V9" s="106">
        <v>6.4682626320787209E-2</v>
      </c>
      <c r="W9" s="103">
        <v>-8.0623278973240842E-4</v>
      </c>
      <c r="X9" s="104">
        <v>-6.8327305117399373E-3</v>
      </c>
      <c r="AK9" t="s">
        <v>189</v>
      </c>
      <c r="AL9" s="99">
        <v>46061</v>
      </c>
      <c r="AM9">
        <v>2026</v>
      </c>
      <c r="AN9" t="s">
        <v>190</v>
      </c>
      <c r="AO9" t="s">
        <v>191</v>
      </c>
    </row>
    <row r="10" spans="1:41" ht="14.4">
      <c r="E10" s="107"/>
      <c r="AK10" t="s">
        <v>192</v>
      </c>
      <c r="AL10" s="99">
        <v>46068</v>
      </c>
      <c r="AM10">
        <v>2026</v>
      </c>
      <c r="AN10" t="s">
        <v>193</v>
      </c>
      <c r="AO10" t="s">
        <v>194</v>
      </c>
    </row>
    <row r="11" spans="1:41" s="108" customFormat="1" ht="14.4">
      <c r="C11" s="109"/>
      <c r="E11" s="110"/>
      <c r="F11" s="111"/>
      <c r="K11" s="112"/>
      <c r="M11" s="112"/>
      <c r="O11" s="113"/>
      <c r="P11" s="113"/>
      <c r="Q11" s="113"/>
      <c r="V11" s="113"/>
      <c r="W11" s="113"/>
      <c r="X11" s="113"/>
      <c r="AK11" t="s">
        <v>195</v>
      </c>
      <c r="AL11" s="99">
        <v>46075</v>
      </c>
      <c r="AM11">
        <v>2026</v>
      </c>
      <c r="AN11" t="s">
        <v>196</v>
      </c>
      <c r="AO11" t="s">
        <v>197</v>
      </c>
    </row>
    <row r="12" spans="1:41" s="108" customFormat="1" ht="15.6">
      <c r="A12"/>
      <c r="B12" s="114" t="s">
        <v>198</v>
      </c>
      <c r="C12" s="115"/>
      <c r="E12" s="110"/>
      <c r="F12" s="111"/>
      <c r="H12" s="112"/>
      <c r="K12" s="112"/>
      <c r="L12" s="112"/>
      <c r="O12" s="113"/>
      <c r="P12" s="113"/>
      <c r="Q12" s="116"/>
      <c r="V12" s="113"/>
      <c r="W12" s="113"/>
      <c r="X12" s="113"/>
      <c r="AK12" t="s">
        <v>199</v>
      </c>
      <c r="AL12" s="99">
        <v>46082</v>
      </c>
      <c r="AM12">
        <v>2026</v>
      </c>
      <c r="AN12" t="s">
        <v>200</v>
      </c>
      <c r="AO12" t="s">
        <v>201</v>
      </c>
    </row>
    <row r="13" spans="1:41" s="108" customFormat="1" ht="14.4">
      <c r="A13"/>
      <c r="C13" s="115"/>
      <c r="E13" s="110"/>
      <c r="F13" s="111"/>
      <c r="O13" s="113"/>
      <c r="P13" s="113"/>
      <c r="Q13" s="113"/>
      <c r="V13" s="113"/>
      <c r="W13" s="113"/>
      <c r="X13" s="113"/>
      <c r="AK13" t="s">
        <v>202</v>
      </c>
      <c r="AL13" s="99">
        <v>46089</v>
      </c>
      <c r="AM13">
        <v>2026</v>
      </c>
      <c r="AN13" t="s">
        <v>203</v>
      </c>
      <c r="AO13" t="s">
        <v>204</v>
      </c>
    </row>
    <row r="14" spans="1:41" s="108" customFormat="1" ht="14.4">
      <c r="B14" s="117" t="s">
        <v>205</v>
      </c>
      <c r="C14" s="118"/>
      <c r="O14" s="113"/>
      <c r="P14" s="113"/>
      <c r="Q14" s="113"/>
      <c r="V14" s="113"/>
      <c r="W14" s="113"/>
      <c r="X14" s="113"/>
      <c r="AK14" t="s">
        <v>206</v>
      </c>
      <c r="AL14" s="99">
        <v>46124</v>
      </c>
      <c r="AM14">
        <v>2026</v>
      </c>
      <c r="AN14" t="s">
        <v>207</v>
      </c>
      <c r="AO14" t="s">
        <v>208</v>
      </c>
    </row>
    <row r="15" spans="1:41" s="108" customFormat="1" ht="14.4">
      <c r="B15" s="119" t="s">
        <v>209</v>
      </c>
      <c r="C15" s="118" t="s">
        <v>210</v>
      </c>
      <c r="O15" s="113"/>
      <c r="P15" s="113"/>
      <c r="Q15" s="113"/>
      <c r="V15" s="113"/>
      <c r="W15" s="113"/>
      <c r="X15" s="113"/>
      <c r="AK15" t="s">
        <v>211</v>
      </c>
      <c r="AL15" s="99">
        <v>46131</v>
      </c>
      <c r="AM15">
        <v>2026</v>
      </c>
      <c r="AN15" t="s">
        <v>212</v>
      </c>
      <c r="AO15" t="s">
        <v>213</v>
      </c>
    </row>
    <row r="16" spans="1:41" s="108" customFormat="1" ht="14.4">
      <c r="B16" s="119" t="s">
        <v>214</v>
      </c>
      <c r="C16" s="118" t="s">
        <v>215</v>
      </c>
      <c r="O16" s="113"/>
      <c r="P16" s="113"/>
      <c r="Q16" s="113"/>
      <c r="V16" s="113"/>
      <c r="W16" s="113"/>
      <c r="X16" s="113"/>
      <c r="AK16" t="s">
        <v>216</v>
      </c>
      <c r="AL16" s="99">
        <v>46138</v>
      </c>
      <c r="AM16">
        <v>2026</v>
      </c>
      <c r="AN16" t="s">
        <v>217</v>
      </c>
      <c r="AO16" t="s">
        <v>218</v>
      </c>
    </row>
    <row r="17" spans="2:41" s="108" customFormat="1" ht="14.4">
      <c r="B17" s="119"/>
      <c r="C17" s="118"/>
      <c r="O17" s="113"/>
      <c r="P17" s="113"/>
      <c r="Q17" s="113"/>
      <c r="V17" s="113"/>
      <c r="W17" s="113"/>
      <c r="X17" s="113"/>
      <c r="AK17" t="s">
        <v>219</v>
      </c>
      <c r="AL17" s="99">
        <v>46145</v>
      </c>
      <c r="AM17">
        <v>2026</v>
      </c>
      <c r="AN17" t="s">
        <v>220</v>
      </c>
      <c r="AO17" t="s">
        <v>221</v>
      </c>
    </row>
    <row r="18" spans="2:41" s="108" customFormat="1" ht="14.4">
      <c r="B18" s="117" t="s">
        <v>222</v>
      </c>
      <c r="C18" s="118"/>
      <c r="O18" s="113"/>
      <c r="P18" s="113"/>
      <c r="Q18" s="113"/>
      <c r="V18" s="113"/>
      <c r="W18" s="113"/>
      <c r="X18" s="113"/>
      <c r="AK18" t="s">
        <v>223</v>
      </c>
      <c r="AL18" s="99">
        <v>46152</v>
      </c>
      <c r="AM18">
        <v>2026</v>
      </c>
      <c r="AN18" t="s">
        <v>224</v>
      </c>
      <c r="AO18" t="s">
        <v>225</v>
      </c>
    </row>
    <row r="19" spans="2:41" s="108" customFormat="1" ht="14.4">
      <c r="B19" s="119" t="s">
        <v>209</v>
      </c>
      <c r="C19" s="118" t="s">
        <v>210</v>
      </c>
      <c r="O19" s="113"/>
      <c r="P19" s="113"/>
      <c r="Q19" s="113"/>
      <c r="V19" s="113"/>
      <c r="W19" s="113"/>
      <c r="X19" s="113"/>
      <c r="AK19" t="s">
        <v>226</v>
      </c>
      <c r="AL19" s="99">
        <v>46159</v>
      </c>
      <c r="AM19">
        <v>2026</v>
      </c>
      <c r="AN19" t="s">
        <v>227</v>
      </c>
      <c r="AO19" t="s">
        <v>228</v>
      </c>
    </row>
    <row r="20" spans="2:41" s="108" customFormat="1" ht="14.4">
      <c r="B20" s="119" t="s">
        <v>214</v>
      </c>
      <c r="C20" s="118" t="s">
        <v>229</v>
      </c>
      <c r="O20" s="113"/>
      <c r="P20" s="113"/>
      <c r="Q20" s="113"/>
      <c r="V20" s="113"/>
      <c r="W20" s="113"/>
      <c r="X20" s="113"/>
      <c r="AK20" t="s">
        <v>230</v>
      </c>
      <c r="AL20" s="99">
        <v>46166</v>
      </c>
      <c r="AM20">
        <v>2026</v>
      </c>
      <c r="AN20" t="s">
        <v>231</v>
      </c>
      <c r="AO20" t="s">
        <v>232</v>
      </c>
    </row>
    <row r="21" spans="2:41" s="108" customFormat="1" ht="14.4">
      <c r="B21" s="119"/>
      <c r="C21" s="118"/>
      <c r="O21" s="113"/>
      <c r="P21" s="113"/>
      <c r="Q21" s="113"/>
      <c r="V21" s="113"/>
      <c r="W21" s="113"/>
      <c r="X21" s="113"/>
      <c r="AK21" t="s">
        <v>233</v>
      </c>
      <c r="AL21" s="99">
        <v>46173</v>
      </c>
      <c r="AM21">
        <v>2026</v>
      </c>
      <c r="AN21" t="s">
        <v>234</v>
      </c>
      <c r="AO21" t="s">
        <v>235</v>
      </c>
    </row>
    <row r="22" spans="2:41" s="108" customFormat="1" ht="14.4">
      <c r="B22" s="117" t="s">
        <v>236</v>
      </c>
      <c r="C22" s="118"/>
      <c r="O22" s="113"/>
      <c r="P22" s="113"/>
      <c r="Q22" s="113"/>
      <c r="V22" s="113"/>
      <c r="W22" s="113"/>
      <c r="X22" s="113"/>
      <c r="AK22" t="s">
        <v>237</v>
      </c>
      <c r="AL22" s="99">
        <v>46180</v>
      </c>
      <c r="AM22">
        <v>2026</v>
      </c>
      <c r="AN22" t="s">
        <v>238</v>
      </c>
      <c r="AO22" t="s">
        <v>239</v>
      </c>
    </row>
    <row r="23" spans="2:41" s="108" customFormat="1" ht="14.4">
      <c r="B23" s="119" t="s">
        <v>209</v>
      </c>
      <c r="C23" s="118" t="s">
        <v>210</v>
      </c>
      <c r="O23" s="113"/>
      <c r="P23" s="113"/>
      <c r="Q23" s="113"/>
      <c r="V23" s="113"/>
      <c r="W23" s="113"/>
      <c r="X23" s="113"/>
      <c r="AK23" t="s">
        <v>240</v>
      </c>
      <c r="AL23" s="99">
        <v>46187</v>
      </c>
      <c r="AM23">
        <v>2026</v>
      </c>
      <c r="AN23" t="s">
        <v>241</v>
      </c>
      <c r="AO23" t="s">
        <v>242</v>
      </c>
    </row>
    <row r="24" spans="2:41" s="108" customFormat="1" ht="14.4">
      <c r="B24" s="119" t="s">
        <v>214</v>
      </c>
      <c r="C24" s="118" t="s">
        <v>210</v>
      </c>
      <c r="O24" s="113"/>
      <c r="P24" s="113"/>
      <c r="Q24" s="113"/>
      <c r="V24" s="113"/>
      <c r="W24" s="113"/>
      <c r="X24" s="113"/>
      <c r="AK24" t="s">
        <v>243</v>
      </c>
      <c r="AL24" s="99">
        <v>46194</v>
      </c>
      <c r="AM24">
        <v>2026</v>
      </c>
      <c r="AN24" t="s">
        <v>244</v>
      </c>
      <c r="AO24" t="s">
        <v>245</v>
      </c>
    </row>
    <row r="25" spans="2:41" s="108" customFormat="1" ht="14.4">
      <c r="B25" s="119"/>
      <c r="C25" s="118"/>
      <c r="O25" s="113"/>
      <c r="P25" s="113"/>
      <c r="Q25" s="113"/>
      <c r="V25" s="113"/>
      <c r="W25" s="113"/>
      <c r="X25" s="113"/>
      <c r="AK25" t="s">
        <v>246</v>
      </c>
      <c r="AL25" s="99">
        <v>46201</v>
      </c>
      <c r="AM25">
        <v>2026</v>
      </c>
      <c r="AN25" t="s">
        <v>247</v>
      </c>
      <c r="AO25" t="s">
        <v>248</v>
      </c>
    </row>
    <row r="26" spans="2:41" s="108" customFormat="1" ht="14.4">
      <c r="B26" s="117" t="s">
        <v>249</v>
      </c>
      <c r="C26" s="120"/>
      <c r="O26" s="113"/>
      <c r="P26" s="113"/>
      <c r="Q26" s="113"/>
      <c r="V26" s="113"/>
      <c r="W26" s="113"/>
      <c r="X26" s="113"/>
      <c r="AK26" t="s">
        <v>250</v>
      </c>
      <c r="AL26" s="99">
        <v>46208</v>
      </c>
      <c r="AM26">
        <v>2026</v>
      </c>
      <c r="AN26" t="s">
        <v>251</v>
      </c>
      <c r="AO26" t="s">
        <v>4</v>
      </c>
    </row>
    <row r="27" spans="2:41" s="108" customFormat="1" ht="14.4">
      <c r="B27" s="119" t="s">
        <v>209</v>
      </c>
      <c r="C27" s="118" t="s">
        <v>210</v>
      </c>
      <c r="O27" s="113"/>
      <c r="P27" s="113"/>
      <c r="Q27" s="113"/>
      <c r="V27" s="113"/>
      <c r="W27" s="113"/>
      <c r="X27" s="113"/>
      <c r="AK27" t="s">
        <v>252</v>
      </c>
      <c r="AL27" s="99">
        <v>46215</v>
      </c>
      <c r="AM27">
        <v>2026</v>
      </c>
      <c r="AN27" t="s">
        <v>253</v>
      </c>
      <c r="AO27" t="s">
        <v>5</v>
      </c>
    </row>
    <row r="28" spans="2:41" s="108" customFormat="1" ht="14.4">
      <c r="B28" s="119" t="s">
        <v>214</v>
      </c>
      <c r="C28" s="118" t="s">
        <v>317</v>
      </c>
      <c r="O28" s="113"/>
      <c r="P28" s="113"/>
      <c r="Q28" s="113"/>
      <c r="V28" s="113"/>
      <c r="W28" s="113"/>
      <c r="X28" s="113"/>
      <c r="AK28" t="s">
        <v>254</v>
      </c>
      <c r="AL28" s="99">
        <v>46222</v>
      </c>
      <c r="AM28">
        <v>2026</v>
      </c>
      <c r="AN28" t="s">
        <v>255</v>
      </c>
      <c r="AO28" t="s">
        <v>6</v>
      </c>
    </row>
    <row r="29" spans="2:41" s="108" customFormat="1" ht="14.4">
      <c r="B29" s="119"/>
      <c r="C29" s="118"/>
      <c r="L29"/>
      <c r="O29" s="113"/>
      <c r="P29" s="113"/>
      <c r="Q29" s="113"/>
      <c r="V29" s="113"/>
      <c r="W29" s="113"/>
      <c r="X29" s="113"/>
      <c r="AK29" t="s">
        <v>256</v>
      </c>
      <c r="AL29" s="99">
        <v>46229</v>
      </c>
      <c r="AM29">
        <v>2026</v>
      </c>
      <c r="AN29" t="s">
        <v>257</v>
      </c>
      <c r="AO29" t="s">
        <v>7</v>
      </c>
    </row>
    <row r="30" spans="2:41" ht="14.4">
      <c r="AK30" t="s">
        <v>258</v>
      </c>
      <c r="AL30" s="99">
        <v>46236</v>
      </c>
      <c r="AM30">
        <v>2026</v>
      </c>
      <c r="AN30" t="s">
        <v>259</v>
      </c>
      <c r="AO30" t="s">
        <v>8</v>
      </c>
    </row>
    <row r="31" spans="2:41" ht="14.4">
      <c r="AK31" t="s">
        <v>260</v>
      </c>
      <c r="AL31" s="99">
        <v>46243</v>
      </c>
      <c r="AM31">
        <v>2026</v>
      </c>
      <c r="AN31" t="s">
        <v>261</v>
      </c>
      <c r="AO31" t="s">
        <v>9</v>
      </c>
    </row>
    <row r="32" spans="2:41" ht="14.4">
      <c r="AK32" t="s">
        <v>262</v>
      </c>
      <c r="AL32" s="99">
        <v>46250</v>
      </c>
      <c r="AM32">
        <v>2026</v>
      </c>
      <c r="AN32" t="s">
        <v>263</v>
      </c>
      <c r="AO32" t="s">
        <v>10</v>
      </c>
    </row>
    <row r="33" spans="37:41" ht="14.4">
      <c r="AK33" t="s">
        <v>264</v>
      </c>
      <c r="AL33" s="99">
        <v>46257</v>
      </c>
      <c r="AM33">
        <v>2026</v>
      </c>
      <c r="AN33" t="s">
        <v>265</v>
      </c>
      <c r="AO33" t="s">
        <v>11</v>
      </c>
    </row>
    <row r="34" spans="37:41" ht="14.4">
      <c r="AK34" t="s">
        <v>266</v>
      </c>
      <c r="AL34" s="99">
        <v>46264</v>
      </c>
      <c r="AM34">
        <v>2026</v>
      </c>
      <c r="AN34" t="s">
        <v>267</v>
      </c>
      <c r="AO34" t="s">
        <v>12</v>
      </c>
    </row>
    <row r="35" spans="37:41" ht="14.4">
      <c r="AK35" t="s">
        <v>268</v>
      </c>
      <c r="AL35" s="99">
        <v>46271</v>
      </c>
      <c r="AM35">
        <v>2026</v>
      </c>
      <c r="AN35" t="s">
        <v>269</v>
      </c>
      <c r="AO35" t="s">
        <v>13</v>
      </c>
    </row>
    <row r="36" spans="37:41" ht="14.4">
      <c r="AK36" t="s">
        <v>270</v>
      </c>
      <c r="AL36" s="99">
        <v>46278</v>
      </c>
      <c r="AM36">
        <v>2026</v>
      </c>
      <c r="AN36" t="s">
        <v>271</v>
      </c>
      <c r="AO36" t="s">
        <v>14</v>
      </c>
    </row>
    <row r="37" spans="37:41" ht="14.4">
      <c r="AK37" t="s">
        <v>272</v>
      </c>
      <c r="AL37" s="99">
        <v>46285</v>
      </c>
      <c r="AM37">
        <v>2026</v>
      </c>
      <c r="AN37" t="s">
        <v>273</v>
      </c>
      <c r="AO37" t="s">
        <v>15</v>
      </c>
    </row>
    <row r="38" spans="37:41" ht="14.4">
      <c r="AK38" t="s">
        <v>274</v>
      </c>
      <c r="AL38" s="99">
        <v>46292</v>
      </c>
      <c r="AM38">
        <v>2026</v>
      </c>
      <c r="AN38" t="s">
        <v>275</v>
      </c>
      <c r="AO38" t="s">
        <v>276</v>
      </c>
    </row>
    <row r="39" spans="37:41" ht="14.4">
      <c r="AK39" t="s">
        <v>277</v>
      </c>
      <c r="AL39" s="99">
        <v>46299</v>
      </c>
      <c r="AM39">
        <v>2026</v>
      </c>
      <c r="AN39" t="s">
        <v>278</v>
      </c>
      <c r="AO39" t="s">
        <v>279</v>
      </c>
    </row>
    <row r="40" spans="37:41" ht="14.4">
      <c r="AK40" t="s">
        <v>280</v>
      </c>
      <c r="AL40" s="99">
        <v>46306</v>
      </c>
      <c r="AM40">
        <v>2026</v>
      </c>
      <c r="AN40" t="s">
        <v>281</v>
      </c>
      <c r="AO40" t="s">
        <v>282</v>
      </c>
    </row>
    <row r="41" spans="37:41" ht="14.4">
      <c r="AK41" t="s">
        <v>283</v>
      </c>
      <c r="AL41" s="99">
        <v>46313</v>
      </c>
      <c r="AM41">
        <v>2026</v>
      </c>
      <c r="AN41" t="s">
        <v>284</v>
      </c>
      <c r="AO41" t="s">
        <v>285</v>
      </c>
    </row>
    <row r="42" spans="37:41" ht="14.4">
      <c r="AK42" t="s">
        <v>286</v>
      </c>
      <c r="AL42" s="99">
        <v>46320</v>
      </c>
      <c r="AM42">
        <v>2026</v>
      </c>
      <c r="AN42" t="s">
        <v>287</v>
      </c>
      <c r="AO42" t="s">
        <v>288</v>
      </c>
    </row>
    <row r="43" spans="37:41" ht="14.4">
      <c r="AK43" t="s">
        <v>289</v>
      </c>
      <c r="AL43" s="99">
        <v>46327</v>
      </c>
      <c r="AM43">
        <v>2026</v>
      </c>
      <c r="AN43" t="s">
        <v>290</v>
      </c>
      <c r="AO43" t="s">
        <v>291</v>
      </c>
    </row>
    <row r="44" spans="37:41" ht="14.4">
      <c r="AK44" t="s">
        <v>292</v>
      </c>
      <c r="AL44" s="99">
        <v>46334</v>
      </c>
      <c r="AM44">
        <v>2026</v>
      </c>
      <c r="AN44" t="s">
        <v>293</v>
      </c>
      <c r="AO44" t="s">
        <v>294</v>
      </c>
    </row>
    <row r="45" spans="37:41" ht="14.4">
      <c r="AK45" t="s">
        <v>295</v>
      </c>
      <c r="AL45" s="99">
        <v>46341</v>
      </c>
      <c r="AM45">
        <v>2026</v>
      </c>
      <c r="AN45" t="s">
        <v>296</v>
      </c>
      <c r="AO45" t="s">
        <v>297</v>
      </c>
    </row>
    <row r="46" spans="37:41" ht="14.4">
      <c r="AK46" t="s">
        <v>298</v>
      </c>
      <c r="AL46" s="99">
        <v>46348</v>
      </c>
      <c r="AM46">
        <v>2026</v>
      </c>
      <c r="AN46" t="s">
        <v>299</v>
      </c>
      <c r="AO46" t="s">
        <v>300</v>
      </c>
    </row>
    <row r="47" spans="37:41" ht="14.4">
      <c r="AK47" t="s">
        <v>301</v>
      </c>
      <c r="AL47" s="99">
        <v>46355</v>
      </c>
      <c r="AM47">
        <v>2026</v>
      </c>
      <c r="AN47" t="s">
        <v>302</v>
      </c>
      <c r="AO47" t="s">
        <v>303</v>
      </c>
    </row>
    <row r="48" spans="37:41" ht="14.4">
      <c r="AK48" t="s">
        <v>304</v>
      </c>
      <c r="AL48" s="99">
        <v>46362</v>
      </c>
      <c r="AM48">
        <v>2026</v>
      </c>
      <c r="AN48" t="s">
        <v>305</v>
      </c>
      <c r="AO48" t="s">
        <v>306</v>
      </c>
    </row>
    <row r="49" spans="37:41" ht="14.4">
      <c r="AK49" t="s">
        <v>307</v>
      </c>
      <c r="AL49" s="99">
        <v>46369</v>
      </c>
      <c r="AM49">
        <v>2026</v>
      </c>
      <c r="AN49" t="s">
        <v>308</v>
      </c>
      <c r="AO49" t="s">
        <v>309</v>
      </c>
    </row>
    <row r="50" spans="37:41" ht="14.4">
      <c r="AK50" t="s">
        <v>310</v>
      </c>
      <c r="AL50" s="99">
        <v>46376</v>
      </c>
      <c r="AM50">
        <v>2026</v>
      </c>
      <c r="AN50" t="s">
        <v>311</v>
      </c>
      <c r="AO50" t="s">
        <v>312</v>
      </c>
    </row>
    <row r="51" spans="37:41" ht="14.4">
      <c r="AK51" t="s">
        <v>313</v>
      </c>
      <c r="AL51" s="99">
        <v>46383</v>
      </c>
      <c r="AM51">
        <v>2026</v>
      </c>
      <c r="AN51" t="s">
        <v>314</v>
      </c>
      <c r="AO51" t="s">
        <v>315</v>
      </c>
    </row>
    <row r="52" spans="37:41" ht="43.5" customHeight="1">
      <c r="AL52" s="99"/>
    </row>
    <row r="53" spans="37:41" ht="43.5" customHeight="1">
      <c r="AL53" s="99"/>
    </row>
    <row r="54" spans="37:41" ht="43.5" customHeight="1">
      <c r="AL54" s="99"/>
    </row>
    <row r="55" spans="37:41" ht="43.5" customHeight="1">
      <c r="AL55" s="99"/>
    </row>
    <row r="56" spans="37:41" ht="43.5" customHeight="1">
      <c r="AL56" s="99"/>
    </row>
    <row r="57" spans="37:41" ht="43.5" customHeight="1">
      <c r="AL57" s="99"/>
    </row>
    <row r="58" spans="37:41" ht="43.5" customHeight="1">
      <c r="AL58" s="99"/>
    </row>
    <row r="59" spans="37:41" ht="43.5" customHeight="1">
      <c r="AL59" s="99"/>
    </row>
    <row r="60" spans="37:41" ht="43.5" customHeight="1">
      <c r="AL60" s="99"/>
    </row>
    <row r="61" spans="37:41" ht="43.5" customHeight="1">
      <c r="AL61" s="99"/>
    </row>
    <row r="62" spans="37:41" ht="43.5" customHeight="1">
      <c r="AL62" s="99"/>
    </row>
    <row r="63" spans="37:41" ht="43.5" customHeight="1">
      <c r="AL63" s="99"/>
    </row>
    <row r="64" spans="37:41" ht="43.5" customHeight="1">
      <c r="AL64" s="99"/>
    </row>
    <row r="65" spans="38:38" ht="43.5" customHeight="1">
      <c r="AL65" s="99"/>
    </row>
  </sheetData>
  <mergeCells count="6">
    <mergeCell ref="A1:B1"/>
    <mergeCell ref="G2:J2"/>
    <mergeCell ref="K2:N2"/>
    <mergeCell ref="O2:Q2"/>
    <mergeCell ref="R2:U2"/>
    <mergeCell ref="V2:X2"/>
  </mergeCells>
  <conditionalFormatting sqref="D1 D3:D4 D10:D1048576">
    <cfRule type="cellIs" dxfId="3" priority="7" operator="lessThan">
      <formula>0.25</formula>
    </cfRule>
    <cfRule type="cellIs" priority="8" operator="greaterThan">
      <formula>0.3</formula>
    </cfRule>
  </conditionalFormatting>
  <conditionalFormatting sqref="H4">
    <cfRule type="cellIs" dxfId="2" priority="5" operator="lessThan">
      <formula>0.25</formula>
    </cfRule>
    <cfRule type="cellIs" priority="6" operator="greaterThan">
      <formula>0.3</formula>
    </cfRule>
  </conditionalFormatting>
  <conditionalFormatting sqref="L4">
    <cfRule type="cellIs" dxfId="1" priority="3" operator="lessThan">
      <formula>0.25</formula>
    </cfRule>
    <cfRule type="cellIs" priority="4" operator="greaterThan">
      <formula>0.3</formula>
    </cfRule>
  </conditionalFormatting>
  <conditionalFormatting sqref="S4">
    <cfRule type="cellIs" dxfId="0" priority="1" operator="lessThan">
      <formula>0.25</formula>
    </cfRule>
    <cfRule type="cellIs" priority="2" operator="greaterThan">
      <formula>0.3</formula>
    </cfRule>
  </conditionalFormatting>
  <dataValidations count="2">
    <dataValidation type="list" allowBlank="1" showInputMessage="1" showErrorMessage="1" sqref="AO5:AO65" xr:uid="{A9A846CC-A941-4A8E-8E1A-29A23B3BF15E}">
      <formula1>$B$2</formula1>
    </dataValidation>
    <dataValidation type="list" allowBlank="1" showInputMessage="1" showErrorMessage="1" sqref="B2" xr:uid="{601CF614-7B81-4EFD-87C7-E2F22794343D}">
      <formula1>$AO$5:$AO$65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8" sqref="A18:A20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44" t="s">
        <v>0</v>
      </c>
      <c r="Y1" s="44" t="s">
        <v>0</v>
      </c>
      <c r="Z1" s="44" t="s">
        <v>0</v>
      </c>
      <c r="AA1" s="44" t="s">
        <v>0</v>
      </c>
      <c r="AB1" s="44" t="s">
        <v>0</v>
      </c>
      <c r="AC1" s="44" t="s">
        <v>0</v>
      </c>
      <c r="AD1" s="44" t="s">
        <v>0</v>
      </c>
      <c r="AE1" s="44" t="s">
        <v>0</v>
      </c>
      <c r="AF1" s="44" t="s">
        <v>0</v>
      </c>
      <c r="AG1" s="44" t="s">
        <v>0</v>
      </c>
      <c r="AH1" s="44" t="s">
        <v>0</v>
      </c>
      <c r="AI1" s="44" t="s">
        <v>0</v>
      </c>
      <c r="AJ1" s="44" t="s">
        <v>0</v>
      </c>
      <c r="AK1" s="44" t="s">
        <v>0</v>
      </c>
      <c r="AL1" s="44" t="s">
        <v>0</v>
      </c>
    </row>
    <row r="2" spans="1:38" ht="23.4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  <c r="I2" s="45" t="s">
        <v>1</v>
      </c>
      <c r="J2" s="45" t="s">
        <v>1</v>
      </c>
      <c r="K2" s="45" t="s">
        <v>1</v>
      </c>
      <c r="L2" s="45" t="s">
        <v>1</v>
      </c>
      <c r="M2" s="45" t="s">
        <v>1</v>
      </c>
      <c r="N2" s="45" t="s">
        <v>1</v>
      </c>
      <c r="O2" s="45" t="s">
        <v>1</v>
      </c>
      <c r="P2" s="45" t="s">
        <v>1</v>
      </c>
      <c r="Q2" s="45" t="s">
        <v>1</v>
      </c>
      <c r="R2" s="45" t="s">
        <v>1</v>
      </c>
      <c r="S2" s="45" t="s">
        <v>1</v>
      </c>
      <c r="T2" s="45" t="s">
        <v>1</v>
      </c>
      <c r="U2" s="45" t="s">
        <v>1</v>
      </c>
      <c r="V2" s="45" t="s">
        <v>1</v>
      </c>
      <c r="W2" s="45" t="s">
        <v>1</v>
      </c>
      <c r="X2" s="45" t="s">
        <v>1</v>
      </c>
      <c r="Y2" s="45" t="s">
        <v>1</v>
      </c>
      <c r="Z2" s="45" t="s">
        <v>1</v>
      </c>
      <c r="AA2" s="45" t="s">
        <v>1</v>
      </c>
      <c r="AB2" s="45" t="s">
        <v>1</v>
      </c>
      <c r="AC2" s="45" t="s">
        <v>1</v>
      </c>
      <c r="AD2" s="45" t="s">
        <v>1</v>
      </c>
      <c r="AE2" s="45" t="s">
        <v>1</v>
      </c>
      <c r="AF2" s="45" t="s">
        <v>1</v>
      </c>
      <c r="AG2" s="45" t="s">
        <v>1</v>
      </c>
      <c r="AH2" s="45" t="s">
        <v>1</v>
      </c>
      <c r="AI2" s="45" t="s">
        <v>1</v>
      </c>
      <c r="AJ2" s="45" t="s">
        <v>1</v>
      </c>
      <c r="AK2" s="45" t="s">
        <v>1</v>
      </c>
      <c r="AL2" s="45" t="s">
        <v>1</v>
      </c>
    </row>
    <row r="3" spans="1:38" ht="15.6">
      <c r="A3" s="46" t="s">
        <v>2</v>
      </c>
      <c r="B3" s="46" t="s">
        <v>2</v>
      </c>
      <c r="C3" s="46" t="s">
        <v>2</v>
      </c>
      <c r="D3" s="46" t="s">
        <v>2</v>
      </c>
      <c r="E3" s="46" t="s">
        <v>2</v>
      </c>
      <c r="F3" s="46" t="s">
        <v>2</v>
      </c>
      <c r="G3" s="46" t="s">
        <v>2</v>
      </c>
      <c r="H3" s="46" t="s">
        <v>2</v>
      </c>
      <c r="I3" s="46" t="s">
        <v>2</v>
      </c>
      <c r="J3" s="46" t="s">
        <v>2</v>
      </c>
      <c r="K3" s="46" t="s">
        <v>2</v>
      </c>
      <c r="L3" s="46" t="s">
        <v>2</v>
      </c>
      <c r="M3" s="46" t="s">
        <v>2</v>
      </c>
      <c r="N3" s="46" t="s">
        <v>2</v>
      </c>
      <c r="O3" s="46" t="s">
        <v>2</v>
      </c>
      <c r="P3" s="46" t="s">
        <v>2</v>
      </c>
      <c r="Q3" s="46" t="s">
        <v>2</v>
      </c>
      <c r="R3" s="46" t="s">
        <v>2</v>
      </c>
      <c r="S3" s="46" t="s">
        <v>2</v>
      </c>
      <c r="T3" s="46" t="s">
        <v>2</v>
      </c>
      <c r="U3" s="46" t="s">
        <v>2</v>
      </c>
      <c r="V3" s="46" t="s">
        <v>2</v>
      </c>
      <c r="W3" s="46" t="s">
        <v>2</v>
      </c>
      <c r="X3" s="46" t="s">
        <v>2</v>
      </c>
      <c r="Y3" s="46" t="s">
        <v>2</v>
      </c>
      <c r="Z3" s="46" t="s">
        <v>2</v>
      </c>
      <c r="AA3" s="46" t="s">
        <v>2</v>
      </c>
      <c r="AB3" s="46" t="s">
        <v>2</v>
      </c>
      <c r="AC3" s="46" t="s">
        <v>2</v>
      </c>
      <c r="AD3" s="46" t="s">
        <v>2</v>
      </c>
      <c r="AE3" s="46" t="s">
        <v>2</v>
      </c>
      <c r="AF3" s="46" t="s">
        <v>2</v>
      </c>
      <c r="AG3" s="46" t="s">
        <v>2</v>
      </c>
      <c r="AH3" s="46" t="s">
        <v>2</v>
      </c>
      <c r="AI3" s="46" t="s">
        <v>2</v>
      </c>
      <c r="AJ3" s="46" t="s">
        <v>2</v>
      </c>
      <c r="AK3" s="46" t="s">
        <v>2</v>
      </c>
      <c r="AL3" s="46" t="s">
        <v>2</v>
      </c>
    </row>
    <row r="5" spans="1:38" ht="13.5" customHeight="1">
      <c r="A5" s="47" t="s">
        <v>3</v>
      </c>
      <c r="B5" s="48" t="s">
        <v>4</v>
      </c>
      <c r="C5" s="49" t="s">
        <v>3</v>
      </c>
      <c r="D5" s="48" t="s">
        <v>5</v>
      </c>
      <c r="E5" s="49" t="s">
        <v>3</v>
      </c>
      <c r="F5" s="48" t="s">
        <v>6</v>
      </c>
      <c r="G5" s="49" t="s">
        <v>3</v>
      </c>
      <c r="H5" s="48" t="s">
        <v>7</v>
      </c>
      <c r="I5" s="49" t="s">
        <v>3</v>
      </c>
      <c r="J5" s="48" t="s">
        <v>8</v>
      </c>
      <c r="K5" s="49" t="s">
        <v>3</v>
      </c>
      <c r="L5" s="48" t="s">
        <v>9</v>
      </c>
      <c r="M5" s="49" t="s">
        <v>3</v>
      </c>
      <c r="N5" s="48" t="s">
        <v>10</v>
      </c>
      <c r="O5" s="49" t="s">
        <v>3</v>
      </c>
      <c r="P5" s="48" t="s">
        <v>11</v>
      </c>
      <c r="Q5" s="49" t="s">
        <v>3</v>
      </c>
      <c r="R5" s="48" t="s">
        <v>12</v>
      </c>
      <c r="S5" s="49" t="s">
        <v>3</v>
      </c>
      <c r="T5" s="48" t="s">
        <v>13</v>
      </c>
      <c r="U5" s="49" t="s">
        <v>3</v>
      </c>
      <c r="V5" s="48" t="s">
        <v>14</v>
      </c>
      <c r="W5" s="49" t="s">
        <v>3</v>
      </c>
      <c r="X5" s="48" t="s">
        <v>15</v>
      </c>
      <c r="Y5" s="49" t="s">
        <v>3</v>
      </c>
      <c r="Z5" s="48" t="s">
        <v>16</v>
      </c>
      <c r="AA5" s="49" t="s">
        <v>3</v>
      </c>
      <c r="AB5" s="48" t="s">
        <v>17</v>
      </c>
      <c r="AC5" s="49" t="s">
        <v>3</v>
      </c>
      <c r="AD5" s="50" t="s">
        <v>18</v>
      </c>
      <c r="AE5" s="51" t="s">
        <v>3</v>
      </c>
      <c r="AF5" s="50" t="s">
        <v>19</v>
      </c>
      <c r="AG5" s="48" t="s">
        <v>20</v>
      </c>
      <c r="AH5" s="49" t="s">
        <v>3</v>
      </c>
      <c r="AI5" s="50" t="s">
        <v>21</v>
      </c>
      <c r="AJ5" s="51" t="s">
        <v>3</v>
      </c>
      <c r="AK5" s="50" t="s">
        <v>22</v>
      </c>
      <c r="AL5" s="51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123097.31000000003</v>
      </c>
      <c r="C7" s="8">
        <v>1.0000000000000002</v>
      </c>
      <c r="D7" s="7">
        <v>168119.85999999996</v>
      </c>
      <c r="E7" s="8">
        <v>0.99999999999999978</v>
      </c>
      <c r="F7" s="7">
        <v>166288.11999999994</v>
      </c>
      <c r="G7" s="8">
        <v>0.99999999999999967</v>
      </c>
      <c r="H7" s="7">
        <v>144091.19000000009</v>
      </c>
      <c r="I7" s="8">
        <v>1.0000000000000007</v>
      </c>
      <c r="J7" s="7">
        <v>113357.77000000003</v>
      </c>
      <c r="K7" s="8">
        <v>1.0000000000000004</v>
      </c>
      <c r="L7" s="7">
        <v>127939.99999999996</v>
      </c>
      <c r="M7" s="8">
        <v>0.99999999999999967</v>
      </c>
      <c r="N7" s="7">
        <v>124888.67000000004</v>
      </c>
      <c r="O7" s="8">
        <v>1.0000000000000004</v>
      </c>
      <c r="P7" s="7">
        <v>126954.92999999998</v>
      </c>
      <c r="Q7" s="8">
        <v>0.99999999999999978</v>
      </c>
      <c r="R7" s="7">
        <v>123223.21000000002</v>
      </c>
      <c r="S7" s="8">
        <v>1.0000000000000002</v>
      </c>
      <c r="T7" s="7">
        <v>127813.03000000001</v>
      </c>
      <c r="U7" s="8">
        <v>1.0000000000000002</v>
      </c>
      <c r="V7" s="7">
        <v>111188.76999999996</v>
      </c>
      <c r="W7" s="8">
        <v>0.99999999999999978</v>
      </c>
      <c r="X7" s="7">
        <v>131312.48000000007</v>
      </c>
      <c r="Y7" s="8">
        <v>1.0000000000000004</v>
      </c>
      <c r="Z7" s="7">
        <v>493537.48999999982</v>
      </c>
      <c r="AA7" s="8">
        <v>0.99999999999999967</v>
      </c>
      <c r="AB7" s="9">
        <v>123384.37250000003</v>
      </c>
      <c r="AC7" s="8">
        <v>1.0000000000000002</v>
      </c>
      <c r="AD7" s="10">
        <v>7928.1075000000419</v>
      </c>
      <c r="AE7" s="11">
        <v>1.0000000000000038</v>
      </c>
      <c r="AF7" s="10">
        <v>6.4255361836848823E-2</v>
      </c>
      <c r="AG7" s="9">
        <v>123334.85750000003</v>
      </c>
      <c r="AH7" s="8">
        <v>1.0000000000000002</v>
      </c>
      <c r="AI7" s="10">
        <v>7977.6225000000413</v>
      </c>
      <c r="AJ7" s="11">
        <v>1.0000000000000036</v>
      </c>
      <c r="AK7" s="10">
        <v>6.4682626320787209E-2</v>
      </c>
      <c r="AL7" s="11">
        <v>1.0000000000000033</v>
      </c>
    </row>
    <row r="8" spans="1:38" ht="30.75" hidden="1" customHeight="1">
      <c r="A8" s="6" t="s">
        <v>24</v>
      </c>
      <c r="B8" s="7">
        <v>0</v>
      </c>
      <c r="C8" s="8">
        <v>0</v>
      </c>
      <c r="D8" s="7">
        <v>0</v>
      </c>
      <c r="E8" s="8">
        <v>0</v>
      </c>
      <c r="F8" s="7">
        <v>0</v>
      </c>
      <c r="G8" s="8">
        <v>0</v>
      </c>
      <c r="H8" s="7">
        <v>0</v>
      </c>
      <c r="I8" s="8">
        <v>0</v>
      </c>
      <c r="J8" s="7">
        <v>0</v>
      </c>
      <c r="K8" s="8">
        <v>0</v>
      </c>
      <c r="L8" s="7">
        <v>0</v>
      </c>
      <c r="M8" s="8">
        <v>0</v>
      </c>
      <c r="N8" s="7">
        <v>0</v>
      </c>
      <c r="O8" s="8">
        <v>0</v>
      </c>
      <c r="P8" s="7">
        <v>0</v>
      </c>
      <c r="Q8" s="8">
        <v>0</v>
      </c>
      <c r="R8" s="7">
        <v>0</v>
      </c>
      <c r="S8" s="8">
        <v>0</v>
      </c>
      <c r="T8" s="7">
        <v>0</v>
      </c>
      <c r="U8" s="8">
        <v>0</v>
      </c>
      <c r="V8" s="7">
        <v>0</v>
      </c>
      <c r="W8" s="8">
        <v>0</v>
      </c>
      <c r="X8" s="7">
        <v>0</v>
      </c>
      <c r="Y8" s="8">
        <v>0</v>
      </c>
      <c r="Z8" s="7">
        <v>0</v>
      </c>
      <c r="AA8" s="8">
        <v>0</v>
      </c>
      <c r="AB8" s="9">
        <v>0</v>
      </c>
      <c r="AC8" s="8">
        <v>0</v>
      </c>
      <c r="AD8" s="10">
        <v>0</v>
      </c>
      <c r="AE8" s="11">
        <v>0</v>
      </c>
      <c r="AF8" s="10" t="s">
        <v>316</v>
      </c>
      <c r="AG8" s="9">
        <v>0</v>
      </c>
      <c r="AH8" s="8">
        <v>0</v>
      </c>
      <c r="AI8" s="10">
        <v>0</v>
      </c>
      <c r="AJ8" s="11">
        <v>0</v>
      </c>
      <c r="AK8" s="10" t="s">
        <v>316</v>
      </c>
      <c r="AL8" s="11" t="s">
        <v>316</v>
      </c>
    </row>
    <row r="9" spans="1:38" ht="16.5" customHeight="1">
      <c r="A9" s="12" t="s">
        <v>25</v>
      </c>
      <c r="B9" s="13">
        <v>123097.31000000003</v>
      </c>
      <c r="C9" s="14">
        <v>1.0000000000000002</v>
      </c>
      <c r="D9" s="13">
        <v>168119.85999999996</v>
      </c>
      <c r="E9" s="14">
        <v>0.99999999999999978</v>
      </c>
      <c r="F9" s="13">
        <v>166288.11999999994</v>
      </c>
      <c r="G9" s="14">
        <v>0.99999999999999967</v>
      </c>
      <c r="H9" s="13">
        <v>144091.19000000009</v>
      </c>
      <c r="I9" s="14">
        <v>1.0000000000000007</v>
      </c>
      <c r="J9" s="13">
        <v>113357.77000000003</v>
      </c>
      <c r="K9" s="14">
        <v>1.0000000000000004</v>
      </c>
      <c r="L9" s="13">
        <v>127939.99999999996</v>
      </c>
      <c r="M9" s="14">
        <v>0.99999999999999967</v>
      </c>
      <c r="N9" s="13">
        <v>124888.67000000004</v>
      </c>
      <c r="O9" s="14">
        <v>1.0000000000000004</v>
      </c>
      <c r="P9" s="13">
        <v>126954.92999999998</v>
      </c>
      <c r="Q9" s="14">
        <v>0.99999999999999978</v>
      </c>
      <c r="R9" s="13">
        <v>123223.21000000002</v>
      </c>
      <c r="S9" s="14">
        <v>1.0000000000000002</v>
      </c>
      <c r="T9" s="13">
        <v>127813.03000000001</v>
      </c>
      <c r="U9" s="14">
        <v>1.0000000000000002</v>
      </c>
      <c r="V9" s="13">
        <v>111188.76999999996</v>
      </c>
      <c r="W9" s="14">
        <v>0.99999999999999978</v>
      </c>
      <c r="X9" s="13">
        <v>131312.48000000007</v>
      </c>
      <c r="Y9" s="14">
        <v>1.0000000000000004</v>
      </c>
      <c r="Z9" s="13">
        <v>493537.48999999982</v>
      </c>
      <c r="AA9" s="14">
        <v>0.99999999999999967</v>
      </c>
      <c r="AB9" s="13">
        <v>123384.37250000003</v>
      </c>
      <c r="AC9" s="14">
        <v>1.0000000000000002</v>
      </c>
      <c r="AD9" s="15">
        <v>7928.1075000000419</v>
      </c>
      <c r="AE9" s="16">
        <v>1.0000000000000038</v>
      </c>
      <c r="AF9" s="15">
        <v>6.4255361836848823E-2</v>
      </c>
      <c r="AG9" s="13">
        <v>123334.85750000003</v>
      </c>
      <c r="AH9" s="14">
        <v>1.0000000000000002</v>
      </c>
      <c r="AI9" s="15">
        <v>7977.6225000000413</v>
      </c>
      <c r="AJ9" s="16">
        <v>1.0000000000000036</v>
      </c>
      <c r="AK9" s="15">
        <v>6.4682626320787209E-2</v>
      </c>
      <c r="AL9" s="16">
        <v>1.0000000000000033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v>0</v>
      </c>
      <c r="D13" s="7">
        <v>0</v>
      </c>
      <c r="E13" s="8">
        <v>0</v>
      </c>
      <c r="F13" s="7">
        <v>0</v>
      </c>
      <c r="G13" s="8">
        <v>0</v>
      </c>
      <c r="H13" s="7">
        <v>0</v>
      </c>
      <c r="I13" s="8">
        <v>0</v>
      </c>
      <c r="J13" s="7">
        <v>0</v>
      </c>
      <c r="K13" s="8">
        <v>0</v>
      </c>
      <c r="L13" s="7">
        <v>0</v>
      </c>
      <c r="M13" s="8">
        <v>0</v>
      </c>
      <c r="N13" s="7">
        <v>0</v>
      </c>
      <c r="O13" s="8">
        <v>0</v>
      </c>
      <c r="P13" s="7">
        <v>0</v>
      </c>
      <c r="Q13" s="8">
        <v>0</v>
      </c>
      <c r="R13" s="7">
        <v>0</v>
      </c>
      <c r="S13" s="8">
        <v>0</v>
      </c>
      <c r="T13" s="7">
        <v>0</v>
      </c>
      <c r="U13" s="8">
        <v>0</v>
      </c>
      <c r="V13" s="7">
        <v>0</v>
      </c>
      <c r="W13" s="8">
        <v>0</v>
      </c>
      <c r="X13" s="7">
        <v>0</v>
      </c>
      <c r="Y13" s="8">
        <v>0</v>
      </c>
      <c r="Z13" s="7">
        <v>0</v>
      </c>
      <c r="AA13" s="8">
        <v>0</v>
      </c>
      <c r="AB13" s="9">
        <v>0</v>
      </c>
      <c r="AC13" s="8">
        <v>0</v>
      </c>
      <c r="AD13" s="10">
        <v>0</v>
      </c>
      <c r="AE13" s="11">
        <v>0</v>
      </c>
      <c r="AF13" s="10" t="s">
        <v>316</v>
      </c>
      <c r="AG13" s="9">
        <v>0</v>
      </c>
      <c r="AH13" s="8">
        <v>0</v>
      </c>
      <c r="AI13" s="10">
        <v>0</v>
      </c>
      <c r="AJ13" s="11">
        <v>0</v>
      </c>
      <c r="AK13" s="10" t="s">
        <v>316</v>
      </c>
      <c r="AL13" s="11" t="s">
        <v>316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v>0</v>
      </c>
      <c r="D15" s="7">
        <v>0</v>
      </c>
      <c r="E15" s="8">
        <v>0</v>
      </c>
      <c r="F15" s="7">
        <v>0</v>
      </c>
      <c r="G15" s="8">
        <v>0</v>
      </c>
      <c r="H15" s="7">
        <v>0</v>
      </c>
      <c r="I15" s="8">
        <v>0</v>
      </c>
      <c r="J15" s="7">
        <v>0</v>
      </c>
      <c r="K15" s="8">
        <v>0</v>
      </c>
      <c r="L15" s="7">
        <v>0</v>
      </c>
      <c r="M15" s="8">
        <v>0</v>
      </c>
      <c r="N15" s="7">
        <v>0</v>
      </c>
      <c r="O15" s="8">
        <v>0</v>
      </c>
      <c r="P15" s="7">
        <v>0</v>
      </c>
      <c r="Q15" s="8">
        <v>0</v>
      </c>
      <c r="R15" s="7">
        <v>0</v>
      </c>
      <c r="S15" s="8">
        <v>0</v>
      </c>
      <c r="T15" s="7">
        <v>0</v>
      </c>
      <c r="U15" s="8">
        <v>0</v>
      </c>
      <c r="V15" s="7">
        <v>0</v>
      </c>
      <c r="W15" s="8">
        <v>0</v>
      </c>
      <c r="X15" s="7">
        <v>0</v>
      </c>
      <c r="Y15" s="8">
        <v>0</v>
      </c>
      <c r="Z15" s="7">
        <v>0</v>
      </c>
      <c r="AA15" s="8">
        <v>0</v>
      </c>
      <c r="AB15" s="9">
        <v>0</v>
      </c>
      <c r="AC15" s="8">
        <v>0</v>
      </c>
      <c r="AD15" s="10">
        <v>0</v>
      </c>
      <c r="AE15" s="11">
        <v>0</v>
      </c>
      <c r="AF15" s="10" t="s">
        <v>316</v>
      </c>
      <c r="AG15" s="9">
        <v>0</v>
      </c>
      <c r="AH15" s="8">
        <v>0</v>
      </c>
      <c r="AI15" s="10">
        <v>0</v>
      </c>
      <c r="AJ15" s="11">
        <v>0</v>
      </c>
      <c r="AK15" s="10" t="s">
        <v>316</v>
      </c>
      <c r="AL15" s="11" t="s">
        <v>316</v>
      </c>
    </row>
    <row r="16" spans="1:38" ht="16.5" customHeight="1">
      <c r="A16" s="25" t="s">
        <v>31</v>
      </c>
      <c r="B16" s="7">
        <v>5125.6900000000005</v>
      </c>
      <c r="C16" s="8">
        <v>4.1639333954576266E-2</v>
      </c>
      <c r="D16" s="7">
        <v>7452.2000000000007</v>
      </c>
      <c r="E16" s="8">
        <v>4.4326708337730003E-2</v>
      </c>
      <c r="F16" s="7">
        <v>6999.16</v>
      </c>
      <c r="G16" s="8">
        <v>4.209055944585819E-2</v>
      </c>
      <c r="H16" s="7">
        <v>5415.53</v>
      </c>
      <c r="I16" s="8">
        <v>3.7584046602710405E-2</v>
      </c>
      <c r="J16" s="7">
        <v>5705.51</v>
      </c>
      <c r="K16" s="8">
        <v>5.0331882851965069E-2</v>
      </c>
      <c r="L16" s="7">
        <v>5180.6000000000004</v>
      </c>
      <c r="M16" s="8">
        <v>4.0492418321088013E-2</v>
      </c>
      <c r="N16" s="7">
        <v>5411.119999999999</v>
      </c>
      <c r="O16" s="8">
        <v>4.3327549248462646E-2</v>
      </c>
      <c r="P16" s="7">
        <v>5168.29</v>
      </c>
      <c r="Q16" s="8">
        <v>4.0709643965775887E-2</v>
      </c>
      <c r="R16" s="7">
        <v>4346.21</v>
      </c>
      <c r="S16" s="8">
        <v>3.5271033760604031E-2</v>
      </c>
      <c r="T16" s="7">
        <v>4678.12</v>
      </c>
      <c r="U16" s="8">
        <v>3.6601276098375886E-2</v>
      </c>
      <c r="V16" s="7">
        <v>4552.7700000000004</v>
      </c>
      <c r="W16" s="8">
        <v>4.0946311394576995E-2</v>
      </c>
      <c r="X16" s="7">
        <v>4889.34</v>
      </c>
      <c r="Y16" s="8">
        <v>3.7234389297955528E-2</v>
      </c>
      <c r="Z16" s="7">
        <v>18466.439999999999</v>
      </c>
      <c r="AA16" s="8">
        <v>3.741648886693491E-2</v>
      </c>
      <c r="AB16" s="9">
        <v>4616.6100000000006</v>
      </c>
      <c r="AC16" s="8">
        <v>3.7416488866934917E-2</v>
      </c>
      <c r="AD16" s="10">
        <v>272.72999999999956</v>
      </c>
      <c r="AE16" s="11">
        <v>3.4400391266137489E-2</v>
      </c>
      <c r="AF16" s="10">
        <v>5.9075815371018893E-2</v>
      </c>
      <c r="AG16" s="9">
        <v>4991.494999999999</v>
      </c>
      <c r="AH16" s="8">
        <v>4.0471080935087625E-2</v>
      </c>
      <c r="AI16" s="10">
        <v>-102.15499999999884</v>
      </c>
      <c r="AJ16" s="11">
        <v>-1.2805193527269394E-2</v>
      </c>
      <c r="AK16" s="10">
        <v>-2.0465812346801681E-2</v>
      </c>
      <c r="AL16" s="11">
        <v>-0.31640354622126105</v>
      </c>
    </row>
    <row r="17" spans="1:38" ht="16.5" customHeight="1">
      <c r="A17" s="25" t="s">
        <v>32</v>
      </c>
      <c r="B17" s="7">
        <v>3185.6899999999996</v>
      </c>
      <c r="C17" s="8">
        <v>2.587944448176812E-2</v>
      </c>
      <c r="D17" s="7">
        <v>3951.9399999999996</v>
      </c>
      <c r="E17" s="8">
        <v>2.3506681483079987E-2</v>
      </c>
      <c r="F17" s="7">
        <v>4372.5400000000009</v>
      </c>
      <c r="G17" s="8">
        <v>2.6294963224071575E-2</v>
      </c>
      <c r="H17" s="7">
        <v>3147.74</v>
      </c>
      <c r="I17" s="8">
        <v>2.1845471607250935E-2</v>
      </c>
      <c r="J17" s="7">
        <v>3244.12</v>
      </c>
      <c r="K17" s="8">
        <v>2.8618417599428785E-2</v>
      </c>
      <c r="L17" s="7">
        <v>3135.12</v>
      </c>
      <c r="M17" s="8">
        <v>2.4504611536657808E-2</v>
      </c>
      <c r="N17" s="7">
        <v>3247.0099999999998</v>
      </c>
      <c r="O17" s="8">
        <v>2.599923595951498E-2</v>
      </c>
      <c r="P17" s="7">
        <v>3658.0699999999997</v>
      </c>
      <c r="Q17" s="8">
        <v>2.8813926328028375E-2</v>
      </c>
      <c r="R17" s="7">
        <v>3279.62</v>
      </c>
      <c r="S17" s="8">
        <v>2.6615278079511157E-2</v>
      </c>
      <c r="T17" s="7">
        <v>3085.54</v>
      </c>
      <c r="U17" s="8">
        <v>2.4141044148628665E-2</v>
      </c>
      <c r="V17" s="7">
        <v>3208.0400000000004</v>
      </c>
      <c r="W17" s="8">
        <v>2.8852194335812875E-2</v>
      </c>
      <c r="X17" s="7">
        <v>2868.48</v>
      </c>
      <c r="Y17" s="8">
        <v>2.1844686811185045E-2</v>
      </c>
      <c r="Z17" s="7">
        <v>12441.68</v>
      </c>
      <c r="AA17" s="8">
        <v>2.5209189275570535E-2</v>
      </c>
      <c r="AB17" s="9">
        <v>3110.42</v>
      </c>
      <c r="AC17" s="8">
        <v>2.5209189275570535E-2</v>
      </c>
      <c r="AD17" s="10">
        <v>-241.94000000000005</v>
      </c>
      <c r="AE17" s="11">
        <v>-3.0516740596668205E-2</v>
      </c>
      <c r="AF17" s="10">
        <v>-7.7783707666488788E-2</v>
      </c>
      <c r="AG17" s="9">
        <v>3215.75</v>
      </c>
      <c r="AH17" s="8">
        <v>2.607332643166187E-2</v>
      </c>
      <c r="AI17" s="10">
        <v>-347.27</v>
      </c>
      <c r="AJ17" s="11">
        <v>-4.3530513006851283E-2</v>
      </c>
      <c r="AK17" s="10">
        <v>-0.10799035994713518</v>
      </c>
      <c r="AL17" s="11">
        <v>-1.6695419788857651</v>
      </c>
    </row>
    <row r="18" spans="1:38" ht="16.5" customHeight="1">
      <c r="A18" s="25" t="s">
        <v>33</v>
      </c>
      <c r="B18" s="7">
        <v>4078.89</v>
      </c>
      <c r="C18" s="8">
        <v>3.3135492562753811E-2</v>
      </c>
      <c r="D18" s="7">
        <v>6017.6</v>
      </c>
      <c r="E18" s="8">
        <v>3.5793510653649135E-2</v>
      </c>
      <c r="F18" s="7">
        <v>5378.05</v>
      </c>
      <c r="G18" s="8">
        <v>3.2341757186262018E-2</v>
      </c>
      <c r="H18" s="7">
        <v>5330.59</v>
      </c>
      <c r="I18" s="8">
        <v>3.6994558792942167E-2</v>
      </c>
      <c r="J18" s="7">
        <v>4240.07</v>
      </c>
      <c r="K18" s="8">
        <v>3.7404317322050358E-2</v>
      </c>
      <c r="L18" s="7">
        <v>3891.0299999999997</v>
      </c>
      <c r="M18" s="8">
        <v>3.0412927934969514E-2</v>
      </c>
      <c r="N18" s="7">
        <v>3950.44</v>
      </c>
      <c r="O18" s="8">
        <v>3.1631692450564172E-2</v>
      </c>
      <c r="P18" s="7">
        <v>3740.7</v>
      </c>
      <c r="Q18" s="8">
        <v>2.9464787228034386E-2</v>
      </c>
      <c r="R18" s="7">
        <v>3772.41</v>
      </c>
      <c r="S18" s="8">
        <v>3.06144434964809E-2</v>
      </c>
      <c r="T18" s="7">
        <v>4409.42</v>
      </c>
      <c r="U18" s="8">
        <v>3.4498986527429949E-2</v>
      </c>
      <c r="V18" s="7">
        <v>3709.8900000000003</v>
      </c>
      <c r="W18" s="8">
        <v>3.3365689718485067E-2</v>
      </c>
      <c r="X18" s="7">
        <v>3773.7200000000003</v>
      </c>
      <c r="Y18" s="8">
        <v>2.8738471773589229E-2</v>
      </c>
      <c r="Z18" s="7">
        <v>15665.44</v>
      </c>
      <c r="AA18" s="8">
        <v>3.1741134802140365E-2</v>
      </c>
      <c r="AB18" s="9">
        <v>3916.3600000000006</v>
      </c>
      <c r="AC18" s="8">
        <v>3.1741134802140365E-2</v>
      </c>
      <c r="AD18" s="10">
        <v>-142.64000000000033</v>
      </c>
      <c r="AE18" s="11">
        <v>-1.7991683387239651E-2</v>
      </c>
      <c r="AF18" s="10">
        <v>-3.6421575136095841E-2</v>
      </c>
      <c r="AG18" s="9">
        <v>3935.96</v>
      </c>
      <c r="AH18" s="8">
        <v>3.191279480742093E-2</v>
      </c>
      <c r="AI18" s="10">
        <v>-162.23999999999978</v>
      </c>
      <c r="AJ18" s="11">
        <v>-2.0336886083541748E-2</v>
      </c>
      <c r="AK18" s="10">
        <v>-4.1219931096860687E-2</v>
      </c>
      <c r="AL18" s="11">
        <v>-0.6372643388416942</v>
      </c>
    </row>
    <row r="19" spans="1:38" ht="16.5" customHeight="1">
      <c r="A19" s="25" t="s">
        <v>34</v>
      </c>
      <c r="B19" s="7">
        <v>2706.55</v>
      </c>
      <c r="C19" s="8">
        <v>2.1987076728159211E-2</v>
      </c>
      <c r="D19" s="7">
        <v>2960.49</v>
      </c>
      <c r="E19" s="8">
        <v>1.7609400816774413E-2</v>
      </c>
      <c r="F19" s="7">
        <v>3341.6299999999997</v>
      </c>
      <c r="G19" s="8">
        <v>2.0095422330831569E-2</v>
      </c>
      <c r="H19" s="7">
        <v>2829.4</v>
      </c>
      <c r="I19" s="8">
        <v>1.9636176229788929E-2</v>
      </c>
      <c r="J19" s="7">
        <v>2242.4299999999998</v>
      </c>
      <c r="K19" s="8">
        <v>1.9781881736029211E-2</v>
      </c>
      <c r="L19" s="7">
        <v>2488.9899999999998</v>
      </c>
      <c r="M19" s="8">
        <v>1.9454353603251522E-2</v>
      </c>
      <c r="N19" s="7">
        <v>2378.85</v>
      </c>
      <c r="O19" s="8">
        <v>1.9047764701153436E-2</v>
      </c>
      <c r="P19" s="7">
        <v>2657.17</v>
      </c>
      <c r="Q19" s="8">
        <v>2.0930026112416428E-2</v>
      </c>
      <c r="R19" s="7">
        <v>2869.5600000000004</v>
      </c>
      <c r="S19" s="8">
        <v>2.3287495918991239E-2</v>
      </c>
      <c r="T19" s="7">
        <v>2447.25</v>
      </c>
      <c r="U19" s="8">
        <v>1.9147108866756385E-2</v>
      </c>
      <c r="V19" s="7">
        <v>2235.3399999999997</v>
      </c>
      <c r="W19" s="8">
        <v>2.0104008705195676E-2</v>
      </c>
      <c r="X19" s="7">
        <v>3145.13</v>
      </c>
      <c r="Y19" s="8">
        <v>2.3951493414791952E-2</v>
      </c>
      <c r="Z19" s="7">
        <v>10697.28</v>
      </c>
      <c r="AA19" s="8">
        <v>2.1674706008656001E-2</v>
      </c>
      <c r="AB19" s="9">
        <v>2674.3199999999997</v>
      </c>
      <c r="AC19" s="8">
        <v>2.1674706008655998E-2</v>
      </c>
      <c r="AD19" s="10">
        <v>470.8100000000004</v>
      </c>
      <c r="AE19" s="11">
        <v>5.9384916261541562E-2</v>
      </c>
      <c r="AF19" s="10">
        <v>0.1760484908313143</v>
      </c>
      <c r="AG19" s="9">
        <v>2558.09</v>
      </c>
      <c r="AH19" s="8">
        <v>2.0741013950577598E-2</v>
      </c>
      <c r="AI19" s="10">
        <v>587.04</v>
      </c>
      <c r="AJ19" s="11">
        <v>7.3585833373288723E-2</v>
      </c>
      <c r="AK19" s="10">
        <v>0.2294837163665078</v>
      </c>
      <c r="AL19" s="11">
        <v>3.547841660423718</v>
      </c>
    </row>
    <row r="20" spans="1:38" ht="16.5" customHeight="1">
      <c r="A20" s="25" t="s">
        <v>35</v>
      </c>
      <c r="B20" s="7">
        <v>1486.54</v>
      </c>
      <c r="C20" s="8">
        <v>1.2076137163354747E-2</v>
      </c>
      <c r="D20" s="7">
        <v>2019.0300000000002</v>
      </c>
      <c r="E20" s="8">
        <v>1.2009467531081695E-2</v>
      </c>
      <c r="F20" s="7">
        <v>1618.86</v>
      </c>
      <c r="G20" s="8">
        <v>9.7352715275150145E-3</v>
      </c>
      <c r="H20" s="7">
        <v>1710.0200000000002</v>
      </c>
      <c r="I20" s="8">
        <v>1.1867623551446832E-2</v>
      </c>
      <c r="J20" s="7">
        <v>1457.02</v>
      </c>
      <c r="K20" s="8">
        <v>1.285328742793723E-2</v>
      </c>
      <c r="L20" s="7">
        <v>1543.94</v>
      </c>
      <c r="M20" s="8">
        <v>1.2067687978740034E-2</v>
      </c>
      <c r="N20" s="7">
        <v>1896.2800000000002</v>
      </c>
      <c r="O20" s="8">
        <v>1.5183763266916048E-2</v>
      </c>
      <c r="P20" s="7">
        <v>1476.2599999999998</v>
      </c>
      <c r="Q20" s="8">
        <v>1.1628221133279344E-2</v>
      </c>
      <c r="R20" s="7">
        <v>1784.56</v>
      </c>
      <c r="S20" s="8">
        <v>1.4482336566301105E-2</v>
      </c>
      <c r="T20" s="7">
        <v>1314.96</v>
      </c>
      <c r="U20" s="8">
        <v>1.0288152937145767E-2</v>
      </c>
      <c r="V20" s="7">
        <v>1633.5</v>
      </c>
      <c r="W20" s="8">
        <v>1.4691231857317966E-2</v>
      </c>
      <c r="X20" s="7">
        <v>1852.6399999999999</v>
      </c>
      <c r="Y20" s="8">
        <v>1.410863613268137E-2</v>
      </c>
      <c r="Z20" s="7">
        <v>6585.66</v>
      </c>
      <c r="AA20" s="8">
        <v>1.3343788736292354E-2</v>
      </c>
      <c r="AB20" s="9">
        <v>1646.415</v>
      </c>
      <c r="AC20" s="8">
        <v>1.3343788736292354E-2</v>
      </c>
      <c r="AD20" s="10">
        <v>206.22499999999991</v>
      </c>
      <c r="AE20" s="11">
        <v>2.601188240699304E-2</v>
      </c>
      <c r="AF20" s="10">
        <v>0.12525699778002503</v>
      </c>
      <c r="AG20" s="9">
        <v>1619.895</v>
      </c>
      <c r="AH20" s="8">
        <v>1.3134121470890742E-2</v>
      </c>
      <c r="AI20" s="10">
        <v>232.74499999999989</v>
      </c>
      <c r="AJ20" s="11">
        <v>2.9174732196215043E-2</v>
      </c>
      <c r="AK20" s="10">
        <v>0.14367906561845051</v>
      </c>
      <c r="AL20" s="11">
        <v>2.2212930085103317</v>
      </c>
    </row>
    <row r="21" spans="1:38" ht="16.5" customHeight="1">
      <c r="A21" s="25" t="s">
        <v>36</v>
      </c>
      <c r="B21" s="7">
        <v>995.38</v>
      </c>
      <c r="C21" s="8">
        <v>8.0861230842493633E-3</v>
      </c>
      <c r="D21" s="7">
        <v>1375.1399999999999</v>
      </c>
      <c r="E21" s="8">
        <v>8.1795214438080063E-3</v>
      </c>
      <c r="F21" s="7">
        <v>1183.1300000000001</v>
      </c>
      <c r="G21" s="8">
        <v>7.1149400209708311E-3</v>
      </c>
      <c r="H21" s="7">
        <v>1134.3699999999999</v>
      </c>
      <c r="I21" s="8">
        <v>7.8725840212715281E-3</v>
      </c>
      <c r="J21" s="7">
        <v>893.89</v>
      </c>
      <c r="K21" s="8">
        <v>7.8855644390322787E-3</v>
      </c>
      <c r="L21" s="7">
        <v>1027.3599999999999</v>
      </c>
      <c r="M21" s="8">
        <v>8.030014069094888E-3</v>
      </c>
      <c r="N21" s="7">
        <v>875.48</v>
      </c>
      <c r="O21" s="8">
        <v>7.0100834607334682E-3</v>
      </c>
      <c r="P21" s="7">
        <v>1007.6400000000001</v>
      </c>
      <c r="Q21" s="8">
        <v>7.9369899223291299E-3</v>
      </c>
      <c r="R21" s="7">
        <v>812.72</v>
      </c>
      <c r="S21" s="8">
        <v>6.5955106996482245E-3</v>
      </c>
      <c r="T21" s="7">
        <v>832.45</v>
      </c>
      <c r="U21" s="8">
        <v>6.5130292271453078E-3</v>
      </c>
      <c r="V21" s="7">
        <v>1008.32</v>
      </c>
      <c r="W21" s="8">
        <v>9.0685417241327532E-3</v>
      </c>
      <c r="X21" s="7">
        <v>1514.01</v>
      </c>
      <c r="Y21" s="8">
        <v>1.1529825649473682E-2</v>
      </c>
      <c r="Z21" s="7">
        <v>4167.5</v>
      </c>
      <c r="AA21" s="8">
        <v>8.4441406872657228E-3</v>
      </c>
      <c r="AB21" s="9">
        <v>1041.875</v>
      </c>
      <c r="AC21" s="8">
        <v>8.4441406872657228E-3</v>
      </c>
      <c r="AD21" s="10">
        <v>472.13499999999999</v>
      </c>
      <c r="AE21" s="11">
        <v>5.9552043157840538E-2</v>
      </c>
      <c r="AF21" s="10">
        <v>0.4531589682063587</v>
      </c>
      <c r="AG21" s="9">
        <v>996.48374999999999</v>
      </c>
      <c r="AH21" s="8">
        <v>8.0794981256616764E-3</v>
      </c>
      <c r="AI21" s="10">
        <v>517.52625</v>
      </c>
      <c r="AJ21" s="11">
        <v>6.4872241071822989E-2</v>
      </c>
      <c r="AK21" s="10">
        <v>0.51935242295722339</v>
      </c>
      <c r="AL21" s="11">
        <v>8.029241428471801</v>
      </c>
    </row>
    <row r="22" spans="1:38" ht="16.5" hidden="1" customHeight="1">
      <c r="A22" s="25" t="s">
        <v>37</v>
      </c>
      <c r="B22" s="7">
        <v>0</v>
      </c>
      <c r="C22" s="8">
        <v>0</v>
      </c>
      <c r="D22" s="7">
        <v>0</v>
      </c>
      <c r="E22" s="8">
        <v>0</v>
      </c>
      <c r="F22" s="7">
        <v>0</v>
      </c>
      <c r="G22" s="8">
        <v>0</v>
      </c>
      <c r="H22" s="7">
        <v>0</v>
      </c>
      <c r="I22" s="8">
        <v>0</v>
      </c>
      <c r="J22" s="7">
        <v>0</v>
      </c>
      <c r="K22" s="8">
        <v>0</v>
      </c>
      <c r="L22" s="7">
        <v>0</v>
      </c>
      <c r="M22" s="8">
        <v>0</v>
      </c>
      <c r="N22" s="7">
        <v>0</v>
      </c>
      <c r="O22" s="8">
        <v>0</v>
      </c>
      <c r="P22" s="7">
        <v>0</v>
      </c>
      <c r="Q22" s="8">
        <v>0</v>
      </c>
      <c r="R22" s="7">
        <v>0</v>
      </c>
      <c r="S22" s="8">
        <v>0</v>
      </c>
      <c r="T22" s="7">
        <v>0</v>
      </c>
      <c r="U22" s="8">
        <v>0</v>
      </c>
      <c r="V22" s="7">
        <v>0</v>
      </c>
      <c r="W22" s="8">
        <v>0</v>
      </c>
      <c r="X22" s="7">
        <v>0</v>
      </c>
      <c r="Y22" s="8">
        <v>0</v>
      </c>
      <c r="Z22" s="7">
        <v>0</v>
      </c>
      <c r="AA22" s="8">
        <v>0</v>
      </c>
      <c r="AB22" s="9">
        <v>0</v>
      </c>
      <c r="AC22" s="8">
        <v>0</v>
      </c>
      <c r="AD22" s="10">
        <v>0</v>
      </c>
      <c r="AE22" s="11">
        <v>0</v>
      </c>
      <c r="AF22" s="10" t="s">
        <v>316</v>
      </c>
      <c r="AG22" s="9">
        <v>0</v>
      </c>
      <c r="AH22" s="8">
        <v>0</v>
      </c>
      <c r="AI22" s="10">
        <v>0</v>
      </c>
      <c r="AJ22" s="11">
        <v>0</v>
      </c>
      <c r="AK22" s="10" t="s">
        <v>316</v>
      </c>
      <c r="AL22" s="11" t="s">
        <v>316</v>
      </c>
    </row>
    <row r="23" spans="1:38" ht="16.5" customHeight="1">
      <c r="A23" s="25" t="s">
        <v>38</v>
      </c>
      <c r="B23" s="7">
        <v>747.8</v>
      </c>
      <c r="C23" s="8">
        <v>6.0748687359618173E-3</v>
      </c>
      <c r="D23" s="7">
        <v>974.11</v>
      </c>
      <c r="E23" s="8">
        <v>5.7941399665690898E-3</v>
      </c>
      <c r="F23" s="7">
        <v>565.42000000000007</v>
      </c>
      <c r="G23" s="8">
        <v>3.4002429037023217E-3</v>
      </c>
      <c r="H23" s="7">
        <v>638.37</v>
      </c>
      <c r="I23" s="8">
        <v>4.4303194386832393E-3</v>
      </c>
      <c r="J23" s="7">
        <v>702.53</v>
      </c>
      <c r="K23" s="8">
        <v>6.197457836370635E-3</v>
      </c>
      <c r="L23" s="7">
        <v>996.99999999999989</v>
      </c>
      <c r="M23" s="8">
        <v>7.7927153353134276E-3</v>
      </c>
      <c r="N23" s="7">
        <v>780.32</v>
      </c>
      <c r="O23" s="8">
        <v>6.2481248298985013E-3</v>
      </c>
      <c r="P23" s="7">
        <v>533.6</v>
      </c>
      <c r="Q23" s="8">
        <v>4.203066395294771E-3</v>
      </c>
      <c r="R23" s="7">
        <v>-183.94</v>
      </c>
      <c r="S23" s="8">
        <v>-1.4927382592938457E-3</v>
      </c>
      <c r="T23" s="7">
        <v>1442.7</v>
      </c>
      <c r="U23" s="8">
        <v>1.1287581555652034E-2</v>
      </c>
      <c r="V23" s="7">
        <v>521.64</v>
      </c>
      <c r="W23" s="8">
        <v>4.6914809831964145E-3</v>
      </c>
      <c r="X23" s="7">
        <v>954.06</v>
      </c>
      <c r="Y23" s="8">
        <v>7.2655698833804664E-3</v>
      </c>
      <c r="Z23" s="7">
        <v>2734.46</v>
      </c>
      <c r="AA23" s="8">
        <v>5.5405314801921131E-3</v>
      </c>
      <c r="AB23" s="9">
        <v>683.61500000000001</v>
      </c>
      <c r="AC23" s="8">
        <v>5.5405314801921131E-3</v>
      </c>
      <c r="AD23" s="10">
        <v>270.44499999999994</v>
      </c>
      <c r="AE23" s="11">
        <v>3.4112176203463372E-2</v>
      </c>
      <c r="AF23" s="10">
        <v>0.39561010217739506</v>
      </c>
      <c r="AG23" s="9">
        <v>718.48874999999998</v>
      </c>
      <c r="AH23" s="8">
        <v>5.825512467146605E-3</v>
      </c>
      <c r="AI23" s="10">
        <v>235.57124999999996</v>
      </c>
      <c r="AJ23" s="11">
        <v>2.9529004412028721E-2</v>
      </c>
      <c r="AK23" s="10">
        <v>0.32787047813901049</v>
      </c>
      <c r="AL23" s="11">
        <v>5.0689110320439026</v>
      </c>
    </row>
    <row r="24" spans="1:38" ht="16.5" customHeight="1">
      <c r="A24" s="25" t="s">
        <v>39</v>
      </c>
      <c r="B24" s="7">
        <v>7440.5299999999988</v>
      </c>
      <c r="C24" s="8">
        <v>6.0444294030470684E-2</v>
      </c>
      <c r="D24" s="7">
        <v>8909.4499999999989</v>
      </c>
      <c r="E24" s="8">
        <v>5.2994631330290184E-2</v>
      </c>
      <c r="F24" s="7">
        <v>9034.5499999999993</v>
      </c>
      <c r="G24" s="8">
        <v>5.4330700232824811E-2</v>
      </c>
      <c r="H24" s="7">
        <v>7754.5399999999991</v>
      </c>
      <c r="I24" s="8">
        <v>5.3816891927952006E-2</v>
      </c>
      <c r="J24" s="7">
        <v>6805.88</v>
      </c>
      <c r="K24" s="8">
        <v>6.0038936898635188E-2</v>
      </c>
      <c r="L24" s="7">
        <v>8475.4</v>
      </c>
      <c r="M24" s="8">
        <v>6.6245114897608245E-2</v>
      </c>
      <c r="N24" s="7">
        <v>7329.29</v>
      </c>
      <c r="O24" s="8">
        <v>5.8686588623291451E-2</v>
      </c>
      <c r="P24" s="7">
        <v>7484.7199999999993</v>
      </c>
      <c r="Q24" s="8">
        <v>5.895572546887308E-2</v>
      </c>
      <c r="R24" s="7">
        <v>7025.25</v>
      </c>
      <c r="S24" s="8">
        <v>5.7012392389388336E-2</v>
      </c>
      <c r="T24" s="7">
        <v>6883.91</v>
      </c>
      <c r="U24" s="8">
        <v>5.3859219204802515E-2</v>
      </c>
      <c r="V24" s="7">
        <v>6478.5599999999995</v>
      </c>
      <c r="W24" s="8">
        <v>5.8266315923811374E-2</v>
      </c>
      <c r="X24" s="7">
        <v>7924.1399999999994</v>
      </c>
      <c r="Y24" s="8">
        <v>6.0345673160692712E-2</v>
      </c>
      <c r="Z24" s="7">
        <v>28311.86</v>
      </c>
      <c r="AA24" s="8">
        <v>5.736516591677767E-2</v>
      </c>
      <c r="AB24" s="9">
        <v>7077.9650000000001</v>
      </c>
      <c r="AC24" s="8">
        <v>5.736516591677767E-2</v>
      </c>
      <c r="AD24" s="10">
        <v>846.17499999999927</v>
      </c>
      <c r="AE24" s="11">
        <v>0.10673101998175452</v>
      </c>
      <c r="AF24" s="10">
        <v>0.11955060529403568</v>
      </c>
      <c r="AG24" s="9">
        <v>7300.8937499999993</v>
      </c>
      <c r="AH24" s="8">
        <v>5.9195704263897975E-2</v>
      </c>
      <c r="AI24" s="10">
        <v>623.24625000000015</v>
      </c>
      <c r="AJ24" s="11">
        <v>7.8124309592237429E-2</v>
      </c>
      <c r="AK24" s="10">
        <v>8.5365747173077294E-2</v>
      </c>
      <c r="AL24" s="11">
        <v>1.3197631578797442</v>
      </c>
    </row>
    <row r="25" spans="1:38" ht="16.5" hidden="1" customHeight="1">
      <c r="A25" s="25" t="s">
        <v>40</v>
      </c>
      <c r="B25" s="7">
        <v>0</v>
      </c>
      <c r="C25" s="8">
        <v>0</v>
      </c>
      <c r="D25" s="7">
        <v>0</v>
      </c>
      <c r="E25" s="8">
        <v>0</v>
      </c>
      <c r="F25" s="7">
        <v>0</v>
      </c>
      <c r="G25" s="8">
        <v>0</v>
      </c>
      <c r="H25" s="7">
        <v>0</v>
      </c>
      <c r="I25" s="8">
        <v>0</v>
      </c>
      <c r="J25" s="7">
        <v>0</v>
      </c>
      <c r="K25" s="8">
        <v>0</v>
      </c>
      <c r="L25" s="7">
        <v>0</v>
      </c>
      <c r="M25" s="8">
        <v>0</v>
      </c>
      <c r="N25" s="7">
        <v>0</v>
      </c>
      <c r="O25" s="8">
        <v>0</v>
      </c>
      <c r="P25" s="7">
        <v>0</v>
      </c>
      <c r="Q25" s="8">
        <v>0</v>
      </c>
      <c r="R25" s="7">
        <v>0</v>
      </c>
      <c r="S25" s="8">
        <v>0</v>
      </c>
      <c r="T25" s="7">
        <v>0</v>
      </c>
      <c r="U25" s="8">
        <v>0</v>
      </c>
      <c r="V25" s="7">
        <v>0</v>
      </c>
      <c r="W25" s="8">
        <v>0</v>
      </c>
      <c r="X25" s="7">
        <v>0</v>
      </c>
      <c r="Y25" s="8">
        <v>0</v>
      </c>
      <c r="Z25" s="7">
        <v>0</v>
      </c>
      <c r="AA25" s="8">
        <v>0</v>
      </c>
      <c r="AB25" s="9">
        <v>0</v>
      </c>
      <c r="AC25" s="8">
        <v>0</v>
      </c>
      <c r="AD25" s="10">
        <v>0</v>
      </c>
      <c r="AE25" s="11">
        <v>0</v>
      </c>
      <c r="AF25" s="10" t="s">
        <v>316</v>
      </c>
      <c r="AG25" s="9">
        <v>0</v>
      </c>
      <c r="AH25" s="8">
        <v>0</v>
      </c>
      <c r="AI25" s="10">
        <v>0</v>
      </c>
      <c r="AJ25" s="11">
        <v>0</v>
      </c>
      <c r="AK25" s="10" t="s">
        <v>316</v>
      </c>
      <c r="AL25" s="11" t="s">
        <v>316</v>
      </c>
    </row>
    <row r="26" spans="1:38" ht="16.5" hidden="1" customHeight="1">
      <c r="A26" s="25" t="s">
        <v>41</v>
      </c>
      <c r="B26" s="7">
        <v>0</v>
      </c>
      <c r="C26" s="8">
        <v>0</v>
      </c>
      <c r="D26" s="7">
        <v>0</v>
      </c>
      <c r="E26" s="8">
        <v>0</v>
      </c>
      <c r="F26" s="7">
        <v>0</v>
      </c>
      <c r="G26" s="8">
        <v>0</v>
      </c>
      <c r="H26" s="7">
        <v>0</v>
      </c>
      <c r="I26" s="8">
        <v>0</v>
      </c>
      <c r="J26" s="7">
        <v>0</v>
      </c>
      <c r="K26" s="8">
        <v>0</v>
      </c>
      <c r="L26" s="7">
        <v>0</v>
      </c>
      <c r="M26" s="8">
        <v>0</v>
      </c>
      <c r="N26" s="7">
        <v>0</v>
      </c>
      <c r="O26" s="8">
        <v>0</v>
      </c>
      <c r="P26" s="7">
        <v>0</v>
      </c>
      <c r="Q26" s="8">
        <v>0</v>
      </c>
      <c r="R26" s="7">
        <v>0</v>
      </c>
      <c r="S26" s="8">
        <v>0</v>
      </c>
      <c r="T26" s="7">
        <v>0</v>
      </c>
      <c r="U26" s="8">
        <v>0</v>
      </c>
      <c r="V26" s="7">
        <v>0</v>
      </c>
      <c r="W26" s="8">
        <v>0</v>
      </c>
      <c r="X26" s="7">
        <v>0</v>
      </c>
      <c r="Y26" s="8">
        <v>0</v>
      </c>
      <c r="Z26" s="7">
        <v>0</v>
      </c>
      <c r="AA26" s="8">
        <v>0</v>
      </c>
      <c r="AB26" s="9">
        <v>0</v>
      </c>
      <c r="AC26" s="8">
        <v>0</v>
      </c>
      <c r="AD26" s="10">
        <v>0</v>
      </c>
      <c r="AE26" s="11">
        <v>0</v>
      </c>
      <c r="AF26" s="10" t="s">
        <v>316</v>
      </c>
      <c r="AG26" s="9">
        <v>0</v>
      </c>
      <c r="AH26" s="8">
        <v>0</v>
      </c>
      <c r="AI26" s="10">
        <v>0</v>
      </c>
      <c r="AJ26" s="11">
        <v>0</v>
      </c>
      <c r="AK26" s="10" t="s">
        <v>316</v>
      </c>
      <c r="AL26" s="11" t="s">
        <v>316</v>
      </c>
    </row>
    <row r="27" spans="1:38" ht="16.5" customHeight="1">
      <c r="A27" s="26" t="s">
        <v>42</v>
      </c>
      <c r="B27" s="13">
        <v>25767.07</v>
      </c>
      <c r="C27" s="14">
        <v>0.20932277074129402</v>
      </c>
      <c r="D27" s="13">
        <v>33659.959999999992</v>
      </c>
      <c r="E27" s="14">
        <v>0.20021406156298246</v>
      </c>
      <c r="F27" s="13">
        <v>32493.34</v>
      </c>
      <c r="G27" s="14">
        <v>0.19540385687203632</v>
      </c>
      <c r="H27" s="13">
        <v>27960.559999999998</v>
      </c>
      <c r="I27" s="14">
        <v>0.19404767217204602</v>
      </c>
      <c r="J27" s="13">
        <v>25291.45</v>
      </c>
      <c r="K27" s="14">
        <v>0.22311174611144877</v>
      </c>
      <c r="L27" s="13">
        <v>26739.440000000002</v>
      </c>
      <c r="M27" s="14">
        <v>0.20899984367672347</v>
      </c>
      <c r="N27" s="13">
        <v>25868.79</v>
      </c>
      <c r="O27" s="14">
        <v>0.20713480254053471</v>
      </c>
      <c r="P27" s="13">
        <v>25726.449999999997</v>
      </c>
      <c r="Q27" s="14">
        <v>0.20264238655403138</v>
      </c>
      <c r="R27" s="13">
        <v>23706.39</v>
      </c>
      <c r="S27" s="14">
        <v>0.19238575265163113</v>
      </c>
      <c r="T27" s="13">
        <v>25094.350000000002</v>
      </c>
      <c r="U27" s="14">
        <v>0.19633639856593652</v>
      </c>
      <c r="V27" s="13">
        <v>23348.059999999998</v>
      </c>
      <c r="W27" s="14">
        <v>0.2099857746425291</v>
      </c>
      <c r="X27" s="13">
        <v>26921.52</v>
      </c>
      <c r="Y27" s="14">
        <v>0.20501874612374998</v>
      </c>
      <c r="Z27" s="13">
        <v>99070.32</v>
      </c>
      <c r="AA27" s="14">
        <v>0.20073514577382967</v>
      </c>
      <c r="AB27" s="13">
        <v>24767.58</v>
      </c>
      <c r="AC27" s="14">
        <v>0.20073514577382967</v>
      </c>
      <c r="AD27" s="15">
        <v>2153.9399999999987</v>
      </c>
      <c r="AE27" s="16">
        <v>0.27168400529382269</v>
      </c>
      <c r="AF27" s="15">
        <v>8.696610649889891E-2</v>
      </c>
      <c r="AG27" s="13">
        <v>25337.056249999998</v>
      </c>
      <c r="AH27" s="14">
        <v>0.20543305245234503</v>
      </c>
      <c r="AI27" s="15">
        <v>1584.4637500000026</v>
      </c>
      <c r="AJ27" s="16">
        <v>0.19861352802793064</v>
      </c>
      <c r="AK27" s="15">
        <v>6.2535431676282546E-2</v>
      </c>
      <c r="AL27" s="16">
        <v>0.96680415180027413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v>0</v>
      </c>
      <c r="D29" s="7">
        <v>0</v>
      </c>
      <c r="E29" s="8">
        <v>0</v>
      </c>
      <c r="F29" s="7">
        <v>0</v>
      </c>
      <c r="G29" s="8">
        <v>0</v>
      </c>
      <c r="H29" s="7">
        <v>0</v>
      </c>
      <c r="I29" s="8">
        <v>0</v>
      </c>
      <c r="J29" s="7">
        <v>0</v>
      </c>
      <c r="K29" s="8">
        <v>0</v>
      </c>
      <c r="L29" s="7">
        <v>0</v>
      </c>
      <c r="M29" s="8">
        <v>0</v>
      </c>
      <c r="N29" s="7">
        <v>0</v>
      </c>
      <c r="O29" s="8">
        <v>0</v>
      </c>
      <c r="P29" s="7">
        <v>0</v>
      </c>
      <c r="Q29" s="8">
        <v>0</v>
      </c>
      <c r="R29" s="7">
        <v>0</v>
      </c>
      <c r="S29" s="8">
        <v>0</v>
      </c>
      <c r="T29" s="7">
        <v>0</v>
      </c>
      <c r="U29" s="8">
        <v>0</v>
      </c>
      <c r="V29" s="7">
        <v>0</v>
      </c>
      <c r="W29" s="8">
        <v>0</v>
      </c>
      <c r="X29" s="7">
        <v>0</v>
      </c>
      <c r="Y29" s="8">
        <v>0</v>
      </c>
      <c r="Z29" s="7">
        <v>0</v>
      </c>
      <c r="AA29" s="8">
        <v>0</v>
      </c>
      <c r="AB29" s="9">
        <v>0</v>
      </c>
      <c r="AC29" s="8">
        <v>0</v>
      </c>
      <c r="AD29" s="10">
        <v>0</v>
      </c>
      <c r="AE29" s="11">
        <v>0</v>
      </c>
      <c r="AF29" s="10" t="s">
        <v>316</v>
      </c>
      <c r="AG29" s="9">
        <v>0</v>
      </c>
      <c r="AH29" s="8">
        <v>0</v>
      </c>
      <c r="AI29" s="10">
        <v>0</v>
      </c>
      <c r="AJ29" s="11">
        <v>0</v>
      </c>
      <c r="AK29" s="10" t="s">
        <v>316</v>
      </c>
      <c r="AL29" s="11" t="s">
        <v>316</v>
      </c>
    </row>
    <row r="30" spans="1:38" ht="16.5" customHeight="1">
      <c r="A30" s="25" t="s">
        <v>45</v>
      </c>
      <c r="B30" s="7">
        <v>1410.54</v>
      </c>
      <c r="C30" s="8">
        <v>1.1458739431430305E-2</v>
      </c>
      <c r="D30" s="7">
        <v>1616.5300000000002</v>
      </c>
      <c r="E30" s="8">
        <v>9.6153422921004122E-3</v>
      </c>
      <c r="F30" s="7">
        <v>1966.42</v>
      </c>
      <c r="G30" s="8">
        <v>1.1825378746238758E-2</v>
      </c>
      <c r="H30" s="7">
        <v>557.23</v>
      </c>
      <c r="I30" s="8">
        <v>3.8672038172493407E-3</v>
      </c>
      <c r="J30" s="7">
        <v>1299.6499999999999</v>
      </c>
      <c r="K30" s="8">
        <v>1.146502793765262E-2</v>
      </c>
      <c r="L30" s="7">
        <v>1368.44</v>
      </c>
      <c r="M30" s="8">
        <v>1.0695951227137721E-2</v>
      </c>
      <c r="N30" s="7">
        <v>1174.52</v>
      </c>
      <c r="O30" s="8">
        <v>9.4045360559929098E-3</v>
      </c>
      <c r="P30" s="7">
        <v>1483.11</v>
      </c>
      <c r="Q30" s="8">
        <v>1.1682177289215943E-2</v>
      </c>
      <c r="R30" s="7">
        <v>1200.5999999999999</v>
      </c>
      <c r="S30" s="8">
        <v>9.7432943030781299E-3</v>
      </c>
      <c r="T30" s="7">
        <v>1032.5</v>
      </c>
      <c r="U30" s="8">
        <v>8.0782061109106011E-3</v>
      </c>
      <c r="V30" s="7">
        <v>1300.3799999999999</v>
      </c>
      <c r="W30" s="8">
        <v>1.1695245841823774E-2</v>
      </c>
      <c r="X30" s="7">
        <v>1100.52</v>
      </c>
      <c r="Y30" s="8">
        <v>8.3809246463093217E-3</v>
      </c>
      <c r="Z30" s="7">
        <v>4634</v>
      </c>
      <c r="AA30" s="8">
        <v>9.3893576352224017E-3</v>
      </c>
      <c r="AB30" s="9">
        <v>1158.5</v>
      </c>
      <c r="AC30" s="8">
        <v>9.3893576352224017E-3</v>
      </c>
      <c r="AD30" s="10">
        <v>-57.980000000000018</v>
      </c>
      <c r="AE30" s="11">
        <v>-7.3132207150319196E-3</v>
      </c>
      <c r="AF30" s="10">
        <v>-5.0047475183426858E-2</v>
      </c>
      <c r="AG30" s="9">
        <v>1244.9649999999999</v>
      </c>
      <c r="AH30" s="8">
        <v>1.0094186065768146E-2</v>
      </c>
      <c r="AI30" s="10">
        <v>-144.44499999999994</v>
      </c>
      <c r="AJ30" s="11">
        <v>-1.8106271636693729E-2</v>
      </c>
      <c r="AK30" s="10">
        <v>-0.11602334202166321</v>
      </c>
      <c r="AL30" s="11">
        <v>-1.7937327010541766</v>
      </c>
    </row>
    <row r="31" spans="1:38" ht="16.5" customHeight="1">
      <c r="A31" s="25" t="s">
        <v>46</v>
      </c>
      <c r="B31" s="7">
        <v>63.17</v>
      </c>
      <c r="C31" s="8">
        <v>5.131712463903558E-4</v>
      </c>
      <c r="D31" s="7">
        <v>72.48</v>
      </c>
      <c r="E31" s="8">
        <v>4.3112098713382233E-4</v>
      </c>
      <c r="F31" s="7">
        <v>37.89</v>
      </c>
      <c r="G31" s="8">
        <v>2.278575282467563E-4</v>
      </c>
      <c r="H31" s="7">
        <v>48.86</v>
      </c>
      <c r="I31" s="8">
        <v>3.3909082158319325E-4</v>
      </c>
      <c r="J31" s="7">
        <v>53.22</v>
      </c>
      <c r="K31" s="8">
        <v>4.6948700561064323E-4</v>
      </c>
      <c r="L31" s="7">
        <v>54.96</v>
      </c>
      <c r="M31" s="8">
        <v>4.2957636392058777E-4</v>
      </c>
      <c r="N31" s="7">
        <v>45.92</v>
      </c>
      <c r="O31" s="8">
        <v>3.6768747717467088E-4</v>
      </c>
      <c r="P31" s="7">
        <v>46.85</v>
      </c>
      <c r="Q31" s="8">
        <v>3.6902859936199404E-4</v>
      </c>
      <c r="R31" s="7">
        <v>46.17</v>
      </c>
      <c r="S31" s="8">
        <v>3.7468590535825195E-4</v>
      </c>
      <c r="T31" s="7">
        <v>44.66</v>
      </c>
      <c r="U31" s="8">
        <v>3.494166439837941E-4</v>
      </c>
      <c r="V31" s="7">
        <v>158.27000000000001</v>
      </c>
      <c r="W31" s="8">
        <v>1.4234351184926322E-3</v>
      </c>
      <c r="X31" s="7">
        <v>-74.249999999999986</v>
      </c>
      <c r="Y31" s="8">
        <v>-5.6544511230006457E-4</v>
      </c>
      <c r="Z31" s="7">
        <v>174.85</v>
      </c>
      <c r="AA31" s="8">
        <v>3.5427906398762129E-4</v>
      </c>
      <c r="AB31" s="9">
        <v>43.712500000000006</v>
      </c>
      <c r="AC31" s="8">
        <v>3.5427906398762134E-4</v>
      </c>
      <c r="AD31" s="10">
        <v>-117.96249999999999</v>
      </c>
      <c r="AE31" s="11">
        <v>-1.4879023777111979E-2</v>
      </c>
      <c r="AF31" s="10">
        <v>-2.6985987989705458</v>
      </c>
      <c r="AG31" s="9">
        <v>46.974999999999994</v>
      </c>
      <c r="AH31" s="8">
        <v>3.8087367150037039E-4</v>
      </c>
      <c r="AI31" s="10">
        <v>-121.22499999999998</v>
      </c>
      <c r="AJ31" s="11">
        <v>-1.5195630026364345E-2</v>
      </c>
      <c r="AK31" s="10">
        <v>-2.580627993613624</v>
      </c>
      <c r="AL31" s="11">
        <v>-39.896771983488406</v>
      </c>
    </row>
    <row r="32" spans="1:38" ht="16.5" customHeight="1">
      <c r="A32" s="25" t="s">
        <v>47</v>
      </c>
      <c r="B32" s="7">
        <v>-2.8099999999999996</v>
      </c>
      <c r="C32" s="8">
        <v>-2.2827468772469518E-5</v>
      </c>
      <c r="D32" s="7">
        <v>-0.3899999999999999</v>
      </c>
      <c r="E32" s="8">
        <v>-2.3197735234849704E-6</v>
      </c>
      <c r="F32" s="7">
        <v>-30.7</v>
      </c>
      <c r="G32" s="8">
        <v>-1.8461932217406752E-4</v>
      </c>
      <c r="H32" s="7">
        <v>28.5</v>
      </c>
      <c r="I32" s="8">
        <v>1.9779141250759327E-4</v>
      </c>
      <c r="J32" s="7">
        <v>0.8</v>
      </c>
      <c r="K32" s="8">
        <v>7.0573018505921572E-6</v>
      </c>
      <c r="L32" s="7">
        <v>-26.099999999999998</v>
      </c>
      <c r="M32" s="8">
        <v>-2.0400187587931842E-4</v>
      </c>
      <c r="N32" s="7">
        <v>25.299999999999997</v>
      </c>
      <c r="O32" s="8">
        <v>2.0258042623081819E-4</v>
      </c>
      <c r="P32" s="7">
        <v>5.4</v>
      </c>
      <c r="Q32" s="8">
        <v>4.2534779862428341E-5</v>
      </c>
      <c r="R32" s="7">
        <v>-28.31</v>
      </c>
      <c r="S32" s="8">
        <v>-2.2974567859415448E-4</v>
      </c>
      <c r="T32" s="7">
        <v>1.99</v>
      </c>
      <c r="U32" s="8">
        <v>1.5569617589067407E-5</v>
      </c>
      <c r="V32" s="7">
        <v>26.32</v>
      </c>
      <c r="W32" s="8">
        <v>2.3671455309740366E-4</v>
      </c>
      <c r="X32" s="7">
        <v>1.59</v>
      </c>
      <c r="Y32" s="8">
        <v>1.2108521596728659E-5</v>
      </c>
      <c r="Z32" s="7">
        <v>1.59</v>
      </c>
      <c r="AA32" s="8">
        <v>3.2216397583089385E-6</v>
      </c>
      <c r="AB32" s="9">
        <v>0.39750000000000002</v>
      </c>
      <c r="AC32" s="8">
        <v>3.2216397583089385E-6</v>
      </c>
      <c r="AD32" s="10">
        <v>1.1925000000000001</v>
      </c>
      <c r="AE32" s="11">
        <v>1.5041420666911972E-4</v>
      </c>
      <c r="AF32" s="10">
        <v>3</v>
      </c>
      <c r="AG32" s="9">
        <v>0.87375000000000025</v>
      </c>
      <c r="AH32" s="8">
        <v>7.0843719100255197E-6</v>
      </c>
      <c r="AI32" s="10">
        <v>0.71624999999999983</v>
      </c>
      <c r="AJ32" s="11">
        <v>8.9782388173920079E-5</v>
      </c>
      <c r="AK32" s="10">
        <v>0.81974248927038584</v>
      </c>
      <c r="AL32" s="11">
        <v>12.673302490918587</v>
      </c>
    </row>
    <row r="33" spans="1:38" ht="16.5" customHeight="1">
      <c r="A33" s="25" t="s">
        <v>48</v>
      </c>
      <c r="B33" s="7">
        <v>6.6000000000000014</v>
      </c>
      <c r="C33" s="8">
        <v>5.3616118825017388E-5</v>
      </c>
      <c r="D33" s="7">
        <v>85.06</v>
      </c>
      <c r="E33" s="8">
        <v>5.0594855360931192E-4</v>
      </c>
      <c r="F33" s="7">
        <v>-78.02</v>
      </c>
      <c r="G33" s="8">
        <v>-4.6918565198764649E-4</v>
      </c>
      <c r="H33" s="7">
        <v>-13.72</v>
      </c>
      <c r="I33" s="8">
        <v>-9.5217479986111573E-5</v>
      </c>
      <c r="J33" s="7">
        <v>18.989999999999998</v>
      </c>
      <c r="K33" s="8">
        <v>1.6752270267843131E-4</v>
      </c>
      <c r="L33" s="7">
        <v>12.730000000000002</v>
      </c>
      <c r="M33" s="8">
        <v>9.9499765515085218E-5</v>
      </c>
      <c r="N33" s="7">
        <v>-1.0200000000000014</v>
      </c>
      <c r="O33" s="8">
        <v>-8.1672741010053309E-6</v>
      </c>
      <c r="P33" s="7">
        <v>20.009999999999998</v>
      </c>
      <c r="Q33" s="8">
        <v>1.5761498982355389E-4</v>
      </c>
      <c r="R33" s="7">
        <v>14.34</v>
      </c>
      <c r="S33" s="8">
        <v>1.1637417983186772E-4</v>
      </c>
      <c r="T33" s="7">
        <v>-6.02</v>
      </c>
      <c r="U33" s="8">
        <v>-4.7100049189038076E-5</v>
      </c>
      <c r="V33" s="7">
        <v>-2.1800000000000002</v>
      </c>
      <c r="W33" s="8">
        <v>-1.960629657113754E-5</v>
      </c>
      <c r="X33" s="7">
        <v>9.85</v>
      </c>
      <c r="Y33" s="8">
        <v>7.5011910520614639E-5</v>
      </c>
      <c r="Z33" s="7">
        <v>15.99</v>
      </c>
      <c r="AA33" s="8">
        <v>3.2398754550540834E-5</v>
      </c>
      <c r="AB33" s="9">
        <v>3.9975000000000001</v>
      </c>
      <c r="AC33" s="8">
        <v>3.2398754550540834E-5</v>
      </c>
      <c r="AD33" s="10">
        <v>5.8524999999999991</v>
      </c>
      <c r="AE33" s="11">
        <v>7.3819634761511366E-4</v>
      </c>
      <c r="AF33" s="10">
        <v>1.4640400250156345</v>
      </c>
      <c r="AG33" s="9">
        <v>8.3375000000000004</v>
      </c>
      <c r="AH33" s="8">
        <v>6.7600515936867248E-5</v>
      </c>
      <c r="AI33" s="10">
        <v>1.5124999999999993</v>
      </c>
      <c r="AJ33" s="11">
        <v>1.8959282668489226E-4</v>
      </c>
      <c r="AK33" s="10">
        <v>0.18140929535232375</v>
      </c>
      <c r="AL33" s="11">
        <v>2.8046062083602261</v>
      </c>
    </row>
    <row r="34" spans="1:38" ht="16.5" customHeight="1">
      <c r="A34" s="26" t="s">
        <v>49</v>
      </c>
      <c r="B34" s="13">
        <v>1477.5</v>
      </c>
      <c r="C34" s="14">
        <v>1.2002699327873208E-2</v>
      </c>
      <c r="D34" s="13">
        <v>1773.68</v>
      </c>
      <c r="E34" s="14">
        <v>1.055009205932006E-2</v>
      </c>
      <c r="F34" s="13">
        <v>1895.5900000000001</v>
      </c>
      <c r="G34" s="14">
        <v>1.13994313003238E-2</v>
      </c>
      <c r="H34" s="13">
        <v>620.87</v>
      </c>
      <c r="I34" s="14">
        <v>4.3088685713540157E-3</v>
      </c>
      <c r="J34" s="13">
        <v>1372.6599999999999</v>
      </c>
      <c r="K34" s="14">
        <v>1.2109094947792286E-2</v>
      </c>
      <c r="L34" s="13">
        <v>1410.0300000000002</v>
      </c>
      <c r="M34" s="14">
        <v>1.1021025480694077E-2</v>
      </c>
      <c r="N34" s="13">
        <v>1244.72</v>
      </c>
      <c r="O34" s="14">
        <v>9.9666366852973944E-3</v>
      </c>
      <c r="P34" s="13">
        <v>1555.37</v>
      </c>
      <c r="Q34" s="14">
        <v>1.2251355658263919E-2</v>
      </c>
      <c r="R34" s="13">
        <v>1232.8</v>
      </c>
      <c r="S34" s="14">
        <v>1.0004608709674095E-2</v>
      </c>
      <c r="T34" s="13">
        <v>1073.1300000000001</v>
      </c>
      <c r="U34" s="14">
        <v>8.396092323294425E-3</v>
      </c>
      <c r="V34" s="13">
        <v>1482.7899999999997</v>
      </c>
      <c r="W34" s="14">
        <v>1.3335789216842671E-2</v>
      </c>
      <c r="X34" s="13">
        <v>1037.7099999999998</v>
      </c>
      <c r="Y34" s="14">
        <v>7.9025999661265986E-3</v>
      </c>
      <c r="Z34" s="13">
        <v>4826.43</v>
      </c>
      <c r="AA34" s="14">
        <v>9.7792570935188745E-3</v>
      </c>
      <c r="AB34" s="13">
        <v>1206.6075000000001</v>
      </c>
      <c r="AC34" s="14">
        <v>9.7792570935188745E-3</v>
      </c>
      <c r="AD34" s="15">
        <v>-168.89750000000026</v>
      </c>
      <c r="AE34" s="16">
        <v>-2.1303633937859695E-2</v>
      </c>
      <c r="AF34" s="15">
        <v>-0.13997716738873267</v>
      </c>
      <c r="AG34" s="13">
        <v>1301.1512499999999</v>
      </c>
      <c r="AH34" s="14">
        <v>1.0549744625115409E-2</v>
      </c>
      <c r="AI34" s="15">
        <v>-263.44125000000008</v>
      </c>
      <c r="AJ34" s="16">
        <v>-3.302252644819928E-2</v>
      </c>
      <c r="AK34" s="15">
        <v>-0.20246781456037499</v>
      </c>
      <c r="AL34" s="16">
        <v>-3.1301730631074904</v>
      </c>
    </row>
    <row r="35" spans="1:38" ht="16.5" customHeight="1">
      <c r="A35" s="27" t="s">
        <v>50</v>
      </c>
      <c r="B35" s="13">
        <v>27244.569999999996</v>
      </c>
      <c r="C35" s="14">
        <v>0.2213254700691672</v>
      </c>
      <c r="D35" s="13">
        <v>35433.639999999992</v>
      </c>
      <c r="E35" s="14">
        <v>0.21076415362230252</v>
      </c>
      <c r="F35" s="13">
        <v>34388.930000000008</v>
      </c>
      <c r="G35" s="14">
        <v>0.20680328817236016</v>
      </c>
      <c r="H35" s="13">
        <v>28581.429999999997</v>
      </c>
      <c r="I35" s="14">
        <v>0.19835654074340003</v>
      </c>
      <c r="J35" s="13">
        <v>26664.110000000004</v>
      </c>
      <c r="K35" s="14">
        <v>0.23522084105924107</v>
      </c>
      <c r="L35" s="13">
        <v>28149.47</v>
      </c>
      <c r="M35" s="14">
        <v>0.22002086915741756</v>
      </c>
      <c r="N35" s="13">
        <v>27113.51</v>
      </c>
      <c r="O35" s="14">
        <v>0.21710143922583208</v>
      </c>
      <c r="P35" s="13">
        <v>27281.819999999996</v>
      </c>
      <c r="Q35" s="14">
        <v>0.21489374221229529</v>
      </c>
      <c r="R35" s="13">
        <v>24939.189999999995</v>
      </c>
      <c r="S35" s="14">
        <v>0.2023903613613052</v>
      </c>
      <c r="T35" s="13">
        <v>26167.480000000003</v>
      </c>
      <c r="U35" s="14">
        <v>0.20473249088923096</v>
      </c>
      <c r="V35" s="13">
        <v>24830.85</v>
      </c>
      <c r="W35" s="14">
        <v>0.22332156385937177</v>
      </c>
      <c r="X35" s="13">
        <v>27959.23</v>
      </c>
      <c r="Y35" s="14">
        <v>0.21292134608987659</v>
      </c>
      <c r="Z35" s="13">
        <v>103896.75000000001</v>
      </c>
      <c r="AA35" s="14">
        <v>0.21051440286734857</v>
      </c>
      <c r="AB35" s="13">
        <v>25974.187499999996</v>
      </c>
      <c r="AC35" s="14">
        <v>0.21051440286734852</v>
      </c>
      <c r="AD35" s="15">
        <v>1985.0425000000032</v>
      </c>
      <c r="AE35" s="16">
        <v>0.25038037135596358</v>
      </c>
      <c r="AF35" s="15">
        <v>7.6423660990358355E-2</v>
      </c>
      <c r="AG35" s="13">
        <v>26638.2075</v>
      </c>
      <c r="AH35" s="14">
        <v>0.21598279707746046</v>
      </c>
      <c r="AI35" s="15">
        <v>1321.0224999999991</v>
      </c>
      <c r="AJ35" s="16">
        <v>0.16559100157973095</v>
      </c>
      <c r="AK35" s="15">
        <v>4.9591268481559772E-2</v>
      </c>
      <c r="AL35" s="16">
        <v>0.7666860686147291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v>0</v>
      </c>
      <c r="D37" s="7">
        <v>0</v>
      </c>
      <c r="E37" s="8">
        <v>0</v>
      </c>
      <c r="F37" s="7">
        <v>0</v>
      </c>
      <c r="G37" s="8">
        <v>0</v>
      </c>
      <c r="H37" s="7">
        <v>0</v>
      </c>
      <c r="I37" s="8">
        <v>0</v>
      </c>
      <c r="J37" s="7">
        <v>0</v>
      </c>
      <c r="K37" s="8">
        <v>0</v>
      </c>
      <c r="L37" s="7">
        <v>0</v>
      </c>
      <c r="M37" s="8">
        <v>0</v>
      </c>
      <c r="N37" s="7">
        <v>0</v>
      </c>
      <c r="O37" s="8">
        <v>0</v>
      </c>
      <c r="P37" s="7">
        <v>0</v>
      </c>
      <c r="Q37" s="8">
        <v>0</v>
      </c>
      <c r="R37" s="7">
        <v>0</v>
      </c>
      <c r="S37" s="8">
        <v>0</v>
      </c>
      <c r="T37" s="7">
        <v>0</v>
      </c>
      <c r="U37" s="8">
        <v>0</v>
      </c>
      <c r="V37" s="7">
        <v>0</v>
      </c>
      <c r="W37" s="8">
        <v>0</v>
      </c>
      <c r="X37" s="7">
        <v>0</v>
      </c>
      <c r="Y37" s="8">
        <v>0</v>
      </c>
      <c r="Z37" s="7">
        <v>0</v>
      </c>
      <c r="AA37" s="8">
        <v>0</v>
      </c>
      <c r="AB37" s="9">
        <v>0</v>
      </c>
      <c r="AC37" s="8">
        <v>0</v>
      </c>
      <c r="AD37" s="10">
        <v>0</v>
      </c>
      <c r="AE37" s="11">
        <v>0</v>
      </c>
      <c r="AF37" s="10" t="s">
        <v>316</v>
      </c>
      <c r="AG37" s="9">
        <v>0</v>
      </c>
      <c r="AH37" s="8">
        <v>0</v>
      </c>
      <c r="AI37" s="10">
        <v>0</v>
      </c>
      <c r="AJ37" s="11">
        <v>0</v>
      </c>
      <c r="AK37" s="10" t="s">
        <v>316</v>
      </c>
      <c r="AL37" s="11" t="s">
        <v>316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v>0</v>
      </c>
      <c r="D39" s="7">
        <v>0</v>
      </c>
      <c r="E39" s="8">
        <v>0</v>
      </c>
      <c r="F39" s="7">
        <v>0</v>
      </c>
      <c r="G39" s="8">
        <v>0</v>
      </c>
      <c r="H39" s="7">
        <v>0</v>
      </c>
      <c r="I39" s="8">
        <v>0</v>
      </c>
      <c r="J39" s="7">
        <v>0</v>
      </c>
      <c r="K39" s="8">
        <v>0</v>
      </c>
      <c r="L39" s="7">
        <v>0</v>
      </c>
      <c r="M39" s="8">
        <v>0</v>
      </c>
      <c r="N39" s="7">
        <v>0</v>
      </c>
      <c r="O39" s="8">
        <v>0</v>
      </c>
      <c r="P39" s="7">
        <v>0</v>
      </c>
      <c r="Q39" s="8">
        <v>0</v>
      </c>
      <c r="R39" s="7">
        <v>0</v>
      </c>
      <c r="S39" s="8">
        <v>0</v>
      </c>
      <c r="T39" s="7">
        <v>0</v>
      </c>
      <c r="U39" s="8">
        <v>0</v>
      </c>
      <c r="V39" s="7">
        <v>0</v>
      </c>
      <c r="W39" s="8">
        <v>0</v>
      </c>
      <c r="X39" s="7">
        <v>0</v>
      </c>
      <c r="Y39" s="8">
        <v>0</v>
      </c>
      <c r="Z39" s="7">
        <v>0</v>
      </c>
      <c r="AA39" s="8">
        <v>0</v>
      </c>
      <c r="AB39" s="9">
        <v>0</v>
      </c>
      <c r="AC39" s="8">
        <v>0</v>
      </c>
      <c r="AD39" s="10">
        <v>0</v>
      </c>
      <c r="AE39" s="11">
        <v>0</v>
      </c>
      <c r="AF39" s="10" t="s">
        <v>316</v>
      </c>
      <c r="AG39" s="9">
        <v>0</v>
      </c>
      <c r="AH39" s="8">
        <v>0</v>
      </c>
      <c r="AI39" s="10">
        <v>0</v>
      </c>
      <c r="AJ39" s="11">
        <v>0</v>
      </c>
      <c r="AK39" s="10" t="s">
        <v>316</v>
      </c>
      <c r="AL39" s="11" t="s">
        <v>316</v>
      </c>
    </row>
    <row r="40" spans="1:38" ht="16.5" customHeight="1">
      <c r="A40" s="25" t="s">
        <v>55</v>
      </c>
      <c r="B40" s="7">
        <v>3662.3900000000003</v>
      </c>
      <c r="C40" s="8">
        <v>2.9751990518720517E-2</v>
      </c>
      <c r="D40" s="7">
        <v>3942.89</v>
      </c>
      <c r="E40" s="8">
        <v>2.3452850841060659E-2</v>
      </c>
      <c r="F40" s="7">
        <v>3972.9</v>
      </c>
      <c r="G40" s="8">
        <v>2.3891664660109214E-2</v>
      </c>
      <c r="H40" s="7">
        <v>3558.7200000000003</v>
      </c>
      <c r="I40" s="8">
        <v>2.469769317610605E-2</v>
      </c>
      <c r="J40" s="7">
        <v>3107.7700000000004</v>
      </c>
      <c r="K40" s="8">
        <v>2.7415588715268488E-2</v>
      </c>
      <c r="L40" s="7">
        <v>4051.3499999999995</v>
      </c>
      <c r="M40" s="8">
        <v>3.1666015319681093E-2</v>
      </c>
      <c r="N40" s="7">
        <v>3126.81</v>
      </c>
      <c r="O40" s="8">
        <v>2.5036778756631805E-2</v>
      </c>
      <c r="P40" s="7">
        <v>3302.5099999999998</v>
      </c>
      <c r="Q40" s="8">
        <v>2.6013247378420038E-2</v>
      </c>
      <c r="R40" s="7">
        <v>3097.12</v>
      </c>
      <c r="S40" s="8">
        <v>2.5134225930325951E-2</v>
      </c>
      <c r="T40" s="7">
        <v>2971.4100000000003</v>
      </c>
      <c r="U40" s="8">
        <v>2.3248099196146125E-2</v>
      </c>
      <c r="V40" s="7">
        <v>2980.56</v>
      </c>
      <c r="W40" s="8">
        <v>2.6806304269756741E-2</v>
      </c>
      <c r="X40" s="7">
        <v>3237.43</v>
      </c>
      <c r="Y40" s="8">
        <v>2.4654396901193244E-2</v>
      </c>
      <c r="Z40" s="7">
        <v>12286.52</v>
      </c>
      <c r="AA40" s="8">
        <v>2.4894805863684238E-2</v>
      </c>
      <c r="AB40" s="9">
        <v>3071.63</v>
      </c>
      <c r="AC40" s="8">
        <v>2.4894805863684238E-2</v>
      </c>
      <c r="AD40" s="10">
        <v>165.79999999999973</v>
      </c>
      <c r="AE40" s="11">
        <v>2.0912935401039841E-2</v>
      </c>
      <c r="AF40" s="10">
        <v>5.3977855405761672E-2</v>
      </c>
      <c r="AG40" s="9">
        <v>3234.3700000000003</v>
      </c>
      <c r="AH40" s="8">
        <v>2.6224297538917581E-2</v>
      </c>
      <c r="AI40" s="10">
        <v>3.0599999999994907</v>
      </c>
      <c r="AJ40" s="11">
        <v>3.8357292539218117E-4</v>
      </c>
      <c r="AK40" s="10">
        <v>9.4608841907372699E-4</v>
      </c>
      <c r="AL40" s="11">
        <v>1.4626623451894123E-2</v>
      </c>
    </row>
    <row r="41" spans="1:38" ht="16.5" customHeight="1">
      <c r="A41" s="25" t="s">
        <v>56</v>
      </c>
      <c r="B41" s="7">
        <v>1440.48</v>
      </c>
      <c r="C41" s="8">
        <v>1.1701961643191067E-2</v>
      </c>
      <c r="D41" s="7">
        <v>1895.9699999999998</v>
      </c>
      <c r="E41" s="8">
        <v>1.1277489762363589E-2</v>
      </c>
      <c r="F41" s="7">
        <v>1472.76</v>
      </c>
      <c r="G41" s="8">
        <v>8.8566759910449402E-3</v>
      </c>
      <c r="H41" s="7">
        <v>2233.42</v>
      </c>
      <c r="I41" s="8">
        <v>1.5500045492024876E-2</v>
      </c>
      <c r="J41" s="7">
        <v>1334.04</v>
      </c>
      <c r="K41" s="8">
        <v>1.1768403700954951E-2</v>
      </c>
      <c r="L41" s="7">
        <v>687.32</v>
      </c>
      <c r="M41" s="8">
        <v>5.3722057214319217E-3</v>
      </c>
      <c r="N41" s="7">
        <v>1435.9599999999998</v>
      </c>
      <c r="O41" s="8">
        <v>1.1497920507921174E-2</v>
      </c>
      <c r="P41" s="7">
        <v>1558.5499999999997</v>
      </c>
      <c r="Q41" s="8">
        <v>1.2276403917516237E-2</v>
      </c>
      <c r="R41" s="7">
        <v>1711.4</v>
      </c>
      <c r="S41" s="8">
        <v>1.3888617249948287E-2</v>
      </c>
      <c r="T41" s="7">
        <v>1038.08</v>
      </c>
      <c r="U41" s="8">
        <v>8.1218636315874837E-3</v>
      </c>
      <c r="V41" s="7">
        <v>1621.8400000000001</v>
      </c>
      <c r="W41" s="8">
        <v>1.4586365151804451E-2</v>
      </c>
      <c r="X41" s="7">
        <v>2223.34</v>
      </c>
      <c r="Y41" s="8">
        <v>1.6931673211868361E-2</v>
      </c>
      <c r="Z41" s="7">
        <v>6594.66</v>
      </c>
      <c r="AA41" s="8">
        <v>1.3362024433037498E-2</v>
      </c>
      <c r="AB41" s="9">
        <v>1648.665</v>
      </c>
      <c r="AC41" s="8">
        <v>1.3362024433037498E-2</v>
      </c>
      <c r="AD41" s="10">
        <v>574.67500000000018</v>
      </c>
      <c r="AE41" s="11">
        <v>7.2485772928785247E-2</v>
      </c>
      <c r="AF41" s="10">
        <v>0.3485699035280061</v>
      </c>
      <c r="AG41" s="9">
        <v>1451.3162499999999</v>
      </c>
      <c r="AH41" s="8">
        <v>1.1767283632690782E-2</v>
      </c>
      <c r="AI41" s="10">
        <v>772.02375000000029</v>
      </c>
      <c r="AJ41" s="11">
        <v>9.6773662829997165E-2</v>
      </c>
      <c r="AK41" s="10">
        <v>0.5319472926731168</v>
      </c>
      <c r="AL41" s="11">
        <v>8.2239593988496633</v>
      </c>
    </row>
    <row r="42" spans="1:38" ht="16.5" hidden="1" customHeight="1">
      <c r="A42" s="25" t="s">
        <v>57</v>
      </c>
      <c r="B42" s="7">
        <v>0</v>
      </c>
      <c r="C42" s="8">
        <v>0</v>
      </c>
      <c r="D42" s="7">
        <v>0</v>
      </c>
      <c r="E42" s="8">
        <v>0</v>
      </c>
      <c r="F42" s="7">
        <v>0</v>
      </c>
      <c r="G42" s="8">
        <v>0</v>
      </c>
      <c r="H42" s="7">
        <v>0</v>
      </c>
      <c r="I42" s="8">
        <v>0</v>
      </c>
      <c r="J42" s="7">
        <v>0</v>
      </c>
      <c r="K42" s="8">
        <v>0</v>
      </c>
      <c r="L42" s="7">
        <v>0</v>
      </c>
      <c r="M42" s="8">
        <v>0</v>
      </c>
      <c r="N42" s="7">
        <v>0</v>
      </c>
      <c r="O42" s="8">
        <v>0</v>
      </c>
      <c r="P42" s="7">
        <v>0</v>
      </c>
      <c r="Q42" s="8">
        <v>0</v>
      </c>
      <c r="R42" s="7">
        <v>0</v>
      </c>
      <c r="S42" s="8">
        <v>0</v>
      </c>
      <c r="T42" s="7">
        <v>0</v>
      </c>
      <c r="U42" s="8">
        <v>0</v>
      </c>
      <c r="V42" s="7">
        <v>0</v>
      </c>
      <c r="W42" s="8">
        <v>0</v>
      </c>
      <c r="X42" s="7">
        <v>0</v>
      </c>
      <c r="Y42" s="8">
        <v>0</v>
      </c>
      <c r="Z42" s="7">
        <v>0</v>
      </c>
      <c r="AA42" s="8">
        <v>0</v>
      </c>
      <c r="AB42" s="9">
        <v>0</v>
      </c>
      <c r="AC42" s="8">
        <v>0</v>
      </c>
      <c r="AD42" s="10">
        <v>0</v>
      </c>
      <c r="AE42" s="11">
        <v>0</v>
      </c>
      <c r="AF42" s="10" t="s">
        <v>316</v>
      </c>
      <c r="AG42" s="9">
        <v>0</v>
      </c>
      <c r="AH42" s="8">
        <v>0</v>
      </c>
      <c r="AI42" s="10">
        <v>0</v>
      </c>
      <c r="AJ42" s="11">
        <v>0</v>
      </c>
      <c r="AK42" s="10" t="s">
        <v>316</v>
      </c>
      <c r="AL42" s="11" t="s">
        <v>316</v>
      </c>
    </row>
    <row r="43" spans="1:38" ht="16.5" hidden="1" customHeight="1">
      <c r="A43" s="25" t="s">
        <v>58</v>
      </c>
      <c r="B43" s="7">
        <v>0</v>
      </c>
      <c r="C43" s="8">
        <v>0</v>
      </c>
      <c r="D43" s="7">
        <v>0</v>
      </c>
      <c r="E43" s="8">
        <v>0</v>
      </c>
      <c r="F43" s="7">
        <v>0</v>
      </c>
      <c r="G43" s="8">
        <v>0</v>
      </c>
      <c r="H43" s="7">
        <v>0</v>
      </c>
      <c r="I43" s="8">
        <v>0</v>
      </c>
      <c r="J43" s="7">
        <v>0</v>
      </c>
      <c r="K43" s="8">
        <v>0</v>
      </c>
      <c r="L43" s="7">
        <v>0</v>
      </c>
      <c r="M43" s="8">
        <v>0</v>
      </c>
      <c r="N43" s="7">
        <v>0</v>
      </c>
      <c r="O43" s="8">
        <v>0</v>
      </c>
      <c r="P43" s="7">
        <v>0</v>
      </c>
      <c r="Q43" s="8">
        <v>0</v>
      </c>
      <c r="R43" s="7">
        <v>0</v>
      </c>
      <c r="S43" s="8">
        <v>0</v>
      </c>
      <c r="T43" s="7">
        <v>0</v>
      </c>
      <c r="U43" s="8">
        <v>0</v>
      </c>
      <c r="V43" s="7">
        <v>0</v>
      </c>
      <c r="W43" s="8">
        <v>0</v>
      </c>
      <c r="X43" s="7">
        <v>0</v>
      </c>
      <c r="Y43" s="8">
        <v>0</v>
      </c>
      <c r="Z43" s="7">
        <v>0</v>
      </c>
      <c r="AA43" s="8">
        <v>0</v>
      </c>
      <c r="AB43" s="9">
        <v>0</v>
      </c>
      <c r="AC43" s="8">
        <v>0</v>
      </c>
      <c r="AD43" s="10">
        <v>0</v>
      </c>
      <c r="AE43" s="11">
        <v>0</v>
      </c>
      <c r="AF43" s="10" t="s">
        <v>316</v>
      </c>
      <c r="AG43" s="9">
        <v>0</v>
      </c>
      <c r="AH43" s="8">
        <v>0</v>
      </c>
      <c r="AI43" s="10">
        <v>0</v>
      </c>
      <c r="AJ43" s="11">
        <v>0</v>
      </c>
      <c r="AK43" s="10" t="s">
        <v>316</v>
      </c>
      <c r="AL43" s="11" t="s">
        <v>316</v>
      </c>
    </row>
    <row r="44" spans="1:38" ht="16.5" customHeight="1">
      <c r="A44" s="26" t="s">
        <v>59</v>
      </c>
      <c r="B44" s="13">
        <v>5102.8700000000008</v>
      </c>
      <c r="C44" s="14">
        <v>4.1453952161911591E-2</v>
      </c>
      <c r="D44" s="13">
        <v>5838.86</v>
      </c>
      <c r="E44" s="14">
        <v>3.4730340603424247E-2</v>
      </c>
      <c r="F44" s="13">
        <v>5445.66</v>
      </c>
      <c r="G44" s="14">
        <v>3.2748340651154152E-2</v>
      </c>
      <c r="H44" s="13">
        <v>5792.14</v>
      </c>
      <c r="I44" s="14">
        <v>4.0197738668130929E-2</v>
      </c>
      <c r="J44" s="13">
        <v>4441.8100000000004</v>
      </c>
      <c r="K44" s="14">
        <v>3.9183992416223438E-2</v>
      </c>
      <c r="L44" s="13">
        <v>4738.6699999999992</v>
      </c>
      <c r="M44" s="14">
        <v>3.7038221041113012E-2</v>
      </c>
      <c r="N44" s="13">
        <v>4562.7699999999995</v>
      </c>
      <c r="O44" s="14">
        <v>3.6534699264552981E-2</v>
      </c>
      <c r="P44" s="13">
        <v>4861.0599999999995</v>
      </c>
      <c r="Q44" s="14">
        <v>3.8289651295936276E-2</v>
      </c>
      <c r="R44" s="13">
        <v>4808.5200000000004</v>
      </c>
      <c r="S44" s="14">
        <v>3.9022843180274241E-2</v>
      </c>
      <c r="T44" s="13">
        <v>4009.4900000000002</v>
      </c>
      <c r="U44" s="14">
        <v>3.1369962827733605E-2</v>
      </c>
      <c r="V44" s="13">
        <v>4602.3999999999996</v>
      </c>
      <c r="W44" s="14">
        <v>4.1392669421561189E-2</v>
      </c>
      <c r="X44" s="13">
        <v>5460.77</v>
      </c>
      <c r="Y44" s="14">
        <v>4.1586070113061605E-2</v>
      </c>
      <c r="Z44" s="13">
        <v>18881.18</v>
      </c>
      <c r="AA44" s="14">
        <v>3.8256830296721736E-2</v>
      </c>
      <c r="AB44" s="13">
        <v>4720.2950000000001</v>
      </c>
      <c r="AC44" s="14">
        <v>3.8256830296721736E-2</v>
      </c>
      <c r="AD44" s="15">
        <v>740.47500000000036</v>
      </c>
      <c r="AE44" s="16">
        <v>9.3398708329825136E-2</v>
      </c>
      <c r="AF44" s="15">
        <v>0.1568704922044068</v>
      </c>
      <c r="AG44" s="13">
        <v>4685.6862500000007</v>
      </c>
      <c r="AH44" s="14">
        <v>3.7991581171608363E-2</v>
      </c>
      <c r="AI44" s="15">
        <v>775.08374999999978</v>
      </c>
      <c r="AJ44" s="16">
        <v>9.7157235755389357E-2</v>
      </c>
      <c r="AK44" s="15">
        <v>0.16541520465652168</v>
      </c>
      <c r="AL44" s="16">
        <v>2.5573359349411939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v>0</v>
      </c>
      <c r="D46" s="7">
        <v>0</v>
      </c>
      <c r="E46" s="8">
        <v>0</v>
      </c>
      <c r="F46" s="7">
        <v>0</v>
      </c>
      <c r="G46" s="8">
        <v>0</v>
      </c>
      <c r="H46" s="7">
        <v>0</v>
      </c>
      <c r="I46" s="8">
        <v>0</v>
      </c>
      <c r="J46" s="7">
        <v>0</v>
      </c>
      <c r="K46" s="8">
        <v>0</v>
      </c>
      <c r="L46" s="7">
        <v>0</v>
      </c>
      <c r="M46" s="8">
        <v>0</v>
      </c>
      <c r="N46" s="7">
        <v>0</v>
      </c>
      <c r="O46" s="8">
        <v>0</v>
      </c>
      <c r="P46" s="7">
        <v>0</v>
      </c>
      <c r="Q46" s="8">
        <v>0</v>
      </c>
      <c r="R46" s="7">
        <v>0</v>
      </c>
      <c r="S46" s="8">
        <v>0</v>
      </c>
      <c r="T46" s="7">
        <v>0</v>
      </c>
      <c r="U46" s="8">
        <v>0</v>
      </c>
      <c r="V46" s="7">
        <v>0</v>
      </c>
      <c r="W46" s="8">
        <v>0</v>
      </c>
      <c r="X46" s="7">
        <v>0</v>
      </c>
      <c r="Y46" s="8">
        <v>0</v>
      </c>
      <c r="Z46" s="7">
        <v>0</v>
      </c>
      <c r="AA46" s="8">
        <v>0</v>
      </c>
      <c r="AB46" s="9">
        <v>0</v>
      </c>
      <c r="AC46" s="8">
        <v>0</v>
      </c>
      <c r="AD46" s="10">
        <v>0</v>
      </c>
      <c r="AE46" s="11">
        <v>0</v>
      </c>
      <c r="AF46" s="10" t="s">
        <v>316</v>
      </c>
      <c r="AG46" s="9">
        <v>0</v>
      </c>
      <c r="AH46" s="8">
        <v>0</v>
      </c>
      <c r="AI46" s="10">
        <v>0</v>
      </c>
      <c r="AJ46" s="11">
        <v>0</v>
      </c>
      <c r="AK46" s="10" t="s">
        <v>316</v>
      </c>
      <c r="AL46" s="11" t="s">
        <v>316</v>
      </c>
    </row>
    <row r="47" spans="1:38" ht="16.5" customHeight="1">
      <c r="A47" s="25" t="s">
        <v>62</v>
      </c>
      <c r="B47" s="7">
        <v>291.20000000000005</v>
      </c>
      <c r="C47" s="8">
        <v>2.3656081517947065E-3</v>
      </c>
      <c r="D47" s="7">
        <v>352.73</v>
      </c>
      <c r="E47" s="8">
        <v>2.0980864485611638E-3</v>
      </c>
      <c r="F47" s="7">
        <v>398.49</v>
      </c>
      <c r="G47" s="8">
        <v>2.3963828564542073E-3</v>
      </c>
      <c r="H47" s="7">
        <v>390.62</v>
      </c>
      <c r="I47" s="8">
        <v>2.7109221597795118E-3</v>
      </c>
      <c r="J47" s="7">
        <v>434.28000000000003</v>
      </c>
      <c r="K47" s="8">
        <v>3.8310563095939527E-3</v>
      </c>
      <c r="L47" s="7">
        <v>492.29999999999995</v>
      </c>
      <c r="M47" s="8">
        <v>3.8478974519305922E-3</v>
      </c>
      <c r="N47" s="7">
        <v>424.97999999999996</v>
      </c>
      <c r="O47" s="8">
        <v>3.4028707327894512E-3</v>
      </c>
      <c r="P47" s="7">
        <v>449.36</v>
      </c>
      <c r="Q47" s="8">
        <v>3.539523829440889E-3</v>
      </c>
      <c r="R47" s="7">
        <v>366.85</v>
      </c>
      <c r="S47" s="8">
        <v>2.9771177037183176E-3</v>
      </c>
      <c r="T47" s="7">
        <v>340.22</v>
      </c>
      <c r="U47" s="8">
        <v>2.6618569327399562E-3</v>
      </c>
      <c r="V47" s="7">
        <v>313.95999999999998</v>
      </c>
      <c r="W47" s="8">
        <v>2.8236664548047432E-3</v>
      </c>
      <c r="X47" s="7">
        <v>273.58000000000004</v>
      </c>
      <c r="Y47" s="8">
        <v>2.0834272568761173E-3</v>
      </c>
      <c r="Z47" s="7">
        <v>1294.6099999999999</v>
      </c>
      <c r="AA47" s="8">
        <v>2.623123929248009E-3</v>
      </c>
      <c r="AB47" s="9">
        <v>323.65250000000003</v>
      </c>
      <c r="AC47" s="8">
        <v>2.6231239292480095E-3</v>
      </c>
      <c r="AD47" s="10">
        <v>-50.072499999999991</v>
      </c>
      <c r="AE47" s="11">
        <v>-6.3158200112700177E-3</v>
      </c>
      <c r="AF47" s="10">
        <v>-0.15471068507117969</v>
      </c>
      <c r="AG47" s="9">
        <v>386.94124999999997</v>
      </c>
      <c r="AH47" s="8">
        <v>3.1373227151132027E-3</v>
      </c>
      <c r="AI47" s="10">
        <v>-113.36124999999993</v>
      </c>
      <c r="AJ47" s="11">
        <v>-1.4209904015889415E-2</v>
      </c>
      <c r="AK47" s="10">
        <v>-0.29296760167079611</v>
      </c>
      <c r="AL47" s="11">
        <v>-4.5293090020472073</v>
      </c>
    </row>
    <row r="48" spans="1:38" ht="16.5" hidden="1" customHeight="1">
      <c r="A48" s="25" t="s">
        <v>63</v>
      </c>
      <c r="B48" s="7">
        <v>0</v>
      </c>
      <c r="C48" s="8">
        <v>0</v>
      </c>
      <c r="D48" s="7">
        <v>0</v>
      </c>
      <c r="E48" s="8">
        <v>0</v>
      </c>
      <c r="F48" s="7">
        <v>0</v>
      </c>
      <c r="G48" s="8">
        <v>0</v>
      </c>
      <c r="H48" s="7">
        <v>0</v>
      </c>
      <c r="I48" s="8">
        <v>0</v>
      </c>
      <c r="J48" s="7">
        <v>0</v>
      </c>
      <c r="K48" s="8">
        <v>0</v>
      </c>
      <c r="L48" s="7">
        <v>0</v>
      </c>
      <c r="M48" s="8">
        <v>0</v>
      </c>
      <c r="N48" s="7">
        <v>0</v>
      </c>
      <c r="O48" s="8">
        <v>0</v>
      </c>
      <c r="P48" s="7">
        <v>0</v>
      </c>
      <c r="Q48" s="8">
        <v>0</v>
      </c>
      <c r="R48" s="7">
        <v>0</v>
      </c>
      <c r="S48" s="8">
        <v>0</v>
      </c>
      <c r="T48" s="7">
        <v>0</v>
      </c>
      <c r="U48" s="8">
        <v>0</v>
      </c>
      <c r="V48" s="7">
        <v>0</v>
      </c>
      <c r="W48" s="8">
        <v>0</v>
      </c>
      <c r="X48" s="7">
        <v>0</v>
      </c>
      <c r="Y48" s="8">
        <v>0</v>
      </c>
      <c r="Z48" s="7">
        <v>0</v>
      </c>
      <c r="AA48" s="8">
        <v>0</v>
      </c>
      <c r="AB48" s="9">
        <v>0</v>
      </c>
      <c r="AC48" s="8">
        <v>0</v>
      </c>
      <c r="AD48" s="10">
        <v>0</v>
      </c>
      <c r="AE48" s="11">
        <v>0</v>
      </c>
      <c r="AF48" s="10" t="s">
        <v>316</v>
      </c>
      <c r="AG48" s="9">
        <v>0</v>
      </c>
      <c r="AH48" s="8">
        <v>0</v>
      </c>
      <c r="AI48" s="10">
        <v>0</v>
      </c>
      <c r="AJ48" s="11">
        <v>0</v>
      </c>
      <c r="AK48" s="10" t="s">
        <v>316</v>
      </c>
      <c r="AL48" s="11" t="s">
        <v>316</v>
      </c>
    </row>
    <row r="49" spans="1:38" ht="16.5" hidden="1" customHeight="1">
      <c r="A49" s="25" t="s">
        <v>64</v>
      </c>
      <c r="B49" s="7">
        <v>0</v>
      </c>
      <c r="C49" s="8">
        <v>0</v>
      </c>
      <c r="D49" s="7">
        <v>0</v>
      </c>
      <c r="E49" s="8">
        <v>0</v>
      </c>
      <c r="F49" s="7">
        <v>0</v>
      </c>
      <c r="G49" s="8">
        <v>0</v>
      </c>
      <c r="H49" s="7">
        <v>0</v>
      </c>
      <c r="I49" s="8">
        <v>0</v>
      </c>
      <c r="J49" s="7">
        <v>0</v>
      </c>
      <c r="K49" s="8">
        <v>0</v>
      </c>
      <c r="L49" s="7">
        <v>0</v>
      </c>
      <c r="M49" s="8">
        <v>0</v>
      </c>
      <c r="N49" s="7">
        <v>0</v>
      </c>
      <c r="O49" s="8">
        <v>0</v>
      </c>
      <c r="P49" s="7">
        <v>0</v>
      </c>
      <c r="Q49" s="8">
        <v>0</v>
      </c>
      <c r="R49" s="7">
        <v>0</v>
      </c>
      <c r="S49" s="8">
        <v>0</v>
      </c>
      <c r="T49" s="7">
        <v>0</v>
      </c>
      <c r="U49" s="8">
        <v>0</v>
      </c>
      <c r="V49" s="7">
        <v>0</v>
      </c>
      <c r="W49" s="8">
        <v>0</v>
      </c>
      <c r="X49" s="7">
        <v>0</v>
      </c>
      <c r="Y49" s="8">
        <v>0</v>
      </c>
      <c r="Z49" s="7">
        <v>0</v>
      </c>
      <c r="AA49" s="8">
        <v>0</v>
      </c>
      <c r="AB49" s="9">
        <v>0</v>
      </c>
      <c r="AC49" s="8">
        <v>0</v>
      </c>
      <c r="AD49" s="10">
        <v>0</v>
      </c>
      <c r="AE49" s="11">
        <v>0</v>
      </c>
      <c r="AF49" s="10" t="s">
        <v>316</v>
      </c>
      <c r="AG49" s="9">
        <v>0</v>
      </c>
      <c r="AH49" s="8">
        <v>0</v>
      </c>
      <c r="AI49" s="10">
        <v>0</v>
      </c>
      <c r="AJ49" s="11">
        <v>0</v>
      </c>
      <c r="AK49" s="10" t="s">
        <v>316</v>
      </c>
      <c r="AL49" s="11" t="s">
        <v>316</v>
      </c>
    </row>
    <row r="50" spans="1:38" ht="16.5" hidden="1" customHeight="1">
      <c r="A50" s="25" t="s">
        <v>65</v>
      </c>
      <c r="B50" s="7">
        <v>0</v>
      </c>
      <c r="C50" s="8">
        <v>0</v>
      </c>
      <c r="D50" s="7">
        <v>0</v>
      </c>
      <c r="E50" s="8">
        <v>0</v>
      </c>
      <c r="F50" s="7">
        <v>0</v>
      </c>
      <c r="G50" s="8">
        <v>0</v>
      </c>
      <c r="H50" s="7">
        <v>0</v>
      </c>
      <c r="I50" s="8">
        <v>0</v>
      </c>
      <c r="J50" s="7">
        <v>0</v>
      </c>
      <c r="K50" s="8">
        <v>0</v>
      </c>
      <c r="L50" s="7">
        <v>0</v>
      </c>
      <c r="M50" s="8">
        <v>0</v>
      </c>
      <c r="N50" s="7">
        <v>0</v>
      </c>
      <c r="O50" s="8">
        <v>0</v>
      </c>
      <c r="P50" s="7">
        <v>0</v>
      </c>
      <c r="Q50" s="8">
        <v>0</v>
      </c>
      <c r="R50" s="7">
        <v>0</v>
      </c>
      <c r="S50" s="8">
        <v>0</v>
      </c>
      <c r="T50" s="7">
        <v>0</v>
      </c>
      <c r="U50" s="8">
        <v>0</v>
      </c>
      <c r="V50" s="7">
        <v>0</v>
      </c>
      <c r="W50" s="8">
        <v>0</v>
      </c>
      <c r="X50" s="7">
        <v>0</v>
      </c>
      <c r="Y50" s="8">
        <v>0</v>
      </c>
      <c r="Z50" s="7">
        <v>0</v>
      </c>
      <c r="AA50" s="8">
        <v>0</v>
      </c>
      <c r="AB50" s="9">
        <v>0</v>
      </c>
      <c r="AC50" s="8">
        <v>0</v>
      </c>
      <c r="AD50" s="10">
        <v>0</v>
      </c>
      <c r="AE50" s="11">
        <v>0</v>
      </c>
      <c r="AF50" s="10" t="s">
        <v>316</v>
      </c>
      <c r="AG50" s="9">
        <v>0</v>
      </c>
      <c r="AH50" s="8">
        <v>0</v>
      </c>
      <c r="AI50" s="10">
        <v>0</v>
      </c>
      <c r="AJ50" s="11">
        <v>0</v>
      </c>
      <c r="AK50" s="10" t="s">
        <v>316</v>
      </c>
      <c r="AL50" s="11" t="s">
        <v>316</v>
      </c>
    </row>
    <row r="51" spans="1:38" ht="16.5" hidden="1" customHeight="1">
      <c r="A51" s="25" t="s">
        <v>66</v>
      </c>
      <c r="B51" s="7">
        <v>0</v>
      </c>
      <c r="C51" s="8">
        <v>0</v>
      </c>
      <c r="D51" s="7">
        <v>0</v>
      </c>
      <c r="E51" s="8">
        <v>0</v>
      </c>
      <c r="F51" s="7">
        <v>0</v>
      </c>
      <c r="G51" s="8">
        <v>0</v>
      </c>
      <c r="H51" s="7">
        <v>0</v>
      </c>
      <c r="I51" s="8">
        <v>0</v>
      </c>
      <c r="J51" s="7">
        <v>0</v>
      </c>
      <c r="K51" s="8">
        <v>0</v>
      </c>
      <c r="L51" s="7">
        <v>0</v>
      </c>
      <c r="M51" s="8">
        <v>0</v>
      </c>
      <c r="N51" s="7">
        <v>0</v>
      </c>
      <c r="O51" s="8">
        <v>0</v>
      </c>
      <c r="P51" s="7">
        <v>0</v>
      </c>
      <c r="Q51" s="8">
        <v>0</v>
      </c>
      <c r="R51" s="7">
        <v>0</v>
      </c>
      <c r="S51" s="8">
        <v>0</v>
      </c>
      <c r="T51" s="7">
        <v>0</v>
      </c>
      <c r="U51" s="8">
        <v>0</v>
      </c>
      <c r="V51" s="7">
        <v>0</v>
      </c>
      <c r="W51" s="8">
        <v>0</v>
      </c>
      <c r="X51" s="7">
        <v>0</v>
      </c>
      <c r="Y51" s="8">
        <v>0</v>
      </c>
      <c r="Z51" s="7">
        <v>0</v>
      </c>
      <c r="AA51" s="8">
        <v>0</v>
      </c>
      <c r="AB51" s="9">
        <v>0</v>
      </c>
      <c r="AC51" s="8">
        <v>0</v>
      </c>
      <c r="AD51" s="10">
        <v>0</v>
      </c>
      <c r="AE51" s="11">
        <v>0</v>
      </c>
      <c r="AF51" s="10" t="s">
        <v>316</v>
      </c>
      <c r="AG51" s="9">
        <v>0</v>
      </c>
      <c r="AH51" s="8">
        <v>0</v>
      </c>
      <c r="AI51" s="10">
        <v>0</v>
      </c>
      <c r="AJ51" s="11">
        <v>0</v>
      </c>
      <c r="AK51" s="10" t="s">
        <v>316</v>
      </c>
      <c r="AL51" s="11" t="s">
        <v>316</v>
      </c>
    </row>
    <row r="52" spans="1:38" ht="16.5" customHeight="1">
      <c r="A52" s="26" t="s">
        <v>67</v>
      </c>
      <c r="B52" s="13">
        <v>291.20000000000005</v>
      </c>
      <c r="C52" s="14">
        <v>2.3656081517947065E-3</v>
      </c>
      <c r="D52" s="13">
        <v>352.73</v>
      </c>
      <c r="E52" s="14">
        <v>2.0980864485611638E-3</v>
      </c>
      <c r="F52" s="13">
        <v>398.49</v>
      </c>
      <c r="G52" s="14">
        <v>2.3963828564542073E-3</v>
      </c>
      <c r="H52" s="13">
        <v>390.62</v>
      </c>
      <c r="I52" s="14">
        <v>2.7109221597795118E-3</v>
      </c>
      <c r="J52" s="13">
        <v>434.28000000000003</v>
      </c>
      <c r="K52" s="14">
        <v>3.8310563095939527E-3</v>
      </c>
      <c r="L52" s="13">
        <v>492.29999999999995</v>
      </c>
      <c r="M52" s="14">
        <v>3.8478974519305922E-3</v>
      </c>
      <c r="N52" s="13">
        <v>424.97999999999996</v>
      </c>
      <c r="O52" s="14">
        <v>3.4028707327894512E-3</v>
      </c>
      <c r="P52" s="13">
        <v>449.36</v>
      </c>
      <c r="Q52" s="14">
        <v>3.539523829440889E-3</v>
      </c>
      <c r="R52" s="13">
        <v>366.85</v>
      </c>
      <c r="S52" s="14">
        <v>2.9771177037183176E-3</v>
      </c>
      <c r="T52" s="13">
        <v>340.22</v>
      </c>
      <c r="U52" s="14">
        <v>2.6618569327399562E-3</v>
      </c>
      <c r="V52" s="13">
        <v>313.95999999999998</v>
      </c>
      <c r="W52" s="14">
        <v>2.8236664548047432E-3</v>
      </c>
      <c r="X52" s="13">
        <v>273.58000000000004</v>
      </c>
      <c r="Y52" s="14">
        <v>2.0834272568761173E-3</v>
      </c>
      <c r="Z52" s="13">
        <v>1294.6099999999999</v>
      </c>
      <c r="AA52" s="14">
        <v>2.623123929248009E-3</v>
      </c>
      <c r="AB52" s="13">
        <v>323.65250000000003</v>
      </c>
      <c r="AC52" s="14">
        <v>2.6231239292480095E-3</v>
      </c>
      <c r="AD52" s="15">
        <v>-50.072499999999991</v>
      </c>
      <c r="AE52" s="16">
        <v>-6.3158200112700177E-3</v>
      </c>
      <c r="AF52" s="15">
        <v>-0.15471068507117969</v>
      </c>
      <c r="AG52" s="13">
        <v>386.94124999999997</v>
      </c>
      <c r="AH52" s="14">
        <v>3.1373227151132027E-3</v>
      </c>
      <c r="AI52" s="15">
        <v>-113.36124999999993</v>
      </c>
      <c r="AJ52" s="16">
        <v>-1.4209904015889415E-2</v>
      </c>
      <c r="AK52" s="15">
        <v>-0.29296760167079611</v>
      </c>
      <c r="AL52" s="16">
        <v>-4.5293090020472073</v>
      </c>
    </row>
    <row r="53" spans="1:38" ht="16.5" customHeight="1">
      <c r="A53" s="23" t="s">
        <v>68</v>
      </c>
      <c r="B53" s="7">
        <v>172.69</v>
      </c>
      <c r="C53" s="8">
        <v>1.4028738727109471E-3</v>
      </c>
      <c r="D53" s="7">
        <v>279.76</v>
      </c>
      <c r="E53" s="8">
        <v>1.6640508741798858E-3</v>
      </c>
      <c r="F53" s="7">
        <v>214.64000000000001</v>
      </c>
      <c r="G53" s="8">
        <v>1.2907717039557607E-3</v>
      </c>
      <c r="H53" s="7">
        <v>296.46000000000004</v>
      </c>
      <c r="I53" s="8">
        <v>2.0574470930526706E-3</v>
      </c>
      <c r="J53" s="7">
        <v>122.15</v>
      </c>
      <c r="K53" s="8">
        <v>1.0775617763122899E-3</v>
      </c>
      <c r="L53" s="7">
        <v>207.34999999999997</v>
      </c>
      <c r="M53" s="8">
        <v>1.6206815694856961E-3</v>
      </c>
      <c r="N53" s="7">
        <v>145.39999999999998</v>
      </c>
      <c r="O53" s="8">
        <v>1.1642369159668366E-3</v>
      </c>
      <c r="P53" s="7">
        <v>200.7</v>
      </c>
      <c r="Q53" s="8">
        <v>1.5808759848869199E-3</v>
      </c>
      <c r="R53" s="7">
        <v>195.33</v>
      </c>
      <c r="S53" s="8">
        <v>1.585172144111487E-3</v>
      </c>
      <c r="T53" s="7">
        <v>196.01000000000002</v>
      </c>
      <c r="U53" s="8">
        <v>1.533568212880956E-3</v>
      </c>
      <c r="V53" s="7">
        <v>159.20000000000002</v>
      </c>
      <c r="W53" s="8">
        <v>1.4317992725344478E-3</v>
      </c>
      <c r="X53" s="7">
        <v>186.17</v>
      </c>
      <c r="Y53" s="8">
        <v>1.4177631859515559E-3</v>
      </c>
      <c r="Z53" s="7">
        <v>736.70999999999992</v>
      </c>
      <c r="AA53" s="8">
        <v>1.492713349901747E-3</v>
      </c>
      <c r="AB53" s="9">
        <v>184.17750000000001</v>
      </c>
      <c r="AC53" s="8">
        <v>1.4927133499017472E-3</v>
      </c>
      <c r="AD53" s="10">
        <v>1.9924999999999784</v>
      </c>
      <c r="AE53" s="11">
        <v>2.5132101198173401E-4</v>
      </c>
      <c r="AF53" s="10">
        <v>1.0818368150289684E-2</v>
      </c>
      <c r="AG53" s="9">
        <v>176.53875000000002</v>
      </c>
      <c r="AH53" s="8">
        <v>1.4313775811513791E-3</v>
      </c>
      <c r="AI53" s="10">
        <v>9.6312499999999659</v>
      </c>
      <c r="AJ53" s="11">
        <v>1.2072832476091656E-3</v>
      </c>
      <c r="AK53" s="10">
        <v>5.4556011074055777E-2</v>
      </c>
      <c r="AL53" s="11">
        <v>0.84344149545645719</v>
      </c>
    </row>
    <row r="54" spans="1:38" ht="16.5" customHeight="1">
      <c r="A54" s="23" t="s">
        <v>69</v>
      </c>
      <c r="B54" s="7">
        <v>146</v>
      </c>
      <c r="C54" s="8">
        <v>1.1860535376443239E-3</v>
      </c>
      <c r="D54" s="7">
        <v>140.81</v>
      </c>
      <c r="E54" s="8">
        <v>8.375572047228686E-4</v>
      </c>
      <c r="F54" s="7">
        <v>130.31</v>
      </c>
      <c r="G54" s="8">
        <v>7.8363986555383513E-4</v>
      </c>
      <c r="H54" s="7">
        <v>130.81</v>
      </c>
      <c r="I54" s="8">
        <v>9.0782788316204485E-4</v>
      </c>
      <c r="J54" s="7">
        <v>132</v>
      </c>
      <c r="K54" s="8">
        <v>1.1644548053477059E-3</v>
      </c>
      <c r="L54" s="7">
        <v>129</v>
      </c>
      <c r="M54" s="8">
        <v>1.0082851336564015E-3</v>
      </c>
      <c r="N54" s="7">
        <v>123</v>
      </c>
      <c r="O54" s="8">
        <v>9.8487717100358271E-4</v>
      </c>
      <c r="P54" s="7">
        <v>162</v>
      </c>
      <c r="Q54" s="8">
        <v>1.2760433958728503E-3</v>
      </c>
      <c r="R54" s="7">
        <v>152</v>
      </c>
      <c r="S54" s="8">
        <v>1.2335338448008293E-3</v>
      </c>
      <c r="T54" s="7">
        <v>147.75</v>
      </c>
      <c r="U54" s="8">
        <v>1.1559854265249796E-3</v>
      </c>
      <c r="V54" s="7">
        <v>135.75</v>
      </c>
      <c r="W54" s="8">
        <v>1.2208966786843673E-3</v>
      </c>
      <c r="X54" s="7">
        <v>162.5</v>
      </c>
      <c r="Y54" s="8">
        <v>1.2375061380304445E-3</v>
      </c>
      <c r="Z54" s="7">
        <v>598</v>
      </c>
      <c r="AA54" s="8">
        <v>1.2116607392885189E-3</v>
      </c>
      <c r="AB54" s="9">
        <v>149.5</v>
      </c>
      <c r="AC54" s="8">
        <v>1.2116607392885189E-3</v>
      </c>
      <c r="AD54" s="10">
        <v>13</v>
      </c>
      <c r="AE54" s="11">
        <v>1.6397355863300262E-3</v>
      </c>
      <c r="AF54" s="10">
        <v>8.6956521739130432E-2</v>
      </c>
      <c r="AG54" s="9">
        <v>143</v>
      </c>
      <c r="AH54" s="8">
        <v>1.1594451309111862E-3</v>
      </c>
      <c r="AI54" s="10">
        <v>19.5</v>
      </c>
      <c r="AJ54" s="11">
        <v>2.4443372696564634E-3</v>
      </c>
      <c r="AK54" s="10">
        <v>0.13636363636363635</v>
      </c>
      <c r="AL54" s="11">
        <v>2.1081957261190136</v>
      </c>
    </row>
    <row r="55" spans="1:38" ht="16.5" customHeight="1">
      <c r="A55" s="23" t="s">
        <v>70</v>
      </c>
      <c r="B55" s="7">
        <v>-1046.73</v>
      </c>
      <c r="C55" s="8">
        <v>-8.5032727360167329E-3</v>
      </c>
      <c r="D55" s="7">
        <v>-969.12000000000012</v>
      </c>
      <c r="E55" s="8">
        <v>-5.7644587617429622E-3</v>
      </c>
      <c r="F55" s="7">
        <v>-850.58999999999992</v>
      </c>
      <c r="G55" s="8">
        <v>-5.1151579559622178E-3</v>
      </c>
      <c r="H55" s="7">
        <v>-934.09999999999991</v>
      </c>
      <c r="I55" s="8">
        <v>-6.4827002955558898E-3</v>
      </c>
      <c r="J55" s="7">
        <v>-1087.01</v>
      </c>
      <c r="K55" s="8">
        <v>-9.5891971057652254E-3</v>
      </c>
      <c r="L55" s="7">
        <v>-1121.99</v>
      </c>
      <c r="M55" s="8">
        <v>-8.769657652024386E-3</v>
      </c>
      <c r="N55" s="7">
        <v>-1670.63</v>
      </c>
      <c r="O55" s="8">
        <v>-1.3376954050355409E-2</v>
      </c>
      <c r="P55" s="7">
        <v>-1845.62</v>
      </c>
      <c r="Q55" s="8">
        <v>-1.4537600075869442E-2</v>
      </c>
      <c r="R55" s="7">
        <v>-1478.68</v>
      </c>
      <c r="S55" s="8">
        <v>-1.200001201072428E-2</v>
      </c>
      <c r="T55" s="7">
        <v>-1539.51</v>
      </c>
      <c r="U55" s="8">
        <v>-1.2045016067610635E-2</v>
      </c>
      <c r="V55" s="7">
        <v>-1475.83</v>
      </c>
      <c r="W55" s="8">
        <v>-1.3273192967239408E-2</v>
      </c>
      <c r="X55" s="7">
        <v>-1621.81</v>
      </c>
      <c r="Y55" s="8">
        <v>-1.2350768182887108E-2</v>
      </c>
      <c r="Z55" s="7">
        <v>-6115.83</v>
      </c>
      <c r="AA55" s="8">
        <v>-1.2391824580539971E-2</v>
      </c>
      <c r="AB55" s="9">
        <v>-1528.9575</v>
      </c>
      <c r="AC55" s="8">
        <v>-1.2391824580539971E-2</v>
      </c>
      <c r="AD55" s="10">
        <v>-92.852499999999964</v>
      </c>
      <c r="AE55" s="11">
        <v>-1.1711811425362208E-2</v>
      </c>
      <c r="AF55" s="10">
        <v>6.07292877663375E-2</v>
      </c>
      <c r="AG55" s="9">
        <v>-1480.135</v>
      </c>
      <c r="AH55" s="8">
        <v>-1.2000946285602998E-2</v>
      </c>
      <c r="AI55" s="10">
        <v>-141.67499999999995</v>
      </c>
      <c r="AJ55" s="11">
        <v>-1.7759050393773301E-2</v>
      </c>
      <c r="AK55" s="10">
        <v>9.571762035219758E-2</v>
      </c>
      <c r="AL55" s="11">
        <v>1.4798041730324254</v>
      </c>
    </row>
    <row r="56" spans="1:38" ht="16.5" customHeight="1">
      <c r="A56" s="27" t="s">
        <v>71</v>
      </c>
      <c r="B56" s="13">
        <v>4666.0300000000007</v>
      </c>
      <c r="C56" s="14">
        <v>3.7905214988044833E-2</v>
      </c>
      <c r="D56" s="13">
        <v>5643.0400000000009</v>
      </c>
      <c r="E56" s="14">
        <v>3.3565576369145214E-2</v>
      </c>
      <c r="F56" s="13">
        <v>5338.51</v>
      </c>
      <c r="G56" s="14">
        <v>3.2103977121155744E-2</v>
      </c>
      <c r="H56" s="13">
        <v>5675.93</v>
      </c>
      <c r="I56" s="14">
        <v>3.939123550856926E-2</v>
      </c>
      <c r="J56" s="13">
        <v>4043.2299999999996</v>
      </c>
      <c r="K56" s="14">
        <v>3.5667868201712152E-2</v>
      </c>
      <c r="L56" s="13">
        <v>4445.33</v>
      </c>
      <c r="M56" s="14">
        <v>3.4745427544161323E-2</v>
      </c>
      <c r="N56" s="13">
        <v>3585.5199999999986</v>
      </c>
      <c r="O56" s="14">
        <v>2.8709730033957433E-2</v>
      </c>
      <c r="P56" s="13">
        <v>3827.4999999999991</v>
      </c>
      <c r="Q56" s="14">
        <v>3.014849443026749E-2</v>
      </c>
      <c r="R56" s="13">
        <v>4044.0200000000004</v>
      </c>
      <c r="S56" s="14">
        <v>3.2818654862180593E-2</v>
      </c>
      <c r="T56" s="13">
        <v>3153.96</v>
      </c>
      <c r="U56" s="14">
        <v>2.4676357332268861E-2</v>
      </c>
      <c r="V56" s="13">
        <v>3735.4799999999996</v>
      </c>
      <c r="W56" s="14">
        <v>3.359583886034534E-2</v>
      </c>
      <c r="X56" s="13">
        <v>4461.2100000000009</v>
      </c>
      <c r="Y56" s="14">
        <v>3.3973998511032617E-2</v>
      </c>
      <c r="Z56" s="13">
        <v>15394.67</v>
      </c>
      <c r="AA56" s="14">
        <v>3.1192503734620038E-2</v>
      </c>
      <c r="AB56" s="13">
        <v>3848.6675</v>
      </c>
      <c r="AC56" s="14">
        <v>3.1192503734620038E-2</v>
      </c>
      <c r="AD56" s="15">
        <v>612.54250000000093</v>
      </c>
      <c r="AE56" s="16">
        <v>7.7262133491504736E-2</v>
      </c>
      <c r="AF56" s="15">
        <v>0.15915703292113464</v>
      </c>
      <c r="AG56" s="13">
        <v>3912.03125</v>
      </c>
      <c r="AH56" s="14">
        <v>3.1718780313181129E-2</v>
      </c>
      <c r="AI56" s="15">
        <v>549.17875000000095</v>
      </c>
      <c r="AJ56" s="16">
        <v>6.8839901862992409E-2</v>
      </c>
      <c r="AK56" s="15">
        <v>0.14038199464792131</v>
      </c>
      <c r="AL56" s="16">
        <v>2.1703199550326064</v>
      </c>
    </row>
    <row r="57" spans="1:38" ht="16.5" customHeight="1">
      <c r="A57" s="12" t="s">
        <v>72</v>
      </c>
      <c r="B57" s="28">
        <v>31910.599999999995</v>
      </c>
      <c r="C57" s="29">
        <v>0.25923068505721203</v>
      </c>
      <c r="D57" s="28">
        <v>41076.679999999993</v>
      </c>
      <c r="E57" s="29">
        <v>0.24432972999144775</v>
      </c>
      <c r="F57" s="28">
        <v>39727.44000000001</v>
      </c>
      <c r="G57" s="29">
        <v>0.23890726529351591</v>
      </c>
      <c r="H57" s="28">
        <v>34257.360000000001</v>
      </c>
      <c r="I57" s="29">
        <v>0.23774777625196933</v>
      </c>
      <c r="J57" s="28">
        <v>30707.340000000007</v>
      </c>
      <c r="K57" s="29">
        <v>0.27088870926095326</v>
      </c>
      <c r="L57" s="28">
        <v>32594.799999999999</v>
      </c>
      <c r="M57" s="29">
        <v>0.25476629670157885</v>
      </c>
      <c r="N57" s="28">
        <v>30699.03</v>
      </c>
      <c r="O57" s="29">
        <v>0.24581116925978952</v>
      </c>
      <c r="P57" s="28">
        <v>31109.319999999996</v>
      </c>
      <c r="Q57" s="29">
        <v>0.24504223664256281</v>
      </c>
      <c r="R57" s="28">
        <v>28983.209999999995</v>
      </c>
      <c r="S57" s="29">
        <v>0.23520901622348581</v>
      </c>
      <c r="T57" s="28">
        <v>29321.440000000002</v>
      </c>
      <c r="U57" s="29">
        <v>0.22940884822149982</v>
      </c>
      <c r="V57" s="28">
        <v>28566.33</v>
      </c>
      <c r="W57" s="29">
        <v>0.25691740271971714</v>
      </c>
      <c r="X57" s="28">
        <v>32420.44</v>
      </c>
      <c r="Y57" s="29">
        <v>0.2468953446009092</v>
      </c>
      <c r="Z57" s="28">
        <v>119291.42000000003</v>
      </c>
      <c r="AA57" s="29">
        <v>0.24170690660196864</v>
      </c>
      <c r="AB57" s="28">
        <v>29822.855</v>
      </c>
      <c r="AC57" s="29">
        <v>0.24170690660196859</v>
      </c>
      <c r="AD57" s="30">
        <v>2597.5849999999991</v>
      </c>
      <c r="AE57" s="31">
        <v>0.32764250484746771</v>
      </c>
      <c r="AF57" s="30">
        <v>8.7100480487196791E-2</v>
      </c>
      <c r="AG57" s="28">
        <v>30550.238750000004</v>
      </c>
      <c r="AH57" s="29">
        <v>0.24770157739064161</v>
      </c>
      <c r="AI57" s="30">
        <v>1870.2012499999946</v>
      </c>
      <c r="AJ57" s="31">
        <v>0.23443090344272266</v>
      </c>
      <c r="AK57" s="30">
        <v>6.1217238441385158E-2</v>
      </c>
      <c r="AL57" s="31">
        <v>0.94642474994420311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v>91186.710000000036</v>
      </c>
      <c r="C59" s="34">
        <v>0.74076931494278819</v>
      </c>
      <c r="D59" s="33">
        <v>127043.17999999996</v>
      </c>
      <c r="E59" s="34">
        <v>0.75567027000855203</v>
      </c>
      <c r="F59" s="33">
        <v>126560.67999999993</v>
      </c>
      <c r="G59" s="34">
        <v>0.76109273470648375</v>
      </c>
      <c r="H59" s="33">
        <v>109833.83000000009</v>
      </c>
      <c r="I59" s="34">
        <v>0.76225222374803125</v>
      </c>
      <c r="J59" s="33">
        <v>82650.430000000022</v>
      </c>
      <c r="K59" s="34">
        <v>0.72911129073904712</v>
      </c>
      <c r="L59" s="33">
        <v>95345.199999999953</v>
      </c>
      <c r="M59" s="34">
        <v>0.74523370329842076</v>
      </c>
      <c r="N59" s="33">
        <v>94189.640000000043</v>
      </c>
      <c r="O59" s="34">
        <v>0.75418883074021081</v>
      </c>
      <c r="P59" s="33">
        <v>95845.609999999986</v>
      </c>
      <c r="Q59" s="34">
        <v>0.75495776335743703</v>
      </c>
      <c r="R59" s="33">
        <v>94240.000000000029</v>
      </c>
      <c r="S59" s="34">
        <v>0.76479098377651444</v>
      </c>
      <c r="T59" s="33">
        <v>98491.590000000011</v>
      </c>
      <c r="U59" s="34">
        <v>0.77059115177850035</v>
      </c>
      <c r="V59" s="33">
        <v>82622.439999999959</v>
      </c>
      <c r="W59" s="34">
        <v>0.74308259728028259</v>
      </c>
      <c r="X59" s="33">
        <v>98892.040000000066</v>
      </c>
      <c r="Y59" s="34">
        <v>0.75310465539909122</v>
      </c>
      <c r="Z59" s="33">
        <v>374246.06999999977</v>
      </c>
      <c r="AA59" s="34">
        <v>0.75829309339803097</v>
      </c>
      <c r="AB59" s="33">
        <v>93561.517500000016</v>
      </c>
      <c r="AC59" s="34">
        <v>0.75829309339803153</v>
      </c>
      <c r="AD59" s="15">
        <v>5330.5225000000501</v>
      </c>
      <c r="AE59" s="16">
        <v>0.67235749515253695</v>
      </c>
      <c r="AF59" s="15">
        <v>5.697345064972946E-2</v>
      </c>
      <c r="AG59" s="33">
        <v>92784.618749999994</v>
      </c>
      <c r="AH59" s="34">
        <v>0.75229842260935842</v>
      </c>
      <c r="AI59" s="15">
        <v>6107.4212500000722</v>
      </c>
      <c r="AJ59" s="16">
        <v>0.76556909655728422</v>
      </c>
      <c r="AK59" s="15">
        <v>6.5823639006977894E-2</v>
      </c>
      <c r="AL59" s="16">
        <v>1.0176401725021518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v>0</v>
      </c>
      <c r="D63" s="7">
        <v>0</v>
      </c>
      <c r="E63" s="8">
        <v>0</v>
      </c>
      <c r="F63" s="7">
        <v>0</v>
      </c>
      <c r="G63" s="8">
        <v>0</v>
      </c>
      <c r="H63" s="7">
        <v>0</v>
      </c>
      <c r="I63" s="8">
        <v>0</v>
      </c>
      <c r="J63" s="7">
        <v>0</v>
      </c>
      <c r="K63" s="8">
        <v>0</v>
      </c>
      <c r="L63" s="7">
        <v>0</v>
      </c>
      <c r="M63" s="8">
        <v>0</v>
      </c>
      <c r="N63" s="7">
        <v>0</v>
      </c>
      <c r="O63" s="8">
        <v>0</v>
      </c>
      <c r="P63" s="7">
        <v>0</v>
      </c>
      <c r="Q63" s="8">
        <v>0</v>
      </c>
      <c r="R63" s="7">
        <v>0</v>
      </c>
      <c r="S63" s="8">
        <v>0</v>
      </c>
      <c r="T63" s="7">
        <v>0</v>
      </c>
      <c r="U63" s="8">
        <v>0</v>
      </c>
      <c r="V63" s="7">
        <v>0</v>
      </c>
      <c r="W63" s="8">
        <v>0</v>
      </c>
      <c r="X63" s="7">
        <v>0</v>
      </c>
      <c r="Y63" s="8">
        <v>0</v>
      </c>
      <c r="Z63" s="7">
        <v>0</v>
      </c>
      <c r="AA63" s="8">
        <v>0</v>
      </c>
      <c r="AB63" s="9">
        <v>0</v>
      </c>
      <c r="AC63" s="8">
        <v>0</v>
      </c>
      <c r="AD63" s="10">
        <v>0</v>
      </c>
      <c r="AE63" s="11">
        <v>0</v>
      </c>
      <c r="AF63" s="10" t="s">
        <v>316</v>
      </c>
      <c r="AG63" s="9">
        <v>0</v>
      </c>
      <c r="AH63" s="8">
        <v>0</v>
      </c>
      <c r="AI63" s="10">
        <v>0</v>
      </c>
      <c r="AJ63" s="11">
        <v>0</v>
      </c>
      <c r="AK63" s="10" t="s">
        <v>316</v>
      </c>
      <c r="AL63" s="11" t="s">
        <v>316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v>0</v>
      </c>
      <c r="D65" s="7">
        <v>0</v>
      </c>
      <c r="E65" s="8">
        <v>0</v>
      </c>
      <c r="F65" s="7">
        <v>0</v>
      </c>
      <c r="G65" s="8">
        <v>0</v>
      </c>
      <c r="H65" s="7">
        <v>0</v>
      </c>
      <c r="I65" s="8">
        <v>0</v>
      </c>
      <c r="J65" s="7">
        <v>0</v>
      </c>
      <c r="K65" s="8">
        <v>0</v>
      </c>
      <c r="L65" s="7">
        <v>0</v>
      </c>
      <c r="M65" s="8">
        <v>0</v>
      </c>
      <c r="N65" s="7">
        <v>0</v>
      </c>
      <c r="O65" s="8">
        <v>0</v>
      </c>
      <c r="P65" s="7">
        <v>0</v>
      </c>
      <c r="Q65" s="8">
        <v>0</v>
      </c>
      <c r="R65" s="7">
        <v>0</v>
      </c>
      <c r="S65" s="8">
        <v>0</v>
      </c>
      <c r="T65" s="7">
        <v>0</v>
      </c>
      <c r="U65" s="8">
        <v>0</v>
      </c>
      <c r="V65" s="7">
        <v>0</v>
      </c>
      <c r="W65" s="8">
        <v>0</v>
      </c>
      <c r="X65" s="7">
        <v>0</v>
      </c>
      <c r="Y65" s="8">
        <v>0</v>
      </c>
      <c r="Z65" s="7">
        <v>0</v>
      </c>
      <c r="AA65" s="8">
        <v>0</v>
      </c>
      <c r="AB65" s="9">
        <v>0</v>
      </c>
      <c r="AC65" s="8">
        <v>0</v>
      </c>
      <c r="AD65" s="10">
        <v>0</v>
      </c>
      <c r="AE65" s="11">
        <v>0</v>
      </c>
      <c r="AF65" s="10" t="s">
        <v>316</v>
      </c>
      <c r="AG65" s="9">
        <v>0</v>
      </c>
      <c r="AH65" s="8">
        <v>0</v>
      </c>
      <c r="AI65" s="10">
        <v>0</v>
      </c>
      <c r="AJ65" s="11">
        <v>0</v>
      </c>
      <c r="AK65" s="10" t="s">
        <v>316</v>
      </c>
      <c r="AL65" s="11" t="s">
        <v>316</v>
      </c>
    </row>
    <row r="66" spans="1:38" ht="16.5" customHeight="1">
      <c r="A66" s="25" t="s">
        <v>78</v>
      </c>
      <c r="B66" s="7">
        <v>6688.85</v>
      </c>
      <c r="C66" s="8">
        <v>5.4337905515563258E-2</v>
      </c>
      <c r="D66" s="7">
        <v>6688.85</v>
      </c>
      <c r="E66" s="8">
        <v>3.9786197775801148E-2</v>
      </c>
      <c r="F66" s="7">
        <v>6688.85</v>
      </c>
      <c r="G66" s="8">
        <v>4.0224461013811455E-2</v>
      </c>
      <c r="H66" s="7">
        <v>6688.85</v>
      </c>
      <c r="I66" s="8">
        <v>4.642095051057598E-2</v>
      </c>
      <c r="J66" s="7">
        <v>6688.85</v>
      </c>
      <c r="K66" s="8">
        <v>5.9006541854166691E-2</v>
      </c>
      <c r="L66" s="7">
        <v>6688.85</v>
      </c>
      <c r="M66" s="8">
        <v>5.2281147412849775E-2</v>
      </c>
      <c r="N66" s="7">
        <v>6688.85</v>
      </c>
      <c r="O66" s="8">
        <v>5.3558501343636697E-2</v>
      </c>
      <c r="P66" s="7">
        <v>6688.85</v>
      </c>
      <c r="Q66" s="8">
        <v>5.2686807830148855E-2</v>
      </c>
      <c r="R66" s="7">
        <v>6688.85</v>
      </c>
      <c r="S66" s="8">
        <v>5.4282387222342292E-2</v>
      </c>
      <c r="T66" s="7">
        <v>6688.85</v>
      </c>
      <c r="U66" s="8">
        <v>5.2333083723936441E-2</v>
      </c>
      <c r="V66" s="7">
        <v>6688.85</v>
      </c>
      <c r="W66" s="8">
        <v>6.0157604045804274E-2</v>
      </c>
      <c r="X66" s="7">
        <v>6688.85</v>
      </c>
      <c r="Y66" s="8">
        <v>5.0938418039168855E-2</v>
      </c>
      <c r="Z66" s="7">
        <v>26755.4</v>
      </c>
      <c r="AA66" s="8">
        <v>5.4211484521672307E-2</v>
      </c>
      <c r="AB66" s="9">
        <v>6688.85</v>
      </c>
      <c r="AC66" s="8">
        <v>5.4211484521672307E-2</v>
      </c>
      <c r="AD66" s="10">
        <v>0</v>
      </c>
      <c r="AE66" s="11">
        <v>0</v>
      </c>
      <c r="AF66" s="10">
        <v>0</v>
      </c>
      <c r="AG66" s="9">
        <v>6688.8499999999995</v>
      </c>
      <c r="AH66" s="8">
        <v>5.4233248698568444E-2</v>
      </c>
      <c r="AI66" s="10">
        <v>9.0949470177292824E-13</v>
      </c>
      <c r="AJ66" s="11">
        <v>1.1400573313326456E-16</v>
      </c>
      <c r="AK66" s="10">
        <v>1.3597175923707787E-16</v>
      </c>
      <c r="AL66" s="11">
        <v>2.1021372657742681E-15</v>
      </c>
    </row>
    <row r="67" spans="1:38" ht="16.5" hidden="1" customHeight="1">
      <c r="A67" s="25" t="s">
        <v>79</v>
      </c>
      <c r="B67" s="7">
        <v>0</v>
      </c>
      <c r="C67" s="8">
        <v>0</v>
      </c>
      <c r="D67" s="7">
        <v>0</v>
      </c>
      <c r="E67" s="8">
        <v>0</v>
      </c>
      <c r="F67" s="7">
        <v>0</v>
      </c>
      <c r="G67" s="8">
        <v>0</v>
      </c>
      <c r="H67" s="7">
        <v>0</v>
      </c>
      <c r="I67" s="8">
        <v>0</v>
      </c>
      <c r="J67" s="7">
        <v>0</v>
      </c>
      <c r="K67" s="8">
        <v>0</v>
      </c>
      <c r="L67" s="7">
        <v>0</v>
      </c>
      <c r="M67" s="8">
        <v>0</v>
      </c>
      <c r="N67" s="7">
        <v>0</v>
      </c>
      <c r="O67" s="8">
        <v>0</v>
      </c>
      <c r="P67" s="7">
        <v>0</v>
      </c>
      <c r="Q67" s="8">
        <v>0</v>
      </c>
      <c r="R67" s="7">
        <v>0</v>
      </c>
      <c r="S67" s="8">
        <v>0</v>
      </c>
      <c r="T67" s="7">
        <v>0</v>
      </c>
      <c r="U67" s="8">
        <v>0</v>
      </c>
      <c r="V67" s="7">
        <v>0</v>
      </c>
      <c r="W67" s="8">
        <v>0</v>
      </c>
      <c r="X67" s="7">
        <v>0</v>
      </c>
      <c r="Y67" s="8">
        <v>0</v>
      </c>
      <c r="Z67" s="7">
        <v>0</v>
      </c>
      <c r="AA67" s="8">
        <v>0</v>
      </c>
      <c r="AB67" s="9">
        <v>0</v>
      </c>
      <c r="AC67" s="8">
        <v>0</v>
      </c>
      <c r="AD67" s="10">
        <v>0</v>
      </c>
      <c r="AE67" s="11">
        <v>0</v>
      </c>
      <c r="AF67" s="10" t="s">
        <v>316</v>
      </c>
      <c r="AG67" s="9">
        <v>0</v>
      </c>
      <c r="AH67" s="8">
        <v>0</v>
      </c>
      <c r="AI67" s="10">
        <v>0</v>
      </c>
      <c r="AJ67" s="11">
        <v>0</v>
      </c>
      <c r="AK67" s="10" t="s">
        <v>316</v>
      </c>
      <c r="AL67" s="11" t="s">
        <v>316</v>
      </c>
    </row>
    <row r="68" spans="1:38" ht="16.5" customHeight="1">
      <c r="A68" s="25" t="s">
        <v>80</v>
      </c>
      <c r="B68" s="7">
        <v>21093.800000000003</v>
      </c>
      <c r="C68" s="8">
        <v>0.17135874049562905</v>
      </c>
      <c r="D68" s="7">
        <v>25554.46</v>
      </c>
      <c r="E68" s="8">
        <v>0.15200143516655321</v>
      </c>
      <c r="F68" s="7">
        <v>27418.480000000003</v>
      </c>
      <c r="G68" s="8">
        <v>0.16488538086785756</v>
      </c>
      <c r="H68" s="7">
        <v>25611.300000000003</v>
      </c>
      <c r="I68" s="8">
        <v>0.17774369133879733</v>
      </c>
      <c r="J68" s="7">
        <v>22484.54</v>
      </c>
      <c r="K68" s="8">
        <v>0.19835023218964173</v>
      </c>
      <c r="L68" s="7">
        <v>23694.840000000004</v>
      </c>
      <c r="M68" s="8">
        <v>0.18520275128966707</v>
      </c>
      <c r="N68" s="7">
        <v>24595.300000000003</v>
      </c>
      <c r="O68" s="8">
        <v>0.19693780068280015</v>
      </c>
      <c r="P68" s="7">
        <v>21983.68</v>
      </c>
      <c r="Q68" s="8">
        <v>0.17316129432704977</v>
      </c>
      <c r="R68" s="7">
        <v>23061.24</v>
      </c>
      <c r="S68" s="8">
        <v>0.18715013186233342</v>
      </c>
      <c r="T68" s="7">
        <v>23069.690000000002</v>
      </c>
      <c r="U68" s="8">
        <v>0.1804956036172525</v>
      </c>
      <c r="V68" s="7">
        <v>22198.83</v>
      </c>
      <c r="W68" s="8">
        <v>0.19964992867535097</v>
      </c>
      <c r="X68" s="7">
        <v>23481.63</v>
      </c>
      <c r="Y68" s="8">
        <v>0.17882253080590663</v>
      </c>
      <c r="Z68" s="7">
        <v>91811.39</v>
      </c>
      <c r="AA68" s="8">
        <v>0.18602718508780355</v>
      </c>
      <c r="AB68" s="9">
        <v>22952.847500000003</v>
      </c>
      <c r="AC68" s="8">
        <v>0.18602718508780358</v>
      </c>
      <c r="AD68" s="10">
        <v>528.78249999999753</v>
      </c>
      <c r="AE68" s="11">
        <v>6.669719097527331E-2</v>
      </c>
      <c r="AF68" s="10">
        <v>2.3037773417873206E-2</v>
      </c>
      <c r="AG68" s="9">
        <v>23071.218750000007</v>
      </c>
      <c r="AH68" s="8">
        <v>0.18706162408303759</v>
      </c>
      <c r="AI68" s="10">
        <v>410.41124999999374</v>
      </c>
      <c r="AJ68" s="11">
        <v>5.1445308423655432E-2</v>
      </c>
      <c r="AK68" s="10">
        <v>1.7788884689934018E-2</v>
      </c>
      <c r="AL68" s="11">
        <v>0.27501797162211428</v>
      </c>
    </row>
    <row r="69" spans="1:38" ht="16.5" customHeight="1">
      <c r="A69" s="25" t="s">
        <v>81</v>
      </c>
      <c r="B69" s="7">
        <v>74.06</v>
      </c>
      <c r="C69" s="8">
        <v>6.0163784245163441E-4</v>
      </c>
      <c r="D69" s="7">
        <v>810.69</v>
      </c>
      <c r="E69" s="8">
        <v>4.8220953788564907E-3</v>
      </c>
      <c r="F69" s="7">
        <v>611.21</v>
      </c>
      <c r="G69" s="8">
        <v>3.6756083357007106E-3</v>
      </c>
      <c r="H69" s="7">
        <v>280.23</v>
      </c>
      <c r="I69" s="8">
        <v>1.9448100886667672E-3</v>
      </c>
      <c r="J69" s="7">
        <v>176.77</v>
      </c>
      <c r="K69" s="8">
        <v>1.5593990601614695E-3</v>
      </c>
      <c r="L69" s="7">
        <v>701.38</v>
      </c>
      <c r="M69" s="8">
        <v>5.4821009848366421E-3</v>
      </c>
      <c r="N69" s="7">
        <v>314.83000000000004</v>
      </c>
      <c r="O69" s="8">
        <v>2.5208852011955932E-3</v>
      </c>
      <c r="P69" s="7">
        <v>250.08</v>
      </c>
      <c r="Q69" s="8">
        <v>1.9698329162955706E-3</v>
      </c>
      <c r="R69" s="7">
        <v>303.98</v>
      </c>
      <c r="S69" s="8">
        <v>2.4669053825168165E-3</v>
      </c>
      <c r="T69" s="7">
        <v>506.76</v>
      </c>
      <c r="U69" s="8">
        <v>3.9648539745908533E-3</v>
      </c>
      <c r="V69" s="7">
        <v>446.07000000000005</v>
      </c>
      <c r="W69" s="8">
        <v>4.0118260144437253E-3</v>
      </c>
      <c r="X69" s="7">
        <v>281.07</v>
      </c>
      <c r="Y69" s="8">
        <v>2.1404667705613358E-3</v>
      </c>
      <c r="Z69" s="7">
        <v>1537.88</v>
      </c>
      <c r="AA69" s="8">
        <v>3.1160348122692767E-3</v>
      </c>
      <c r="AB69" s="9">
        <v>384.46999999999997</v>
      </c>
      <c r="AC69" s="8">
        <v>3.1160348122692763E-3</v>
      </c>
      <c r="AD69" s="10">
        <v>-103.39999999999998</v>
      </c>
      <c r="AE69" s="11">
        <v>-1.3042204586655745E-2</v>
      </c>
      <c r="AF69" s="10">
        <v>-0.26894165994746011</v>
      </c>
      <c r="AG69" s="9">
        <v>372.61750000000006</v>
      </c>
      <c r="AH69" s="8">
        <v>3.021185636834259E-3</v>
      </c>
      <c r="AI69" s="10">
        <v>-91.54750000000007</v>
      </c>
      <c r="AJ69" s="11">
        <v>-1.1475536727891039E-2</v>
      </c>
      <c r="AK69" s="10">
        <v>-0.24568760189738822</v>
      </c>
      <c r="AL69" s="11">
        <v>-3.7983553833903598</v>
      </c>
    </row>
    <row r="70" spans="1:38" ht="16.5" customHeight="1">
      <c r="A70" s="26" t="s">
        <v>82</v>
      </c>
      <c r="B70" s="13">
        <v>27856.710000000003</v>
      </c>
      <c r="C70" s="14">
        <v>0.22629828385364395</v>
      </c>
      <c r="D70" s="13">
        <v>33054</v>
      </c>
      <c r="E70" s="14">
        <v>0.19660972832121085</v>
      </c>
      <c r="F70" s="13">
        <v>34718.54</v>
      </c>
      <c r="G70" s="14">
        <v>0.20878545021736972</v>
      </c>
      <c r="H70" s="13">
        <v>32580.38</v>
      </c>
      <c r="I70" s="14">
        <v>0.22610945193804008</v>
      </c>
      <c r="J70" s="13">
        <v>29350.16</v>
      </c>
      <c r="K70" s="14">
        <v>0.25891617310396986</v>
      </c>
      <c r="L70" s="13">
        <v>31085.070000000003</v>
      </c>
      <c r="M70" s="14">
        <v>0.24296599968735347</v>
      </c>
      <c r="N70" s="13">
        <v>31598.980000000003</v>
      </c>
      <c r="O70" s="14">
        <v>0.25301718722763245</v>
      </c>
      <c r="P70" s="13">
        <v>28922.61</v>
      </c>
      <c r="Q70" s="14">
        <v>0.22781793507349418</v>
      </c>
      <c r="R70" s="13">
        <v>30054.070000000003</v>
      </c>
      <c r="S70" s="14">
        <v>0.24389942446719254</v>
      </c>
      <c r="T70" s="13">
        <v>30265.3</v>
      </c>
      <c r="U70" s="14">
        <v>0.23679354131577976</v>
      </c>
      <c r="V70" s="13">
        <v>29333.75</v>
      </c>
      <c r="W70" s="14">
        <v>0.26381935873559897</v>
      </c>
      <c r="X70" s="13">
        <v>30451.550000000003</v>
      </c>
      <c r="Y70" s="14">
        <v>0.23190141561563685</v>
      </c>
      <c r="Z70" s="13">
        <v>120104.67000000001</v>
      </c>
      <c r="AA70" s="14">
        <v>0.24335470442174517</v>
      </c>
      <c r="AB70" s="13">
        <v>30026.1675</v>
      </c>
      <c r="AC70" s="14">
        <v>0.24335470442174514</v>
      </c>
      <c r="AD70" s="15">
        <v>425.38250000000335</v>
      </c>
      <c r="AE70" s="16">
        <v>5.3654986388618299E-2</v>
      </c>
      <c r="AF70" s="15">
        <v>1.4167059449062333E-2</v>
      </c>
      <c r="AG70" s="13">
        <v>30132.686249999999</v>
      </c>
      <c r="AH70" s="14">
        <v>0.2443160584184402</v>
      </c>
      <c r="AI70" s="15">
        <v>318.86375000000407</v>
      </c>
      <c r="AJ70" s="16">
        <v>3.9969771695765696E-2</v>
      </c>
      <c r="AK70" s="15">
        <v>1.0581988852719829E-2</v>
      </c>
      <c r="AL70" s="16">
        <v>0.16359862693638194</v>
      </c>
    </row>
    <row r="71" spans="1:38" ht="16.5" hidden="1" customHeight="1">
      <c r="A71" s="23" t="s">
        <v>83</v>
      </c>
      <c r="B71" s="7">
        <v>0</v>
      </c>
      <c r="C71" s="8">
        <v>0</v>
      </c>
      <c r="D71" s="7">
        <v>0</v>
      </c>
      <c r="E71" s="8">
        <v>0</v>
      </c>
      <c r="F71" s="7">
        <v>0</v>
      </c>
      <c r="G71" s="8">
        <v>0</v>
      </c>
      <c r="H71" s="7">
        <v>0</v>
      </c>
      <c r="I71" s="8">
        <v>0</v>
      </c>
      <c r="J71" s="7">
        <v>0</v>
      </c>
      <c r="K71" s="8">
        <v>0</v>
      </c>
      <c r="L71" s="7">
        <v>0</v>
      </c>
      <c r="M71" s="8">
        <v>0</v>
      </c>
      <c r="N71" s="7">
        <v>0</v>
      </c>
      <c r="O71" s="8">
        <v>0</v>
      </c>
      <c r="P71" s="7">
        <v>0</v>
      </c>
      <c r="Q71" s="8">
        <v>0</v>
      </c>
      <c r="R71" s="7">
        <v>0</v>
      </c>
      <c r="S71" s="8">
        <v>0</v>
      </c>
      <c r="T71" s="7">
        <v>0</v>
      </c>
      <c r="U71" s="8">
        <v>0</v>
      </c>
      <c r="V71" s="7">
        <v>0</v>
      </c>
      <c r="W71" s="8">
        <v>0</v>
      </c>
      <c r="X71" s="7">
        <v>0</v>
      </c>
      <c r="Y71" s="8">
        <v>0</v>
      </c>
      <c r="Z71" s="7">
        <v>0</v>
      </c>
      <c r="AA71" s="8">
        <v>0</v>
      </c>
      <c r="AB71" s="9">
        <v>0</v>
      </c>
      <c r="AC71" s="8">
        <v>0</v>
      </c>
      <c r="AD71" s="10">
        <v>0</v>
      </c>
      <c r="AE71" s="11">
        <v>0</v>
      </c>
      <c r="AF71" s="10" t="s">
        <v>316</v>
      </c>
      <c r="AG71" s="9">
        <v>0</v>
      </c>
      <c r="AH71" s="8">
        <v>0</v>
      </c>
      <c r="AI71" s="10">
        <v>0</v>
      </c>
      <c r="AJ71" s="11">
        <v>0</v>
      </c>
      <c r="AK71" s="10" t="s">
        <v>316</v>
      </c>
      <c r="AL71" s="11" t="s">
        <v>316</v>
      </c>
    </row>
    <row r="72" spans="1:38" ht="16.5" customHeight="1">
      <c r="A72" s="23" t="s">
        <v>84</v>
      </c>
      <c r="B72" s="7">
        <v>0</v>
      </c>
      <c r="C72" s="8">
        <v>0</v>
      </c>
      <c r="D72" s="7">
        <v>0</v>
      </c>
      <c r="E72" s="8">
        <v>0</v>
      </c>
      <c r="F72" s="7">
        <v>0</v>
      </c>
      <c r="G72" s="8">
        <v>0</v>
      </c>
      <c r="H72" s="7">
        <v>-2405</v>
      </c>
      <c r="I72" s="8">
        <v>-1.6690819195816206E-2</v>
      </c>
      <c r="J72" s="7">
        <v>0</v>
      </c>
      <c r="K72" s="8">
        <v>0</v>
      </c>
      <c r="L72" s="7">
        <v>0</v>
      </c>
      <c r="M72" s="8">
        <v>0</v>
      </c>
      <c r="N72" s="7">
        <v>0</v>
      </c>
      <c r="O72" s="8">
        <v>0</v>
      </c>
      <c r="P72" s="7">
        <v>1831</v>
      </c>
      <c r="Q72" s="8">
        <v>1.4422441097797462E-2</v>
      </c>
      <c r="R72" s="7">
        <v>0</v>
      </c>
      <c r="S72" s="8">
        <v>0</v>
      </c>
      <c r="T72" s="7">
        <v>0</v>
      </c>
      <c r="U72" s="8">
        <v>0</v>
      </c>
      <c r="V72" s="7">
        <v>0</v>
      </c>
      <c r="W72" s="8">
        <v>0</v>
      </c>
      <c r="X72" s="7">
        <v>0</v>
      </c>
      <c r="Y72" s="8">
        <v>0</v>
      </c>
      <c r="Z72" s="7">
        <v>0</v>
      </c>
      <c r="AA72" s="8">
        <v>0</v>
      </c>
      <c r="AB72" s="9">
        <v>0</v>
      </c>
      <c r="AC72" s="8">
        <v>0</v>
      </c>
      <c r="AD72" s="10">
        <v>0</v>
      </c>
      <c r="AE72" s="11">
        <v>0</v>
      </c>
      <c r="AF72" s="10" t="s">
        <v>316</v>
      </c>
      <c r="AG72" s="9">
        <v>228.875</v>
      </c>
      <c r="AH72" s="8">
        <v>1.8557203100510332E-3</v>
      </c>
      <c r="AI72" s="10">
        <v>-228.875</v>
      </c>
      <c r="AJ72" s="11">
        <v>-2.8689625261160159E-2</v>
      </c>
      <c r="AK72" s="10">
        <v>-1</v>
      </c>
      <c r="AL72" s="11">
        <v>-15.460101991539435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2496.5500000000002</v>
      </c>
      <c r="C74" s="8">
        <v>2.0281109310999568E-2</v>
      </c>
      <c r="D74" s="7">
        <v>3037.58</v>
      </c>
      <c r="E74" s="8">
        <v>1.8067942716583275E-2</v>
      </c>
      <c r="F74" s="7">
        <v>3186.53</v>
      </c>
      <c r="G74" s="8">
        <v>1.9162703866036853E-2</v>
      </c>
      <c r="H74" s="7">
        <v>3135.0099999999998</v>
      </c>
      <c r="I74" s="8">
        <v>2.1757124776330877E-2</v>
      </c>
      <c r="J74" s="7">
        <v>2780.3</v>
      </c>
      <c r="K74" s="8">
        <v>2.4526770419001719E-2</v>
      </c>
      <c r="L74" s="7">
        <v>2898.94</v>
      </c>
      <c r="M74" s="8">
        <v>2.2658589964045645E-2</v>
      </c>
      <c r="N74" s="7">
        <v>2921.1400000000003</v>
      </c>
      <c r="O74" s="8">
        <v>2.3389952026873218E-2</v>
      </c>
      <c r="P74" s="7">
        <v>2697.2599999999998</v>
      </c>
      <c r="Q74" s="8">
        <v>2.1245807468839528E-2</v>
      </c>
      <c r="R74" s="7">
        <v>2719.6499999999996</v>
      </c>
      <c r="S74" s="8">
        <v>2.2070923164556416E-2</v>
      </c>
      <c r="T74" s="7">
        <v>2757.96</v>
      </c>
      <c r="U74" s="8">
        <v>2.1578081671328814E-2</v>
      </c>
      <c r="V74" s="7">
        <v>2625.54</v>
      </c>
      <c r="W74" s="8">
        <v>2.3613355917148828E-2</v>
      </c>
      <c r="X74" s="7">
        <v>2787.38</v>
      </c>
      <c r="Y74" s="8">
        <v>2.1227076055528003E-2</v>
      </c>
      <c r="Z74" s="7">
        <v>10890.53</v>
      </c>
      <c r="AA74" s="8">
        <v>2.2066266941544808E-2</v>
      </c>
      <c r="AB74" s="9">
        <v>2722.6324999999997</v>
      </c>
      <c r="AC74" s="8">
        <v>2.2066266941544805E-2</v>
      </c>
      <c r="AD74" s="10">
        <v>64.7475000000004</v>
      </c>
      <c r="AE74" s="11">
        <v>8.1668292212233873E-3</v>
      </c>
      <c r="AF74" s="10">
        <v>2.378121175002517E-2</v>
      </c>
      <c r="AG74" s="9">
        <v>2773.5212500000002</v>
      </c>
      <c r="AH74" s="8">
        <v>2.2487732229309141E-2</v>
      </c>
      <c r="AI74" s="10">
        <v>13.858749999999873</v>
      </c>
      <c r="AJ74" s="11">
        <v>1.7372030326077538E-3</v>
      </c>
      <c r="AK74" s="10">
        <v>4.9968068569872584E-3</v>
      </c>
      <c r="AL74" s="11">
        <v>7.7251143641046627E-2</v>
      </c>
    </row>
    <row r="75" spans="1:38" ht="16.5" hidden="1" customHeight="1">
      <c r="A75" s="25" t="s">
        <v>87</v>
      </c>
      <c r="B75" s="7">
        <v>0</v>
      </c>
      <c r="C75" s="8">
        <v>0</v>
      </c>
      <c r="D75" s="7">
        <v>0</v>
      </c>
      <c r="E75" s="8">
        <v>0</v>
      </c>
      <c r="F75" s="7">
        <v>0</v>
      </c>
      <c r="G75" s="8">
        <v>0</v>
      </c>
      <c r="H75" s="7">
        <v>0</v>
      </c>
      <c r="I75" s="8">
        <v>0</v>
      </c>
      <c r="J75" s="7">
        <v>0</v>
      </c>
      <c r="K75" s="8">
        <v>0</v>
      </c>
      <c r="L75" s="7">
        <v>0</v>
      </c>
      <c r="M75" s="8">
        <v>0</v>
      </c>
      <c r="N75" s="7">
        <v>0</v>
      </c>
      <c r="O75" s="8">
        <v>0</v>
      </c>
      <c r="P75" s="7">
        <v>0</v>
      </c>
      <c r="Q75" s="8">
        <v>0</v>
      </c>
      <c r="R75" s="7">
        <v>0</v>
      </c>
      <c r="S75" s="8">
        <v>0</v>
      </c>
      <c r="T75" s="7">
        <v>0</v>
      </c>
      <c r="U75" s="8">
        <v>0</v>
      </c>
      <c r="V75" s="7">
        <v>0</v>
      </c>
      <c r="W75" s="8">
        <v>0</v>
      </c>
      <c r="X75" s="7">
        <v>0</v>
      </c>
      <c r="Y75" s="8">
        <v>0</v>
      </c>
      <c r="Z75" s="7">
        <v>0</v>
      </c>
      <c r="AA75" s="8">
        <v>0</v>
      </c>
      <c r="AB75" s="9">
        <v>0</v>
      </c>
      <c r="AC75" s="8">
        <v>0</v>
      </c>
      <c r="AD75" s="10">
        <v>0</v>
      </c>
      <c r="AE75" s="11">
        <v>0</v>
      </c>
      <c r="AF75" s="10" t="s">
        <v>316</v>
      </c>
      <c r="AG75" s="9">
        <v>0</v>
      </c>
      <c r="AH75" s="8">
        <v>0</v>
      </c>
      <c r="AI75" s="10">
        <v>0</v>
      </c>
      <c r="AJ75" s="11">
        <v>0</v>
      </c>
      <c r="AK75" s="10" t="s">
        <v>316</v>
      </c>
      <c r="AL75" s="11" t="s">
        <v>316</v>
      </c>
    </row>
    <row r="76" spans="1:38" ht="16.5" hidden="1" customHeight="1">
      <c r="A76" s="25" t="s">
        <v>88</v>
      </c>
      <c r="B76" s="7">
        <v>0</v>
      </c>
      <c r="C76" s="8">
        <v>0</v>
      </c>
      <c r="D76" s="7">
        <v>0</v>
      </c>
      <c r="E76" s="8">
        <v>0</v>
      </c>
      <c r="F76" s="7">
        <v>0</v>
      </c>
      <c r="G76" s="8">
        <v>0</v>
      </c>
      <c r="H76" s="7">
        <v>0</v>
      </c>
      <c r="I76" s="8">
        <v>0</v>
      </c>
      <c r="J76" s="7">
        <v>0</v>
      </c>
      <c r="K76" s="8">
        <v>0</v>
      </c>
      <c r="L76" s="7">
        <v>0</v>
      </c>
      <c r="M76" s="8">
        <v>0</v>
      </c>
      <c r="N76" s="7">
        <v>0</v>
      </c>
      <c r="O76" s="8">
        <v>0</v>
      </c>
      <c r="P76" s="7">
        <v>0</v>
      </c>
      <c r="Q76" s="8">
        <v>0</v>
      </c>
      <c r="R76" s="7">
        <v>0</v>
      </c>
      <c r="S76" s="8">
        <v>0</v>
      </c>
      <c r="T76" s="7">
        <v>0</v>
      </c>
      <c r="U76" s="8">
        <v>0</v>
      </c>
      <c r="V76" s="7">
        <v>0</v>
      </c>
      <c r="W76" s="8">
        <v>0</v>
      </c>
      <c r="X76" s="7">
        <v>0</v>
      </c>
      <c r="Y76" s="8">
        <v>0</v>
      </c>
      <c r="Z76" s="7">
        <v>0</v>
      </c>
      <c r="AA76" s="8">
        <v>0</v>
      </c>
      <c r="AB76" s="9">
        <v>0</v>
      </c>
      <c r="AC76" s="8">
        <v>0</v>
      </c>
      <c r="AD76" s="10">
        <v>0</v>
      </c>
      <c r="AE76" s="11">
        <v>0</v>
      </c>
      <c r="AF76" s="10" t="s">
        <v>316</v>
      </c>
      <c r="AG76" s="9">
        <v>0</v>
      </c>
      <c r="AH76" s="8">
        <v>0</v>
      </c>
      <c r="AI76" s="10">
        <v>0</v>
      </c>
      <c r="AJ76" s="11">
        <v>0</v>
      </c>
      <c r="AK76" s="10" t="s">
        <v>316</v>
      </c>
      <c r="AL76" s="11" t="s">
        <v>316</v>
      </c>
    </row>
    <row r="77" spans="1:38" ht="16.5" hidden="1" customHeight="1">
      <c r="A77" s="25" t="s">
        <v>89</v>
      </c>
      <c r="B77" s="7">
        <v>0</v>
      </c>
      <c r="C77" s="8">
        <v>0</v>
      </c>
      <c r="D77" s="7">
        <v>0</v>
      </c>
      <c r="E77" s="8">
        <v>0</v>
      </c>
      <c r="F77" s="7">
        <v>0</v>
      </c>
      <c r="G77" s="8">
        <v>0</v>
      </c>
      <c r="H77" s="7">
        <v>0</v>
      </c>
      <c r="I77" s="8">
        <v>0</v>
      </c>
      <c r="J77" s="7">
        <v>0</v>
      </c>
      <c r="K77" s="8">
        <v>0</v>
      </c>
      <c r="L77" s="7">
        <v>0</v>
      </c>
      <c r="M77" s="8">
        <v>0</v>
      </c>
      <c r="N77" s="7">
        <v>0</v>
      </c>
      <c r="O77" s="8">
        <v>0</v>
      </c>
      <c r="P77" s="7">
        <v>0</v>
      </c>
      <c r="Q77" s="8">
        <v>0</v>
      </c>
      <c r="R77" s="7">
        <v>0</v>
      </c>
      <c r="S77" s="8">
        <v>0</v>
      </c>
      <c r="T77" s="7">
        <v>0</v>
      </c>
      <c r="U77" s="8">
        <v>0</v>
      </c>
      <c r="V77" s="7">
        <v>0</v>
      </c>
      <c r="W77" s="8">
        <v>0</v>
      </c>
      <c r="X77" s="7">
        <v>0</v>
      </c>
      <c r="Y77" s="8">
        <v>0</v>
      </c>
      <c r="Z77" s="7">
        <v>0</v>
      </c>
      <c r="AA77" s="8">
        <v>0</v>
      </c>
      <c r="AB77" s="9">
        <v>0</v>
      </c>
      <c r="AC77" s="8">
        <v>0</v>
      </c>
      <c r="AD77" s="10">
        <v>0</v>
      </c>
      <c r="AE77" s="11">
        <v>0</v>
      </c>
      <c r="AF77" s="10" t="s">
        <v>316</v>
      </c>
      <c r="AG77" s="9">
        <v>0</v>
      </c>
      <c r="AH77" s="8">
        <v>0</v>
      </c>
      <c r="AI77" s="10">
        <v>0</v>
      </c>
      <c r="AJ77" s="11">
        <v>0</v>
      </c>
      <c r="AK77" s="10" t="s">
        <v>316</v>
      </c>
      <c r="AL77" s="11" t="s">
        <v>316</v>
      </c>
    </row>
    <row r="78" spans="1:38" ht="16.5" hidden="1" customHeight="1">
      <c r="A78" s="25" t="s">
        <v>90</v>
      </c>
      <c r="B78" s="7">
        <v>0</v>
      </c>
      <c r="C78" s="8">
        <v>0</v>
      </c>
      <c r="D78" s="7">
        <v>0</v>
      </c>
      <c r="E78" s="8">
        <v>0</v>
      </c>
      <c r="F78" s="7">
        <v>0</v>
      </c>
      <c r="G78" s="8">
        <v>0</v>
      </c>
      <c r="H78" s="7">
        <v>0</v>
      </c>
      <c r="I78" s="8">
        <v>0</v>
      </c>
      <c r="J78" s="7">
        <v>0</v>
      </c>
      <c r="K78" s="8">
        <v>0</v>
      </c>
      <c r="L78" s="7">
        <v>0</v>
      </c>
      <c r="M78" s="8">
        <v>0</v>
      </c>
      <c r="N78" s="7">
        <v>0</v>
      </c>
      <c r="O78" s="8">
        <v>0</v>
      </c>
      <c r="P78" s="7">
        <v>0</v>
      </c>
      <c r="Q78" s="8">
        <v>0</v>
      </c>
      <c r="R78" s="7">
        <v>0</v>
      </c>
      <c r="S78" s="8">
        <v>0</v>
      </c>
      <c r="T78" s="7">
        <v>0</v>
      </c>
      <c r="U78" s="8">
        <v>0</v>
      </c>
      <c r="V78" s="7">
        <v>0</v>
      </c>
      <c r="W78" s="8">
        <v>0</v>
      </c>
      <c r="X78" s="7">
        <v>0</v>
      </c>
      <c r="Y78" s="8">
        <v>0</v>
      </c>
      <c r="Z78" s="7">
        <v>0</v>
      </c>
      <c r="AA78" s="8">
        <v>0</v>
      </c>
      <c r="AB78" s="9">
        <v>0</v>
      </c>
      <c r="AC78" s="8">
        <v>0</v>
      </c>
      <c r="AD78" s="10">
        <v>0</v>
      </c>
      <c r="AE78" s="11">
        <v>0</v>
      </c>
      <c r="AF78" s="10" t="s">
        <v>316</v>
      </c>
      <c r="AG78" s="9">
        <v>0</v>
      </c>
      <c r="AH78" s="8">
        <v>0</v>
      </c>
      <c r="AI78" s="10">
        <v>0</v>
      </c>
      <c r="AJ78" s="11">
        <v>0</v>
      </c>
      <c r="AK78" s="10" t="s">
        <v>316</v>
      </c>
      <c r="AL78" s="11" t="s">
        <v>316</v>
      </c>
    </row>
    <row r="79" spans="1:38" ht="16.5" hidden="1" customHeight="1">
      <c r="A79" s="25" t="s">
        <v>91</v>
      </c>
      <c r="B79" s="7">
        <v>0</v>
      </c>
      <c r="C79" s="8">
        <v>0</v>
      </c>
      <c r="D79" s="7">
        <v>0</v>
      </c>
      <c r="E79" s="8">
        <v>0</v>
      </c>
      <c r="F79" s="7">
        <v>0</v>
      </c>
      <c r="G79" s="8">
        <v>0</v>
      </c>
      <c r="H79" s="7">
        <v>0</v>
      </c>
      <c r="I79" s="8">
        <v>0</v>
      </c>
      <c r="J79" s="7">
        <v>0</v>
      </c>
      <c r="K79" s="8">
        <v>0</v>
      </c>
      <c r="L79" s="7">
        <v>0</v>
      </c>
      <c r="M79" s="8">
        <v>0</v>
      </c>
      <c r="N79" s="7">
        <v>0</v>
      </c>
      <c r="O79" s="8">
        <v>0</v>
      </c>
      <c r="P79" s="7">
        <v>0</v>
      </c>
      <c r="Q79" s="8">
        <v>0</v>
      </c>
      <c r="R79" s="7">
        <v>0</v>
      </c>
      <c r="S79" s="8">
        <v>0</v>
      </c>
      <c r="T79" s="7">
        <v>0</v>
      </c>
      <c r="U79" s="8">
        <v>0</v>
      </c>
      <c r="V79" s="7">
        <v>0</v>
      </c>
      <c r="W79" s="8">
        <v>0</v>
      </c>
      <c r="X79" s="7">
        <v>0</v>
      </c>
      <c r="Y79" s="8">
        <v>0</v>
      </c>
      <c r="Z79" s="7">
        <v>0</v>
      </c>
      <c r="AA79" s="8">
        <v>0</v>
      </c>
      <c r="AB79" s="9">
        <v>0</v>
      </c>
      <c r="AC79" s="8">
        <v>0</v>
      </c>
      <c r="AD79" s="10">
        <v>0</v>
      </c>
      <c r="AE79" s="11">
        <v>0</v>
      </c>
      <c r="AF79" s="10" t="s">
        <v>316</v>
      </c>
      <c r="AG79" s="9">
        <v>0</v>
      </c>
      <c r="AH79" s="8">
        <v>0</v>
      </c>
      <c r="AI79" s="10">
        <v>0</v>
      </c>
      <c r="AJ79" s="11">
        <v>0</v>
      </c>
      <c r="AK79" s="10" t="s">
        <v>316</v>
      </c>
      <c r="AL79" s="11" t="s">
        <v>316</v>
      </c>
    </row>
    <row r="80" spans="1:38" ht="16.5" hidden="1" customHeight="1">
      <c r="A80" s="25" t="s">
        <v>92</v>
      </c>
      <c r="B80" s="7">
        <v>0</v>
      </c>
      <c r="C80" s="8">
        <v>0</v>
      </c>
      <c r="D80" s="7">
        <v>0</v>
      </c>
      <c r="E80" s="8">
        <v>0</v>
      </c>
      <c r="F80" s="7">
        <v>0</v>
      </c>
      <c r="G80" s="8">
        <v>0</v>
      </c>
      <c r="H80" s="7">
        <v>0</v>
      </c>
      <c r="I80" s="8">
        <v>0</v>
      </c>
      <c r="J80" s="7">
        <v>0</v>
      </c>
      <c r="K80" s="8">
        <v>0</v>
      </c>
      <c r="L80" s="7">
        <v>0</v>
      </c>
      <c r="M80" s="8">
        <v>0</v>
      </c>
      <c r="N80" s="7">
        <v>0</v>
      </c>
      <c r="O80" s="8">
        <v>0</v>
      </c>
      <c r="P80" s="7">
        <v>0</v>
      </c>
      <c r="Q80" s="8">
        <v>0</v>
      </c>
      <c r="R80" s="7">
        <v>0</v>
      </c>
      <c r="S80" s="8">
        <v>0</v>
      </c>
      <c r="T80" s="7">
        <v>0</v>
      </c>
      <c r="U80" s="8">
        <v>0</v>
      </c>
      <c r="V80" s="7">
        <v>0</v>
      </c>
      <c r="W80" s="8">
        <v>0</v>
      </c>
      <c r="X80" s="7">
        <v>0</v>
      </c>
      <c r="Y80" s="8">
        <v>0</v>
      </c>
      <c r="Z80" s="7">
        <v>0</v>
      </c>
      <c r="AA80" s="8">
        <v>0</v>
      </c>
      <c r="AB80" s="9">
        <v>0</v>
      </c>
      <c r="AC80" s="8">
        <v>0</v>
      </c>
      <c r="AD80" s="10">
        <v>0</v>
      </c>
      <c r="AE80" s="11">
        <v>0</v>
      </c>
      <c r="AF80" s="10" t="s">
        <v>316</v>
      </c>
      <c r="AG80" s="9">
        <v>0</v>
      </c>
      <c r="AH80" s="8">
        <v>0</v>
      </c>
      <c r="AI80" s="10">
        <v>0</v>
      </c>
      <c r="AJ80" s="11">
        <v>0</v>
      </c>
      <c r="AK80" s="10" t="s">
        <v>316</v>
      </c>
      <c r="AL80" s="11" t="s">
        <v>316</v>
      </c>
    </row>
    <row r="81" spans="1:38" ht="16.5" customHeight="1">
      <c r="A81" s="26" t="s">
        <v>93</v>
      </c>
      <c r="B81" s="13">
        <v>2496.5500000000002</v>
      </c>
      <c r="C81" s="14">
        <v>2.0281109310999568E-2</v>
      </c>
      <c r="D81" s="13">
        <v>3037.58</v>
      </c>
      <c r="E81" s="14">
        <v>1.8067942716583275E-2</v>
      </c>
      <c r="F81" s="13">
        <v>3186.53</v>
      </c>
      <c r="G81" s="14">
        <v>1.9162703866036853E-2</v>
      </c>
      <c r="H81" s="13">
        <v>3135.0099999999998</v>
      </c>
      <c r="I81" s="14">
        <v>2.1757124776330877E-2</v>
      </c>
      <c r="J81" s="13">
        <v>2780.3</v>
      </c>
      <c r="K81" s="14">
        <v>2.4526770419001719E-2</v>
      </c>
      <c r="L81" s="13">
        <v>2898.94</v>
      </c>
      <c r="M81" s="14">
        <v>2.2658589964045645E-2</v>
      </c>
      <c r="N81" s="13">
        <v>2921.1400000000003</v>
      </c>
      <c r="O81" s="14">
        <v>2.3389952026873218E-2</v>
      </c>
      <c r="P81" s="13">
        <v>2697.2599999999998</v>
      </c>
      <c r="Q81" s="14">
        <v>2.1245807468839528E-2</v>
      </c>
      <c r="R81" s="13">
        <v>2719.6499999999996</v>
      </c>
      <c r="S81" s="14">
        <v>2.2070923164556416E-2</v>
      </c>
      <c r="T81" s="13">
        <v>2757.96</v>
      </c>
      <c r="U81" s="14">
        <v>2.1578081671328814E-2</v>
      </c>
      <c r="V81" s="13">
        <v>2625.54</v>
      </c>
      <c r="W81" s="14">
        <v>2.3613355917148828E-2</v>
      </c>
      <c r="X81" s="13">
        <v>2787.38</v>
      </c>
      <c r="Y81" s="14">
        <v>2.1227076055528003E-2</v>
      </c>
      <c r="Z81" s="13">
        <v>10890.53</v>
      </c>
      <c r="AA81" s="14">
        <v>2.2066266941544808E-2</v>
      </c>
      <c r="AB81" s="13">
        <v>2722.6324999999997</v>
      </c>
      <c r="AC81" s="14">
        <v>2.2066266941544805E-2</v>
      </c>
      <c r="AD81" s="15">
        <v>64.7475000000004</v>
      </c>
      <c r="AE81" s="16">
        <v>8.1668292212233873E-3</v>
      </c>
      <c r="AF81" s="15">
        <v>2.378121175002517E-2</v>
      </c>
      <c r="AG81" s="13">
        <v>2773.5212500000002</v>
      </c>
      <c r="AH81" s="14">
        <v>2.2487732229309141E-2</v>
      </c>
      <c r="AI81" s="15">
        <v>13.858749999999873</v>
      </c>
      <c r="AJ81" s="16">
        <v>1.7372030326077538E-3</v>
      </c>
      <c r="AK81" s="15">
        <v>4.9968068569872584E-3</v>
      </c>
      <c r="AL81" s="16">
        <v>7.7251143641046627E-2</v>
      </c>
    </row>
    <row r="82" spans="1:38" ht="16.5" customHeight="1">
      <c r="A82" s="23" t="s">
        <v>94</v>
      </c>
      <c r="B82" s="7">
        <v>1021.04</v>
      </c>
      <c r="C82" s="8">
        <v>8.2945760553175367E-3</v>
      </c>
      <c r="D82" s="7">
        <v>0</v>
      </c>
      <c r="E82" s="8">
        <v>0</v>
      </c>
      <c r="F82" s="7">
        <v>0</v>
      </c>
      <c r="G82" s="8">
        <v>0</v>
      </c>
      <c r="H82" s="7">
        <v>0</v>
      </c>
      <c r="I82" s="8">
        <v>0</v>
      </c>
      <c r="J82" s="7">
        <v>1132.6400000000001</v>
      </c>
      <c r="K82" s="8">
        <v>9.9917279600683761E-3</v>
      </c>
      <c r="L82" s="7">
        <v>0</v>
      </c>
      <c r="M82" s="8">
        <v>0</v>
      </c>
      <c r="N82" s="7">
        <v>0</v>
      </c>
      <c r="O82" s="8">
        <v>0</v>
      </c>
      <c r="P82" s="7">
        <v>0</v>
      </c>
      <c r="Q82" s="8">
        <v>0</v>
      </c>
      <c r="R82" s="7">
        <v>0</v>
      </c>
      <c r="S82" s="8">
        <v>0</v>
      </c>
      <c r="T82" s="7">
        <v>1119.92</v>
      </c>
      <c r="U82" s="8">
        <v>8.7621739348484277E-3</v>
      </c>
      <c r="V82" s="7">
        <v>0</v>
      </c>
      <c r="W82" s="8">
        <v>0</v>
      </c>
      <c r="X82" s="7">
        <v>0</v>
      </c>
      <c r="Y82" s="8">
        <v>0</v>
      </c>
      <c r="Z82" s="7">
        <v>1119.92</v>
      </c>
      <c r="AA82" s="8">
        <v>2.2691690554247461E-3</v>
      </c>
      <c r="AB82" s="9">
        <v>279.98</v>
      </c>
      <c r="AC82" s="8">
        <v>2.2691690554247461E-3</v>
      </c>
      <c r="AD82" s="10">
        <v>-279.98</v>
      </c>
      <c r="AE82" s="11">
        <v>-3.5314859189283135E-2</v>
      </c>
      <c r="AF82" s="10">
        <v>-1</v>
      </c>
      <c r="AG82" s="9">
        <v>281.57000000000005</v>
      </c>
      <c r="AH82" s="8">
        <v>2.2829717867878514E-3</v>
      </c>
      <c r="AI82" s="10">
        <v>-281.57000000000005</v>
      </c>
      <c r="AJ82" s="11">
        <v>-3.5294976667547204E-2</v>
      </c>
      <c r="AK82" s="10">
        <v>-1</v>
      </c>
      <c r="AL82" s="11">
        <v>-15.460101991539435</v>
      </c>
    </row>
    <row r="83" spans="1:38" ht="16.5" customHeight="1">
      <c r="A83" s="23" t="s">
        <v>95</v>
      </c>
      <c r="B83" s="7">
        <v>-220.91</v>
      </c>
      <c r="C83" s="8">
        <v>-1.7945964863082711E-3</v>
      </c>
      <c r="D83" s="7">
        <v>-159.66</v>
      </c>
      <c r="E83" s="8">
        <v>-9.4967959169130884E-4</v>
      </c>
      <c r="F83" s="7">
        <v>1822.23</v>
      </c>
      <c r="G83" s="8">
        <v>1.0958269297890915E-2</v>
      </c>
      <c r="H83" s="7">
        <v>-159.66</v>
      </c>
      <c r="I83" s="8">
        <v>-1.1080483130162225E-3</v>
      </c>
      <c r="J83" s="7">
        <v>-411.29999999999995</v>
      </c>
      <c r="K83" s="8">
        <v>-3.628335313935692E-3</v>
      </c>
      <c r="L83" s="7">
        <v>-222.57</v>
      </c>
      <c r="M83" s="8">
        <v>-1.7396435829294982E-3</v>
      </c>
      <c r="N83" s="7">
        <v>1643.14</v>
      </c>
      <c r="O83" s="8">
        <v>1.3156838006201845E-2</v>
      </c>
      <c r="P83" s="7">
        <v>-222.57</v>
      </c>
      <c r="Q83" s="8">
        <v>-1.7531418433297547E-3</v>
      </c>
      <c r="R83" s="7">
        <v>-222.57</v>
      </c>
      <c r="S83" s="8">
        <v>-1.8062343936665829E-3</v>
      </c>
      <c r="T83" s="7">
        <v>-222.57</v>
      </c>
      <c r="U83" s="8">
        <v>-1.7413717521601671E-3</v>
      </c>
      <c r="V83" s="7">
        <v>-222.57</v>
      </c>
      <c r="W83" s="8">
        <v>-2.0017309302009546E-3</v>
      </c>
      <c r="X83" s="7">
        <v>1681.6100000000001</v>
      </c>
      <c r="Y83" s="8">
        <v>1.2806170441682314E-2</v>
      </c>
      <c r="Z83" s="7">
        <v>1013.9000000000001</v>
      </c>
      <c r="AA83" s="8">
        <v>2.0543525477669388E-3</v>
      </c>
      <c r="AB83" s="9">
        <v>253.47500000000002</v>
      </c>
      <c r="AC83" s="8">
        <v>2.0543525477669388E-3</v>
      </c>
      <c r="AD83" s="10">
        <v>1428.1350000000002</v>
      </c>
      <c r="AE83" s="11">
        <v>0.18013567550641787</v>
      </c>
      <c r="AF83" s="10">
        <v>5.6342242824736175</v>
      </c>
      <c r="AG83" s="9">
        <v>225.07500000000005</v>
      </c>
      <c r="AH83" s="8">
        <v>1.8249098799988483E-3</v>
      </c>
      <c r="AI83" s="10">
        <v>1456.5350000000001</v>
      </c>
      <c r="AJ83" s="11">
        <v>0.18257757872097832</v>
      </c>
      <c r="AK83" s="10">
        <v>6.4713317782961228</v>
      </c>
      <c r="AL83" s="11">
        <v>100.04744931354833</v>
      </c>
    </row>
    <row r="84" spans="1:38" ht="16.5" customHeight="1">
      <c r="A84" s="27" t="s">
        <v>96</v>
      </c>
      <c r="B84" s="13">
        <v>31153.390000000003</v>
      </c>
      <c r="C84" s="14">
        <v>0.25307937273365277</v>
      </c>
      <c r="D84" s="13">
        <v>35931.919999999998</v>
      </c>
      <c r="E84" s="14">
        <v>0.2137279914461028</v>
      </c>
      <c r="F84" s="13">
        <v>39727.300000000003</v>
      </c>
      <c r="G84" s="14">
        <v>0.2389064233812975</v>
      </c>
      <c r="H84" s="13">
        <v>33150.729999999996</v>
      </c>
      <c r="I84" s="14">
        <v>0.23006770920553848</v>
      </c>
      <c r="J84" s="13">
        <v>32851.799999999996</v>
      </c>
      <c r="K84" s="14">
        <v>0.28980633616910423</v>
      </c>
      <c r="L84" s="13">
        <v>33761.440000000002</v>
      </c>
      <c r="M84" s="14">
        <v>0.26388494606846963</v>
      </c>
      <c r="N84" s="13">
        <v>36163.26</v>
      </c>
      <c r="O84" s="14">
        <v>0.28956397726070748</v>
      </c>
      <c r="P84" s="13">
        <v>33228.300000000003</v>
      </c>
      <c r="Q84" s="14">
        <v>0.26173304179680146</v>
      </c>
      <c r="R84" s="13">
        <v>32551.15</v>
      </c>
      <c r="S84" s="14">
        <v>0.26416411323808237</v>
      </c>
      <c r="T84" s="13">
        <v>33920.61</v>
      </c>
      <c r="U84" s="14">
        <v>0.26539242516979683</v>
      </c>
      <c r="V84" s="13">
        <v>31736.720000000001</v>
      </c>
      <c r="W84" s="14">
        <v>0.28543098372254683</v>
      </c>
      <c r="X84" s="13">
        <v>34920.54</v>
      </c>
      <c r="Y84" s="14">
        <v>0.26593466211284716</v>
      </c>
      <c r="Z84" s="13">
        <v>133129.02000000002</v>
      </c>
      <c r="AA84" s="14">
        <v>0.26974449296648167</v>
      </c>
      <c r="AB84" s="13">
        <v>33282.255000000005</v>
      </c>
      <c r="AC84" s="14">
        <v>0.26974449296648167</v>
      </c>
      <c r="AD84" s="15">
        <v>1638.2849999999962</v>
      </c>
      <c r="AE84" s="16">
        <v>0.20664263192697546</v>
      </c>
      <c r="AF84" s="15">
        <v>4.9223978363244797E-2</v>
      </c>
      <c r="AG84" s="13">
        <v>33641.727500000001</v>
      </c>
      <c r="AH84" s="14">
        <v>0.2727673926245871</v>
      </c>
      <c r="AI84" s="15">
        <v>1278.8125</v>
      </c>
      <c r="AJ84" s="16">
        <v>0.16029995152064391</v>
      </c>
      <c r="AK84" s="15">
        <v>3.8012688260434899E-2</v>
      </c>
      <c r="AL84" s="16">
        <v>0.58768003747891728</v>
      </c>
    </row>
    <row r="85" spans="1:38" ht="16.5" customHeight="1">
      <c r="A85" s="12" t="s">
        <v>96</v>
      </c>
      <c r="B85" s="28">
        <v>31153.390000000003</v>
      </c>
      <c r="C85" s="29">
        <v>0.25307937273365277</v>
      </c>
      <c r="D85" s="28">
        <v>35931.919999999998</v>
      </c>
      <c r="E85" s="29">
        <v>0.2137279914461028</v>
      </c>
      <c r="F85" s="28">
        <v>39727.300000000003</v>
      </c>
      <c r="G85" s="29">
        <v>0.2389064233812975</v>
      </c>
      <c r="H85" s="28">
        <v>33150.729999999996</v>
      </c>
      <c r="I85" s="29">
        <v>0.23006770920553848</v>
      </c>
      <c r="J85" s="28">
        <v>32851.799999999996</v>
      </c>
      <c r="K85" s="29">
        <v>0.28980633616910423</v>
      </c>
      <c r="L85" s="28">
        <v>33761.440000000002</v>
      </c>
      <c r="M85" s="29">
        <v>0.26388494606846963</v>
      </c>
      <c r="N85" s="28">
        <v>36163.26</v>
      </c>
      <c r="O85" s="29">
        <v>0.28956397726070748</v>
      </c>
      <c r="P85" s="28">
        <v>33228.300000000003</v>
      </c>
      <c r="Q85" s="29">
        <v>0.26173304179680146</v>
      </c>
      <c r="R85" s="28">
        <v>32551.15</v>
      </c>
      <c r="S85" s="29">
        <v>0.26416411323808237</v>
      </c>
      <c r="T85" s="28">
        <v>33920.61</v>
      </c>
      <c r="U85" s="29">
        <v>0.26539242516979683</v>
      </c>
      <c r="V85" s="28">
        <v>31736.720000000001</v>
      </c>
      <c r="W85" s="29">
        <v>0.28543098372254683</v>
      </c>
      <c r="X85" s="28">
        <v>34920.54</v>
      </c>
      <c r="Y85" s="29">
        <v>0.26593466211284716</v>
      </c>
      <c r="Z85" s="28">
        <v>133129.02000000002</v>
      </c>
      <c r="AA85" s="29">
        <v>0.26974449296648167</v>
      </c>
      <c r="AB85" s="28">
        <v>33282.255000000005</v>
      </c>
      <c r="AC85" s="29">
        <v>0.26974449296648167</v>
      </c>
      <c r="AD85" s="30">
        <v>1638.2849999999962</v>
      </c>
      <c r="AE85" s="31">
        <v>0.20664263192697546</v>
      </c>
      <c r="AF85" s="30">
        <v>4.9223978363244797E-2</v>
      </c>
      <c r="AG85" s="28">
        <v>33641.727500000001</v>
      </c>
      <c r="AH85" s="29">
        <v>0.2727673926245871</v>
      </c>
      <c r="AI85" s="30">
        <v>1278.8125</v>
      </c>
      <c r="AJ85" s="31">
        <v>0.16029995152064391</v>
      </c>
      <c r="AK85" s="30">
        <v>3.8012688260434899E-2</v>
      </c>
      <c r="AL85" s="31">
        <v>0.58768003747891728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v>60033.320000000036</v>
      </c>
      <c r="C87" s="34">
        <v>0.48768994220913547</v>
      </c>
      <c r="D87" s="33">
        <v>91111.259999999966</v>
      </c>
      <c r="E87" s="34">
        <v>0.54194227856244925</v>
      </c>
      <c r="F87" s="33">
        <v>86833.379999999932</v>
      </c>
      <c r="G87" s="34">
        <v>0.52218631132518623</v>
      </c>
      <c r="H87" s="33">
        <v>76683.100000000093</v>
      </c>
      <c r="I87" s="34">
        <v>0.53218451454249283</v>
      </c>
      <c r="J87" s="33">
        <v>49798.630000000026</v>
      </c>
      <c r="K87" s="34">
        <v>0.43930495456994284</v>
      </c>
      <c r="L87" s="33">
        <v>61583.759999999951</v>
      </c>
      <c r="M87" s="34">
        <v>0.48134875722995119</v>
      </c>
      <c r="N87" s="33">
        <v>58026.380000000041</v>
      </c>
      <c r="O87" s="34">
        <v>0.46462485347950333</v>
      </c>
      <c r="P87" s="33">
        <v>62617.309999999983</v>
      </c>
      <c r="Q87" s="34">
        <v>0.49322472156063557</v>
      </c>
      <c r="R87" s="33">
        <v>61688.850000000028</v>
      </c>
      <c r="S87" s="34">
        <v>0.50062687053843213</v>
      </c>
      <c r="T87" s="33">
        <v>64570.98000000001</v>
      </c>
      <c r="U87" s="34">
        <v>0.50519872660870346</v>
      </c>
      <c r="V87" s="33">
        <v>50885.719999999958</v>
      </c>
      <c r="W87" s="34">
        <v>0.45765161355773576</v>
      </c>
      <c r="X87" s="33">
        <v>63971.500000000065</v>
      </c>
      <c r="Y87" s="34">
        <v>0.48716999328624411</v>
      </c>
      <c r="Z87" s="33">
        <v>241117.04999999976</v>
      </c>
      <c r="AA87" s="34">
        <v>0.4885486004315493</v>
      </c>
      <c r="AB87" s="33">
        <v>60279.262500000012</v>
      </c>
      <c r="AC87" s="34">
        <v>0.48854860043154991</v>
      </c>
      <c r="AD87" s="15">
        <v>3692.2375000000538</v>
      </c>
      <c r="AE87" s="16">
        <v>0.46571486322556144</v>
      </c>
      <c r="AF87" s="15">
        <v>6.1252200953852962E-2</v>
      </c>
      <c r="AG87" s="33">
        <v>59142.891250000008</v>
      </c>
      <c r="AH87" s="34">
        <v>0.47953102998477143</v>
      </c>
      <c r="AI87" s="15">
        <v>4828.6087500000576</v>
      </c>
      <c r="AJ87" s="16">
        <v>0.60526914503663842</v>
      </c>
      <c r="AK87" s="15">
        <v>8.1643096033118895E-2</v>
      </c>
      <c r="AL87" s="16">
        <v>1.2622105915770667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2775.24</v>
      </c>
      <c r="C90" s="8">
        <v>2.2545090546657761E-2</v>
      </c>
      <c r="D90" s="7">
        <v>3628.63</v>
      </c>
      <c r="E90" s="8">
        <v>2.1583589232110949E-2</v>
      </c>
      <c r="F90" s="7">
        <v>2533.69</v>
      </c>
      <c r="G90" s="8">
        <v>1.5236746918541145E-2</v>
      </c>
      <c r="H90" s="7">
        <v>3249.4299999999994</v>
      </c>
      <c r="I90" s="8">
        <v>2.2551205247177148E-2</v>
      </c>
      <c r="J90" s="7">
        <v>2727.7499999999995</v>
      </c>
      <c r="K90" s="8">
        <v>2.4063193903690942E-2</v>
      </c>
      <c r="L90" s="7">
        <v>1807.8100000000002</v>
      </c>
      <c r="M90" s="8">
        <v>1.4130139127716119E-2</v>
      </c>
      <c r="N90" s="7">
        <v>2241.21</v>
      </c>
      <c r="O90" s="8">
        <v>1.7945663125406013E-2</v>
      </c>
      <c r="P90" s="7">
        <v>2573.41</v>
      </c>
      <c r="Q90" s="8">
        <v>2.027026441588365E-2</v>
      </c>
      <c r="R90" s="7">
        <v>2723.41</v>
      </c>
      <c r="S90" s="8">
        <v>2.2101436896506753E-2</v>
      </c>
      <c r="T90" s="7">
        <v>2921.7499999999995</v>
      </c>
      <c r="U90" s="8">
        <v>2.2859562909978738E-2</v>
      </c>
      <c r="V90" s="7">
        <v>2710.75</v>
      </c>
      <c r="W90" s="8">
        <v>2.4379710289087649E-2</v>
      </c>
      <c r="X90" s="7">
        <v>2909.7799999999997</v>
      </c>
      <c r="Y90" s="8">
        <v>2.215920375580447E-2</v>
      </c>
      <c r="Z90" s="7">
        <v>11265.69</v>
      </c>
      <c r="AA90" s="8">
        <v>2.2826411829423538E-2</v>
      </c>
      <c r="AB90" s="9">
        <v>2816.4224999999997</v>
      </c>
      <c r="AC90" s="8">
        <v>2.2826411829423535E-2</v>
      </c>
      <c r="AD90" s="10">
        <v>93.357500000000073</v>
      </c>
      <c r="AE90" s="11">
        <v>1.1775508846215811E-2</v>
      </c>
      <c r="AF90" s="10">
        <v>3.3147547997503954E-2</v>
      </c>
      <c r="AG90" s="9">
        <v>2576.9837499999999</v>
      </c>
      <c r="AH90" s="8">
        <v>2.0894204624998247E-2</v>
      </c>
      <c r="AI90" s="10">
        <v>332.79624999999987</v>
      </c>
      <c r="AJ90" s="11">
        <v>4.1716219337277413E-2</v>
      </c>
      <c r="AK90" s="10">
        <v>0.12914177281870709</v>
      </c>
      <c r="AL90" s="11">
        <v>1.9965449791454268</v>
      </c>
    </row>
    <row r="91" spans="1:38" ht="16.5" hidden="1" customHeight="1">
      <c r="A91" s="6" t="s">
        <v>100</v>
      </c>
      <c r="B91" s="7">
        <v>10007.31</v>
      </c>
      <c r="C91" s="8">
        <v>8.1295927587694647E-2</v>
      </c>
      <c r="D91" s="7">
        <v>11686.550000000001</v>
      </c>
      <c r="E91" s="8">
        <v>6.9513203258675105E-2</v>
      </c>
      <c r="F91" s="7">
        <v>13466.490000000003</v>
      </c>
      <c r="G91" s="8">
        <v>8.0982874783839059E-2</v>
      </c>
      <c r="H91" s="7">
        <v>3947.0099999999998</v>
      </c>
      <c r="I91" s="8">
        <v>2.7392445020406865E-2</v>
      </c>
      <c r="J91" s="7">
        <v>3981.48</v>
      </c>
      <c r="K91" s="8">
        <v>3.5123132715119576E-2</v>
      </c>
      <c r="L91" s="7">
        <v>3814.29</v>
      </c>
      <c r="M91" s="8">
        <v>2.9813115522901359E-2</v>
      </c>
      <c r="N91" s="7">
        <v>6868.91</v>
      </c>
      <c r="O91" s="8">
        <v>5.5000265436408284E-2</v>
      </c>
      <c r="P91" s="7">
        <v>6977.4700000000012</v>
      </c>
      <c r="Q91" s="8">
        <v>5.4960213045684804E-2</v>
      </c>
      <c r="R91" s="7">
        <v>6607.5899999999992</v>
      </c>
      <c r="S91" s="8">
        <v>5.3622933536628364E-2</v>
      </c>
      <c r="T91" s="7">
        <v>3386.75</v>
      </c>
      <c r="U91" s="8">
        <v>2.6497689633052279E-2</v>
      </c>
      <c r="V91" s="7">
        <v>1560.85</v>
      </c>
      <c r="W91" s="8">
        <v>1.4037838533513772E-2</v>
      </c>
      <c r="X91" s="7">
        <v>1389.9199999999998</v>
      </c>
      <c r="Y91" s="8">
        <v>1.0584827885361693E-2</v>
      </c>
      <c r="Z91" s="7">
        <v>12945.109999999999</v>
      </c>
      <c r="AA91" s="8">
        <v>2.6229233365838125E-2</v>
      </c>
      <c r="AB91" s="9">
        <v>3236.2775000000001</v>
      </c>
      <c r="AC91" s="8">
        <v>2.6229233365838128E-2</v>
      </c>
      <c r="AD91" s="10">
        <v>-1846.3575000000003</v>
      </c>
      <c r="AE91" s="11">
        <v>-0.23288754598748784</v>
      </c>
      <c r="AF91" s="10">
        <v>-0.57051890636696023</v>
      </c>
      <c r="AG91" s="9">
        <v>4323.4075000000003</v>
      </c>
      <c r="AH91" s="8">
        <v>3.5054222201537796E-2</v>
      </c>
      <c r="AI91" s="10">
        <v>-2933.4875000000002</v>
      </c>
      <c r="AJ91" s="11">
        <v>-0.36771450391391619</v>
      </c>
      <c r="AK91" s="10">
        <v>-0.67851283969877929</v>
      </c>
      <c r="AL91" s="11">
        <v>-10.489877704312175</v>
      </c>
    </row>
    <row r="92" spans="1:38" ht="16.5" hidden="1" customHeight="1">
      <c r="A92" s="6" t="s">
        <v>101</v>
      </c>
      <c r="B92" s="7">
        <v>1606.7600000000002</v>
      </c>
      <c r="C92" s="8">
        <v>1.3052762891406808E-2</v>
      </c>
      <c r="D92" s="7">
        <v>2270.69</v>
      </c>
      <c r="E92" s="8">
        <v>1.3506375748825869E-2</v>
      </c>
      <c r="F92" s="7">
        <v>2193.84</v>
      </c>
      <c r="G92" s="8">
        <v>1.3193005008415516E-2</v>
      </c>
      <c r="H92" s="7">
        <v>2449.08</v>
      </c>
      <c r="I92" s="8">
        <v>1.6996736580494616E-2</v>
      </c>
      <c r="J92" s="7">
        <v>2086.89</v>
      </c>
      <c r="K92" s="8">
        <v>1.8409765823727831E-2</v>
      </c>
      <c r="L92" s="7">
        <v>2096.62</v>
      </c>
      <c r="M92" s="8">
        <v>1.6387525402532438E-2</v>
      </c>
      <c r="N92" s="7">
        <v>2132.9500000000003</v>
      </c>
      <c r="O92" s="8">
        <v>1.7078811072293431E-2</v>
      </c>
      <c r="P92" s="7">
        <v>1781.1299999999999</v>
      </c>
      <c r="Q92" s="8">
        <v>1.402962452895685E-2</v>
      </c>
      <c r="R92" s="7">
        <v>2064.7399999999998</v>
      </c>
      <c r="S92" s="8">
        <v>1.6756096517855687E-2</v>
      </c>
      <c r="T92" s="7">
        <v>1726.78</v>
      </c>
      <c r="U92" s="8">
        <v>1.3510203145954681E-2</v>
      </c>
      <c r="V92" s="7">
        <v>1602.3400000000001</v>
      </c>
      <c r="W92" s="8">
        <v>1.4410987728347029E-2</v>
      </c>
      <c r="X92" s="7">
        <v>2301.19</v>
      </c>
      <c r="Y92" s="8">
        <v>1.7524533844764791E-2</v>
      </c>
      <c r="Z92" s="7">
        <v>7695.05</v>
      </c>
      <c r="AA92" s="8">
        <v>1.559162202652528E-2</v>
      </c>
      <c r="AB92" s="9">
        <v>1923.7624999999998</v>
      </c>
      <c r="AC92" s="8">
        <v>1.5591622026525278E-2</v>
      </c>
      <c r="AD92" s="10">
        <v>377.42750000000024</v>
      </c>
      <c r="AE92" s="11">
        <v>4.760625407765972E-2</v>
      </c>
      <c r="AF92" s="10">
        <v>0.19619235742457827</v>
      </c>
      <c r="AG92" s="9">
        <v>1974.0800000000004</v>
      </c>
      <c r="AH92" s="8">
        <v>1.6005856251952132E-2</v>
      </c>
      <c r="AI92" s="10">
        <v>327.10999999999967</v>
      </c>
      <c r="AJ92" s="11">
        <v>4.10034443219141E-2</v>
      </c>
      <c r="AK92" s="10">
        <v>0.16570250445777254</v>
      </c>
      <c r="AL92" s="11">
        <v>2.5617776191706816</v>
      </c>
    </row>
    <row r="93" spans="1:38" ht="16.5" hidden="1" customHeight="1">
      <c r="A93" s="6" t="s">
        <v>102</v>
      </c>
      <c r="B93" s="7">
        <v>10165.449999999999</v>
      </c>
      <c r="C93" s="8">
        <v>8.2580602289359525E-2</v>
      </c>
      <c r="D93" s="7">
        <v>16819.82</v>
      </c>
      <c r="E93" s="8">
        <v>0.10004659770713585</v>
      </c>
      <c r="F93" s="7">
        <v>16379.620000000003</v>
      </c>
      <c r="G93" s="8">
        <v>9.8501444360547238E-2</v>
      </c>
      <c r="H93" s="7">
        <v>13171.34</v>
      </c>
      <c r="I93" s="8">
        <v>9.1409752393605742E-2</v>
      </c>
      <c r="J93" s="7">
        <v>8902.130000000001</v>
      </c>
      <c r="K93" s="8">
        <v>7.8531273154014952E-2</v>
      </c>
      <c r="L93" s="7">
        <v>10948.640000000001</v>
      </c>
      <c r="M93" s="8">
        <v>8.5576363920587789E-2</v>
      </c>
      <c r="N93" s="7">
        <v>11301.440000000002</v>
      </c>
      <c r="O93" s="8">
        <v>9.0492115898103506E-2</v>
      </c>
      <c r="P93" s="7">
        <v>11272.529999999999</v>
      </c>
      <c r="Q93" s="8">
        <v>8.8791589267151722E-2</v>
      </c>
      <c r="R93" s="7">
        <v>10970.989999999998</v>
      </c>
      <c r="S93" s="8">
        <v>8.9033470236654269E-2</v>
      </c>
      <c r="T93" s="7">
        <v>13335.71</v>
      </c>
      <c r="U93" s="8">
        <v>0.10433764069281512</v>
      </c>
      <c r="V93" s="7">
        <v>8003.86</v>
      </c>
      <c r="W93" s="8">
        <v>7.1984427923791228E-2</v>
      </c>
      <c r="X93" s="7">
        <v>10062.51</v>
      </c>
      <c r="Y93" s="8">
        <v>7.6630263932262951E-2</v>
      </c>
      <c r="Z93" s="7">
        <v>42373.07</v>
      </c>
      <c r="AA93" s="8">
        <v>8.5855828297866491E-2</v>
      </c>
      <c r="AB93" s="9">
        <v>10593.2675</v>
      </c>
      <c r="AC93" s="8">
        <v>8.5855828297866491E-2</v>
      </c>
      <c r="AD93" s="10">
        <v>-530.75749999999971</v>
      </c>
      <c r="AE93" s="11">
        <v>-6.6946304650889119E-2</v>
      </c>
      <c r="AF93" s="10">
        <v>-5.0103284940175422E-2</v>
      </c>
      <c r="AG93" s="9">
        <v>10599.72625</v>
      </c>
      <c r="AH93" s="8">
        <v>8.5942664262615293E-2</v>
      </c>
      <c r="AI93" s="10">
        <v>-537.21624999999949</v>
      </c>
      <c r="AJ93" s="11">
        <v>-6.7340394961029892E-2</v>
      </c>
      <c r="AK93" s="10">
        <v>-5.0682087190695092E-2</v>
      </c>
      <c r="AL93" s="11">
        <v>-0.78355023711224048</v>
      </c>
    </row>
    <row r="94" spans="1:38" ht="16.5" hidden="1" customHeight="1">
      <c r="A94" s="6" t="s">
        <v>103</v>
      </c>
      <c r="B94" s="7">
        <v>3352.45</v>
      </c>
      <c r="C94" s="8">
        <v>2.7234145084080227E-2</v>
      </c>
      <c r="D94" s="7">
        <v>4855.3999999999996</v>
      </c>
      <c r="E94" s="8">
        <v>2.8880585553663917E-2</v>
      </c>
      <c r="F94" s="7">
        <v>4400.92</v>
      </c>
      <c r="G94" s="8">
        <v>2.6465630858055283E-2</v>
      </c>
      <c r="H94" s="7">
        <v>3880.6099999999997</v>
      </c>
      <c r="I94" s="8">
        <v>2.6931625729511983E-2</v>
      </c>
      <c r="J94" s="7">
        <v>3070.28</v>
      </c>
      <c r="K94" s="8">
        <v>2.708486590729511E-2</v>
      </c>
      <c r="L94" s="7">
        <v>3448.5699999999997</v>
      </c>
      <c r="M94" s="8">
        <v>2.6954588088166326E-2</v>
      </c>
      <c r="N94" s="7">
        <v>3237.78</v>
      </c>
      <c r="O94" s="8">
        <v>2.5925330136032359E-2</v>
      </c>
      <c r="P94" s="7">
        <v>3570.71</v>
      </c>
      <c r="Q94" s="8">
        <v>2.8125808111587314E-2</v>
      </c>
      <c r="R94" s="7">
        <v>3353.83</v>
      </c>
      <c r="S94" s="8">
        <v>2.7217518517818194E-2</v>
      </c>
      <c r="T94" s="7">
        <v>3261.43</v>
      </c>
      <c r="U94" s="8">
        <v>2.5517194921362868E-2</v>
      </c>
      <c r="V94" s="7">
        <v>2800.69</v>
      </c>
      <c r="W94" s="8">
        <v>2.5188604928357426E-2</v>
      </c>
      <c r="X94" s="7">
        <v>3133.2999999999997</v>
      </c>
      <c r="Y94" s="8">
        <v>2.3861402967943333E-2</v>
      </c>
      <c r="Z94" s="7">
        <v>12549.25</v>
      </c>
      <c r="AA94" s="8">
        <v>2.5427146375445561E-2</v>
      </c>
      <c r="AB94" s="9">
        <v>3137.3125</v>
      </c>
      <c r="AC94" s="8">
        <v>2.5427146375445561E-2</v>
      </c>
      <c r="AD94" s="10">
        <v>-4.0125000000002728</v>
      </c>
      <c r="AE94" s="11">
        <v>-5.0611069539612907E-4</v>
      </c>
      <c r="AF94" s="10">
        <v>-1.2789608940774223E-3</v>
      </c>
      <c r="AG94" s="9">
        <v>3234.5737499999996</v>
      </c>
      <c r="AH94" s="8">
        <v>2.6225949545528923E-2</v>
      </c>
      <c r="AI94" s="10">
        <v>-101.27374999999984</v>
      </c>
      <c r="AJ94" s="11">
        <v>-1.2694728285275429E-2</v>
      </c>
      <c r="AK94" s="10">
        <v>-3.1309766858770759E-2</v>
      </c>
      <c r="AL94" s="11">
        <v>-0.48405218896791724</v>
      </c>
    </row>
    <row r="95" spans="1:38" ht="16.5" hidden="1" customHeight="1">
      <c r="A95" s="6" t="s">
        <v>104</v>
      </c>
      <c r="B95" s="7">
        <v>0</v>
      </c>
      <c r="C95" s="8">
        <v>0</v>
      </c>
      <c r="D95" s="7">
        <v>-1346</v>
      </c>
      <c r="E95" s="8">
        <v>-8.0061927246430024E-3</v>
      </c>
      <c r="F95" s="7">
        <v>0</v>
      </c>
      <c r="G95" s="8">
        <v>0</v>
      </c>
      <c r="H95" s="7">
        <v>4399.22</v>
      </c>
      <c r="I95" s="8">
        <v>3.0530804832689634E-2</v>
      </c>
      <c r="J95" s="7">
        <v>0</v>
      </c>
      <c r="K95" s="8">
        <v>0</v>
      </c>
      <c r="L95" s="7">
        <v>0</v>
      </c>
      <c r="M95" s="8">
        <v>0</v>
      </c>
      <c r="N95" s="7">
        <v>0</v>
      </c>
      <c r="O95" s="8">
        <v>0</v>
      </c>
      <c r="P95" s="7">
        <v>4545.34</v>
      </c>
      <c r="Q95" s="8">
        <v>3.5802784499979638E-2</v>
      </c>
      <c r="R95" s="7">
        <v>0</v>
      </c>
      <c r="S95" s="8">
        <v>0</v>
      </c>
      <c r="T95" s="7">
        <v>0</v>
      </c>
      <c r="U95" s="8">
        <v>0</v>
      </c>
      <c r="V95" s="7">
        <v>0</v>
      </c>
      <c r="W95" s="8">
        <v>0</v>
      </c>
      <c r="X95" s="7">
        <v>-41</v>
      </c>
      <c r="Y95" s="8">
        <v>-3.1223231790306603E-4</v>
      </c>
      <c r="Z95" s="7">
        <v>-41</v>
      </c>
      <c r="AA95" s="8">
        <v>-8.307372961677136E-5</v>
      </c>
      <c r="AB95" s="9">
        <v>-10.25</v>
      </c>
      <c r="AC95" s="8">
        <v>-8.307372961677136E-5</v>
      </c>
      <c r="AD95" s="10">
        <v>-30.75</v>
      </c>
      <c r="AE95" s="11">
        <v>-3.8786053292037162E-3</v>
      </c>
      <c r="AF95" s="10">
        <v>3</v>
      </c>
      <c r="AG95" s="9">
        <v>563.04250000000002</v>
      </c>
      <c r="AH95" s="8">
        <v>4.5651530428046268E-3</v>
      </c>
      <c r="AI95" s="10">
        <v>-604.04250000000002</v>
      </c>
      <c r="AJ95" s="11">
        <v>-7.5717107446485354E-2</v>
      </c>
      <c r="AK95" s="10">
        <v>-1.0728186593374389</v>
      </c>
      <c r="AL95" s="11">
        <v>-16.585885891783406</v>
      </c>
    </row>
    <row r="96" spans="1:38" ht="16.5" hidden="1" customHeight="1">
      <c r="A96" s="6" t="s">
        <v>105</v>
      </c>
      <c r="B96" s="7">
        <v>0</v>
      </c>
      <c r="C96" s="8">
        <v>0</v>
      </c>
      <c r="D96" s="7">
        <v>0</v>
      </c>
      <c r="E96" s="8">
        <v>0</v>
      </c>
      <c r="F96" s="7">
        <v>0</v>
      </c>
      <c r="G96" s="8">
        <v>0</v>
      </c>
      <c r="H96" s="7">
        <v>0</v>
      </c>
      <c r="I96" s="8">
        <v>0</v>
      </c>
      <c r="J96" s="7">
        <v>0</v>
      </c>
      <c r="K96" s="8">
        <v>0</v>
      </c>
      <c r="L96" s="7">
        <v>0</v>
      </c>
      <c r="M96" s="8">
        <v>0</v>
      </c>
      <c r="N96" s="7">
        <v>0</v>
      </c>
      <c r="O96" s="8">
        <v>0</v>
      </c>
      <c r="P96" s="7">
        <v>0</v>
      </c>
      <c r="Q96" s="8">
        <v>0</v>
      </c>
      <c r="R96" s="7">
        <v>0</v>
      </c>
      <c r="S96" s="8">
        <v>0</v>
      </c>
      <c r="T96" s="7">
        <v>0</v>
      </c>
      <c r="U96" s="8">
        <v>0</v>
      </c>
      <c r="V96" s="7">
        <v>0</v>
      </c>
      <c r="W96" s="8">
        <v>0</v>
      </c>
      <c r="X96" s="7">
        <v>0</v>
      </c>
      <c r="Y96" s="8">
        <v>0</v>
      </c>
      <c r="Z96" s="7">
        <v>0</v>
      </c>
      <c r="AA96" s="8">
        <v>0</v>
      </c>
      <c r="AB96" s="9">
        <v>0</v>
      </c>
      <c r="AC96" s="8">
        <v>0</v>
      </c>
      <c r="AD96" s="10">
        <v>0</v>
      </c>
      <c r="AE96" s="11">
        <v>0</v>
      </c>
      <c r="AF96" s="10" t="s">
        <v>316</v>
      </c>
      <c r="AG96" s="9">
        <v>0</v>
      </c>
      <c r="AH96" s="8">
        <v>0</v>
      </c>
      <c r="AI96" s="10">
        <v>0</v>
      </c>
      <c r="AJ96" s="11">
        <v>0</v>
      </c>
      <c r="AK96" s="10" t="s">
        <v>316</v>
      </c>
      <c r="AL96" s="11" t="s">
        <v>316</v>
      </c>
    </row>
    <row r="97" spans="1:38" ht="16.5" hidden="1" customHeight="1">
      <c r="A97" s="6" t="s">
        <v>106</v>
      </c>
      <c r="B97" s="7">
        <v>4257.8100000000004</v>
      </c>
      <c r="C97" s="8">
        <v>3.4588976802173828E-2</v>
      </c>
      <c r="D97" s="7">
        <v>1030.69</v>
      </c>
      <c r="E97" s="8">
        <v>6.1306855715916025E-3</v>
      </c>
      <c r="F97" s="7">
        <v>3360.1200000000003</v>
      </c>
      <c r="G97" s="8">
        <v>2.0206614880245204E-2</v>
      </c>
      <c r="H97" s="7">
        <v>4481.1899999999996</v>
      </c>
      <c r="I97" s="8">
        <v>3.1099680695259715E-2</v>
      </c>
      <c r="J97" s="7">
        <v>671.29000000000008</v>
      </c>
      <c r="K97" s="8">
        <v>5.9218701991050121E-3</v>
      </c>
      <c r="L97" s="7">
        <v>888.5</v>
      </c>
      <c r="M97" s="8">
        <v>6.9446615601062994E-3</v>
      </c>
      <c r="N97" s="7">
        <v>2810.5199999999995</v>
      </c>
      <c r="O97" s="8">
        <v>2.2504203143487712E-2</v>
      </c>
      <c r="P97" s="7">
        <v>4175.1000000000004</v>
      </c>
      <c r="Q97" s="8">
        <v>3.2886473963634179E-2</v>
      </c>
      <c r="R97" s="7">
        <v>2628.29</v>
      </c>
      <c r="S97" s="8">
        <v>2.1329504400997183E-2</v>
      </c>
      <c r="T97" s="7">
        <v>2603.31</v>
      </c>
      <c r="U97" s="8">
        <v>2.0368111138590488E-2</v>
      </c>
      <c r="V97" s="7">
        <v>1276.05</v>
      </c>
      <c r="W97" s="8">
        <v>1.1476428779633051E-2</v>
      </c>
      <c r="X97" s="7">
        <v>1246.3300000000002</v>
      </c>
      <c r="Y97" s="8">
        <v>9.4913293846860553E-3</v>
      </c>
      <c r="Z97" s="7">
        <v>7753.9800000000005</v>
      </c>
      <c r="AA97" s="8">
        <v>1.5711025316435437E-2</v>
      </c>
      <c r="AB97" s="9">
        <v>1938.4950000000001</v>
      </c>
      <c r="AC97" s="8">
        <v>1.5711025316435437E-2</v>
      </c>
      <c r="AD97" s="10">
        <v>-692.16499999999996</v>
      </c>
      <c r="AE97" s="11">
        <v>-8.7305198624009428E-2</v>
      </c>
      <c r="AF97" s="10">
        <v>-0.35706308244282287</v>
      </c>
      <c r="AG97" s="9">
        <v>2037.4237499999999</v>
      </c>
      <c r="AH97" s="8">
        <v>1.6519447877904266E-2</v>
      </c>
      <c r="AI97" s="10">
        <v>-791.09374999999977</v>
      </c>
      <c r="AJ97" s="11">
        <v>-9.9164099329091912E-2</v>
      </c>
      <c r="AK97" s="10">
        <v>-0.38828140194203575</v>
      </c>
      <c r="AL97" s="11">
        <v>-6.0028700754417912</v>
      </c>
    </row>
    <row r="98" spans="1:38" ht="16.5" hidden="1" customHeight="1">
      <c r="A98" s="6" t="s">
        <v>107</v>
      </c>
      <c r="B98" s="7">
        <v>2003.01</v>
      </c>
      <c r="C98" s="8">
        <v>1.6271760934499706E-2</v>
      </c>
      <c r="D98" s="7">
        <v>3628.75</v>
      </c>
      <c r="E98" s="8">
        <v>2.1584303008579712E-2</v>
      </c>
      <c r="F98" s="7">
        <v>9114.1000000000022</v>
      </c>
      <c r="G98" s="8">
        <v>5.4809086782627664E-2</v>
      </c>
      <c r="H98" s="7">
        <v>4443.0499999999993</v>
      </c>
      <c r="I98" s="8">
        <v>3.0834987204977619E-2</v>
      </c>
      <c r="J98" s="7">
        <v>1622.7</v>
      </c>
      <c r="K98" s="8">
        <v>1.4314854641194866E-2</v>
      </c>
      <c r="L98" s="7">
        <v>3459.4299999999994</v>
      </c>
      <c r="M98" s="8">
        <v>2.7039471627325305E-2</v>
      </c>
      <c r="N98" s="7">
        <v>10094.550000000001</v>
      </c>
      <c r="O98" s="8">
        <v>8.0828388996375747E-2</v>
      </c>
      <c r="P98" s="7">
        <v>5050.13</v>
      </c>
      <c r="Q98" s="8">
        <v>3.9778919967897265E-2</v>
      </c>
      <c r="R98" s="7">
        <v>2184.6799999999998</v>
      </c>
      <c r="S98" s="8">
        <v>1.7729452105654447E-2</v>
      </c>
      <c r="T98" s="7">
        <v>2770.1299999999997</v>
      </c>
      <c r="U98" s="8">
        <v>2.1673298880403664E-2</v>
      </c>
      <c r="V98" s="7">
        <v>3889.5399999999995</v>
      </c>
      <c r="W98" s="8">
        <v>3.4981410442799211E-2</v>
      </c>
      <c r="X98" s="7">
        <v>9981.3100000000013</v>
      </c>
      <c r="Y98" s="8">
        <v>7.6011891634367126E-2</v>
      </c>
      <c r="Z98" s="7">
        <v>18825.659999999996</v>
      </c>
      <c r="AA98" s="8">
        <v>3.8144336309689456E-2</v>
      </c>
      <c r="AB98" s="9">
        <v>4706.415</v>
      </c>
      <c r="AC98" s="8">
        <v>3.8144336309689462E-2</v>
      </c>
      <c r="AD98" s="10">
        <v>5274.8950000000013</v>
      </c>
      <c r="AE98" s="11">
        <v>0.6653410035118712</v>
      </c>
      <c r="AF98" s="10">
        <v>1.1207883282710942</v>
      </c>
      <c r="AG98" s="9">
        <v>4881.5587500000001</v>
      </c>
      <c r="AH98" s="8">
        <v>3.9579716950660121E-2</v>
      </c>
      <c r="AI98" s="10">
        <v>5099.7512500000012</v>
      </c>
      <c r="AJ98" s="11">
        <v>0.63925702801805839</v>
      </c>
      <c r="AK98" s="10">
        <v>1.0446973008365414</v>
      </c>
      <c r="AL98" s="11">
        <v>16.151126821218888</v>
      </c>
    </row>
    <row r="99" spans="1:38" ht="16.5" hidden="1" customHeight="1">
      <c r="A99" s="12" t="s">
        <v>108</v>
      </c>
      <c r="B99" s="13">
        <v>34168.03</v>
      </c>
      <c r="C99" s="14">
        <v>0.27756926613587252</v>
      </c>
      <c r="D99" s="13">
        <v>42574.530000000006</v>
      </c>
      <c r="E99" s="14">
        <v>0.25323914735594005</v>
      </c>
      <c r="F99" s="13">
        <v>51448.780000000013</v>
      </c>
      <c r="G99" s="14">
        <v>0.30939540359227113</v>
      </c>
      <c r="H99" s="13">
        <v>40020.930000000008</v>
      </c>
      <c r="I99" s="14">
        <v>0.27774723770412341</v>
      </c>
      <c r="J99" s="13">
        <v>23062.52</v>
      </c>
      <c r="K99" s="14">
        <v>0.20344895634414828</v>
      </c>
      <c r="L99" s="13">
        <v>26463.86</v>
      </c>
      <c r="M99" s="14">
        <v>0.20684586524933563</v>
      </c>
      <c r="N99" s="13">
        <v>38687.360000000001</v>
      </c>
      <c r="O99" s="14">
        <v>0.30977477780810703</v>
      </c>
      <c r="P99" s="13">
        <v>39945.82</v>
      </c>
      <c r="Q99" s="14">
        <v>0.3146456778007754</v>
      </c>
      <c r="R99" s="13">
        <v>30533.53</v>
      </c>
      <c r="S99" s="14">
        <v>0.24779041221211492</v>
      </c>
      <c r="T99" s="13">
        <v>30005.86</v>
      </c>
      <c r="U99" s="14">
        <v>0.23476370132215785</v>
      </c>
      <c r="V99" s="13">
        <v>21844.079999999998</v>
      </c>
      <c r="W99" s="14">
        <v>0.19645940862552935</v>
      </c>
      <c r="X99" s="13">
        <v>30983.340000000004</v>
      </c>
      <c r="Y99" s="14">
        <v>0.23595122108728736</v>
      </c>
      <c r="Z99" s="13">
        <v>113366.81</v>
      </c>
      <c r="AA99" s="14">
        <v>0.22970252979160713</v>
      </c>
      <c r="AB99" s="13">
        <v>28341.702499999999</v>
      </c>
      <c r="AC99" s="14">
        <v>0.22970252979160713</v>
      </c>
      <c r="AD99" s="15">
        <v>2641.6375000000044</v>
      </c>
      <c r="AE99" s="16">
        <v>0.33319900114876094</v>
      </c>
      <c r="AF99" s="15">
        <v>9.3206733081754867E-2</v>
      </c>
      <c r="AG99" s="13">
        <v>30190.796249999999</v>
      </c>
      <c r="AH99" s="14">
        <v>0.24478721475800141</v>
      </c>
      <c r="AI99" s="15">
        <v>792.54375000000437</v>
      </c>
      <c r="AJ99" s="16">
        <v>9.9345857741451563E-2</v>
      </c>
      <c r="AK99" s="15">
        <v>2.6251170834886622E-2</v>
      </c>
      <c r="AL99" s="16">
        <v>0.40584577850467263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v>25865.290000000037</v>
      </c>
      <c r="C101" s="34">
        <v>0.21012067607326299</v>
      </c>
      <c r="D101" s="33">
        <v>48536.72999999996</v>
      </c>
      <c r="E101" s="34">
        <v>0.28870313120650926</v>
      </c>
      <c r="F101" s="33">
        <v>35384.599999999919</v>
      </c>
      <c r="G101" s="34">
        <v>0.21279090773291512</v>
      </c>
      <c r="H101" s="33">
        <v>36662.170000000086</v>
      </c>
      <c r="I101" s="34">
        <v>0.25443727683836942</v>
      </c>
      <c r="J101" s="33">
        <v>26736.110000000026</v>
      </c>
      <c r="K101" s="34">
        <v>0.23585599822579456</v>
      </c>
      <c r="L101" s="33">
        <v>35119.899999999951</v>
      </c>
      <c r="M101" s="34">
        <v>0.2745028919806155</v>
      </c>
      <c r="N101" s="33">
        <v>19339.02000000004</v>
      </c>
      <c r="O101" s="34">
        <v>0.1548500756713963</v>
      </c>
      <c r="P101" s="33">
        <v>22671.489999999983</v>
      </c>
      <c r="Q101" s="34">
        <v>0.17857904375986014</v>
      </c>
      <c r="R101" s="33">
        <v>31155.320000000029</v>
      </c>
      <c r="S101" s="34">
        <v>0.25283645832631718</v>
      </c>
      <c r="T101" s="33">
        <v>34565.12000000001</v>
      </c>
      <c r="U101" s="34">
        <v>0.27043502528654562</v>
      </c>
      <c r="V101" s="33">
        <v>29041.639999999959</v>
      </c>
      <c r="W101" s="34">
        <v>0.26119220493220641</v>
      </c>
      <c r="X101" s="33">
        <v>32988.160000000062</v>
      </c>
      <c r="Y101" s="34">
        <v>0.25121877219895672</v>
      </c>
      <c r="Z101" s="33">
        <v>127750.23999999976</v>
      </c>
      <c r="AA101" s="34">
        <v>0.25884607063994219</v>
      </c>
      <c r="AB101" s="33">
        <v>31937.560000000012</v>
      </c>
      <c r="AC101" s="34">
        <v>0.25884607063994275</v>
      </c>
      <c r="AD101" s="15">
        <v>1050.6000000000495</v>
      </c>
      <c r="AE101" s="16">
        <v>0.13251586207680052</v>
      </c>
      <c r="AF101" s="15">
        <v>3.2895437221880729E-2</v>
      </c>
      <c r="AG101" s="33">
        <v>28952.095000000012</v>
      </c>
      <c r="AH101" s="34">
        <v>0.23474381522677004</v>
      </c>
      <c r="AI101" s="15">
        <v>4036.0650000000496</v>
      </c>
      <c r="AJ101" s="16">
        <v>0.50592328729518643</v>
      </c>
      <c r="AK101" s="15">
        <v>0.13940493770830911</v>
      </c>
      <c r="AL101" s="16">
        <v>2.1552145550946604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-5101.42</v>
      </c>
      <c r="C104" s="34">
        <v>-4.1442172863078816E-2</v>
      </c>
      <c r="D104" s="39">
        <v>0</v>
      </c>
      <c r="E104" s="34">
        <v>0</v>
      </c>
      <c r="F104" s="39">
        <v>14531</v>
      </c>
      <c r="G104" s="34">
        <v>8.7384474609491045E-2</v>
      </c>
      <c r="H104" s="39">
        <v>72267.219999999987</v>
      </c>
      <c r="I104" s="34">
        <v>0.50153808848410497</v>
      </c>
      <c r="J104" s="39">
        <v>-8450.15</v>
      </c>
      <c r="K104" s="34">
        <v>-7.4544074040976641E-2</v>
      </c>
      <c r="L104" s="39">
        <v>0</v>
      </c>
      <c r="M104" s="34">
        <v>0</v>
      </c>
      <c r="N104" s="39">
        <v>14933.440000000002</v>
      </c>
      <c r="O104" s="34">
        <v>0.11957401740285971</v>
      </c>
      <c r="P104" s="39">
        <v>74446.34</v>
      </c>
      <c r="Q104" s="34">
        <v>0.58639975619694318</v>
      </c>
      <c r="R104" s="39">
        <v>-8748.61</v>
      </c>
      <c r="S104" s="34">
        <v>-7.0998069276072273E-2</v>
      </c>
      <c r="T104" s="39">
        <v>0</v>
      </c>
      <c r="U104" s="34">
        <v>0</v>
      </c>
      <c r="V104" s="39">
        <v>0</v>
      </c>
      <c r="W104" s="34">
        <v>0</v>
      </c>
      <c r="X104" s="39">
        <v>10157.130000000001</v>
      </c>
      <c r="Y104" s="34">
        <v>7.7350835198604126E-2</v>
      </c>
      <c r="Z104" s="39">
        <v>1408.52</v>
      </c>
      <c r="AA104" s="34">
        <v>2.8539270643857268E-3</v>
      </c>
      <c r="AB104" s="33">
        <v>352.13000000000011</v>
      </c>
      <c r="AC104" s="34">
        <v>2.8539270643857277E-3</v>
      </c>
      <c r="AD104" s="15">
        <v>9805</v>
      </c>
      <c r="AE104" s="16">
        <v>1.2367390326127621</v>
      </c>
      <c r="AF104" s="15">
        <v>27.8448300343623</v>
      </c>
      <c r="AG104" s="33">
        <v>10292.268750000001</v>
      </c>
      <c r="AH104" s="34">
        <v>8.3449796421096942E-2</v>
      </c>
      <c r="AI104" s="15">
        <v>-135.13875000000007</v>
      </c>
      <c r="AJ104" s="16">
        <v>-1.6939727343578851E-2</v>
      </c>
      <c r="AK104" s="15">
        <v>-1.3130122549510773E-2</v>
      </c>
      <c r="AL104" s="16">
        <v>-0.20299303377684835</v>
      </c>
    </row>
    <row r="105" spans="1:38" ht="16.5" hidden="1" customHeight="1">
      <c r="A105" s="12" t="s">
        <v>112</v>
      </c>
      <c r="B105" s="13">
        <v>-5101.42</v>
      </c>
      <c r="C105" s="14">
        <v>-4.1442172863078816E-2</v>
      </c>
      <c r="D105" s="13">
        <v>0</v>
      </c>
      <c r="E105" s="14">
        <v>0</v>
      </c>
      <c r="F105" s="13">
        <v>14531</v>
      </c>
      <c r="G105" s="14">
        <v>8.7384474609491045E-2</v>
      </c>
      <c r="H105" s="13">
        <v>72267.219999999987</v>
      </c>
      <c r="I105" s="14">
        <v>0.50153808848410497</v>
      </c>
      <c r="J105" s="13">
        <v>-8450.15</v>
      </c>
      <c r="K105" s="14">
        <v>-7.4544074040976641E-2</v>
      </c>
      <c r="L105" s="13">
        <v>0</v>
      </c>
      <c r="M105" s="14">
        <v>0</v>
      </c>
      <c r="N105" s="13">
        <v>14933.440000000002</v>
      </c>
      <c r="O105" s="14">
        <v>0.11957401740285971</v>
      </c>
      <c r="P105" s="13">
        <v>74446.34</v>
      </c>
      <c r="Q105" s="14">
        <v>0.58639975619694318</v>
      </c>
      <c r="R105" s="13">
        <v>-8748.61</v>
      </c>
      <c r="S105" s="14">
        <v>-7.0998069276072273E-2</v>
      </c>
      <c r="T105" s="13">
        <v>0</v>
      </c>
      <c r="U105" s="14">
        <v>0</v>
      </c>
      <c r="V105" s="13">
        <v>0</v>
      </c>
      <c r="W105" s="14">
        <v>0</v>
      </c>
      <c r="X105" s="13">
        <v>10157.130000000001</v>
      </c>
      <c r="Y105" s="14">
        <v>7.7350835198604126E-2</v>
      </c>
      <c r="Z105" s="13">
        <v>1408.52</v>
      </c>
      <c r="AA105" s="14">
        <v>2.8539270643857268E-3</v>
      </c>
      <c r="AB105" s="13">
        <v>352.13000000000011</v>
      </c>
      <c r="AC105" s="14">
        <v>2.8539270643857277E-3</v>
      </c>
      <c r="AD105" s="15">
        <v>9805</v>
      </c>
      <c r="AE105" s="16">
        <v>1.2367390326127621</v>
      </c>
      <c r="AF105" s="15">
        <v>27.8448300343623</v>
      </c>
      <c r="AG105" s="13">
        <v>10292.268750000001</v>
      </c>
      <c r="AH105" s="14">
        <v>8.3449796421096942E-2</v>
      </c>
      <c r="AI105" s="15">
        <v>-135.13875000000007</v>
      </c>
      <c r="AJ105" s="16">
        <v>-1.6939727343578851E-2</v>
      </c>
      <c r="AK105" s="15">
        <v>-1.3130122549510773E-2</v>
      </c>
      <c r="AL105" s="16">
        <v>-0.20299303377684835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v>30966.710000000036</v>
      </c>
      <c r="C107" s="34">
        <v>0.25156284893634179</v>
      </c>
      <c r="D107" s="33">
        <v>48536.72999999996</v>
      </c>
      <c r="E107" s="34">
        <v>0.28870313120650926</v>
      </c>
      <c r="F107" s="33">
        <v>20853.599999999919</v>
      </c>
      <c r="G107" s="34">
        <v>0.12540643312342409</v>
      </c>
      <c r="H107" s="33">
        <v>-35605.049999999901</v>
      </c>
      <c r="I107" s="34">
        <v>-0.24710081164573561</v>
      </c>
      <c r="J107" s="33">
        <v>35186.260000000024</v>
      </c>
      <c r="K107" s="34">
        <v>0.31040007226677119</v>
      </c>
      <c r="L107" s="33">
        <v>35119.899999999951</v>
      </c>
      <c r="M107" s="34">
        <v>0.2745028919806155</v>
      </c>
      <c r="N107" s="33">
        <v>4405.5800000000381</v>
      </c>
      <c r="O107" s="34">
        <v>3.5276058268536595E-2</v>
      </c>
      <c r="P107" s="33">
        <v>-51774.850000000013</v>
      </c>
      <c r="Q107" s="34">
        <v>-0.40782071243708307</v>
      </c>
      <c r="R107" s="33">
        <v>39903.930000000029</v>
      </c>
      <c r="S107" s="34">
        <v>0.32383452760238945</v>
      </c>
      <c r="T107" s="33">
        <v>34565.12000000001</v>
      </c>
      <c r="U107" s="34">
        <v>0.27043502528654562</v>
      </c>
      <c r="V107" s="33">
        <v>29041.639999999959</v>
      </c>
      <c r="W107" s="34">
        <v>0.26119220493220641</v>
      </c>
      <c r="X107" s="33">
        <v>22831.030000000061</v>
      </c>
      <c r="Y107" s="34">
        <v>0.17386793700035258</v>
      </c>
      <c r="Z107" s="33">
        <v>126341.71999999975</v>
      </c>
      <c r="AA107" s="34">
        <v>0.25599214357555644</v>
      </c>
      <c r="AB107" s="33">
        <v>31585.430000000015</v>
      </c>
      <c r="AC107" s="34">
        <v>0.25599214357555705</v>
      </c>
      <c r="AD107" s="15">
        <v>-8754.3999999999542</v>
      </c>
      <c r="AE107" s="16">
        <v>-1.1042231705359622</v>
      </c>
      <c r="AF107" s="15">
        <v>-0.27716576915368729</v>
      </c>
      <c r="AG107" s="33">
        <v>18659.826250000009</v>
      </c>
      <c r="AH107" s="34">
        <v>0.15129401880567309</v>
      </c>
      <c r="AI107" s="15">
        <v>4171.2037500000515</v>
      </c>
      <c r="AJ107" s="16">
        <v>0.5228630146387655</v>
      </c>
      <c r="AK107" s="15">
        <v>0.22353925991138579</v>
      </c>
      <c r="AL107" s="16">
        <v>3.4559397573432671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v>0</v>
      </c>
      <c r="D110" s="7">
        <v>0</v>
      </c>
      <c r="E110" s="8">
        <v>0</v>
      </c>
      <c r="F110" s="7">
        <v>0</v>
      </c>
      <c r="G110" s="8">
        <v>0</v>
      </c>
      <c r="H110" s="7">
        <v>0</v>
      </c>
      <c r="I110" s="8">
        <v>0</v>
      </c>
      <c r="J110" s="7">
        <v>0</v>
      </c>
      <c r="K110" s="8">
        <v>0</v>
      </c>
      <c r="L110" s="7">
        <v>0</v>
      </c>
      <c r="M110" s="8">
        <v>0</v>
      </c>
      <c r="N110" s="7">
        <v>0</v>
      </c>
      <c r="O110" s="8">
        <v>0</v>
      </c>
      <c r="P110" s="7">
        <v>0</v>
      </c>
      <c r="Q110" s="8">
        <v>0</v>
      </c>
      <c r="R110" s="7">
        <v>0</v>
      </c>
      <c r="S110" s="8">
        <v>0</v>
      </c>
      <c r="T110" s="7">
        <v>0</v>
      </c>
      <c r="U110" s="8">
        <v>0</v>
      </c>
      <c r="V110" s="7">
        <v>0</v>
      </c>
      <c r="W110" s="8">
        <v>0</v>
      </c>
      <c r="X110" s="7">
        <v>0</v>
      </c>
      <c r="Y110" s="8">
        <v>0</v>
      </c>
      <c r="Z110" s="7">
        <v>0</v>
      </c>
      <c r="AA110" s="8">
        <v>0</v>
      </c>
      <c r="AB110" s="9">
        <v>0</v>
      </c>
      <c r="AC110" s="8">
        <v>0</v>
      </c>
      <c r="AD110" s="10">
        <v>0</v>
      </c>
      <c r="AE110" s="11">
        <v>0</v>
      </c>
      <c r="AF110" s="10" t="s">
        <v>316</v>
      </c>
      <c r="AG110" s="9">
        <v>0</v>
      </c>
      <c r="AH110" s="8">
        <v>0</v>
      </c>
      <c r="AI110" s="10">
        <v>0</v>
      </c>
      <c r="AJ110" s="11">
        <v>0</v>
      </c>
      <c r="AK110" s="10" t="s">
        <v>316</v>
      </c>
      <c r="AL110" s="11" t="s">
        <v>316</v>
      </c>
    </row>
    <row r="111" spans="1:38" ht="16.5" hidden="1" customHeight="1">
      <c r="A111" s="6" t="s">
        <v>116</v>
      </c>
      <c r="B111" s="7">
        <v>0</v>
      </c>
      <c r="C111" s="8">
        <v>0</v>
      </c>
      <c r="D111" s="7">
        <v>0</v>
      </c>
      <c r="E111" s="8">
        <v>0</v>
      </c>
      <c r="F111" s="7">
        <v>0</v>
      </c>
      <c r="G111" s="8">
        <v>0</v>
      </c>
      <c r="H111" s="7">
        <v>0</v>
      </c>
      <c r="I111" s="8">
        <v>0</v>
      </c>
      <c r="J111" s="7">
        <v>0</v>
      </c>
      <c r="K111" s="8">
        <v>0</v>
      </c>
      <c r="L111" s="7">
        <v>0</v>
      </c>
      <c r="M111" s="8">
        <v>0</v>
      </c>
      <c r="N111" s="7">
        <v>0</v>
      </c>
      <c r="O111" s="8">
        <v>0</v>
      </c>
      <c r="P111" s="7">
        <v>0</v>
      </c>
      <c r="Q111" s="8">
        <v>0</v>
      </c>
      <c r="R111" s="7">
        <v>0</v>
      </c>
      <c r="S111" s="8">
        <v>0</v>
      </c>
      <c r="T111" s="7">
        <v>0</v>
      </c>
      <c r="U111" s="8">
        <v>0</v>
      </c>
      <c r="V111" s="7">
        <v>0</v>
      </c>
      <c r="W111" s="8">
        <v>0</v>
      </c>
      <c r="X111" s="7">
        <v>0</v>
      </c>
      <c r="Y111" s="8">
        <v>0</v>
      </c>
      <c r="Z111" s="7">
        <v>0</v>
      </c>
      <c r="AA111" s="8">
        <v>0</v>
      </c>
      <c r="AB111" s="9">
        <v>0</v>
      </c>
      <c r="AC111" s="8">
        <v>0</v>
      </c>
      <c r="AD111" s="10">
        <v>0</v>
      </c>
      <c r="AE111" s="11">
        <v>0</v>
      </c>
      <c r="AF111" s="10" t="s">
        <v>316</v>
      </c>
      <c r="AG111" s="9">
        <v>0</v>
      </c>
      <c r="AH111" s="8">
        <v>0</v>
      </c>
      <c r="AI111" s="10">
        <v>0</v>
      </c>
      <c r="AJ111" s="11">
        <v>0</v>
      </c>
      <c r="AK111" s="10" t="s">
        <v>316</v>
      </c>
      <c r="AL111" s="11" t="s">
        <v>316</v>
      </c>
    </row>
    <row r="112" spans="1:38" ht="16.5" hidden="1" customHeight="1">
      <c r="A112" s="6" t="s">
        <v>117</v>
      </c>
      <c r="B112" s="7">
        <v>0</v>
      </c>
      <c r="C112" s="8">
        <v>0</v>
      </c>
      <c r="D112" s="7">
        <v>0</v>
      </c>
      <c r="E112" s="8">
        <v>0</v>
      </c>
      <c r="F112" s="7">
        <v>0</v>
      </c>
      <c r="G112" s="8">
        <v>0</v>
      </c>
      <c r="H112" s="7">
        <v>0</v>
      </c>
      <c r="I112" s="8">
        <v>0</v>
      </c>
      <c r="J112" s="7">
        <v>0</v>
      </c>
      <c r="K112" s="8">
        <v>0</v>
      </c>
      <c r="L112" s="7">
        <v>0</v>
      </c>
      <c r="M112" s="8">
        <v>0</v>
      </c>
      <c r="N112" s="7">
        <v>0</v>
      </c>
      <c r="O112" s="8">
        <v>0</v>
      </c>
      <c r="P112" s="7">
        <v>0</v>
      </c>
      <c r="Q112" s="8">
        <v>0</v>
      </c>
      <c r="R112" s="7">
        <v>0</v>
      </c>
      <c r="S112" s="8">
        <v>0</v>
      </c>
      <c r="T112" s="7">
        <v>0</v>
      </c>
      <c r="U112" s="8">
        <v>0</v>
      </c>
      <c r="V112" s="7">
        <v>0</v>
      </c>
      <c r="W112" s="8">
        <v>0</v>
      </c>
      <c r="X112" s="7">
        <v>0</v>
      </c>
      <c r="Y112" s="8">
        <v>0</v>
      </c>
      <c r="Z112" s="7">
        <v>0</v>
      </c>
      <c r="AA112" s="8">
        <v>0</v>
      </c>
      <c r="AB112" s="9">
        <v>0</v>
      </c>
      <c r="AC112" s="8">
        <v>0</v>
      </c>
      <c r="AD112" s="10">
        <v>0</v>
      </c>
      <c r="AE112" s="11">
        <v>0</v>
      </c>
      <c r="AF112" s="10" t="s">
        <v>316</v>
      </c>
      <c r="AG112" s="9">
        <v>0</v>
      </c>
      <c r="AH112" s="8">
        <v>0</v>
      </c>
      <c r="AI112" s="10">
        <v>0</v>
      </c>
      <c r="AJ112" s="11">
        <v>0</v>
      </c>
      <c r="AK112" s="10" t="s">
        <v>316</v>
      </c>
      <c r="AL112" s="11" t="s">
        <v>316</v>
      </c>
    </row>
    <row r="113" spans="1:38" ht="16.5" hidden="1" customHeight="1">
      <c r="A113" s="6" t="s">
        <v>118</v>
      </c>
      <c r="B113" s="7">
        <v>0</v>
      </c>
      <c r="C113" s="8">
        <v>0</v>
      </c>
      <c r="D113" s="7">
        <v>0</v>
      </c>
      <c r="E113" s="8">
        <v>0</v>
      </c>
      <c r="F113" s="7">
        <v>0</v>
      </c>
      <c r="G113" s="8">
        <v>0</v>
      </c>
      <c r="H113" s="7">
        <v>0</v>
      </c>
      <c r="I113" s="8">
        <v>0</v>
      </c>
      <c r="J113" s="7">
        <v>0</v>
      </c>
      <c r="K113" s="8">
        <v>0</v>
      </c>
      <c r="L113" s="7">
        <v>0</v>
      </c>
      <c r="M113" s="8">
        <v>0</v>
      </c>
      <c r="N113" s="7">
        <v>0</v>
      </c>
      <c r="O113" s="8">
        <v>0</v>
      </c>
      <c r="P113" s="7">
        <v>0</v>
      </c>
      <c r="Q113" s="8">
        <v>0</v>
      </c>
      <c r="R113" s="7">
        <v>0</v>
      </c>
      <c r="S113" s="8">
        <v>0</v>
      </c>
      <c r="T113" s="7">
        <v>0</v>
      </c>
      <c r="U113" s="8">
        <v>0</v>
      </c>
      <c r="V113" s="7">
        <v>0</v>
      </c>
      <c r="W113" s="8">
        <v>0</v>
      </c>
      <c r="X113" s="7">
        <v>0</v>
      </c>
      <c r="Y113" s="8">
        <v>0</v>
      </c>
      <c r="Z113" s="7">
        <v>0</v>
      </c>
      <c r="AA113" s="8">
        <v>0</v>
      </c>
      <c r="AB113" s="9">
        <v>0</v>
      </c>
      <c r="AC113" s="8">
        <v>0</v>
      </c>
      <c r="AD113" s="10">
        <v>0</v>
      </c>
      <c r="AE113" s="11">
        <v>0</v>
      </c>
      <c r="AF113" s="10" t="s">
        <v>316</v>
      </c>
      <c r="AG113" s="9">
        <v>0</v>
      </c>
      <c r="AH113" s="8">
        <v>0</v>
      </c>
      <c r="AI113" s="10">
        <v>0</v>
      </c>
      <c r="AJ113" s="11">
        <v>0</v>
      </c>
      <c r="AK113" s="10" t="s">
        <v>316</v>
      </c>
      <c r="AL113" s="11" t="s">
        <v>316</v>
      </c>
    </row>
    <row r="114" spans="1:38" ht="16.5" hidden="1" customHeight="1">
      <c r="A114" s="6" t="s">
        <v>119</v>
      </c>
      <c r="B114" s="7">
        <v>0</v>
      </c>
      <c r="C114" s="8">
        <v>0</v>
      </c>
      <c r="D114" s="7">
        <v>0</v>
      </c>
      <c r="E114" s="8">
        <v>0</v>
      </c>
      <c r="F114" s="7">
        <v>0</v>
      </c>
      <c r="G114" s="8">
        <v>0</v>
      </c>
      <c r="H114" s="7">
        <v>0</v>
      </c>
      <c r="I114" s="8">
        <v>0</v>
      </c>
      <c r="J114" s="7">
        <v>0</v>
      </c>
      <c r="K114" s="8">
        <v>0</v>
      </c>
      <c r="L114" s="7">
        <v>0</v>
      </c>
      <c r="M114" s="8">
        <v>0</v>
      </c>
      <c r="N114" s="7">
        <v>0</v>
      </c>
      <c r="O114" s="8">
        <v>0</v>
      </c>
      <c r="P114" s="7">
        <v>0</v>
      </c>
      <c r="Q114" s="8">
        <v>0</v>
      </c>
      <c r="R114" s="7">
        <v>0</v>
      </c>
      <c r="S114" s="8">
        <v>0</v>
      </c>
      <c r="T114" s="7">
        <v>0</v>
      </c>
      <c r="U114" s="8">
        <v>0</v>
      </c>
      <c r="V114" s="7">
        <v>0</v>
      </c>
      <c r="W114" s="8">
        <v>0</v>
      </c>
      <c r="X114" s="7">
        <v>0</v>
      </c>
      <c r="Y114" s="8">
        <v>0</v>
      </c>
      <c r="Z114" s="7">
        <v>0</v>
      </c>
      <c r="AA114" s="8">
        <v>0</v>
      </c>
      <c r="AB114" s="9">
        <v>0</v>
      </c>
      <c r="AC114" s="8">
        <v>0</v>
      </c>
      <c r="AD114" s="10">
        <v>0</v>
      </c>
      <c r="AE114" s="11">
        <v>0</v>
      </c>
      <c r="AF114" s="10" t="s">
        <v>316</v>
      </c>
      <c r="AG114" s="9">
        <v>0</v>
      </c>
      <c r="AH114" s="8">
        <v>0</v>
      </c>
      <c r="AI114" s="10">
        <v>0</v>
      </c>
      <c r="AJ114" s="11">
        <v>0</v>
      </c>
      <c r="AK114" s="10" t="s">
        <v>316</v>
      </c>
      <c r="AL114" s="11" t="s">
        <v>316</v>
      </c>
    </row>
    <row r="115" spans="1:38" ht="16.5" hidden="1" customHeight="1">
      <c r="A115" s="6" t="s">
        <v>120</v>
      </c>
      <c r="B115" s="7">
        <v>0</v>
      </c>
      <c r="C115" s="8">
        <v>0</v>
      </c>
      <c r="D115" s="7">
        <v>0</v>
      </c>
      <c r="E115" s="8">
        <v>0</v>
      </c>
      <c r="F115" s="7">
        <v>0</v>
      </c>
      <c r="G115" s="8">
        <v>0</v>
      </c>
      <c r="H115" s="7">
        <v>0</v>
      </c>
      <c r="I115" s="8">
        <v>0</v>
      </c>
      <c r="J115" s="7">
        <v>0</v>
      </c>
      <c r="K115" s="8">
        <v>0</v>
      </c>
      <c r="L115" s="7">
        <v>0</v>
      </c>
      <c r="M115" s="8">
        <v>0</v>
      </c>
      <c r="N115" s="7">
        <v>0</v>
      </c>
      <c r="O115" s="8">
        <v>0</v>
      </c>
      <c r="P115" s="7">
        <v>0</v>
      </c>
      <c r="Q115" s="8">
        <v>0</v>
      </c>
      <c r="R115" s="7">
        <v>0</v>
      </c>
      <c r="S115" s="8">
        <v>0</v>
      </c>
      <c r="T115" s="7">
        <v>0</v>
      </c>
      <c r="U115" s="8">
        <v>0</v>
      </c>
      <c r="V115" s="7">
        <v>0</v>
      </c>
      <c r="W115" s="8">
        <v>0</v>
      </c>
      <c r="X115" s="7">
        <v>0</v>
      </c>
      <c r="Y115" s="8">
        <v>0</v>
      </c>
      <c r="Z115" s="7">
        <v>0</v>
      </c>
      <c r="AA115" s="8">
        <v>0</v>
      </c>
      <c r="AB115" s="9">
        <v>0</v>
      </c>
      <c r="AC115" s="8">
        <v>0</v>
      </c>
      <c r="AD115" s="10">
        <v>0</v>
      </c>
      <c r="AE115" s="11">
        <v>0</v>
      </c>
      <c r="AF115" s="10" t="s">
        <v>316</v>
      </c>
      <c r="AG115" s="9">
        <v>0</v>
      </c>
      <c r="AH115" s="8">
        <v>0</v>
      </c>
      <c r="AI115" s="10">
        <v>0</v>
      </c>
      <c r="AJ115" s="11">
        <v>0</v>
      </c>
      <c r="AK115" s="10" t="s">
        <v>316</v>
      </c>
      <c r="AL115" s="11" t="s">
        <v>316</v>
      </c>
    </row>
    <row r="116" spans="1:38" ht="16.5" hidden="1" customHeight="1">
      <c r="A116" s="6" t="s">
        <v>121</v>
      </c>
      <c r="B116" s="7">
        <v>0</v>
      </c>
      <c r="C116" s="8">
        <v>0</v>
      </c>
      <c r="D116" s="7">
        <v>0</v>
      </c>
      <c r="E116" s="8">
        <v>0</v>
      </c>
      <c r="F116" s="7">
        <v>0</v>
      </c>
      <c r="G116" s="8">
        <v>0</v>
      </c>
      <c r="H116" s="7">
        <v>0</v>
      </c>
      <c r="I116" s="8">
        <v>0</v>
      </c>
      <c r="J116" s="7">
        <v>0</v>
      </c>
      <c r="K116" s="8">
        <v>0</v>
      </c>
      <c r="L116" s="7">
        <v>0</v>
      </c>
      <c r="M116" s="8">
        <v>0</v>
      </c>
      <c r="N116" s="7">
        <v>0</v>
      </c>
      <c r="O116" s="8">
        <v>0</v>
      </c>
      <c r="P116" s="7">
        <v>0</v>
      </c>
      <c r="Q116" s="8">
        <v>0</v>
      </c>
      <c r="R116" s="7">
        <v>0</v>
      </c>
      <c r="S116" s="8">
        <v>0</v>
      </c>
      <c r="T116" s="7">
        <v>0</v>
      </c>
      <c r="U116" s="8">
        <v>0</v>
      </c>
      <c r="V116" s="7">
        <v>0</v>
      </c>
      <c r="W116" s="8">
        <v>0</v>
      </c>
      <c r="X116" s="7">
        <v>0</v>
      </c>
      <c r="Y116" s="8">
        <v>0</v>
      </c>
      <c r="Z116" s="7">
        <v>0</v>
      </c>
      <c r="AA116" s="8">
        <v>0</v>
      </c>
      <c r="AB116" s="9">
        <v>0</v>
      </c>
      <c r="AC116" s="8">
        <v>0</v>
      </c>
      <c r="AD116" s="10">
        <v>0</v>
      </c>
      <c r="AE116" s="11">
        <v>0</v>
      </c>
      <c r="AF116" s="10" t="s">
        <v>316</v>
      </c>
      <c r="AG116" s="9">
        <v>0</v>
      </c>
      <c r="AH116" s="8">
        <v>0</v>
      </c>
      <c r="AI116" s="10">
        <v>0</v>
      </c>
      <c r="AJ116" s="11">
        <v>0</v>
      </c>
      <c r="AK116" s="10" t="s">
        <v>316</v>
      </c>
      <c r="AL116" s="11" t="s">
        <v>316</v>
      </c>
    </row>
    <row r="117" spans="1:38" ht="16.5" hidden="1" customHeight="1">
      <c r="A117" s="6" t="s">
        <v>122</v>
      </c>
      <c r="B117" s="7">
        <v>0</v>
      </c>
      <c r="C117" s="8">
        <v>0</v>
      </c>
      <c r="D117" s="7">
        <v>0</v>
      </c>
      <c r="E117" s="8">
        <v>0</v>
      </c>
      <c r="F117" s="7">
        <v>0</v>
      </c>
      <c r="G117" s="8">
        <v>0</v>
      </c>
      <c r="H117" s="7">
        <v>0</v>
      </c>
      <c r="I117" s="8">
        <v>0</v>
      </c>
      <c r="J117" s="7">
        <v>0</v>
      </c>
      <c r="K117" s="8">
        <v>0</v>
      </c>
      <c r="L117" s="7">
        <v>0</v>
      </c>
      <c r="M117" s="8">
        <v>0</v>
      </c>
      <c r="N117" s="7">
        <v>0</v>
      </c>
      <c r="O117" s="8">
        <v>0</v>
      </c>
      <c r="P117" s="7">
        <v>0</v>
      </c>
      <c r="Q117" s="8">
        <v>0</v>
      </c>
      <c r="R117" s="7">
        <v>0</v>
      </c>
      <c r="S117" s="8">
        <v>0</v>
      </c>
      <c r="T117" s="7">
        <v>0</v>
      </c>
      <c r="U117" s="8">
        <v>0</v>
      </c>
      <c r="V117" s="7">
        <v>0</v>
      </c>
      <c r="W117" s="8">
        <v>0</v>
      </c>
      <c r="X117" s="7">
        <v>0</v>
      </c>
      <c r="Y117" s="8">
        <v>0</v>
      </c>
      <c r="Z117" s="7">
        <v>0</v>
      </c>
      <c r="AA117" s="8">
        <v>0</v>
      </c>
      <c r="AB117" s="9">
        <v>0</v>
      </c>
      <c r="AC117" s="8">
        <v>0</v>
      </c>
      <c r="AD117" s="10">
        <v>0</v>
      </c>
      <c r="AE117" s="11">
        <v>0</v>
      </c>
      <c r="AF117" s="10" t="s">
        <v>316</v>
      </c>
      <c r="AG117" s="9">
        <v>0</v>
      </c>
      <c r="AH117" s="8">
        <v>0</v>
      </c>
      <c r="AI117" s="10">
        <v>0</v>
      </c>
      <c r="AJ117" s="11">
        <v>0</v>
      </c>
      <c r="AK117" s="10" t="s">
        <v>316</v>
      </c>
      <c r="AL117" s="11" t="s">
        <v>316</v>
      </c>
    </row>
    <row r="118" spans="1:38" ht="16.5" hidden="1" customHeight="1">
      <c r="A118" s="6" t="s">
        <v>123</v>
      </c>
      <c r="B118" s="7">
        <v>0</v>
      </c>
      <c r="C118" s="8">
        <v>0</v>
      </c>
      <c r="D118" s="7">
        <v>0</v>
      </c>
      <c r="E118" s="8">
        <v>0</v>
      </c>
      <c r="F118" s="7">
        <v>0</v>
      </c>
      <c r="G118" s="8">
        <v>0</v>
      </c>
      <c r="H118" s="7">
        <v>0</v>
      </c>
      <c r="I118" s="8">
        <v>0</v>
      </c>
      <c r="J118" s="7">
        <v>0</v>
      </c>
      <c r="K118" s="8">
        <v>0</v>
      </c>
      <c r="L118" s="7">
        <v>0</v>
      </c>
      <c r="M118" s="8">
        <v>0</v>
      </c>
      <c r="N118" s="7">
        <v>0</v>
      </c>
      <c r="O118" s="8">
        <v>0</v>
      </c>
      <c r="P118" s="7">
        <v>0</v>
      </c>
      <c r="Q118" s="8">
        <v>0</v>
      </c>
      <c r="R118" s="7">
        <v>0</v>
      </c>
      <c r="S118" s="8">
        <v>0</v>
      </c>
      <c r="T118" s="7">
        <v>0</v>
      </c>
      <c r="U118" s="8">
        <v>0</v>
      </c>
      <c r="V118" s="7">
        <v>0</v>
      </c>
      <c r="W118" s="8">
        <v>0</v>
      </c>
      <c r="X118" s="7">
        <v>0</v>
      </c>
      <c r="Y118" s="8">
        <v>0</v>
      </c>
      <c r="Z118" s="7">
        <v>0</v>
      </c>
      <c r="AA118" s="8">
        <v>0</v>
      </c>
      <c r="AB118" s="9">
        <v>0</v>
      </c>
      <c r="AC118" s="8">
        <v>0</v>
      </c>
      <c r="AD118" s="10">
        <v>0</v>
      </c>
      <c r="AE118" s="11">
        <v>0</v>
      </c>
      <c r="AF118" s="10" t="s">
        <v>316</v>
      </c>
      <c r="AG118" s="9">
        <v>0</v>
      </c>
      <c r="AH118" s="8">
        <v>0</v>
      </c>
      <c r="AI118" s="10">
        <v>0</v>
      </c>
      <c r="AJ118" s="11">
        <v>0</v>
      </c>
      <c r="AK118" s="10" t="s">
        <v>316</v>
      </c>
      <c r="AL118" s="11" t="s">
        <v>316</v>
      </c>
    </row>
    <row r="119" spans="1:38" ht="16.5" hidden="1" customHeight="1">
      <c r="A119" s="6" t="s">
        <v>124</v>
      </c>
      <c r="B119" s="7">
        <v>0</v>
      </c>
      <c r="C119" s="8">
        <v>0</v>
      </c>
      <c r="D119" s="7">
        <v>0</v>
      </c>
      <c r="E119" s="8">
        <v>0</v>
      </c>
      <c r="F119" s="7">
        <v>0</v>
      </c>
      <c r="G119" s="8">
        <v>0</v>
      </c>
      <c r="H119" s="7">
        <v>0</v>
      </c>
      <c r="I119" s="8">
        <v>0</v>
      </c>
      <c r="J119" s="7">
        <v>0</v>
      </c>
      <c r="K119" s="8">
        <v>0</v>
      </c>
      <c r="L119" s="7">
        <v>0</v>
      </c>
      <c r="M119" s="8">
        <v>0</v>
      </c>
      <c r="N119" s="7">
        <v>0</v>
      </c>
      <c r="O119" s="8">
        <v>0</v>
      </c>
      <c r="P119" s="7">
        <v>0</v>
      </c>
      <c r="Q119" s="8">
        <v>0</v>
      </c>
      <c r="R119" s="7">
        <v>0</v>
      </c>
      <c r="S119" s="8">
        <v>0</v>
      </c>
      <c r="T119" s="7">
        <v>0</v>
      </c>
      <c r="U119" s="8">
        <v>0</v>
      </c>
      <c r="V119" s="7">
        <v>0</v>
      </c>
      <c r="W119" s="8">
        <v>0</v>
      </c>
      <c r="X119" s="7">
        <v>0</v>
      </c>
      <c r="Y119" s="8">
        <v>0</v>
      </c>
      <c r="Z119" s="7">
        <v>0</v>
      </c>
      <c r="AA119" s="8">
        <v>0</v>
      </c>
      <c r="AB119" s="9">
        <v>0</v>
      </c>
      <c r="AC119" s="8">
        <v>0</v>
      </c>
      <c r="AD119" s="10">
        <v>0</v>
      </c>
      <c r="AE119" s="11">
        <v>0</v>
      </c>
      <c r="AF119" s="10" t="s">
        <v>316</v>
      </c>
      <c r="AG119" s="9">
        <v>0</v>
      </c>
      <c r="AH119" s="8">
        <v>0</v>
      </c>
      <c r="AI119" s="10">
        <v>0</v>
      </c>
      <c r="AJ119" s="11">
        <v>0</v>
      </c>
      <c r="AK119" s="10" t="s">
        <v>316</v>
      </c>
      <c r="AL119" s="11" t="s">
        <v>316</v>
      </c>
    </row>
    <row r="120" spans="1:38" ht="16.5" hidden="1" customHeight="1">
      <c r="A120" s="6" t="s">
        <v>125</v>
      </c>
      <c r="B120" s="7">
        <v>0</v>
      </c>
      <c r="C120" s="8">
        <v>0</v>
      </c>
      <c r="D120" s="7">
        <v>0</v>
      </c>
      <c r="E120" s="8">
        <v>0</v>
      </c>
      <c r="F120" s="7">
        <v>0</v>
      </c>
      <c r="G120" s="8">
        <v>0</v>
      </c>
      <c r="H120" s="7">
        <v>0</v>
      </c>
      <c r="I120" s="8">
        <v>0</v>
      </c>
      <c r="J120" s="7">
        <v>0</v>
      </c>
      <c r="K120" s="8">
        <v>0</v>
      </c>
      <c r="L120" s="7">
        <v>0</v>
      </c>
      <c r="M120" s="8">
        <v>0</v>
      </c>
      <c r="N120" s="7">
        <v>0</v>
      </c>
      <c r="O120" s="8">
        <v>0</v>
      </c>
      <c r="P120" s="7">
        <v>0</v>
      </c>
      <c r="Q120" s="8">
        <v>0</v>
      </c>
      <c r="R120" s="7">
        <v>0</v>
      </c>
      <c r="S120" s="8">
        <v>0</v>
      </c>
      <c r="T120" s="7">
        <v>0</v>
      </c>
      <c r="U120" s="8">
        <v>0</v>
      </c>
      <c r="V120" s="7">
        <v>0</v>
      </c>
      <c r="W120" s="8">
        <v>0</v>
      </c>
      <c r="X120" s="7">
        <v>0</v>
      </c>
      <c r="Y120" s="8">
        <v>0</v>
      </c>
      <c r="Z120" s="7">
        <v>0</v>
      </c>
      <c r="AA120" s="8">
        <v>0</v>
      </c>
      <c r="AB120" s="9">
        <v>0</v>
      </c>
      <c r="AC120" s="8">
        <v>0</v>
      </c>
      <c r="AD120" s="10">
        <v>0</v>
      </c>
      <c r="AE120" s="11">
        <v>0</v>
      </c>
      <c r="AF120" s="10" t="s">
        <v>316</v>
      </c>
      <c r="AG120" s="9">
        <v>0</v>
      </c>
      <c r="AH120" s="8">
        <v>0</v>
      </c>
      <c r="AI120" s="10">
        <v>0</v>
      </c>
      <c r="AJ120" s="11">
        <v>0</v>
      </c>
      <c r="AK120" s="10" t="s">
        <v>316</v>
      </c>
      <c r="AL120" s="11" t="s">
        <v>316</v>
      </c>
    </row>
    <row r="121" spans="1:38" ht="16.5" hidden="1" customHeight="1">
      <c r="A121" s="6" t="s">
        <v>126</v>
      </c>
      <c r="B121" s="7">
        <v>0</v>
      </c>
      <c r="C121" s="8">
        <v>0</v>
      </c>
      <c r="D121" s="7">
        <v>0</v>
      </c>
      <c r="E121" s="8">
        <v>0</v>
      </c>
      <c r="F121" s="7">
        <v>0</v>
      </c>
      <c r="G121" s="8">
        <v>0</v>
      </c>
      <c r="H121" s="7">
        <v>0</v>
      </c>
      <c r="I121" s="8">
        <v>0</v>
      </c>
      <c r="J121" s="7">
        <v>0</v>
      </c>
      <c r="K121" s="8">
        <v>0</v>
      </c>
      <c r="L121" s="7">
        <v>0</v>
      </c>
      <c r="M121" s="8">
        <v>0</v>
      </c>
      <c r="N121" s="7">
        <v>0</v>
      </c>
      <c r="O121" s="8">
        <v>0</v>
      </c>
      <c r="P121" s="7">
        <v>0</v>
      </c>
      <c r="Q121" s="8">
        <v>0</v>
      </c>
      <c r="R121" s="7">
        <v>0</v>
      </c>
      <c r="S121" s="8">
        <v>0</v>
      </c>
      <c r="T121" s="7">
        <v>0</v>
      </c>
      <c r="U121" s="8">
        <v>0</v>
      </c>
      <c r="V121" s="7">
        <v>0</v>
      </c>
      <c r="W121" s="8">
        <v>0</v>
      </c>
      <c r="X121" s="7">
        <v>0</v>
      </c>
      <c r="Y121" s="8">
        <v>0</v>
      </c>
      <c r="Z121" s="7">
        <v>0</v>
      </c>
      <c r="AA121" s="8">
        <v>0</v>
      </c>
      <c r="AB121" s="9">
        <v>0</v>
      </c>
      <c r="AC121" s="8">
        <v>0</v>
      </c>
      <c r="AD121" s="10">
        <v>0</v>
      </c>
      <c r="AE121" s="11">
        <v>0</v>
      </c>
      <c r="AF121" s="10" t="s">
        <v>316</v>
      </c>
      <c r="AG121" s="9">
        <v>0</v>
      </c>
      <c r="AH121" s="8">
        <v>0</v>
      </c>
      <c r="AI121" s="10">
        <v>0</v>
      </c>
      <c r="AJ121" s="11">
        <v>0</v>
      </c>
      <c r="AK121" s="10" t="s">
        <v>316</v>
      </c>
      <c r="AL121" s="11" t="s">
        <v>316</v>
      </c>
    </row>
    <row r="122" spans="1:38" ht="16.5" hidden="1" customHeight="1">
      <c r="A122" s="6" t="s">
        <v>127</v>
      </c>
      <c r="B122" s="7">
        <v>0</v>
      </c>
      <c r="C122" s="8">
        <v>0</v>
      </c>
      <c r="D122" s="7">
        <v>0</v>
      </c>
      <c r="E122" s="8">
        <v>0</v>
      </c>
      <c r="F122" s="7">
        <v>0</v>
      </c>
      <c r="G122" s="8">
        <v>0</v>
      </c>
      <c r="H122" s="7">
        <v>0</v>
      </c>
      <c r="I122" s="8">
        <v>0</v>
      </c>
      <c r="J122" s="7">
        <v>0</v>
      </c>
      <c r="K122" s="8">
        <v>0</v>
      </c>
      <c r="L122" s="7">
        <v>0</v>
      </c>
      <c r="M122" s="8">
        <v>0</v>
      </c>
      <c r="N122" s="7">
        <v>0</v>
      </c>
      <c r="O122" s="8">
        <v>0</v>
      </c>
      <c r="P122" s="7">
        <v>0</v>
      </c>
      <c r="Q122" s="8">
        <v>0</v>
      </c>
      <c r="R122" s="7">
        <v>0</v>
      </c>
      <c r="S122" s="8">
        <v>0</v>
      </c>
      <c r="T122" s="7">
        <v>0</v>
      </c>
      <c r="U122" s="8">
        <v>0</v>
      </c>
      <c r="V122" s="7">
        <v>0</v>
      </c>
      <c r="W122" s="8">
        <v>0</v>
      </c>
      <c r="X122" s="7">
        <v>0</v>
      </c>
      <c r="Y122" s="8">
        <v>0</v>
      </c>
      <c r="Z122" s="7">
        <v>0</v>
      </c>
      <c r="AA122" s="8">
        <v>0</v>
      </c>
      <c r="AB122" s="9">
        <v>0</v>
      </c>
      <c r="AC122" s="8">
        <v>0</v>
      </c>
      <c r="AD122" s="10">
        <v>0</v>
      </c>
      <c r="AE122" s="11">
        <v>0</v>
      </c>
      <c r="AF122" s="10" t="s">
        <v>316</v>
      </c>
      <c r="AG122" s="9">
        <v>0</v>
      </c>
      <c r="AH122" s="8">
        <v>0</v>
      </c>
      <c r="AI122" s="10">
        <v>0</v>
      </c>
      <c r="AJ122" s="11">
        <v>0</v>
      </c>
      <c r="AK122" s="10" t="s">
        <v>316</v>
      </c>
      <c r="AL122" s="11" t="s">
        <v>316</v>
      </c>
    </row>
    <row r="123" spans="1:38" ht="16.5" hidden="1" customHeight="1">
      <c r="A123" s="6" t="s">
        <v>128</v>
      </c>
      <c r="B123" s="7">
        <v>0</v>
      </c>
      <c r="C123" s="8">
        <v>0</v>
      </c>
      <c r="D123" s="7">
        <v>0</v>
      </c>
      <c r="E123" s="8">
        <v>0</v>
      </c>
      <c r="F123" s="7">
        <v>0</v>
      </c>
      <c r="G123" s="8">
        <v>0</v>
      </c>
      <c r="H123" s="7">
        <v>0</v>
      </c>
      <c r="I123" s="8">
        <v>0</v>
      </c>
      <c r="J123" s="7">
        <v>0</v>
      </c>
      <c r="K123" s="8">
        <v>0</v>
      </c>
      <c r="L123" s="7">
        <v>0</v>
      </c>
      <c r="M123" s="8">
        <v>0</v>
      </c>
      <c r="N123" s="7">
        <v>0</v>
      </c>
      <c r="O123" s="8">
        <v>0</v>
      </c>
      <c r="P123" s="7">
        <v>0</v>
      </c>
      <c r="Q123" s="8">
        <v>0</v>
      </c>
      <c r="R123" s="7">
        <v>0</v>
      </c>
      <c r="S123" s="8">
        <v>0</v>
      </c>
      <c r="T123" s="7">
        <v>0</v>
      </c>
      <c r="U123" s="8">
        <v>0</v>
      </c>
      <c r="V123" s="7">
        <v>0</v>
      </c>
      <c r="W123" s="8">
        <v>0</v>
      </c>
      <c r="X123" s="7">
        <v>0</v>
      </c>
      <c r="Y123" s="8">
        <v>0</v>
      </c>
      <c r="Z123" s="7">
        <v>0</v>
      </c>
      <c r="AA123" s="8">
        <v>0</v>
      </c>
      <c r="AB123" s="9">
        <v>0</v>
      </c>
      <c r="AC123" s="8">
        <v>0</v>
      </c>
      <c r="AD123" s="10">
        <v>0</v>
      </c>
      <c r="AE123" s="11">
        <v>0</v>
      </c>
      <c r="AF123" s="10" t="s">
        <v>316</v>
      </c>
      <c r="AG123" s="9">
        <v>0</v>
      </c>
      <c r="AH123" s="8">
        <v>0</v>
      </c>
      <c r="AI123" s="10">
        <v>0</v>
      </c>
      <c r="AJ123" s="11">
        <v>0</v>
      </c>
      <c r="AK123" s="10" t="s">
        <v>316</v>
      </c>
      <c r="AL123" s="11" t="s">
        <v>316</v>
      </c>
    </row>
    <row r="124" spans="1:38" ht="16.5" hidden="1" customHeight="1">
      <c r="A124" s="6" t="s">
        <v>129</v>
      </c>
      <c r="B124" s="7">
        <v>0</v>
      </c>
      <c r="C124" s="8">
        <v>0</v>
      </c>
      <c r="D124" s="7">
        <v>0</v>
      </c>
      <c r="E124" s="8">
        <v>0</v>
      </c>
      <c r="F124" s="7">
        <v>0</v>
      </c>
      <c r="G124" s="8">
        <v>0</v>
      </c>
      <c r="H124" s="7">
        <v>0</v>
      </c>
      <c r="I124" s="8">
        <v>0</v>
      </c>
      <c r="J124" s="7">
        <v>0</v>
      </c>
      <c r="K124" s="8">
        <v>0</v>
      </c>
      <c r="L124" s="7">
        <v>0</v>
      </c>
      <c r="M124" s="8">
        <v>0</v>
      </c>
      <c r="N124" s="7">
        <v>0</v>
      </c>
      <c r="O124" s="8">
        <v>0</v>
      </c>
      <c r="P124" s="7">
        <v>0</v>
      </c>
      <c r="Q124" s="8">
        <v>0</v>
      </c>
      <c r="R124" s="7">
        <v>0</v>
      </c>
      <c r="S124" s="8">
        <v>0</v>
      </c>
      <c r="T124" s="7">
        <v>0</v>
      </c>
      <c r="U124" s="8">
        <v>0</v>
      </c>
      <c r="V124" s="7">
        <v>0</v>
      </c>
      <c r="W124" s="8">
        <v>0</v>
      </c>
      <c r="X124" s="7">
        <v>0</v>
      </c>
      <c r="Y124" s="8">
        <v>0</v>
      </c>
      <c r="Z124" s="7">
        <v>0</v>
      </c>
      <c r="AA124" s="8">
        <v>0</v>
      </c>
      <c r="AB124" s="9">
        <v>0</v>
      </c>
      <c r="AC124" s="8">
        <v>0</v>
      </c>
      <c r="AD124" s="10">
        <v>0</v>
      </c>
      <c r="AE124" s="11">
        <v>0</v>
      </c>
      <c r="AF124" s="10" t="s">
        <v>316</v>
      </c>
      <c r="AG124" s="9">
        <v>0</v>
      </c>
      <c r="AH124" s="8">
        <v>0</v>
      </c>
      <c r="AI124" s="10">
        <v>0</v>
      </c>
      <c r="AJ124" s="11">
        <v>0</v>
      </c>
      <c r="AK124" s="10" t="s">
        <v>316</v>
      </c>
      <c r="AL124" s="11" t="s">
        <v>316</v>
      </c>
    </row>
    <row r="125" spans="1:38" ht="16.5" hidden="1" customHeight="1">
      <c r="A125" s="6" t="s">
        <v>130</v>
      </c>
      <c r="B125" s="7">
        <v>0</v>
      </c>
      <c r="C125" s="8">
        <v>0</v>
      </c>
      <c r="D125" s="7">
        <v>0</v>
      </c>
      <c r="E125" s="8">
        <v>0</v>
      </c>
      <c r="F125" s="7">
        <v>0</v>
      </c>
      <c r="G125" s="8">
        <v>0</v>
      </c>
      <c r="H125" s="7">
        <v>0</v>
      </c>
      <c r="I125" s="8">
        <v>0</v>
      </c>
      <c r="J125" s="7">
        <v>0</v>
      </c>
      <c r="K125" s="8">
        <v>0</v>
      </c>
      <c r="L125" s="7">
        <v>0</v>
      </c>
      <c r="M125" s="8">
        <v>0</v>
      </c>
      <c r="N125" s="7">
        <v>0</v>
      </c>
      <c r="O125" s="8">
        <v>0</v>
      </c>
      <c r="P125" s="7">
        <v>0</v>
      </c>
      <c r="Q125" s="8">
        <v>0</v>
      </c>
      <c r="R125" s="7">
        <v>0</v>
      </c>
      <c r="S125" s="8">
        <v>0</v>
      </c>
      <c r="T125" s="7">
        <v>0</v>
      </c>
      <c r="U125" s="8">
        <v>0</v>
      </c>
      <c r="V125" s="7">
        <v>0</v>
      </c>
      <c r="W125" s="8">
        <v>0</v>
      </c>
      <c r="X125" s="7">
        <v>0</v>
      </c>
      <c r="Y125" s="8">
        <v>0</v>
      </c>
      <c r="Z125" s="7">
        <v>0</v>
      </c>
      <c r="AA125" s="8">
        <v>0</v>
      </c>
      <c r="AB125" s="9">
        <v>0</v>
      </c>
      <c r="AC125" s="8">
        <v>0</v>
      </c>
      <c r="AD125" s="10">
        <v>0</v>
      </c>
      <c r="AE125" s="11">
        <v>0</v>
      </c>
      <c r="AF125" s="10" t="s">
        <v>316</v>
      </c>
      <c r="AG125" s="9">
        <v>0</v>
      </c>
      <c r="AH125" s="8">
        <v>0</v>
      </c>
      <c r="AI125" s="10">
        <v>0</v>
      </c>
      <c r="AJ125" s="11">
        <v>0</v>
      </c>
      <c r="AK125" s="10" t="s">
        <v>316</v>
      </c>
      <c r="AL125" s="11" t="s">
        <v>316</v>
      </c>
    </row>
    <row r="126" spans="1:38" ht="16.5" hidden="1" customHeight="1">
      <c r="A126" s="6" t="s">
        <v>131</v>
      </c>
      <c r="B126" s="7">
        <v>0</v>
      </c>
      <c r="C126" s="8">
        <v>0</v>
      </c>
      <c r="D126" s="7">
        <v>0</v>
      </c>
      <c r="E126" s="8">
        <v>0</v>
      </c>
      <c r="F126" s="7">
        <v>0</v>
      </c>
      <c r="G126" s="8">
        <v>0</v>
      </c>
      <c r="H126" s="7">
        <v>0</v>
      </c>
      <c r="I126" s="8">
        <v>0</v>
      </c>
      <c r="J126" s="7">
        <v>0</v>
      </c>
      <c r="K126" s="8">
        <v>0</v>
      </c>
      <c r="L126" s="7">
        <v>0</v>
      </c>
      <c r="M126" s="8">
        <v>0</v>
      </c>
      <c r="N126" s="7">
        <v>0</v>
      </c>
      <c r="O126" s="8">
        <v>0</v>
      </c>
      <c r="P126" s="7">
        <v>0</v>
      </c>
      <c r="Q126" s="8">
        <v>0</v>
      </c>
      <c r="R126" s="7">
        <v>0</v>
      </c>
      <c r="S126" s="8">
        <v>0</v>
      </c>
      <c r="T126" s="7">
        <v>0</v>
      </c>
      <c r="U126" s="8">
        <v>0</v>
      </c>
      <c r="V126" s="7">
        <v>0</v>
      </c>
      <c r="W126" s="8">
        <v>0</v>
      </c>
      <c r="X126" s="7">
        <v>0</v>
      </c>
      <c r="Y126" s="8">
        <v>0</v>
      </c>
      <c r="Z126" s="7">
        <v>0</v>
      </c>
      <c r="AA126" s="8">
        <v>0</v>
      </c>
      <c r="AB126" s="9">
        <v>0</v>
      </c>
      <c r="AC126" s="8">
        <v>0</v>
      </c>
      <c r="AD126" s="10">
        <v>0</v>
      </c>
      <c r="AE126" s="11">
        <v>0</v>
      </c>
      <c r="AF126" s="10" t="s">
        <v>316</v>
      </c>
      <c r="AG126" s="9">
        <v>0</v>
      </c>
      <c r="AH126" s="8">
        <v>0</v>
      </c>
      <c r="AI126" s="10">
        <v>0</v>
      </c>
      <c r="AJ126" s="11">
        <v>0</v>
      </c>
      <c r="AK126" s="10" t="s">
        <v>316</v>
      </c>
      <c r="AL126" s="11" t="s">
        <v>316</v>
      </c>
    </row>
    <row r="127" spans="1:38" ht="16.5" hidden="1" customHeight="1">
      <c r="A127" s="6" t="s">
        <v>132</v>
      </c>
      <c r="B127" s="7">
        <v>0</v>
      </c>
      <c r="C127" s="8">
        <v>0</v>
      </c>
      <c r="D127" s="7">
        <v>0</v>
      </c>
      <c r="E127" s="8">
        <v>0</v>
      </c>
      <c r="F127" s="7">
        <v>0</v>
      </c>
      <c r="G127" s="8">
        <v>0</v>
      </c>
      <c r="H127" s="7">
        <v>0</v>
      </c>
      <c r="I127" s="8">
        <v>0</v>
      </c>
      <c r="J127" s="7">
        <v>0</v>
      </c>
      <c r="K127" s="8">
        <v>0</v>
      </c>
      <c r="L127" s="7">
        <v>0</v>
      </c>
      <c r="M127" s="8">
        <v>0</v>
      </c>
      <c r="N127" s="7">
        <v>0</v>
      </c>
      <c r="O127" s="8">
        <v>0</v>
      </c>
      <c r="P127" s="7">
        <v>0</v>
      </c>
      <c r="Q127" s="8">
        <v>0</v>
      </c>
      <c r="R127" s="7">
        <v>0</v>
      </c>
      <c r="S127" s="8">
        <v>0</v>
      </c>
      <c r="T127" s="7">
        <v>0</v>
      </c>
      <c r="U127" s="8">
        <v>0</v>
      </c>
      <c r="V127" s="7">
        <v>0</v>
      </c>
      <c r="W127" s="8">
        <v>0</v>
      </c>
      <c r="X127" s="7">
        <v>0</v>
      </c>
      <c r="Y127" s="8">
        <v>0</v>
      </c>
      <c r="Z127" s="7">
        <v>0</v>
      </c>
      <c r="AA127" s="8">
        <v>0</v>
      </c>
      <c r="AB127" s="9">
        <v>0</v>
      </c>
      <c r="AC127" s="8">
        <v>0</v>
      </c>
      <c r="AD127" s="10">
        <v>0</v>
      </c>
      <c r="AE127" s="11">
        <v>0</v>
      </c>
      <c r="AF127" s="10" t="s">
        <v>316</v>
      </c>
      <c r="AG127" s="9">
        <v>0</v>
      </c>
      <c r="AH127" s="8">
        <v>0</v>
      </c>
      <c r="AI127" s="10">
        <v>0</v>
      </c>
      <c r="AJ127" s="11">
        <v>0</v>
      </c>
      <c r="AK127" s="10" t="s">
        <v>316</v>
      </c>
      <c r="AL127" s="11" t="s">
        <v>316</v>
      </c>
    </row>
    <row r="128" spans="1:38" ht="16.5" hidden="1" customHeight="1">
      <c r="A128" s="6" t="s">
        <v>133</v>
      </c>
      <c r="B128" s="7">
        <v>1635.1200000000003</v>
      </c>
      <c r="C128" s="8">
        <v>1.3283149729267035E-2</v>
      </c>
      <c r="D128" s="7">
        <v>1789.2500000000002</v>
      </c>
      <c r="E128" s="8">
        <v>1.0642704556142269E-2</v>
      </c>
      <c r="F128" s="7">
        <v>1861.8899999999999</v>
      </c>
      <c r="G128" s="8">
        <v>1.1196771002041516E-2</v>
      </c>
      <c r="H128" s="7">
        <v>-5286.26</v>
      </c>
      <c r="I128" s="8">
        <v>-3.6686906395873339E-2</v>
      </c>
      <c r="J128" s="7">
        <v>1674.1300000000003</v>
      </c>
      <c r="K128" s="8">
        <v>1.4768550933914812E-2</v>
      </c>
      <c r="L128" s="7">
        <v>1479.12</v>
      </c>
      <c r="M128" s="8">
        <v>1.1561044239487259E-2</v>
      </c>
      <c r="N128" s="7">
        <v>1840.5500000000002</v>
      </c>
      <c r="O128" s="8">
        <v>1.4737525830005238E-2</v>
      </c>
      <c r="P128" s="7">
        <v>-4993.8000000000011</v>
      </c>
      <c r="Q128" s="8">
        <v>-3.9335219199443459E-2</v>
      </c>
      <c r="R128" s="7">
        <v>2098.4700000000003</v>
      </c>
      <c r="S128" s="8">
        <v>1.7029827416442083E-2</v>
      </c>
      <c r="T128" s="7">
        <v>2331</v>
      </c>
      <c r="U128" s="8">
        <v>1.8237577185988001E-2</v>
      </c>
      <c r="V128" s="7">
        <v>2621.0600000000004</v>
      </c>
      <c r="W128" s="8">
        <v>2.3573064078323745E-2</v>
      </c>
      <c r="X128" s="7">
        <v>2405.7399999999998</v>
      </c>
      <c r="Y128" s="8">
        <v>1.832072625541761E-2</v>
      </c>
      <c r="Z128" s="7">
        <v>9456.27</v>
      </c>
      <c r="AA128" s="8">
        <v>1.9160185784467966E-2</v>
      </c>
      <c r="AB128" s="9">
        <v>2364.0675000000001</v>
      </c>
      <c r="AC128" s="8">
        <v>1.9160185784467966E-2</v>
      </c>
      <c r="AD128" s="10">
        <v>41.672499999999673</v>
      </c>
      <c r="AE128" s="11">
        <v>5.2562985554874984E-3</v>
      </c>
      <c r="AF128" s="10">
        <v>1.7627457760829447E-2</v>
      </c>
      <c r="AG128" s="9">
        <v>1182.0337500000001</v>
      </c>
      <c r="AH128" s="8">
        <v>9.5839389930782552E-3</v>
      </c>
      <c r="AI128" s="10">
        <v>1223.7062499999997</v>
      </c>
      <c r="AJ128" s="11">
        <v>0.15339234840956661</v>
      </c>
      <c r="AK128" s="10">
        <v>1.0352549155216588</v>
      </c>
      <c r="AL128" s="11">
        <v>16.005146581207388</v>
      </c>
    </row>
    <row r="129" spans="1:38" ht="16.5" hidden="1" customHeight="1">
      <c r="A129" s="6" t="s">
        <v>134</v>
      </c>
      <c r="B129" s="7">
        <v>0</v>
      </c>
      <c r="C129" s="8">
        <v>0</v>
      </c>
      <c r="D129" s="7">
        <v>0</v>
      </c>
      <c r="E129" s="8">
        <v>0</v>
      </c>
      <c r="F129" s="7">
        <v>0</v>
      </c>
      <c r="G129" s="8">
        <v>0</v>
      </c>
      <c r="H129" s="7">
        <v>0</v>
      </c>
      <c r="I129" s="8">
        <v>0</v>
      </c>
      <c r="J129" s="7">
        <v>0</v>
      </c>
      <c r="K129" s="8">
        <v>0</v>
      </c>
      <c r="L129" s="7">
        <v>0</v>
      </c>
      <c r="M129" s="8">
        <v>0</v>
      </c>
      <c r="N129" s="7">
        <v>0</v>
      </c>
      <c r="O129" s="8">
        <v>0</v>
      </c>
      <c r="P129" s="7">
        <v>0</v>
      </c>
      <c r="Q129" s="8">
        <v>0</v>
      </c>
      <c r="R129" s="7">
        <v>0</v>
      </c>
      <c r="S129" s="8">
        <v>0</v>
      </c>
      <c r="T129" s="7">
        <v>0</v>
      </c>
      <c r="U129" s="8">
        <v>0</v>
      </c>
      <c r="V129" s="7">
        <v>0</v>
      </c>
      <c r="W129" s="8">
        <v>0</v>
      </c>
      <c r="X129" s="7">
        <v>0</v>
      </c>
      <c r="Y129" s="8">
        <v>0</v>
      </c>
      <c r="Z129" s="7">
        <v>0</v>
      </c>
      <c r="AA129" s="8">
        <v>0</v>
      </c>
      <c r="AB129" s="9">
        <v>0</v>
      </c>
      <c r="AC129" s="8">
        <v>0</v>
      </c>
      <c r="AD129" s="10">
        <v>0</v>
      </c>
      <c r="AE129" s="11">
        <v>0</v>
      </c>
      <c r="AF129" s="10" t="s">
        <v>316</v>
      </c>
      <c r="AG129" s="9">
        <v>0</v>
      </c>
      <c r="AH129" s="8">
        <v>0</v>
      </c>
      <c r="AI129" s="10">
        <v>0</v>
      </c>
      <c r="AJ129" s="11">
        <v>0</v>
      </c>
      <c r="AK129" s="10" t="s">
        <v>316</v>
      </c>
      <c r="AL129" s="11" t="s">
        <v>316</v>
      </c>
    </row>
    <row r="130" spans="1:38" ht="16.5" hidden="1" customHeight="1">
      <c r="A130" s="6" t="s">
        <v>135</v>
      </c>
      <c r="B130" s="7">
        <v>0</v>
      </c>
      <c r="C130" s="8">
        <v>0</v>
      </c>
      <c r="D130" s="7">
        <v>0</v>
      </c>
      <c r="E130" s="8">
        <v>0</v>
      </c>
      <c r="F130" s="7">
        <v>0</v>
      </c>
      <c r="G130" s="8">
        <v>0</v>
      </c>
      <c r="H130" s="7">
        <v>0</v>
      </c>
      <c r="I130" s="8">
        <v>0</v>
      </c>
      <c r="J130" s="7">
        <v>0</v>
      </c>
      <c r="K130" s="8">
        <v>0</v>
      </c>
      <c r="L130" s="7">
        <v>0</v>
      </c>
      <c r="M130" s="8">
        <v>0</v>
      </c>
      <c r="N130" s="7">
        <v>0</v>
      </c>
      <c r="O130" s="8">
        <v>0</v>
      </c>
      <c r="P130" s="7">
        <v>0</v>
      </c>
      <c r="Q130" s="8">
        <v>0</v>
      </c>
      <c r="R130" s="7">
        <v>0</v>
      </c>
      <c r="S130" s="8">
        <v>0</v>
      </c>
      <c r="T130" s="7">
        <v>0</v>
      </c>
      <c r="U130" s="8">
        <v>0</v>
      </c>
      <c r="V130" s="7">
        <v>0</v>
      </c>
      <c r="W130" s="8">
        <v>0</v>
      </c>
      <c r="X130" s="7">
        <v>0</v>
      </c>
      <c r="Y130" s="8">
        <v>0</v>
      </c>
      <c r="Z130" s="7">
        <v>0</v>
      </c>
      <c r="AA130" s="8">
        <v>0</v>
      </c>
      <c r="AB130" s="9">
        <v>0</v>
      </c>
      <c r="AC130" s="8">
        <v>0</v>
      </c>
      <c r="AD130" s="10">
        <v>0</v>
      </c>
      <c r="AE130" s="11">
        <v>0</v>
      </c>
      <c r="AF130" s="10" t="s">
        <v>316</v>
      </c>
      <c r="AG130" s="9">
        <v>0</v>
      </c>
      <c r="AH130" s="8">
        <v>0</v>
      </c>
      <c r="AI130" s="10">
        <v>0</v>
      </c>
      <c r="AJ130" s="11">
        <v>0</v>
      </c>
      <c r="AK130" s="10" t="s">
        <v>316</v>
      </c>
      <c r="AL130" s="11" t="s">
        <v>316</v>
      </c>
    </row>
    <row r="131" spans="1:38" ht="16.5" hidden="1" customHeight="1">
      <c r="A131" s="6" t="s">
        <v>136</v>
      </c>
      <c r="B131" s="7">
        <v>0</v>
      </c>
      <c r="C131" s="8">
        <v>0</v>
      </c>
      <c r="D131" s="7">
        <v>0</v>
      </c>
      <c r="E131" s="8">
        <v>0</v>
      </c>
      <c r="F131" s="7">
        <v>0</v>
      </c>
      <c r="G131" s="8">
        <v>0</v>
      </c>
      <c r="H131" s="7">
        <v>0</v>
      </c>
      <c r="I131" s="8">
        <v>0</v>
      </c>
      <c r="J131" s="7">
        <v>0</v>
      </c>
      <c r="K131" s="8">
        <v>0</v>
      </c>
      <c r="L131" s="7">
        <v>0</v>
      </c>
      <c r="M131" s="8">
        <v>0</v>
      </c>
      <c r="N131" s="7">
        <v>0</v>
      </c>
      <c r="O131" s="8">
        <v>0</v>
      </c>
      <c r="P131" s="7">
        <v>0</v>
      </c>
      <c r="Q131" s="8">
        <v>0</v>
      </c>
      <c r="R131" s="7">
        <v>0</v>
      </c>
      <c r="S131" s="8">
        <v>0</v>
      </c>
      <c r="T131" s="7">
        <v>0</v>
      </c>
      <c r="U131" s="8">
        <v>0</v>
      </c>
      <c r="V131" s="7">
        <v>0</v>
      </c>
      <c r="W131" s="8">
        <v>0</v>
      </c>
      <c r="X131" s="7">
        <v>0</v>
      </c>
      <c r="Y131" s="8">
        <v>0</v>
      </c>
      <c r="Z131" s="7">
        <v>0</v>
      </c>
      <c r="AA131" s="8">
        <v>0</v>
      </c>
      <c r="AB131" s="9">
        <v>0</v>
      </c>
      <c r="AC131" s="8">
        <v>0</v>
      </c>
      <c r="AD131" s="10">
        <v>0</v>
      </c>
      <c r="AE131" s="11">
        <v>0</v>
      </c>
      <c r="AF131" s="10" t="s">
        <v>316</v>
      </c>
      <c r="AG131" s="9">
        <v>0</v>
      </c>
      <c r="AH131" s="8">
        <v>0</v>
      </c>
      <c r="AI131" s="10">
        <v>0</v>
      </c>
      <c r="AJ131" s="11">
        <v>0</v>
      </c>
      <c r="AK131" s="10" t="s">
        <v>316</v>
      </c>
      <c r="AL131" s="11" t="s">
        <v>316</v>
      </c>
    </row>
    <row r="132" spans="1:38" ht="16.5" hidden="1" customHeight="1">
      <c r="A132" s="6" t="s">
        <v>137</v>
      </c>
      <c r="B132" s="7">
        <v>0</v>
      </c>
      <c r="C132" s="8">
        <v>0</v>
      </c>
      <c r="D132" s="7">
        <v>0</v>
      </c>
      <c r="E132" s="8">
        <v>0</v>
      </c>
      <c r="F132" s="7">
        <v>0</v>
      </c>
      <c r="G132" s="8">
        <v>0</v>
      </c>
      <c r="H132" s="7">
        <v>0</v>
      </c>
      <c r="I132" s="8">
        <v>0</v>
      </c>
      <c r="J132" s="7">
        <v>0</v>
      </c>
      <c r="K132" s="8">
        <v>0</v>
      </c>
      <c r="L132" s="7">
        <v>0</v>
      </c>
      <c r="M132" s="8">
        <v>0</v>
      </c>
      <c r="N132" s="7">
        <v>0</v>
      </c>
      <c r="O132" s="8">
        <v>0</v>
      </c>
      <c r="P132" s="7">
        <v>0</v>
      </c>
      <c r="Q132" s="8">
        <v>0</v>
      </c>
      <c r="R132" s="7">
        <v>0</v>
      </c>
      <c r="S132" s="8">
        <v>0</v>
      </c>
      <c r="T132" s="7">
        <v>0</v>
      </c>
      <c r="U132" s="8">
        <v>0</v>
      </c>
      <c r="V132" s="7">
        <v>0</v>
      </c>
      <c r="W132" s="8">
        <v>0</v>
      </c>
      <c r="X132" s="7">
        <v>0</v>
      </c>
      <c r="Y132" s="8">
        <v>0</v>
      </c>
      <c r="Z132" s="7">
        <v>0</v>
      </c>
      <c r="AA132" s="8">
        <v>0</v>
      </c>
      <c r="AB132" s="9">
        <v>0</v>
      </c>
      <c r="AC132" s="8">
        <v>0</v>
      </c>
      <c r="AD132" s="10">
        <v>0</v>
      </c>
      <c r="AE132" s="11">
        <v>0</v>
      </c>
      <c r="AF132" s="10" t="s">
        <v>316</v>
      </c>
      <c r="AG132" s="9">
        <v>0</v>
      </c>
      <c r="AH132" s="8">
        <v>0</v>
      </c>
      <c r="AI132" s="10">
        <v>0</v>
      </c>
      <c r="AJ132" s="11">
        <v>0</v>
      </c>
      <c r="AK132" s="10" t="s">
        <v>316</v>
      </c>
      <c r="AL132" s="11" t="s">
        <v>316</v>
      </c>
    </row>
    <row r="133" spans="1:38" ht="16.5" hidden="1" customHeight="1">
      <c r="A133" s="6" t="s">
        <v>138</v>
      </c>
      <c r="B133" s="7">
        <v>0</v>
      </c>
      <c r="C133" s="8">
        <v>0</v>
      </c>
      <c r="D133" s="7">
        <v>0</v>
      </c>
      <c r="E133" s="8">
        <v>0</v>
      </c>
      <c r="F133" s="7">
        <v>0</v>
      </c>
      <c r="G133" s="8">
        <v>0</v>
      </c>
      <c r="H133" s="7">
        <v>0</v>
      </c>
      <c r="I133" s="8">
        <v>0</v>
      </c>
      <c r="J133" s="7">
        <v>0</v>
      </c>
      <c r="K133" s="8">
        <v>0</v>
      </c>
      <c r="L133" s="7">
        <v>0</v>
      </c>
      <c r="M133" s="8">
        <v>0</v>
      </c>
      <c r="N133" s="7">
        <v>0</v>
      </c>
      <c r="O133" s="8">
        <v>0</v>
      </c>
      <c r="P133" s="7">
        <v>0</v>
      </c>
      <c r="Q133" s="8">
        <v>0</v>
      </c>
      <c r="R133" s="7">
        <v>0</v>
      </c>
      <c r="S133" s="8">
        <v>0</v>
      </c>
      <c r="T133" s="7">
        <v>0</v>
      </c>
      <c r="U133" s="8">
        <v>0</v>
      </c>
      <c r="V133" s="7">
        <v>0</v>
      </c>
      <c r="W133" s="8">
        <v>0</v>
      </c>
      <c r="X133" s="7">
        <v>0</v>
      </c>
      <c r="Y133" s="8">
        <v>0</v>
      </c>
      <c r="Z133" s="7">
        <v>0</v>
      </c>
      <c r="AA133" s="8">
        <v>0</v>
      </c>
      <c r="AB133" s="9">
        <v>0</v>
      </c>
      <c r="AC133" s="8">
        <v>0</v>
      </c>
      <c r="AD133" s="10">
        <v>0</v>
      </c>
      <c r="AE133" s="11">
        <v>0</v>
      </c>
      <c r="AF133" s="10" t="s">
        <v>316</v>
      </c>
      <c r="AG133" s="9">
        <v>0</v>
      </c>
      <c r="AH133" s="8">
        <v>0</v>
      </c>
      <c r="AI133" s="10">
        <v>0</v>
      </c>
      <c r="AJ133" s="11">
        <v>0</v>
      </c>
      <c r="AK133" s="10" t="s">
        <v>316</v>
      </c>
      <c r="AL133" s="11" t="s">
        <v>316</v>
      </c>
    </row>
    <row r="134" spans="1:38" ht="16.5" hidden="1" customHeight="1">
      <c r="A134" s="6" t="s">
        <v>139</v>
      </c>
      <c r="B134" s="7">
        <v>0</v>
      </c>
      <c r="C134" s="8">
        <v>0</v>
      </c>
      <c r="D134" s="7">
        <v>0</v>
      </c>
      <c r="E134" s="8">
        <v>0</v>
      </c>
      <c r="F134" s="7">
        <v>0</v>
      </c>
      <c r="G134" s="8">
        <v>0</v>
      </c>
      <c r="H134" s="7">
        <v>0</v>
      </c>
      <c r="I134" s="8">
        <v>0</v>
      </c>
      <c r="J134" s="7">
        <v>0</v>
      </c>
      <c r="K134" s="8">
        <v>0</v>
      </c>
      <c r="L134" s="7">
        <v>0</v>
      </c>
      <c r="M134" s="8">
        <v>0</v>
      </c>
      <c r="N134" s="7">
        <v>0</v>
      </c>
      <c r="O134" s="8">
        <v>0</v>
      </c>
      <c r="P134" s="7">
        <v>0</v>
      </c>
      <c r="Q134" s="8">
        <v>0</v>
      </c>
      <c r="R134" s="7">
        <v>0</v>
      </c>
      <c r="S134" s="8">
        <v>0</v>
      </c>
      <c r="T134" s="7">
        <v>0</v>
      </c>
      <c r="U134" s="8">
        <v>0</v>
      </c>
      <c r="V134" s="7">
        <v>0</v>
      </c>
      <c r="W134" s="8">
        <v>0</v>
      </c>
      <c r="X134" s="7">
        <v>0</v>
      </c>
      <c r="Y134" s="8">
        <v>0</v>
      </c>
      <c r="Z134" s="7">
        <v>0</v>
      </c>
      <c r="AA134" s="8">
        <v>0</v>
      </c>
      <c r="AB134" s="9">
        <v>0</v>
      </c>
      <c r="AC134" s="8">
        <v>0</v>
      </c>
      <c r="AD134" s="10">
        <v>0</v>
      </c>
      <c r="AE134" s="11">
        <v>0</v>
      </c>
      <c r="AF134" s="10" t="s">
        <v>316</v>
      </c>
      <c r="AG134" s="9">
        <v>0</v>
      </c>
      <c r="AH134" s="8">
        <v>0</v>
      </c>
      <c r="AI134" s="10">
        <v>0</v>
      </c>
      <c r="AJ134" s="11">
        <v>0</v>
      </c>
      <c r="AK134" s="10" t="s">
        <v>316</v>
      </c>
      <c r="AL134" s="11" t="s">
        <v>316</v>
      </c>
    </row>
    <row r="135" spans="1:38" ht="16.5" hidden="1" customHeight="1">
      <c r="A135" s="12" t="s">
        <v>140</v>
      </c>
      <c r="B135" s="13">
        <v>1635.1200000000003</v>
      </c>
      <c r="C135" s="14">
        <v>1.3283149729267035E-2</v>
      </c>
      <c r="D135" s="13">
        <v>1789.2500000000002</v>
      </c>
      <c r="E135" s="14">
        <v>1.0642704556142269E-2</v>
      </c>
      <c r="F135" s="13">
        <v>1861.8899999999999</v>
      </c>
      <c r="G135" s="14">
        <v>1.1196771002041516E-2</v>
      </c>
      <c r="H135" s="13">
        <v>-5286.26</v>
      </c>
      <c r="I135" s="14">
        <v>-3.6686906395873339E-2</v>
      </c>
      <c r="J135" s="13">
        <v>1674.1300000000003</v>
      </c>
      <c r="K135" s="14">
        <v>1.4768550933914812E-2</v>
      </c>
      <c r="L135" s="13">
        <v>1479.12</v>
      </c>
      <c r="M135" s="14">
        <v>1.1561044239487259E-2</v>
      </c>
      <c r="N135" s="13">
        <v>1840.5500000000002</v>
      </c>
      <c r="O135" s="14">
        <v>1.4737525830005238E-2</v>
      </c>
      <c r="P135" s="13">
        <v>-4993.8000000000011</v>
      </c>
      <c r="Q135" s="14">
        <v>-3.9335219199443459E-2</v>
      </c>
      <c r="R135" s="13">
        <v>2098.4700000000003</v>
      </c>
      <c r="S135" s="14">
        <v>1.7029827416442083E-2</v>
      </c>
      <c r="T135" s="13">
        <v>2331</v>
      </c>
      <c r="U135" s="14">
        <v>1.8237577185988001E-2</v>
      </c>
      <c r="V135" s="13">
        <v>2621.0600000000004</v>
      </c>
      <c r="W135" s="14">
        <v>2.3573064078323745E-2</v>
      </c>
      <c r="X135" s="13">
        <v>2405.7399999999998</v>
      </c>
      <c r="Y135" s="14">
        <v>1.832072625541761E-2</v>
      </c>
      <c r="Z135" s="13">
        <v>9456.27</v>
      </c>
      <c r="AA135" s="14">
        <v>1.9160185784467966E-2</v>
      </c>
      <c r="AB135" s="13">
        <v>2364.0675000000001</v>
      </c>
      <c r="AC135" s="14">
        <v>1.9160185784467966E-2</v>
      </c>
      <c r="AD135" s="15">
        <v>41.672499999999673</v>
      </c>
      <c r="AE135" s="16">
        <v>5.2562985554874984E-3</v>
      </c>
      <c r="AF135" s="15">
        <v>1.7627457760829447E-2</v>
      </c>
      <c r="AG135" s="13">
        <v>1182.0337500000001</v>
      </c>
      <c r="AH135" s="14">
        <v>9.5839389930782552E-3</v>
      </c>
      <c r="AI135" s="15">
        <v>1223.7062499999997</v>
      </c>
      <c r="AJ135" s="16">
        <v>0.15339234840956661</v>
      </c>
      <c r="AK135" s="15">
        <v>1.0352549155216588</v>
      </c>
      <c r="AL135" s="16">
        <v>16.005146581207388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v>29331.590000000037</v>
      </c>
      <c r="C137" s="34">
        <v>0.23827969920707476</v>
      </c>
      <c r="D137" s="33">
        <v>46747.47999999996</v>
      </c>
      <c r="E137" s="34">
        <v>0.27806042665036695</v>
      </c>
      <c r="F137" s="33">
        <v>18991.709999999919</v>
      </c>
      <c r="G137" s="34">
        <v>0.11420966212138257</v>
      </c>
      <c r="H137" s="33">
        <v>-30318.789999999899</v>
      </c>
      <c r="I137" s="34">
        <v>-0.21041390524986225</v>
      </c>
      <c r="J137" s="33">
        <v>33512.130000000026</v>
      </c>
      <c r="K137" s="34">
        <v>0.29563152133285642</v>
      </c>
      <c r="L137" s="33">
        <v>33640.779999999948</v>
      </c>
      <c r="M137" s="34">
        <v>0.26294184774112822</v>
      </c>
      <c r="N137" s="33">
        <v>2565.0300000000379</v>
      </c>
      <c r="O137" s="34">
        <v>2.0538532438531359E-2</v>
      </c>
      <c r="P137" s="33">
        <v>-46781.05000000001</v>
      </c>
      <c r="Q137" s="34">
        <v>-0.36848549323763957</v>
      </c>
      <c r="R137" s="33">
        <v>37805.460000000028</v>
      </c>
      <c r="S137" s="34">
        <v>0.30680470018594735</v>
      </c>
      <c r="T137" s="33">
        <v>32234.12000000001</v>
      </c>
      <c r="U137" s="34">
        <v>0.25219744810055761</v>
      </c>
      <c r="V137" s="33">
        <v>26420.579999999958</v>
      </c>
      <c r="W137" s="34">
        <v>0.23761914085388264</v>
      </c>
      <c r="X137" s="33">
        <v>20425.290000000059</v>
      </c>
      <c r="Y137" s="34">
        <v>0.15554721074493497</v>
      </c>
      <c r="Z137" s="33">
        <v>116885.44999999975</v>
      </c>
      <c r="AA137" s="34">
        <v>0.23683195779108848</v>
      </c>
      <c r="AB137" s="33">
        <v>29221.362500000017</v>
      </c>
      <c r="AC137" s="34">
        <v>0.23683195779108912</v>
      </c>
      <c r="AD137" s="15">
        <v>-8796.0724999999584</v>
      </c>
      <c r="AE137" s="16">
        <v>-1.1094794690914502</v>
      </c>
      <c r="AF137" s="15">
        <v>-0.30101513918113687</v>
      </c>
      <c r="AG137" s="33">
        <v>17477.792500000007</v>
      </c>
      <c r="AH137" s="34">
        <v>0.14171007981259481</v>
      </c>
      <c r="AI137" s="15">
        <v>2947.4975000000522</v>
      </c>
      <c r="AJ137" s="16">
        <v>0.36947066622919894</v>
      </c>
      <c r="AK137" s="15">
        <v>0.16864243582249022</v>
      </c>
      <c r="AL137" s="16">
        <v>2.6072292579173424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0</v>
      </c>
      <c r="C140" s="8">
        <v>0</v>
      </c>
      <c r="D140" s="7">
        <v>0</v>
      </c>
      <c r="E140" s="8">
        <v>0</v>
      </c>
      <c r="F140" s="7">
        <v>600.96</v>
      </c>
      <c r="G140" s="8">
        <v>3.6139683339976424E-3</v>
      </c>
      <c r="H140" s="7">
        <v>27809.54</v>
      </c>
      <c r="I140" s="8">
        <v>0.19299958588724267</v>
      </c>
      <c r="J140" s="7">
        <v>0</v>
      </c>
      <c r="K140" s="8">
        <v>0</v>
      </c>
      <c r="L140" s="7">
        <v>0</v>
      </c>
      <c r="M140" s="8">
        <v>0</v>
      </c>
      <c r="N140" s="7">
        <v>-10</v>
      </c>
      <c r="O140" s="8">
        <v>-8.0071314715738428E-5</v>
      </c>
      <c r="P140" s="7">
        <v>28081.630000000005</v>
      </c>
      <c r="Q140" s="8">
        <v>0.22119369448669698</v>
      </c>
      <c r="R140" s="7">
        <v>0</v>
      </c>
      <c r="S140" s="8">
        <v>0</v>
      </c>
      <c r="T140" s="7">
        <v>0</v>
      </c>
      <c r="U140" s="8">
        <v>0</v>
      </c>
      <c r="V140" s="7">
        <v>0</v>
      </c>
      <c r="W140" s="8">
        <v>0</v>
      </c>
      <c r="X140" s="7">
        <v>-264.36</v>
      </c>
      <c r="Y140" s="8">
        <v>-2.0132130624598665E-3</v>
      </c>
      <c r="Z140" s="7">
        <v>-264.36</v>
      </c>
      <c r="AA140" s="8">
        <v>-5.3564319906072389E-4</v>
      </c>
      <c r="AB140" s="9">
        <v>-66.09</v>
      </c>
      <c r="AC140" s="8">
        <v>-5.3564319906072389E-4</v>
      </c>
      <c r="AD140" s="10">
        <v>-198.27</v>
      </c>
      <c r="AE140" s="11">
        <v>-2.5008490361665719E-2</v>
      </c>
      <c r="AF140" s="10">
        <v>3</v>
      </c>
      <c r="AG140" s="9">
        <v>3475.9087500000005</v>
      </c>
      <c r="AH140" s="8">
        <v>2.8182695634119501E-2</v>
      </c>
      <c r="AI140" s="10">
        <v>-3740.2687500000006</v>
      </c>
      <c r="AJ140" s="11">
        <v>-0.46884504123878951</v>
      </c>
      <c r="AK140" s="10">
        <v>-1.0760549309587026</v>
      </c>
      <c r="AL140" s="11">
        <v>-16.635918981120469</v>
      </c>
    </row>
    <row r="141" spans="1:38" ht="16.5" hidden="1" customHeight="1">
      <c r="A141" s="12" t="s">
        <v>144</v>
      </c>
      <c r="B141" s="13">
        <v>0</v>
      </c>
      <c r="C141" s="14">
        <v>0</v>
      </c>
      <c r="D141" s="13">
        <v>0</v>
      </c>
      <c r="E141" s="14">
        <v>0</v>
      </c>
      <c r="F141" s="13">
        <v>600.96</v>
      </c>
      <c r="G141" s="14">
        <v>3.6139683339976424E-3</v>
      </c>
      <c r="H141" s="13">
        <v>27809.54</v>
      </c>
      <c r="I141" s="14">
        <v>0.19299958588724267</v>
      </c>
      <c r="J141" s="13">
        <v>0</v>
      </c>
      <c r="K141" s="14">
        <v>0</v>
      </c>
      <c r="L141" s="13">
        <v>0</v>
      </c>
      <c r="M141" s="14">
        <v>0</v>
      </c>
      <c r="N141" s="13">
        <v>-10</v>
      </c>
      <c r="O141" s="14">
        <v>-8.0071314715738428E-5</v>
      </c>
      <c r="P141" s="13">
        <v>28081.630000000005</v>
      </c>
      <c r="Q141" s="14">
        <v>0.22119369448669698</v>
      </c>
      <c r="R141" s="13">
        <v>0</v>
      </c>
      <c r="S141" s="14">
        <v>0</v>
      </c>
      <c r="T141" s="13">
        <v>0</v>
      </c>
      <c r="U141" s="14">
        <v>0</v>
      </c>
      <c r="V141" s="13">
        <v>0</v>
      </c>
      <c r="W141" s="14">
        <v>0</v>
      </c>
      <c r="X141" s="13">
        <v>-264.36</v>
      </c>
      <c r="Y141" s="14">
        <v>-2.0132130624598665E-3</v>
      </c>
      <c r="Z141" s="13">
        <v>-264.36</v>
      </c>
      <c r="AA141" s="14">
        <v>-5.3564319906072389E-4</v>
      </c>
      <c r="AB141" s="13">
        <v>-66.09</v>
      </c>
      <c r="AC141" s="14">
        <v>-5.3564319906072389E-4</v>
      </c>
      <c r="AD141" s="15">
        <v>-198.27</v>
      </c>
      <c r="AE141" s="16">
        <v>-2.5008490361665719E-2</v>
      </c>
      <c r="AF141" s="15">
        <v>3</v>
      </c>
      <c r="AG141" s="13">
        <v>3475.9087500000005</v>
      </c>
      <c r="AH141" s="14">
        <v>2.8182695634119501E-2</v>
      </c>
      <c r="AI141" s="15">
        <v>-3740.2687500000006</v>
      </c>
      <c r="AJ141" s="16">
        <v>-0.46884504123878951</v>
      </c>
      <c r="AK141" s="15">
        <v>-1.0760549309587026</v>
      </c>
      <c r="AL141" s="16">
        <v>-16.635918981120469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v>0</v>
      </c>
      <c r="D144" s="7">
        <v>0</v>
      </c>
      <c r="E144" s="8">
        <v>0</v>
      </c>
      <c r="F144" s="7">
        <v>0</v>
      </c>
      <c r="G144" s="8">
        <v>0</v>
      </c>
      <c r="H144" s="7">
        <v>0</v>
      </c>
      <c r="I144" s="8">
        <v>0</v>
      </c>
      <c r="J144" s="7">
        <v>0</v>
      </c>
      <c r="K144" s="8">
        <v>0</v>
      </c>
      <c r="L144" s="7">
        <v>0</v>
      </c>
      <c r="M144" s="8">
        <v>0</v>
      </c>
      <c r="N144" s="7">
        <v>0</v>
      </c>
      <c r="O144" s="8">
        <v>0</v>
      </c>
      <c r="P144" s="7">
        <v>0</v>
      </c>
      <c r="Q144" s="8">
        <v>0</v>
      </c>
      <c r="R144" s="7">
        <v>0</v>
      </c>
      <c r="S144" s="8">
        <v>0</v>
      </c>
      <c r="T144" s="7">
        <v>0</v>
      </c>
      <c r="U144" s="8">
        <v>0</v>
      </c>
      <c r="V144" s="7">
        <v>0</v>
      </c>
      <c r="W144" s="8">
        <v>0</v>
      </c>
      <c r="X144" s="7">
        <v>0</v>
      </c>
      <c r="Y144" s="8">
        <v>0</v>
      </c>
      <c r="Z144" s="7">
        <v>0</v>
      </c>
      <c r="AA144" s="8">
        <v>0</v>
      </c>
      <c r="AB144" s="9">
        <v>0</v>
      </c>
      <c r="AC144" s="8">
        <v>0</v>
      </c>
      <c r="AD144" s="10">
        <v>0</v>
      </c>
      <c r="AE144" s="11">
        <v>0</v>
      </c>
      <c r="AF144" s="10" t="s">
        <v>316</v>
      </c>
      <c r="AG144" s="9">
        <v>0</v>
      </c>
      <c r="AH144" s="8">
        <v>0</v>
      </c>
      <c r="AI144" s="10">
        <v>0</v>
      </c>
      <c r="AJ144" s="11">
        <v>0</v>
      </c>
      <c r="AK144" s="10" t="s">
        <v>316</v>
      </c>
      <c r="AL144" s="11" t="s">
        <v>316</v>
      </c>
    </row>
    <row r="145" spans="1:38" ht="16.5" hidden="1" customHeight="1">
      <c r="A145" s="12" t="s">
        <v>147</v>
      </c>
      <c r="B145" s="13">
        <v>0</v>
      </c>
      <c r="C145" s="14">
        <v>0</v>
      </c>
      <c r="D145" s="13">
        <v>0</v>
      </c>
      <c r="E145" s="14">
        <v>0</v>
      </c>
      <c r="F145" s="13">
        <v>0</v>
      </c>
      <c r="G145" s="14">
        <v>0</v>
      </c>
      <c r="H145" s="13">
        <v>0</v>
      </c>
      <c r="I145" s="14">
        <v>0</v>
      </c>
      <c r="J145" s="13">
        <v>0</v>
      </c>
      <c r="K145" s="14">
        <v>0</v>
      </c>
      <c r="L145" s="13">
        <v>0</v>
      </c>
      <c r="M145" s="14">
        <v>0</v>
      </c>
      <c r="N145" s="13">
        <v>0</v>
      </c>
      <c r="O145" s="14">
        <v>0</v>
      </c>
      <c r="P145" s="13">
        <v>0</v>
      </c>
      <c r="Q145" s="14">
        <v>0</v>
      </c>
      <c r="R145" s="13">
        <v>0</v>
      </c>
      <c r="S145" s="14">
        <v>0</v>
      </c>
      <c r="T145" s="13">
        <v>0</v>
      </c>
      <c r="U145" s="14">
        <v>0</v>
      </c>
      <c r="V145" s="13">
        <v>0</v>
      </c>
      <c r="W145" s="14">
        <v>0</v>
      </c>
      <c r="X145" s="13">
        <v>0</v>
      </c>
      <c r="Y145" s="14">
        <v>0</v>
      </c>
      <c r="Z145" s="13">
        <v>0</v>
      </c>
      <c r="AA145" s="14">
        <v>0</v>
      </c>
      <c r="AB145" s="13">
        <v>0</v>
      </c>
      <c r="AC145" s="14">
        <v>0</v>
      </c>
      <c r="AD145" s="15">
        <v>0</v>
      </c>
      <c r="AE145" s="16">
        <v>0</v>
      </c>
      <c r="AF145" s="15" t="s">
        <v>316</v>
      </c>
      <c r="AG145" s="13">
        <v>0</v>
      </c>
      <c r="AH145" s="14">
        <v>0</v>
      </c>
      <c r="AI145" s="15">
        <v>0</v>
      </c>
      <c r="AJ145" s="16">
        <v>0</v>
      </c>
      <c r="AK145" s="15" t="s">
        <v>316</v>
      </c>
      <c r="AL145" s="16" t="s">
        <v>316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v>29331.590000000037</v>
      </c>
      <c r="C147" s="34">
        <v>0.23827969920707476</v>
      </c>
      <c r="D147" s="33">
        <v>46747.47999999996</v>
      </c>
      <c r="E147" s="34">
        <v>0.27806042665036695</v>
      </c>
      <c r="F147" s="33">
        <v>18390.74999999992</v>
      </c>
      <c r="G147" s="34">
        <v>0.11059569378738493</v>
      </c>
      <c r="H147" s="33">
        <v>-58128.3299999999</v>
      </c>
      <c r="I147" s="34">
        <v>-0.4034134911371049</v>
      </c>
      <c r="J147" s="33">
        <v>33512.130000000026</v>
      </c>
      <c r="K147" s="34">
        <v>0.29563152133285642</v>
      </c>
      <c r="L147" s="33">
        <v>33640.779999999948</v>
      </c>
      <c r="M147" s="34">
        <v>0.26294184774112822</v>
      </c>
      <c r="N147" s="33">
        <v>2575.0300000000379</v>
      </c>
      <c r="O147" s="34">
        <v>2.0618603753247096E-2</v>
      </c>
      <c r="P147" s="33">
        <v>-74862.680000000022</v>
      </c>
      <c r="Q147" s="34">
        <v>-0.5896791877243367</v>
      </c>
      <c r="R147" s="33">
        <v>37805.460000000028</v>
      </c>
      <c r="S147" s="34">
        <v>0.30680470018594735</v>
      </c>
      <c r="T147" s="33">
        <v>32234.12000000001</v>
      </c>
      <c r="U147" s="34">
        <v>0.25219744810055761</v>
      </c>
      <c r="V147" s="33">
        <v>26420.579999999958</v>
      </c>
      <c r="W147" s="34">
        <v>0.23761914085388264</v>
      </c>
      <c r="X147" s="33">
        <v>20689.65000000006</v>
      </c>
      <c r="Y147" s="34">
        <v>0.15756042380739482</v>
      </c>
      <c r="Z147" s="33">
        <v>117149.80999999975</v>
      </c>
      <c r="AA147" s="34">
        <v>0.2373676009901492</v>
      </c>
      <c r="AB147" s="33">
        <v>29287.452500000014</v>
      </c>
      <c r="AC147" s="34">
        <v>0.23736760099014984</v>
      </c>
      <c r="AD147" s="15">
        <v>-8597.8024999999543</v>
      </c>
      <c r="AE147" s="16">
        <v>-1.0844709787297839</v>
      </c>
      <c r="AF147" s="15">
        <v>-0.29356607577937854</v>
      </c>
      <c r="AG147" s="33">
        <v>14001.883750000005</v>
      </c>
      <c r="AH147" s="34">
        <v>0.11352738417847529</v>
      </c>
      <c r="AI147" s="15">
        <v>6687.7662500000552</v>
      </c>
      <c r="AJ147" s="16">
        <v>0.83831570746798878</v>
      </c>
      <c r="AK147" s="15">
        <v>0.47763332201640746</v>
      </c>
      <c r="AL147" s="16">
        <v>7.384259872931457</v>
      </c>
    </row>
    <row r="148" spans="1:38" ht="15.6" hidden="1">
      <c r="A148" s="40" t="s">
        <v>25</v>
      </c>
      <c r="B148" s="7">
        <v>123097.31</v>
      </c>
      <c r="C148" s="41"/>
      <c r="D148" s="7">
        <v>168119.86</v>
      </c>
      <c r="E148" s="41"/>
      <c r="F148" s="7">
        <v>166288.12</v>
      </c>
      <c r="G148" s="41"/>
      <c r="H148" s="7">
        <v>144091.19</v>
      </c>
      <c r="I148" s="41"/>
      <c r="J148" s="7">
        <v>113357.76999999999</v>
      </c>
      <c r="K148" s="41"/>
      <c r="L148" s="7">
        <v>127940</v>
      </c>
      <c r="M148" s="41"/>
      <c r="N148" s="7">
        <v>124888.67</v>
      </c>
      <c r="O148" s="41"/>
      <c r="P148" s="7">
        <v>126954.93000000001</v>
      </c>
      <c r="Q148" s="41"/>
      <c r="R148" s="7">
        <v>123223.20999999999</v>
      </c>
      <c r="S148" s="41"/>
      <c r="T148" s="7">
        <v>127813.03</v>
      </c>
      <c r="U148" s="41"/>
      <c r="V148" s="7">
        <v>111188.76999999999</v>
      </c>
      <c r="W148" s="41"/>
      <c r="X148" s="7">
        <v>131312.48000000001</v>
      </c>
      <c r="Y148" s="41"/>
      <c r="Z148" s="7">
        <v>493537.49</v>
      </c>
      <c r="AA148" s="41"/>
      <c r="AB148" s="9">
        <v>123384.3725</v>
      </c>
      <c r="AC148" s="41"/>
      <c r="AD148" s="10">
        <v>7928.1075000000128</v>
      </c>
      <c r="AE148" s="42"/>
      <c r="AF148" s="10">
        <v>6.4255361836848615E-2</v>
      </c>
      <c r="AG148" s="9">
        <v>123334.8575</v>
      </c>
      <c r="AH148" s="41"/>
      <c r="AI148" s="10">
        <v>7977.6225000000122</v>
      </c>
      <c r="AJ148" s="42"/>
      <c r="AK148" s="10">
        <v>6.4682626320786987E-2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I5:AJ5"/>
    <mergeCell ref="AK5:AL5"/>
    <mergeCell ref="Z5:AA5"/>
    <mergeCell ref="AB5:AC5"/>
    <mergeCell ref="AD5:AE5"/>
    <mergeCell ref="AF5"/>
    <mergeCell ref="AG5:AH5"/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 sqref="A1:AL1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44" t="s">
        <v>0</v>
      </c>
      <c r="Y1" s="44" t="s">
        <v>0</v>
      </c>
      <c r="Z1" s="44" t="s">
        <v>0</v>
      </c>
      <c r="AA1" s="44" t="s">
        <v>0</v>
      </c>
      <c r="AB1" s="44" t="s">
        <v>0</v>
      </c>
      <c r="AC1" s="44" t="s">
        <v>0</v>
      </c>
      <c r="AD1" s="44" t="s">
        <v>0</v>
      </c>
      <c r="AE1" s="44" t="s">
        <v>0</v>
      </c>
      <c r="AF1" s="44" t="s">
        <v>0</v>
      </c>
      <c r="AG1" s="44" t="s">
        <v>0</v>
      </c>
      <c r="AH1" s="44" t="s">
        <v>0</v>
      </c>
      <c r="AI1" s="44" t="s">
        <v>0</v>
      </c>
      <c r="AJ1" s="44" t="s">
        <v>0</v>
      </c>
      <c r="AK1" s="44" t="s">
        <v>0</v>
      </c>
      <c r="AL1" s="44" t="s">
        <v>0</v>
      </c>
    </row>
    <row r="2" spans="1:38" ht="23.4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  <c r="I2" s="45" t="s">
        <v>1</v>
      </c>
      <c r="J2" s="45" t="s">
        <v>1</v>
      </c>
      <c r="K2" s="45" t="s">
        <v>1</v>
      </c>
      <c r="L2" s="45" t="s">
        <v>1</v>
      </c>
      <c r="M2" s="45" t="s">
        <v>1</v>
      </c>
      <c r="N2" s="45" t="s">
        <v>1</v>
      </c>
      <c r="O2" s="45" t="s">
        <v>1</v>
      </c>
      <c r="P2" s="45" t="s">
        <v>1</v>
      </c>
      <c r="Q2" s="45" t="s">
        <v>1</v>
      </c>
      <c r="R2" s="45" t="s">
        <v>1</v>
      </c>
      <c r="S2" s="45" t="s">
        <v>1</v>
      </c>
      <c r="T2" s="45" t="s">
        <v>1</v>
      </c>
      <c r="U2" s="45" t="s">
        <v>1</v>
      </c>
      <c r="V2" s="45" t="s">
        <v>1</v>
      </c>
      <c r="W2" s="45" t="s">
        <v>1</v>
      </c>
      <c r="X2" s="45" t="s">
        <v>1</v>
      </c>
      <c r="Y2" s="45" t="s">
        <v>1</v>
      </c>
      <c r="Z2" s="45" t="s">
        <v>1</v>
      </c>
      <c r="AA2" s="45" t="s">
        <v>1</v>
      </c>
      <c r="AB2" s="45" t="s">
        <v>1</v>
      </c>
      <c r="AC2" s="45" t="s">
        <v>1</v>
      </c>
      <c r="AD2" s="45" t="s">
        <v>1</v>
      </c>
      <c r="AE2" s="45" t="s">
        <v>1</v>
      </c>
      <c r="AF2" s="45" t="s">
        <v>1</v>
      </c>
      <c r="AG2" s="45" t="s">
        <v>1</v>
      </c>
      <c r="AH2" s="45" t="s">
        <v>1</v>
      </c>
      <c r="AI2" s="45" t="s">
        <v>1</v>
      </c>
      <c r="AJ2" s="45" t="s">
        <v>1</v>
      </c>
      <c r="AK2" s="45" t="s">
        <v>1</v>
      </c>
      <c r="AL2" s="45" t="s">
        <v>1</v>
      </c>
    </row>
    <row r="3" spans="1:38" ht="15.6">
      <c r="A3" s="46" t="s">
        <v>152</v>
      </c>
      <c r="B3" s="46" t="s">
        <v>152</v>
      </c>
      <c r="C3" s="46" t="s">
        <v>152</v>
      </c>
      <c r="D3" s="46" t="s">
        <v>152</v>
      </c>
      <c r="E3" s="46" t="s">
        <v>152</v>
      </c>
      <c r="F3" s="46" t="s">
        <v>152</v>
      </c>
      <c r="G3" s="46" t="s">
        <v>152</v>
      </c>
      <c r="H3" s="46" t="s">
        <v>152</v>
      </c>
      <c r="I3" s="46" t="s">
        <v>152</v>
      </c>
      <c r="J3" s="46" t="s">
        <v>152</v>
      </c>
      <c r="K3" s="46" t="s">
        <v>152</v>
      </c>
      <c r="L3" s="46" t="s">
        <v>152</v>
      </c>
      <c r="M3" s="46" t="s">
        <v>152</v>
      </c>
      <c r="N3" s="46" t="s">
        <v>152</v>
      </c>
      <c r="O3" s="46" t="s">
        <v>152</v>
      </c>
      <c r="P3" s="46" t="s">
        <v>152</v>
      </c>
      <c r="Q3" s="46" t="s">
        <v>152</v>
      </c>
      <c r="R3" s="46" t="s">
        <v>152</v>
      </c>
      <c r="S3" s="46" t="s">
        <v>152</v>
      </c>
      <c r="T3" s="46" t="s">
        <v>152</v>
      </c>
      <c r="U3" s="46" t="s">
        <v>152</v>
      </c>
      <c r="V3" s="46" t="s">
        <v>152</v>
      </c>
      <c r="W3" s="46" t="s">
        <v>152</v>
      </c>
      <c r="X3" s="46" t="s">
        <v>152</v>
      </c>
      <c r="Y3" s="46" t="s">
        <v>152</v>
      </c>
      <c r="Z3" s="46" t="s">
        <v>152</v>
      </c>
      <c r="AA3" s="46" t="s">
        <v>152</v>
      </c>
      <c r="AB3" s="46" t="s">
        <v>152</v>
      </c>
      <c r="AC3" s="46" t="s">
        <v>152</v>
      </c>
      <c r="AD3" s="46" t="s">
        <v>152</v>
      </c>
      <c r="AE3" s="46" t="s">
        <v>152</v>
      </c>
      <c r="AF3" s="46" t="s">
        <v>152</v>
      </c>
      <c r="AG3" s="46" t="s">
        <v>152</v>
      </c>
      <c r="AH3" s="46" t="s">
        <v>152</v>
      </c>
      <c r="AI3" s="46" t="s">
        <v>152</v>
      </c>
      <c r="AJ3" s="46" t="s">
        <v>152</v>
      </c>
      <c r="AK3" s="46" t="s">
        <v>152</v>
      </c>
      <c r="AL3" s="46" t="s">
        <v>152</v>
      </c>
    </row>
    <row r="5" spans="1:38" ht="13.5" customHeight="1">
      <c r="A5" s="47" t="s">
        <v>3</v>
      </c>
      <c r="B5" s="48" t="s">
        <v>4</v>
      </c>
      <c r="C5" s="49" t="s">
        <v>3</v>
      </c>
      <c r="D5" s="48" t="s">
        <v>5</v>
      </c>
      <c r="E5" s="49" t="s">
        <v>3</v>
      </c>
      <c r="F5" s="48" t="s">
        <v>6</v>
      </c>
      <c r="G5" s="49" t="s">
        <v>3</v>
      </c>
      <c r="H5" s="48" t="s">
        <v>7</v>
      </c>
      <c r="I5" s="49" t="s">
        <v>3</v>
      </c>
      <c r="J5" s="48" t="s">
        <v>8</v>
      </c>
      <c r="K5" s="49" t="s">
        <v>3</v>
      </c>
      <c r="L5" s="48" t="s">
        <v>9</v>
      </c>
      <c r="M5" s="49" t="s">
        <v>3</v>
      </c>
      <c r="N5" s="48" t="s">
        <v>10</v>
      </c>
      <c r="O5" s="49" t="s">
        <v>3</v>
      </c>
      <c r="P5" s="48" t="s">
        <v>11</v>
      </c>
      <c r="Q5" s="49" t="s">
        <v>3</v>
      </c>
      <c r="R5" s="48" t="s">
        <v>12</v>
      </c>
      <c r="S5" s="49" t="s">
        <v>3</v>
      </c>
      <c r="T5" s="48" t="s">
        <v>13</v>
      </c>
      <c r="U5" s="49" t="s">
        <v>3</v>
      </c>
      <c r="V5" s="48" t="s">
        <v>14</v>
      </c>
      <c r="W5" s="49" t="s">
        <v>3</v>
      </c>
      <c r="X5" s="48" t="s">
        <v>15</v>
      </c>
      <c r="Y5" s="49" t="s">
        <v>3</v>
      </c>
      <c r="Z5" s="48" t="s">
        <v>16</v>
      </c>
      <c r="AA5" s="49" t="s">
        <v>3</v>
      </c>
      <c r="AB5" s="48" t="s">
        <v>17</v>
      </c>
      <c r="AC5" s="49" t="s">
        <v>3</v>
      </c>
      <c r="AD5" s="50" t="s">
        <v>18</v>
      </c>
      <c r="AE5" s="51" t="s">
        <v>3</v>
      </c>
      <c r="AF5" s="50" t="s">
        <v>19</v>
      </c>
      <c r="AG5" s="48" t="s">
        <v>20</v>
      </c>
      <c r="AH5" s="49" t="s">
        <v>3</v>
      </c>
      <c r="AI5" s="50" t="s">
        <v>21</v>
      </c>
      <c r="AJ5" s="51" t="s">
        <v>3</v>
      </c>
      <c r="AK5" s="50" t="s">
        <v>22</v>
      </c>
      <c r="AL5" s="51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42443.339999999989</v>
      </c>
      <c r="C7" s="8">
        <f>IFERROR(B7/B148, "NA")</f>
        <v>0.99999999999999978</v>
      </c>
      <c r="D7" s="7">
        <v>60324.639999999992</v>
      </c>
      <c r="E7" s="8">
        <f>IFERROR(D7/D148, "NA")</f>
        <v>0.99999999999999989</v>
      </c>
      <c r="F7" s="7">
        <v>58771.329999999994</v>
      </c>
      <c r="G7" s="8">
        <f>IFERROR(F7/F148, "NA")</f>
        <v>0.99999999999999989</v>
      </c>
      <c r="H7" s="7">
        <v>48039.839999999997</v>
      </c>
      <c r="I7" s="8">
        <f>IFERROR(H7/H148, "NA")</f>
        <v>1</v>
      </c>
      <c r="J7" s="7">
        <v>41480.409999999996</v>
      </c>
      <c r="K7" s="8">
        <f>IFERROR(J7/J148, "NA")</f>
        <v>0.99999999999999978</v>
      </c>
      <c r="L7" s="7">
        <v>49860.789999999986</v>
      </c>
      <c r="M7" s="8">
        <f>IFERROR(L7/L148, "NA")</f>
        <v>0.99999999999999967</v>
      </c>
      <c r="N7" s="7">
        <v>51166.44000000001</v>
      </c>
      <c r="O7" s="8">
        <f>IFERROR(N7/N148, "NA")</f>
        <v>1.0000000000000002</v>
      </c>
      <c r="P7" s="7">
        <v>47375.87000000001</v>
      </c>
      <c r="Q7" s="8">
        <f>IFERROR(P7/P148, "NA")</f>
        <v>1.0000000000000002</v>
      </c>
      <c r="R7" s="7">
        <v>44090.540000000008</v>
      </c>
      <c r="S7" s="8">
        <f>IFERROR(R7/R148, "NA")</f>
        <v>1.0000000000000002</v>
      </c>
      <c r="T7" s="7">
        <v>49571.040000000008</v>
      </c>
      <c r="U7" s="8">
        <f>IFERROR(T7/T148, "NA")</f>
        <v>1.0000000000000002</v>
      </c>
      <c r="V7" s="7">
        <v>41467.820000000007</v>
      </c>
      <c r="W7" s="8">
        <f>IFERROR(V7/V148, "NA")</f>
        <v>1.0000000000000002</v>
      </c>
      <c r="X7" s="7">
        <v>38893.35</v>
      </c>
      <c r="Y7" s="8">
        <f>IFERROR(X7/X148, "NA")</f>
        <v>1</v>
      </c>
      <c r="Z7" s="7">
        <v>174022.74999999994</v>
      </c>
      <c r="AA7" s="8">
        <f>IFERROR(Z7/Z148, "NA")</f>
        <v>0.99999999999999967</v>
      </c>
      <c r="AB7" s="9">
        <f>IFERROR((R7+T7+V7+X7)/4, "NA")</f>
        <v>43505.687500000007</v>
      </c>
      <c r="AC7" s="8">
        <f>IFERROR(AB7/AB148, "NA")</f>
        <v>1.0000000000000002</v>
      </c>
      <c r="AD7" s="10">
        <f>IFERROR(X7-AB7, "NA")</f>
        <v>-4612.3375000000087</v>
      </c>
      <c r="AE7" s="11">
        <f>IFERROR(AD7/AD148, "NA")</f>
        <v>1.0000000000000016</v>
      </c>
      <c r="AF7" s="10">
        <f>IFERROR((X7-AB7)/AB7, "NA")</f>
        <v>-0.10601688572327488</v>
      </c>
      <c r="AG7" s="9">
        <f>IFERROR((J7+L7+N7+P7+R7+T7+V7+X7)/8, "NA")</f>
        <v>45488.282500000001</v>
      </c>
      <c r="AH7" s="8">
        <f>IFERROR(AG7/AG148, "NA")</f>
        <v>1</v>
      </c>
      <c r="AI7" s="10">
        <f>IFERROR(X7-AG7, "NA")</f>
        <v>-6594.9325000000026</v>
      </c>
      <c r="AJ7" s="11">
        <f>IFERROR(AI7/AI148, "NA")</f>
        <v>1</v>
      </c>
      <c r="AK7" s="10">
        <f>IFERROR((X7-AG7)/AG7, "NA")</f>
        <v>-0.14498090799537228</v>
      </c>
      <c r="AL7" s="11">
        <f>IFERROR(AK7/AK148, "NA")</f>
        <v>1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42443.339999999989</v>
      </c>
      <c r="C9" s="14">
        <f>IFERROR(B9/B148, "NA")</f>
        <v>0.99999999999999978</v>
      </c>
      <c r="D9" s="13">
        <f>IFERROR(D7+D8, "NA")</f>
        <v>60324.639999999992</v>
      </c>
      <c r="E9" s="14">
        <f>IFERROR(D9/D148, "NA")</f>
        <v>0.99999999999999989</v>
      </c>
      <c r="F9" s="13">
        <f>IFERROR(F7+F8, "NA")</f>
        <v>58771.329999999994</v>
      </c>
      <c r="G9" s="14">
        <f>IFERROR(F9/F148, "NA")</f>
        <v>0.99999999999999989</v>
      </c>
      <c r="H9" s="13">
        <f>IFERROR(H7+H8, "NA")</f>
        <v>48039.839999999997</v>
      </c>
      <c r="I9" s="14">
        <f>IFERROR(H9/H148, "NA")</f>
        <v>1</v>
      </c>
      <c r="J9" s="13">
        <f>IFERROR(J7+J8, "NA")</f>
        <v>41480.409999999996</v>
      </c>
      <c r="K9" s="14">
        <f>IFERROR(J9/J148, "NA")</f>
        <v>0.99999999999999978</v>
      </c>
      <c r="L9" s="13">
        <f>IFERROR(L7+L8, "NA")</f>
        <v>49860.789999999986</v>
      </c>
      <c r="M9" s="14">
        <f>IFERROR(L9/L148, "NA")</f>
        <v>0.99999999999999967</v>
      </c>
      <c r="N9" s="13">
        <f>IFERROR(N7+N8, "NA")</f>
        <v>51166.44000000001</v>
      </c>
      <c r="O9" s="14">
        <f>IFERROR(N9/N148, "NA")</f>
        <v>1.0000000000000002</v>
      </c>
      <c r="P9" s="13">
        <f>IFERROR(P7+P8, "NA")</f>
        <v>47375.87000000001</v>
      </c>
      <c r="Q9" s="14">
        <f>IFERROR(P9/P148, "NA")</f>
        <v>1.0000000000000002</v>
      </c>
      <c r="R9" s="13">
        <f>IFERROR(R7+R8, "NA")</f>
        <v>44090.540000000008</v>
      </c>
      <c r="S9" s="14">
        <f>IFERROR(R9/R148, "NA")</f>
        <v>1.0000000000000002</v>
      </c>
      <c r="T9" s="13">
        <f>IFERROR(T7+T8, "NA")</f>
        <v>49571.040000000008</v>
      </c>
      <c r="U9" s="14">
        <f>IFERROR(T9/T148, "NA")</f>
        <v>1.0000000000000002</v>
      </c>
      <c r="V9" s="13">
        <f>IFERROR(V7+V8, "NA")</f>
        <v>41467.820000000007</v>
      </c>
      <c r="W9" s="14">
        <f>IFERROR(V9/V148, "NA")</f>
        <v>1.0000000000000002</v>
      </c>
      <c r="X9" s="13">
        <f>IFERROR(X7+X8, "NA")</f>
        <v>38893.35</v>
      </c>
      <c r="Y9" s="14">
        <f>IFERROR(X9/X148, "NA")</f>
        <v>1</v>
      </c>
      <c r="Z9" s="13">
        <f>IFERROR(Z7+Z8, "NA")</f>
        <v>174022.74999999994</v>
      </c>
      <c r="AA9" s="14">
        <f>IFERROR(Z9/Z148, "NA")</f>
        <v>0.99999999999999967</v>
      </c>
      <c r="AB9" s="13">
        <f>IFERROR((R9+T9+V9+X9)/4, "NA")</f>
        <v>43505.687500000007</v>
      </c>
      <c r="AC9" s="14">
        <f>IFERROR(AB9/AB148, "NA")</f>
        <v>1.0000000000000002</v>
      </c>
      <c r="AD9" s="15">
        <f>IFERROR(X9-AB9, "NA")</f>
        <v>-4612.3375000000087</v>
      </c>
      <c r="AE9" s="16">
        <f>IFERROR(AD9/AD148, "NA")</f>
        <v>1.0000000000000016</v>
      </c>
      <c r="AF9" s="15">
        <f>IFERROR((X9-AB9)/AB9, "NA")</f>
        <v>-0.10601688572327488</v>
      </c>
      <c r="AG9" s="13">
        <f>IFERROR((J9+L9+N9+P9+R9+T9+V9+X9)/8, "NA")</f>
        <v>45488.282500000001</v>
      </c>
      <c r="AH9" s="14">
        <f>IFERROR(AG9/AG148, "NA")</f>
        <v>1</v>
      </c>
      <c r="AI9" s="15">
        <f>IFERROR(X9-AG9, "NA")</f>
        <v>-6594.9325000000026</v>
      </c>
      <c r="AJ9" s="16">
        <f>IFERROR(AI9/AI148, "NA")</f>
        <v>1</v>
      </c>
      <c r="AK9" s="15">
        <f>IFERROR((X9-AG9)/AG9, "NA")</f>
        <v>-0.14498090799537228</v>
      </c>
      <c r="AL9" s="16">
        <f>IFERROR(AK9/AK148, "NA")</f>
        <v>1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1491.24</v>
      </c>
      <c r="C16" s="8">
        <f>IFERROR(B16/B148, "NA")</f>
        <v>3.5134840943243394E-2</v>
      </c>
      <c r="D16" s="7">
        <v>2534.56</v>
      </c>
      <c r="E16" s="8">
        <f>IFERROR(D16/D148, "NA")</f>
        <v>4.2015335690358036E-2</v>
      </c>
      <c r="F16" s="7">
        <v>2644.52</v>
      </c>
      <c r="G16" s="8">
        <f>IFERROR(F16/F148, "NA")</f>
        <v>4.4996769683449393E-2</v>
      </c>
      <c r="H16" s="7">
        <v>1714.77</v>
      </c>
      <c r="I16" s="8">
        <f>IFERROR(H16/H148, "NA")</f>
        <v>3.5694748358862147E-2</v>
      </c>
      <c r="J16" s="7">
        <v>2098.02</v>
      </c>
      <c r="K16" s="8">
        <f>IFERROR(J16/J148, "NA")</f>
        <v>5.0578574319781307E-2</v>
      </c>
      <c r="L16" s="7">
        <v>1917.76</v>
      </c>
      <c r="M16" s="8">
        <f>IFERROR(L16/L148, "NA")</f>
        <v>3.8462286698626315E-2</v>
      </c>
      <c r="N16" s="7">
        <v>2181.1</v>
      </c>
      <c r="O16" s="8">
        <f>IFERROR(N16/N148, "NA")</f>
        <v>4.2627550402177673E-2</v>
      </c>
      <c r="P16" s="7">
        <v>1595.25</v>
      </c>
      <c r="Q16" s="8">
        <f>IFERROR(P16/P148, "NA")</f>
        <v>3.3672204858718163E-2</v>
      </c>
      <c r="R16" s="7">
        <v>1850.78</v>
      </c>
      <c r="S16" s="8">
        <f>IFERROR(R16/R148, "NA")</f>
        <v>4.1976805001707848E-2</v>
      </c>
      <c r="T16" s="7">
        <v>1432.03</v>
      </c>
      <c r="U16" s="8">
        <f>IFERROR(T16/T148, "NA")</f>
        <v>2.8888439701890457E-2</v>
      </c>
      <c r="V16" s="7">
        <v>1684.72</v>
      </c>
      <c r="W16" s="8">
        <f>IFERROR(V16/V148, "NA")</f>
        <v>4.062716583606276E-2</v>
      </c>
      <c r="X16" s="7">
        <v>1391.59</v>
      </c>
      <c r="Y16" s="8">
        <f>IFERROR(X16/X148, "NA")</f>
        <v>3.5779638421478223E-2</v>
      </c>
      <c r="Z16" s="7">
        <v>6359.12</v>
      </c>
      <c r="AA16" s="8">
        <f>IFERROR(Z16/Z148, "NA")</f>
        <v>3.6541888919695842E-2</v>
      </c>
      <c r="AB16" s="9">
        <f t="shared" si="0"/>
        <v>1589.78</v>
      </c>
      <c r="AC16" s="8">
        <f>IFERROR(AB16/AB148, "NA")</f>
        <v>3.6541888919695842E-2</v>
      </c>
      <c r="AD16" s="10">
        <f t="shared" si="1"/>
        <v>-198.19000000000005</v>
      </c>
      <c r="AE16" s="11">
        <f>IFERROR(AD16/AD148, "NA")</f>
        <v>4.2969535512091213E-2</v>
      </c>
      <c r="AF16" s="10">
        <f t="shared" si="2"/>
        <v>-0.12466504799406211</v>
      </c>
      <c r="AG16" s="9">
        <f t="shared" si="3"/>
        <v>1768.90625</v>
      </c>
      <c r="AH16" s="8">
        <f>IFERROR(AG16/AG148, "NA")</f>
        <v>3.8887074929681069E-2</v>
      </c>
      <c r="AI16" s="10">
        <f t="shared" si="4"/>
        <v>-377.31625000000008</v>
      </c>
      <c r="AJ16" s="11">
        <f>IFERROR(AI16/AI148, "NA")</f>
        <v>5.721305714652878E-2</v>
      </c>
      <c r="AK16" s="10">
        <f t="shared" si="5"/>
        <v>-0.21330483172864592</v>
      </c>
      <c r="AL16" s="11">
        <f>IFERROR(AK16/AK148, "NA")</f>
        <v>1.4712615245550436</v>
      </c>
    </row>
    <row r="17" spans="1:38" ht="16.5" customHeight="1">
      <c r="A17" s="25" t="s">
        <v>32</v>
      </c>
      <c r="B17" s="7">
        <v>1106.8599999999999</v>
      </c>
      <c r="C17" s="8">
        <f>IFERROR(B17/B148, "NA")</f>
        <v>2.6078531991120396E-2</v>
      </c>
      <c r="D17" s="7">
        <v>1329.3</v>
      </c>
      <c r="E17" s="8">
        <f>IFERROR(D17/D148, "NA")</f>
        <v>2.2035771784133316E-2</v>
      </c>
      <c r="F17" s="7">
        <v>1296.6400000000001</v>
      </c>
      <c r="G17" s="8">
        <f>IFERROR(F17/F148, "NA")</f>
        <v>2.2062458004608709E-2</v>
      </c>
      <c r="H17" s="7">
        <v>1125.1199999999999</v>
      </c>
      <c r="I17" s="8">
        <f>IFERROR(H17/H148, "NA")</f>
        <v>2.3420560934424427E-2</v>
      </c>
      <c r="J17" s="7">
        <v>1264.8399999999999</v>
      </c>
      <c r="K17" s="8">
        <f>IFERROR(J17/J148, "NA")</f>
        <v>3.0492466202720749E-2</v>
      </c>
      <c r="L17" s="7">
        <v>1046.3599999999999</v>
      </c>
      <c r="M17" s="8">
        <f>IFERROR(L17/L148, "NA")</f>
        <v>2.0985628185995447E-2</v>
      </c>
      <c r="N17" s="7">
        <v>938.94</v>
      </c>
      <c r="O17" s="8">
        <f>IFERROR(N17/N148, "NA")</f>
        <v>1.8350700185512221E-2</v>
      </c>
      <c r="P17" s="7">
        <v>1391.84</v>
      </c>
      <c r="Q17" s="8">
        <f>IFERROR(P17/P148, "NA")</f>
        <v>2.9378668929984818E-2</v>
      </c>
      <c r="R17" s="7">
        <v>1097.3499999999999</v>
      </c>
      <c r="S17" s="8">
        <f>IFERROR(R17/R148, "NA")</f>
        <v>2.4888558860925721E-2</v>
      </c>
      <c r="T17" s="7">
        <v>1061.22</v>
      </c>
      <c r="U17" s="8">
        <f>IFERROR(T17/T148, "NA")</f>
        <v>2.1408064063211101E-2</v>
      </c>
      <c r="V17" s="7">
        <v>1057.67</v>
      </c>
      <c r="W17" s="8">
        <f>IFERROR(V17/V148, "NA")</f>
        <v>2.5505801848276569E-2</v>
      </c>
      <c r="X17" s="7">
        <v>264.12</v>
      </c>
      <c r="Y17" s="8">
        <f>IFERROR(X17/X148, "NA")</f>
        <v>6.7908781321228441E-3</v>
      </c>
      <c r="Z17" s="7">
        <v>3480.36</v>
      </c>
      <c r="AA17" s="8">
        <f>IFERROR(Z17/Z148, "NA")</f>
        <v>1.99994540943641E-2</v>
      </c>
      <c r="AB17" s="9">
        <f t="shared" si="0"/>
        <v>870.08999999999992</v>
      </c>
      <c r="AC17" s="8">
        <f>IFERROR(AB17/AB148, "NA")</f>
        <v>1.9999454094364096E-2</v>
      </c>
      <c r="AD17" s="10">
        <f t="shared" si="1"/>
        <v>-605.96999999999991</v>
      </c>
      <c r="AE17" s="11">
        <f>IFERROR(AD17/AD148, "NA")</f>
        <v>0.13138023832817952</v>
      </c>
      <c r="AF17" s="10">
        <f t="shared" si="2"/>
        <v>-0.69644519532462157</v>
      </c>
      <c r="AG17" s="9">
        <f t="shared" si="3"/>
        <v>1015.2925</v>
      </c>
      <c r="AH17" s="8">
        <f>IFERROR(AG17/AG148, "NA")</f>
        <v>2.2319868858535163E-2</v>
      </c>
      <c r="AI17" s="10">
        <f t="shared" si="4"/>
        <v>-751.17250000000001</v>
      </c>
      <c r="AJ17" s="11">
        <f>IFERROR(AI17/AI148, "NA")</f>
        <v>0.11390146904460352</v>
      </c>
      <c r="AK17" s="10">
        <f t="shared" si="5"/>
        <v>-0.73985821819820397</v>
      </c>
      <c r="AL17" s="11">
        <f>IFERROR(AK17/AK148, "NA")</f>
        <v>5.1031423959754747</v>
      </c>
    </row>
    <row r="18" spans="1:38" ht="16.5" customHeight="1">
      <c r="A18" s="25" t="s">
        <v>33</v>
      </c>
      <c r="B18" s="7">
        <v>941.31</v>
      </c>
      <c r="C18" s="8">
        <f>IFERROR(B18/B148, "NA")</f>
        <v>2.2178037826429305E-2</v>
      </c>
      <c r="D18" s="7">
        <v>2006.71</v>
      </c>
      <c r="E18" s="8">
        <f>IFERROR(D18/D148, "NA")</f>
        <v>3.32651798668007E-2</v>
      </c>
      <c r="F18" s="7">
        <v>1954.19</v>
      </c>
      <c r="G18" s="8">
        <f>IFERROR(F18/F148, "NA")</f>
        <v>3.3250736370948213E-2</v>
      </c>
      <c r="H18" s="7">
        <v>1395</v>
      </c>
      <c r="I18" s="8">
        <f>IFERROR(H18/H148, "NA")</f>
        <v>2.9038398129552473E-2</v>
      </c>
      <c r="J18" s="7">
        <v>1290.43</v>
      </c>
      <c r="K18" s="8">
        <f>IFERROR(J18/J148, "NA")</f>
        <v>3.1109383923640099E-2</v>
      </c>
      <c r="L18" s="7">
        <v>1734.51</v>
      </c>
      <c r="M18" s="8">
        <f>IFERROR(L18/L148, "NA")</f>
        <v>3.4787054116069964E-2</v>
      </c>
      <c r="N18" s="7">
        <v>1379.1</v>
      </c>
      <c r="O18" s="8">
        <f>IFERROR(N18/N148, "NA")</f>
        <v>2.6953213864400177E-2</v>
      </c>
      <c r="P18" s="7">
        <v>1325.44</v>
      </c>
      <c r="Q18" s="8">
        <f>IFERROR(P18/P148, "NA")</f>
        <v>2.7977111554890705E-2</v>
      </c>
      <c r="R18" s="7">
        <v>1334.53</v>
      </c>
      <c r="S18" s="8">
        <f>IFERROR(R18/R148, "NA")</f>
        <v>3.0267944098666063E-2</v>
      </c>
      <c r="T18" s="7">
        <v>1669.82</v>
      </c>
      <c r="U18" s="8">
        <f>IFERROR(T18/T148, "NA")</f>
        <v>3.368539372988745E-2</v>
      </c>
      <c r="V18" s="7">
        <v>1246.3800000000001</v>
      </c>
      <c r="W18" s="8">
        <f>IFERROR(V18/V148, "NA")</f>
        <v>3.0056559520129107E-2</v>
      </c>
      <c r="X18" s="7">
        <v>1149.1300000000001</v>
      </c>
      <c r="Y18" s="8">
        <f>IFERROR(X18/X148, "NA")</f>
        <v>2.954566783267577E-2</v>
      </c>
      <c r="Z18" s="7">
        <v>5399.86</v>
      </c>
      <c r="AA18" s="8">
        <f>IFERROR(Z18/Z148, "NA")</f>
        <v>3.1029621127122747E-2</v>
      </c>
      <c r="AB18" s="9">
        <f t="shared" si="0"/>
        <v>1349.9649999999999</v>
      </c>
      <c r="AC18" s="8">
        <f>IFERROR(AB18/AB148, "NA")</f>
        <v>3.1029621127122747E-2</v>
      </c>
      <c r="AD18" s="10">
        <f t="shared" si="1"/>
        <v>-200.83499999999981</v>
      </c>
      <c r="AE18" s="11">
        <f>IFERROR(AD18/AD148, "NA")</f>
        <v>4.3542997449774599E-2</v>
      </c>
      <c r="AF18" s="10">
        <f t="shared" si="2"/>
        <v>-0.14877052368024343</v>
      </c>
      <c r="AG18" s="9">
        <f t="shared" si="3"/>
        <v>1391.1675</v>
      </c>
      <c r="AH18" s="8">
        <f>IFERROR(AG18/AG148, "NA")</f>
        <v>3.0582985849157966E-2</v>
      </c>
      <c r="AI18" s="10">
        <f t="shared" si="4"/>
        <v>-242.03749999999991</v>
      </c>
      <c r="AJ18" s="11">
        <f>IFERROR(AI18/AI148, "NA")</f>
        <v>3.6700527260893089E-2</v>
      </c>
      <c r="AK18" s="10">
        <f t="shared" si="5"/>
        <v>-0.17398156584307778</v>
      </c>
      <c r="AL18" s="11">
        <f>IFERROR(AK18/AK148, "NA")</f>
        <v>1.2000308747454609</v>
      </c>
    </row>
    <row r="19" spans="1:38" ht="16.5" customHeight="1">
      <c r="A19" s="25" t="s">
        <v>34</v>
      </c>
      <c r="B19" s="7">
        <v>1062.75</v>
      </c>
      <c r="C19" s="8">
        <f>IFERROR(B19/B148, "NA")</f>
        <v>2.50392641106944E-2</v>
      </c>
      <c r="D19" s="7">
        <v>1048.99</v>
      </c>
      <c r="E19" s="8">
        <f>IFERROR(D19/D148, "NA")</f>
        <v>1.7389080150333264E-2</v>
      </c>
      <c r="F19" s="7">
        <v>1080.03</v>
      </c>
      <c r="G19" s="8">
        <f>IFERROR(F19/F148, "NA")</f>
        <v>1.8376817403996132E-2</v>
      </c>
      <c r="H19" s="7">
        <v>1073.48</v>
      </c>
      <c r="I19" s="8">
        <f>IFERROR(H19/H148, "NA")</f>
        <v>2.2345619802230817E-2</v>
      </c>
      <c r="J19" s="7">
        <v>653.54999999999995</v>
      </c>
      <c r="K19" s="8">
        <f>IFERROR(J19/J148, "NA")</f>
        <v>1.5755630187840475E-2</v>
      </c>
      <c r="L19" s="7">
        <v>1034.21</v>
      </c>
      <c r="M19" s="8">
        <f>IFERROR(L19/L148, "NA")</f>
        <v>2.0741949736456242E-2</v>
      </c>
      <c r="N19" s="7">
        <v>785.76</v>
      </c>
      <c r="O19" s="8">
        <f>IFERROR(N19/N148, "NA")</f>
        <v>1.5356940994917762E-2</v>
      </c>
      <c r="P19" s="7">
        <v>995.27</v>
      </c>
      <c r="Q19" s="8">
        <f>IFERROR(P19/P148, "NA")</f>
        <v>2.1007951938402398E-2</v>
      </c>
      <c r="R19" s="7">
        <v>924.27</v>
      </c>
      <c r="S19" s="8">
        <f>IFERROR(R19/R148, "NA")</f>
        <v>2.0963000226352408E-2</v>
      </c>
      <c r="T19" s="7">
        <v>965.2</v>
      </c>
      <c r="U19" s="8">
        <f>IFERROR(T19/T148, "NA")</f>
        <v>1.9471045997824538E-2</v>
      </c>
      <c r="V19" s="7">
        <v>754.02</v>
      </c>
      <c r="W19" s="8">
        <f>IFERROR(V19/V148, "NA")</f>
        <v>1.8183256317790518E-2</v>
      </c>
      <c r="X19" s="7">
        <v>958.38</v>
      </c>
      <c r="Y19" s="8">
        <f>IFERROR(X19/X148, "NA")</f>
        <v>2.4641230441707903E-2</v>
      </c>
      <c r="Z19" s="7">
        <v>3601.87</v>
      </c>
      <c r="AA19" s="8">
        <f>IFERROR(Z19/Z148, "NA")</f>
        <v>2.069769613455712E-2</v>
      </c>
      <c r="AB19" s="9">
        <f t="shared" si="0"/>
        <v>900.46749999999997</v>
      </c>
      <c r="AC19" s="8">
        <f>IFERROR(AB19/AB148, "NA")</f>
        <v>2.069769613455712E-2</v>
      </c>
      <c r="AD19" s="10">
        <f t="shared" si="1"/>
        <v>57.912500000000023</v>
      </c>
      <c r="AE19" s="11">
        <f>IFERROR(AD19/AD148, "NA")</f>
        <v>-1.255599790778537E-2</v>
      </c>
      <c r="AF19" s="10">
        <f t="shared" si="2"/>
        <v>6.4313814768439753E-2</v>
      </c>
      <c r="AG19" s="9">
        <f t="shared" si="3"/>
        <v>883.83249999999987</v>
      </c>
      <c r="AH19" s="8">
        <f>IFERROR(AG19/AG148, "NA")</f>
        <v>1.9429893841342544E-2</v>
      </c>
      <c r="AI19" s="10">
        <f t="shared" si="4"/>
        <v>74.547500000000127</v>
      </c>
      <c r="AJ19" s="11">
        <f>IFERROR(AI19/AI148, "NA")</f>
        <v>-1.130375481477636E-2</v>
      </c>
      <c r="AK19" s="10">
        <f t="shared" si="5"/>
        <v>8.434573293016509E-2</v>
      </c>
      <c r="AL19" s="11">
        <f>IFERROR(AK19/AK148, "NA")</f>
        <v>-0.58177131110847624</v>
      </c>
    </row>
    <row r="20" spans="1:38" ht="16.5" customHeight="1">
      <c r="A20" s="25" t="s">
        <v>35</v>
      </c>
      <c r="B20" s="7">
        <v>511.4</v>
      </c>
      <c r="C20" s="8">
        <f>IFERROR(B20/B148, "NA")</f>
        <v>1.204900462593189E-2</v>
      </c>
      <c r="D20" s="7">
        <v>598.74</v>
      </c>
      <c r="E20" s="8">
        <f>IFERROR(D20/D148, "NA")</f>
        <v>9.9252975235326734E-3</v>
      </c>
      <c r="F20" s="7">
        <v>700.65</v>
      </c>
      <c r="G20" s="8">
        <f>IFERROR(F20/F148, "NA")</f>
        <v>1.1921629134477644E-2</v>
      </c>
      <c r="H20" s="7">
        <v>593.52</v>
      </c>
      <c r="I20" s="8">
        <f>IFERROR(H20/H148, "NA")</f>
        <v>1.2354745561184217E-2</v>
      </c>
      <c r="J20" s="7">
        <v>549.02</v>
      </c>
      <c r="K20" s="8">
        <f>IFERROR(J20/J148, "NA")</f>
        <v>1.3235645452877634E-2</v>
      </c>
      <c r="L20" s="7">
        <v>581.52</v>
      </c>
      <c r="M20" s="8">
        <f>IFERROR(L20/L148, "NA")</f>
        <v>1.1662871767575283E-2</v>
      </c>
      <c r="N20" s="7">
        <v>943.81</v>
      </c>
      <c r="O20" s="8">
        <f>IFERROR(N20/N148, "NA")</f>
        <v>1.8445879760249098E-2</v>
      </c>
      <c r="P20" s="7">
        <v>513.5</v>
      </c>
      <c r="Q20" s="8">
        <f>IFERROR(P20/P148, "NA")</f>
        <v>1.0838851086006442E-2</v>
      </c>
      <c r="R20" s="7">
        <v>763.72</v>
      </c>
      <c r="S20" s="8">
        <f>IFERROR(R20/R148, "NA")</f>
        <v>1.7321629537764789E-2</v>
      </c>
      <c r="T20" s="7">
        <v>419.33</v>
      </c>
      <c r="U20" s="8">
        <f>IFERROR(T20/T148, "NA")</f>
        <v>8.4591729364564463E-3</v>
      </c>
      <c r="V20" s="7">
        <v>597.42999999999995</v>
      </c>
      <c r="W20" s="8">
        <f>IFERROR(V20/V148, "NA")</f>
        <v>1.440707517298956E-2</v>
      </c>
      <c r="X20" s="7">
        <v>726.42</v>
      </c>
      <c r="Y20" s="8">
        <f>IFERROR(X20/X148, "NA")</f>
        <v>1.8677228883600922E-2</v>
      </c>
      <c r="Z20" s="7">
        <v>2506.9</v>
      </c>
      <c r="AA20" s="8">
        <f>IFERROR(Z20/Z148, "NA")</f>
        <v>1.4405587775161582E-2</v>
      </c>
      <c r="AB20" s="9">
        <f t="shared" si="0"/>
        <v>626.72500000000002</v>
      </c>
      <c r="AC20" s="8">
        <f>IFERROR(AB20/AB148, "NA")</f>
        <v>1.4405587775161582E-2</v>
      </c>
      <c r="AD20" s="10">
        <f t="shared" si="1"/>
        <v>99.694999999999936</v>
      </c>
      <c r="AE20" s="11">
        <f>IFERROR(AD20/AD148, "NA")</f>
        <v>-2.1614853639830109E-2</v>
      </c>
      <c r="AF20" s="10">
        <f t="shared" si="2"/>
        <v>0.15907295863416959</v>
      </c>
      <c r="AG20" s="9">
        <f t="shared" si="3"/>
        <v>636.84375</v>
      </c>
      <c r="AH20" s="8">
        <f>IFERROR(AG20/AG148, "NA")</f>
        <v>1.4000171362811949E-2</v>
      </c>
      <c r="AI20" s="10">
        <f t="shared" si="4"/>
        <v>89.576249999999959</v>
      </c>
      <c r="AJ20" s="11">
        <f>IFERROR(AI20/AI148, "NA")</f>
        <v>-1.3582587843014303E-2</v>
      </c>
      <c r="AK20" s="10">
        <f t="shared" si="5"/>
        <v>0.14065655822169873</v>
      </c>
      <c r="AL20" s="11">
        <f>IFERROR(AK20/AK148, "NA")</f>
        <v>-0.97017297081756737</v>
      </c>
    </row>
    <row r="21" spans="1:38" ht="16.5" customHeight="1">
      <c r="A21" s="25" t="s">
        <v>36</v>
      </c>
      <c r="B21" s="7">
        <v>463.03</v>
      </c>
      <c r="C21" s="8">
        <f>IFERROR(B21/B148, "NA")</f>
        <v>1.0909367641660624E-2</v>
      </c>
      <c r="D21" s="7">
        <v>753.68</v>
      </c>
      <c r="E21" s="8">
        <f>IFERROR(D21/D148, "NA")</f>
        <v>1.2493733903758065E-2</v>
      </c>
      <c r="F21" s="7">
        <v>277.8</v>
      </c>
      <c r="G21" s="8">
        <f>IFERROR(F21/F148, "NA")</f>
        <v>4.7267945101803887E-3</v>
      </c>
      <c r="H21" s="7">
        <v>525.52</v>
      </c>
      <c r="I21" s="8">
        <f>IFERROR(H21/H148, "NA")</f>
        <v>1.0939253752718578E-2</v>
      </c>
      <c r="J21" s="7">
        <v>394.77</v>
      </c>
      <c r="K21" s="8">
        <f>IFERROR(J21/J148, "NA")</f>
        <v>9.5170226138073365E-3</v>
      </c>
      <c r="L21" s="7">
        <v>500.48</v>
      </c>
      <c r="M21" s="8">
        <f>IFERROR(L21/L148, "NA")</f>
        <v>1.0037546537068506E-2</v>
      </c>
      <c r="N21" s="7">
        <v>485.93</v>
      </c>
      <c r="O21" s="8">
        <f>IFERROR(N21/N148, "NA")</f>
        <v>9.4970453289304462E-3</v>
      </c>
      <c r="P21" s="7">
        <v>606.97</v>
      </c>
      <c r="Q21" s="8">
        <f>IFERROR(P21/P148, "NA")</f>
        <v>1.2811796384952931E-2</v>
      </c>
      <c r="R21" s="7">
        <v>338.99</v>
      </c>
      <c r="S21" s="8">
        <f>IFERROR(R21/R148, "NA")</f>
        <v>7.688497351132465E-3</v>
      </c>
      <c r="T21" s="7">
        <v>417.92</v>
      </c>
      <c r="U21" s="8">
        <f>IFERROR(T21/T148, "NA")</f>
        <v>8.4307289094600404E-3</v>
      </c>
      <c r="V21" s="7">
        <v>391.1</v>
      </c>
      <c r="W21" s="8">
        <f>IFERROR(V21/V148, "NA")</f>
        <v>9.4314097051641493E-3</v>
      </c>
      <c r="X21" s="7">
        <v>438.55</v>
      </c>
      <c r="Y21" s="8">
        <f>IFERROR(X21/X148, "NA")</f>
        <v>1.1275706515381165E-2</v>
      </c>
      <c r="Z21" s="7">
        <v>1586.56</v>
      </c>
      <c r="AA21" s="8">
        <f>IFERROR(Z21/Z148, "NA")</f>
        <v>9.1169689020544724E-3</v>
      </c>
      <c r="AB21" s="9">
        <f t="shared" si="0"/>
        <v>396.64000000000004</v>
      </c>
      <c r="AC21" s="8">
        <f>IFERROR(AB21/AB148, "NA")</f>
        <v>9.1169689020544741E-3</v>
      </c>
      <c r="AD21" s="10">
        <f t="shared" si="1"/>
        <v>41.909999999999968</v>
      </c>
      <c r="AE21" s="11">
        <f>IFERROR(AD21/AD148, "NA")</f>
        <v>-9.0864989823489627E-3</v>
      </c>
      <c r="AF21" s="10">
        <f t="shared" si="2"/>
        <v>0.10566256555062516</v>
      </c>
      <c r="AG21" s="9">
        <f t="shared" si="3"/>
        <v>446.83875000000006</v>
      </c>
      <c r="AH21" s="8">
        <f>IFERROR(AG21/AG148, "NA")</f>
        <v>9.8231616021114895E-3</v>
      </c>
      <c r="AI21" s="10">
        <f t="shared" si="4"/>
        <v>-8.28875000000005</v>
      </c>
      <c r="AJ21" s="11">
        <f>IFERROR(AI21/AI148, "NA")</f>
        <v>1.2568362147755184E-3</v>
      </c>
      <c r="AK21" s="10">
        <f t="shared" si="5"/>
        <v>-1.8549756483742845E-2</v>
      </c>
      <c r="AL21" s="11">
        <f>IFERROR(AK21/AK148, "NA")</f>
        <v>0.12794620160838657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340.68</v>
      </c>
      <c r="C23" s="8">
        <f>IFERROR(B23/B148, "NA")</f>
        <v>8.0267010089215413E-3</v>
      </c>
      <c r="D23" s="7">
        <v>425.63</v>
      </c>
      <c r="E23" s="8">
        <f>IFERROR(D23/D148, "NA")</f>
        <v>7.0556575223656532E-3</v>
      </c>
      <c r="F23" s="7">
        <v>23.59</v>
      </c>
      <c r="G23" s="8">
        <f>IFERROR(F23/F148, "NA")</f>
        <v>4.0138618608767234E-4</v>
      </c>
      <c r="H23" s="7">
        <v>261</v>
      </c>
      <c r="I23" s="8">
        <f>IFERROR(H23/H148, "NA")</f>
        <v>5.4329906177872367E-3</v>
      </c>
      <c r="J23" s="7">
        <v>160.02000000000001</v>
      </c>
      <c r="K23" s="8">
        <f>IFERROR(J23/J148, "NA")</f>
        <v>3.8577246464053753E-3</v>
      </c>
      <c r="L23" s="7">
        <v>535.89</v>
      </c>
      <c r="M23" s="8">
        <f>IFERROR(L23/L148, "NA")</f>
        <v>1.0747723812639149E-2</v>
      </c>
      <c r="N23" s="7">
        <v>224.58</v>
      </c>
      <c r="O23" s="8">
        <f>IFERROR(N23/N148, "NA")</f>
        <v>4.3892051117881171E-3</v>
      </c>
      <c r="P23" s="7">
        <v>74.47</v>
      </c>
      <c r="Q23" s="8">
        <f>IFERROR(P23/P148, "NA")</f>
        <v>1.5718972548683537E-3</v>
      </c>
      <c r="R23" s="7">
        <v>282.38</v>
      </c>
      <c r="S23" s="8">
        <f>IFERROR(R23/R148, "NA")</f>
        <v>6.4045484586943138E-3</v>
      </c>
      <c r="T23" s="7">
        <v>184.38</v>
      </c>
      <c r="U23" s="8">
        <f>IFERROR(T23/T148, "NA")</f>
        <v>3.7195104238281059E-3</v>
      </c>
      <c r="V23" s="7">
        <v>234.84</v>
      </c>
      <c r="W23" s="8">
        <f>IFERROR(V23/V148, "NA")</f>
        <v>5.6631865383808457E-3</v>
      </c>
      <c r="X23" s="7">
        <v>177.03</v>
      </c>
      <c r="Y23" s="8">
        <f>IFERROR(X23/X148, "NA")</f>
        <v>4.5516778575257722E-3</v>
      </c>
      <c r="Z23" s="7">
        <v>878.63</v>
      </c>
      <c r="AA23" s="8">
        <f>IFERROR(Z23/Z148, "NA")</f>
        <v>5.0489375670709716E-3</v>
      </c>
      <c r="AB23" s="9">
        <f t="shared" si="0"/>
        <v>219.6575</v>
      </c>
      <c r="AC23" s="8">
        <f>IFERROR(AB23/AB148, "NA")</f>
        <v>5.0489375670709716E-3</v>
      </c>
      <c r="AD23" s="10">
        <f t="shared" si="1"/>
        <v>-42.627499999999998</v>
      </c>
      <c r="AE23" s="11">
        <f>IFERROR(AD23/AD148, "NA")</f>
        <v>9.2420600183746281E-3</v>
      </c>
      <c r="AF23" s="10">
        <f t="shared" si="2"/>
        <v>-0.19406348519854774</v>
      </c>
      <c r="AG23" s="9">
        <f t="shared" si="3"/>
        <v>234.19875000000002</v>
      </c>
      <c r="AH23" s="8">
        <f>IFERROR(AG23/AG148, "NA")</f>
        <v>5.1485511680947728E-3</v>
      </c>
      <c r="AI23" s="10">
        <f t="shared" si="4"/>
        <v>-57.168750000000017</v>
      </c>
      <c r="AJ23" s="11">
        <f>IFERROR(AI23/AI148, "NA")</f>
        <v>8.6685875859987948E-3</v>
      </c>
      <c r="AK23" s="10">
        <f t="shared" si="5"/>
        <v>-0.24410356588154297</v>
      </c>
      <c r="AL23" s="11">
        <f>IFERROR(AK23/AK148, "NA")</f>
        <v>1.6836945585230756</v>
      </c>
    </row>
    <row r="24" spans="1:38" ht="16.5" customHeight="1">
      <c r="A24" s="25" t="s">
        <v>39</v>
      </c>
      <c r="B24" s="7">
        <v>2356.64</v>
      </c>
      <c r="C24" s="8">
        <f>IFERROR(B24/B148, "NA")</f>
        <v>5.5524376733782028E-2</v>
      </c>
      <c r="D24" s="7">
        <v>2963.89</v>
      </c>
      <c r="E24" s="8">
        <f>IFERROR(D24/D148, "NA")</f>
        <v>4.9132328017208224E-2</v>
      </c>
      <c r="F24" s="7">
        <v>2755.98</v>
      </c>
      <c r="G24" s="8">
        <f>IFERROR(F24/F148, "NA")</f>
        <v>4.689327262119132E-2</v>
      </c>
      <c r="H24" s="7">
        <v>2429.73</v>
      </c>
      <c r="I24" s="8">
        <f>IFERROR(H24/H148, "NA")</f>
        <v>5.0577395761517943E-2</v>
      </c>
      <c r="J24" s="7">
        <v>2512.91</v>
      </c>
      <c r="K24" s="8">
        <f>IFERROR(J24/J148, "NA")</f>
        <v>6.0580645176843709E-2</v>
      </c>
      <c r="L24" s="7">
        <v>2734.04</v>
      </c>
      <c r="M24" s="8">
        <f>IFERROR(L24/L148, "NA")</f>
        <v>5.4833467339767378E-2</v>
      </c>
      <c r="N24" s="7">
        <v>2908.93</v>
      </c>
      <c r="O24" s="8">
        <f>IFERROR(N24/N148, "NA")</f>
        <v>5.685230397111856E-2</v>
      </c>
      <c r="P24" s="7">
        <v>2811.2</v>
      </c>
      <c r="Q24" s="8">
        <f>IFERROR(P24/P148, "NA")</f>
        <v>5.9338224290129124E-2</v>
      </c>
      <c r="R24" s="7">
        <v>2216.1999999999998</v>
      </c>
      <c r="S24" s="8">
        <f>IFERROR(R24/R148, "NA")</f>
        <v>5.0264750669871579E-2</v>
      </c>
      <c r="T24" s="7">
        <v>2362.21</v>
      </c>
      <c r="U24" s="8">
        <f>IFERROR(T24/T148, "NA")</f>
        <v>4.7653024830626917E-2</v>
      </c>
      <c r="V24" s="7">
        <v>2413.1</v>
      </c>
      <c r="W24" s="8">
        <f>IFERROR(V24/V148, "NA")</f>
        <v>5.8192111376966525E-2</v>
      </c>
      <c r="X24" s="7">
        <v>2328.41</v>
      </c>
      <c r="Y24" s="8">
        <f>IFERROR(X24/X148, "NA")</f>
        <v>5.9866532453491404E-2</v>
      </c>
      <c r="Z24" s="7">
        <v>9319.92</v>
      </c>
      <c r="AA24" s="8">
        <f>IFERROR(Z24/Z148, "NA")</f>
        <v>5.3555756359441507E-2</v>
      </c>
      <c r="AB24" s="9">
        <f t="shared" si="0"/>
        <v>2329.98</v>
      </c>
      <c r="AC24" s="8">
        <f>IFERROR(AB24/AB148, "NA")</f>
        <v>5.3555756359441507E-2</v>
      </c>
      <c r="AD24" s="10">
        <f t="shared" si="1"/>
        <v>-1.5700000000001637</v>
      </c>
      <c r="AE24" s="11">
        <f>IFERROR(AD24/AD148, "NA")</f>
        <v>3.4039139590287206E-4</v>
      </c>
      <c r="AF24" s="10">
        <f t="shared" si="2"/>
        <v>-6.7382552639943854E-4</v>
      </c>
      <c r="AG24" s="9">
        <f t="shared" si="3"/>
        <v>2535.8749999999995</v>
      </c>
      <c r="AH24" s="8">
        <f>IFERROR(AG24/AG148, "NA")</f>
        <v>5.5747873092372731E-2</v>
      </c>
      <c r="AI24" s="10">
        <f t="shared" si="4"/>
        <v>-207.46499999999969</v>
      </c>
      <c r="AJ24" s="11">
        <f>IFERROR(AI24/AI148, "NA")</f>
        <v>3.1458244644657032E-2</v>
      </c>
      <c r="AK24" s="10">
        <f t="shared" si="5"/>
        <v>-8.1811997831123279E-2</v>
      </c>
      <c r="AL24" s="11">
        <f>IFERROR(AK24/AK148, "NA")</f>
        <v>0.56429497485099678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8273.91</v>
      </c>
      <c r="C27" s="14">
        <f>IFERROR(B27/B148, "NA")</f>
        <v>0.19494012488178358</v>
      </c>
      <c r="D27" s="13">
        <f>IFERROR(D15+D16+D17+D18+D19+D20+D21+D22+D23+D24+D25+D26, "NA")</f>
        <v>11661.499999999998</v>
      </c>
      <c r="E27" s="14">
        <f>IFERROR(D27/D148, "NA")</f>
        <v>0.19331238445848989</v>
      </c>
      <c r="F27" s="13">
        <f>IFERROR(F15+F16+F17+F18+F19+F20+F21+F22+F23+F24+F25+F26, "NA")</f>
        <v>10733.4</v>
      </c>
      <c r="G27" s="14">
        <f>IFERROR(F27/F148, "NA")</f>
        <v>0.18262986391493946</v>
      </c>
      <c r="H27" s="13">
        <f>IFERROR(H15+H16+H17+H18+H19+H20+H21+H22+H23+H24+H25+H26, "NA")</f>
        <v>9118.14</v>
      </c>
      <c r="I27" s="14">
        <f>IFERROR(H27/H148, "NA")</f>
        <v>0.18980371291827783</v>
      </c>
      <c r="J27" s="13">
        <f>IFERROR(J15+J16+J17+J18+J19+J20+J21+J22+J23+J24+J25+J26, "NA")</f>
        <v>8923.5600000000013</v>
      </c>
      <c r="K27" s="14">
        <f>IFERROR(J27/J148, "NA")</f>
        <v>0.21512709252391674</v>
      </c>
      <c r="L27" s="13">
        <f>IFERROR(L15+L16+L17+L18+L19+L20+L21+L22+L23+L24+L25+L26, "NA")</f>
        <v>10084.77</v>
      </c>
      <c r="M27" s="14">
        <f>IFERROR(L27/L148, "NA")</f>
        <v>0.20225852819419829</v>
      </c>
      <c r="N27" s="13">
        <f>IFERROR(N15+N16+N17+N18+N19+N20+N21+N22+N23+N24+N25+N26, "NA")</f>
        <v>9848.15</v>
      </c>
      <c r="O27" s="14">
        <f>IFERROR(N27/N148, "NA")</f>
        <v>0.19247283961909406</v>
      </c>
      <c r="P27" s="13">
        <f>IFERROR(P15+P16+P17+P18+P19+P20+P21+P22+P23+P24+P25+P26, "NA")</f>
        <v>9313.9400000000023</v>
      </c>
      <c r="Q27" s="14">
        <f>IFERROR(P27/P148, "NA")</f>
        <v>0.19659670629795298</v>
      </c>
      <c r="R27" s="13">
        <f>IFERROR(R15+R16+R17+R18+R19+R20+R21+R22+R23+R24+R25+R26, "NA")</f>
        <v>8808.2200000000012</v>
      </c>
      <c r="S27" s="14">
        <f>IFERROR(R27/R148, "NA")</f>
        <v>0.19977573420511521</v>
      </c>
      <c r="T27" s="13">
        <f>IFERROR(T15+T16+T17+T18+T19+T20+T21+T22+T23+T24+T25+T26, "NA")</f>
        <v>8512.11</v>
      </c>
      <c r="U27" s="14">
        <f>IFERROR(T27/T148, "NA")</f>
        <v>0.17171538059318506</v>
      </c>
      <c r="V27" s="13">
        <f>IFERROR(V15+V16+V17+V18+V19+V20+V21+V22+V23+V24+V25+V26, "NA")</f>
        <v>8379.260000000002</v>
      </c>
      <c r="W27" s="14">
        <f>IFERROR(V27/V148, "NA")</f>
        <v>0.20206656631576009</v>
      </c>
      <c r="X27" s="13">
        <f>IFERROR(X15+X16+X17+X18+X19+X20+X21+X22+X23+X24+X25+X26, "NA")</f>
        <v>7433.63</v>
      </c>
      <c r="Y27" s="14">
        <f>IFERROR(X27/X148, "NA")</f>
        <v>0.19112856053798402</v>
      </c>
      <c r="Z27" s="13">
        <f>IFERROR(Z15+Z16+Z17+Z18+Z19+Z20+Z21+Z22+Z23+Z24+Z25+Z26, "NA")</f>
        <v>33133.22</v>
      </c>
      <c r="AA27" s="14">
        <f>IFERROR(Z27/Z148, "NA")</f>
        <v>0.19039591087946836</v>
      </c>
      <c r="AB27" s="13">
        <f t="shared" si="0"/>
        <v>8283.3050000000003</v>
      </c>
      <c r="AC27" s="14">
        <f>IFERROR(AB27/AB148, "NA")</f>
        <v>0.19039591087946836</v>
      </c>
      <c r="AD27" s="15">
        <f t="shared" si="1"/>
        <v>-849.67500000000018</v>
      </c>
      <c r="AE27" s="16">
        <f>IFERROR(AD27/AD148, "NA")</f>
        <v>0.18421787217435842</v>
      </c>
      <c r="AF27" s="15">
        <f t="shared" si="2"/>
        <v>-0.10257680961886592</v>
      </c>
      <c r="AG27" s="13">
        <f t="shared" si="3"/>
        <v>8912.9550000000017</v>
      </c>
      <c r="AH27" s="14">
        <f>IFERROR(AG27/AG148, "NA")</f>
        <v>0.19593958070410775</v>
      </c>
      <c r="AI27" s="15">
        <f t="shared" si="4"/>
        <v>-1479.3250000000016</v>
      </c>
      <c r="AJ27" s="16">
        <f>IFERROR(AI27/AI148, "NA")</f>
        <v>0.22431237923966638</v>
      </c>
      <c r="AK27" s="15">
        <f t="shared" si="5"/>
        <v>-0.16597469638296181</v>
      </c>
      <c r="AL27" s="16">
        <f>IFERROR(AK27/AK148, "NA")</f>
        <v>1.1448038136735883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196.56</v>
      </c>
      <c r="C30" s="8">
        <f>IFERROR(B30/B148, "NA")</f>
        <v>4.6311152703816432E-3</v>
      </c>
      <c r="D30" s="7">
        <v>595.21</v>
      </c>
      <c r="E30" s="8">
        <f>IFERROR(D30/D148, "NA")</f>
        <v>9.8667808046595893E-3</v>
      </c>
      <c r="F30" s="7">
        <v>399.56</v>
      </c>
      <c r="G30" s="8">
        <f>IFERROR(F30/F148, "NA")</f>
        <v>6.7985529679182007E-3</v>
      </c>
      <c r="H30" s="7">
        <v>318.64</v>
      </c>
      <c r="I30" s="8">
        <f>IFERROR(H30/H148, "NA")</f>
        <v>6.6328280860219356E-3</v>
      </c>
      <c r="J30" s="7">
        <v>487.72</v>
      </c>
      <c r="K30" s="8">
        <f>IFERROR(J30/J148, "NA")</f>
        <v>1.1757839423477251E-2</v>
      </c>
      <c r="L30" s="7">
        <v>523.28</v>
      </c>
      <c r="M30" s="8">
        <f>IFERROR(L30/L148, "NA")</f>
        <v>1.0494819676944548E-2</v>
      </c>
      <c r="N30" s="7">
        <v>472.27</v>
      </c>
      <c r="O30" s="8">
        <f>IFERROR(N30/N148, "NA")</f>
        <v>9.230073462214685E-3</v>
      </c>
      <c r="P30" s="7">
        <v>470.85</v>
      </c>
      <c r="Q30" s="8">
        <f>IFERROR(P30/P148, "NA")</f>
        <v>9.9386037660099957E-3</v>
      </c>
      <c r="R30" s="7">
        <v>347.2</v>
      </c>
      <c r="S30" s="8">
        <f>IFERROR(R30/R148, "NA")</f>
        <v>7.8747050954694579E-3</v>
      </c>
      <c r="T30" s="7">
        <v>607.32000000000005</v>
      </c>
      <c r="U30" s="8">
        <f>IFERROR(T30/T148, "NA")</f>
        <v>1.2251508138622875E-2</v>
      </c>
      <c r="V30" s="7">
        <v>586.84</v>
      </c>
      <c r="W30" s="8">
        <f>IFERROR(V30/V148, "NA")</f>
        <v>1.41516964238776E-2</v>
      </c>
      <c r="X30" s="7">
        <v>283.3</v>
      </c>
      <c r="Y30" s="8">
        <f>IFERROR(X30/X148, "NA")</f>
        <v>7.2840215615265855E-3</v>
      </c>
      <c r="Z30" s="7">
        <v>1824.66</v>
      </c>
      <c r="AA30" s="8">
        <f>IFERROR(Z30/Z148, "NA")</f>
        <v>1.0485180816875954E-2</v>
      </c>
      <c r="AB30" s="9">
        <f t="shared" si="6"/>
        <v>456.16500000000002</v>
      </c>
      <c r="AC30" s="8">
        <f>IFERROR(AB30/AB148, "NA")</f>
        <v>1.0485180816875954E-2</v>
      </c>
      <c r="AD30" s="10">
        <f t="shared" si="7"/>
        <v>-172.86500000000001</v>
      </c>
      <c r="AE30" s="11">
        <f>IFERROR(AD30/AD148, "NA")</f>
        <v>3.747882716735277E-2</v>
      </c>
      <c r="AF30" s="10">
        <f t="shared" si="8"/>
        <v>-0.3789527912049368</v>
      </c>
      <c r="AG30" s="9">
        <f t="shared" si="9"/>
        <v>472.34750000000003</v>
      </c>
      <c r="AH30" s="8">
        <f>IFERROR(AG30/AG148, "NA")</f>
        <v>1.0383937885542283E-2</v>
      </c>
      <c r="AI30" s="10">
        <f t="shared" si="10"/>
        <v>-189.04750000000001</v>
      </c>
      <c r="AJ30" s="11">
        <f>IFERROR(AI30/AI148, "NA")</f>
        <v>2.8665570117662301E-2</v>
      </c>
      <c r="AK30" s="10">
        <f t="shared" si="11"/>
        <v>-0.40022970376682421</v>
      </c>
      <c r="AL30" s="11">
        <f>IFERROR(AK30/AK148, "NA")</f>
        <v>2.760568334829296</v>
      </c>
    </row>
    <row r="31" spans="1:38" ht="16.5" customHeight="1">
      <c r="A31" s="25" t="s">
        <v>46</v>
      </c>
      <c r="B31" s="7">
        <v>25.05</v>
      </c>
      <c r="C31" s="8">
        <f>IFERROR(B31/B148, "NA")</f>
        <v>5.9019860359717225E-4</v>
      </c>
      <c r="D31" s="7">
        <v>9.66</v>
      </c>
      <c r="E31" s="8">
        <f>IFERROR(D31/D148, "NA")</f>
        <v>1.6013357062719314E-4</v>
      </c>
      <c r="F31" s="7">
        <v>4.87</v>
      </c>
      <c r="G31" s="8">
        <f>IFERROR(F31/F148, "NA")</f>
        <v>8.2863532269900989E-5</v>
      </c>
      <c r="H31" s="7">
        <v>17.82</v>
      </c>
      <c r="I31" s="8">
        <f>IFERROR(H31/H148, "NA")</f>
        <v>3.7094211804202513E-4</v>
      </c>
      <c r="J31" s="7">
        <v>12.94</v>
      </c>
      <c r="K31" s="8">
        <f>IFERROR(J31/J148, "NA")</f>
        <v>3.1195448646722629E-4</v>
      </c>
      <c r="L31" s="7">
        <v>14.53</v>
      </c>
      <c r="M31" s="8">
        <f>IFERROR(L31/L148, "NA")</f>
        <v>2.9141134747363607E-4</v>
      </c>
      <c r="N31" s="7">
        <v>8.9</v>
      </c>
      <c r="O31" s="8">
        <f>IFERROR(N31/N148, "NA")</f>
        <v>1.7394213863618419E-4</v>
      </c>
      <c r="P31" s="7">
        <v>12.93</v>
      </c>
      <c r="Q31" s="8">
        <f>IFERROR(P31/P148, "NA")</f>
        <v>2.7292374789106771E-4</v>
      </c>
      <c r="R31" s="7">
        <v>13.7</v>
      </c>
      <c r="S31" s="8">
        <f>IFERROR(R31/R148, "NA")</f>
        <v>3.1072425059888129E-4</v>
      </c>
      <c r="T31" s="7">
        <v>16.12</v>
      </c>
      <c r="U31" s="8">
        <f>IFERROR(T31/T148, "NA")</f>
        <v>3.2518986892346826E-4</v>
      </c>
      <c r="V31" s="7">
        <v>138.07</v>
      </c>
      <c r="W31" s="8">
        <f>IFERROR(V31/V148, "NA")</f>
        <v>3.3295697724162977E-3</v>
      </c>
      <c r="X31" s="7">
        <v>-92.69</v>
      </c>
      <c r="Y31" s="8">
        <f>IFERROR(X31/X148, "NA")</f>
        <v>-2.38318375763466E-3</v>
      </c>
      <c r="Z31" s="7">
        <v>75.2</v>
      </c>
      <c r="AA31" s="8">
        <f>IFERROR(Z31/Z148, "NA")</f>
        <v>4.3212740862904421E-4</v>
      </c>
      <c r="AB31" s="9">
        <f t="shared" si="6"/>
        <v>18.799999999999997</v>
      </c>
      <c r="AC31" s="8">
        <f>IFERROR(AB31/AB148, "NA")</f>
        <v>4.321274086290441E-4</v>
      </c>
      <c r="AD31" s="10">
        <f t="shared" si="7"/>
        <v>-111.49</v>
      </c>
      <c r="AE31" s="11">
        <f>IFERROR(AD31/AD148, "NA")</f>
        <v>2.4172125305227547E-2</v>
      </c>
      <c r="AF31" s="10">
        <f t="shared" si="8"/>
        <v>-5.9303191489361708</v>
      </c>
      <c r="AG31" s="9">
        <f t="shared" si="9"/>
        <v>15.5625</v>
      </c>
      <c r="AH31" s="8">
        <f>IFERROR(AG31/AG148, "NA")</f>
        <v>3.4212107260809415E-4</v>
      </c>
      <c r="AI31" s="10">
        <f t="shared" si="10"/>
        <v>-108.2525</v>
      </c>
      <c r="AJ31" s="11">
        <f>IFERROR(AI31/AI148, "NA")</f>
        <v>1.6414497039962117E-2</v>
      </c>
      <c r="AK31" s="10">
        <f t="shared" si="11"/>
        <v>-6.9559839357429718</v>
      </c>
      <c r="AL31" s="11">
        <f>IFERROR(AK31/AK148, "NA")</f>
        <v>47.978620301957299</v>
      </c>
    </row>
    <row r="32" spans="1:38" ht="16.5" customHeight="1">
      <c r="A32" s="25" t="s">
        <v>47</v>
      </c>
      <c r="B32" s="7">
        <v>-4.8</v>
      </c>
      <c r="C32" s="8">
        <f>IFERROR(B32/B148, "NA")</f>
        <v>-1.1309194799466772E-4</v>
      </c>
      <c r="D32" s="7">
        <v>1.6</v>
      </c>
      <c r="E32" s="8">
        <f>IFERROR(D32/D148, "NA")</f>
        <v>2.6523158696015428E-5</v>
      </c>
      <c r="F32" s="7">
        <v>-0.8</v>
      </c>
      <c r="G32" s="8">
        <f>IFERROR(F32/F148, "NA")</f>
        <v>-1.3612079222981681E-5</v>
      </c>
      <c r="H32" s="7">
        <v>1.6</v>
      </c>
      <c r="I32" s="8">
        <f>IFERROR(H32/H148, "NA")</f>
        <v>3.3305689610956244E-5</v>
      </c>
      <c r="J32" s="7">
        <v>0.8</v>
      </c>
      <c r="K32" s="8">
        <f>IFERROR(J32/J148, "NA")</f>
        <v>1.9286212455469942E-5</v>
      </c>
      <c r="L32" s="7">
        <v>0.8</v>
      </c>
      <c r="M32" s="8">
        <f>IFERROR(L32/L148, "NA")</f>
        <v>1.6044671574597996E-5</v>
      </c>
      <c r="N32" s="7">
        <v>-1.6</v>
      </c>
      <c r="O32" s="8">
        <f>IFERROR(N32/N148, "NA")</f>
        <v>-3.1270496833471313E-5</v>
      </c>
      <c r="P32" s="7">
        <v>2.4</v>
      </c>
      <c r="Q32" s="8">
        <f>IFERROR(P32/P148, "NA")</f>
        <v>5.0658700304606536E-5</v>
      </c>
      <c r="R32" s="7">
        <v>1.59</v>
      </c>
      <c r="S32" s="8">
        <f>IFERROR(R32/R148, "NA")</f>
        <v>3.6062157551257029E-5</v>
      </c>
      <c r="T32" s="7">
        <v>0</v>
      </c>
      <c r="U32" s="8">
        <f>IFERROR(T32/T148, "NA")</f>
        <v>0</v>
      </c>
      <c r="V32" s="7">
        <v>-1.59</v>
      </c>
      <c r="W32" s="8">
        <f>IFERROR(V32/V148, "NA")</f>
        <v>-3.8342984994147274E-5</v>
      </c>
      <c r="X32" s="7">
        <v>1.59</v>
      </c>
      <c r="Y32" s="8">
        <f>IFERROR(X32/X148, "NA")</f>
        <v>4.0881024648172504E-5</v>
      </c>
      <c r="Z32" s="7">
        <v>1.59</v>
      </c>
      <c r="AA32" s="8">
        <f>IFERROR(Z32/Z148, "NA")</f>
        <v>9.1367364324492054E-6</v>
      </c>
      <c r="AB32" s="9">
        <f t="shared" si="6"/>
        <v>0.39750000000000002</v>
      </c>
      <c r="AC32" s="8">
        <f>IFERROR(AB32/AB148, "NA")</f>
        <v>9.1367364324492054E-6</v>
      </c>
      <c r="AD32" s="10">
        <f t="shared" si="7"/>
        <v>1.1925000000000001</v>
      </c>
      <c r="AE32" s="11">
        <f>IFERROR(AD32/AD148, "NA")</f>
        <v>-2.5854569402174052E-4</v>
      </c>
      <c r="AF32" s="10">
        <f t="shared" si="8"/>
        <v>3</v>
      </c>
      <c r="AG32" s="9">
        <f t="shared" si="9"/>
        <v>0.49875000000000003</v>
      </c>
      <c r="AH32" s="8">
        <f>IFERROR(AG32/AG148, "NA")</f>
        <v>1.0964362085994345E-5</v>
      </c>
      <c r="AI32" s="10">
        <f t="shared" si="10"/>
        <v>1.0912500000000001</v>
      </c>
      <c r="AJ32" s="11">
        <f>IFERROR(AI32/AI148, "NA")</f>
        <v>-1.6546795588885855E-4</v>
      </c>
      <c r="AK32" s="10">
        <f t="shared" si="11"/>
        <v>2.1879699248120299</v>
      </c>
      <c r="AL32" s="11">
        <f>IFERROR(AK32/AK148, "NA")</f>
        <v>-15.091434831418416</v>
      </c>
    </row>
    <row r="33" spans="1:38" ht="16.5" customHeight="1">
      <c r="A33" s="25" t="s">
        <v>48</v>
      </c>
      <c r="B33" s="7">
        <v>-14.43</v>
      </c>
      <c r="C33" s="8">
        <f>IFERROR(B33/B148, "NA")</f>
        <v>-3.3998266865896984E-4</v>
      </c>
      <c r="D33" s="7">
        <v>99.76</v>
      </c>
      <c r="E33" s="8">
        <f>IFERROR(D33/D148, "NA")</f>
        <v>1.6537189446965618E-3</v>
      </c>
      <c r="F33" s="7">
        <v>-92.72</v>
      </c>
      <c r="G33" s="8">
        <f>IFERROR(F33/F148, "NA")</f>
        <v>-1.5776399819435768E-3</v>
      </c>
      <c r="H33" s="7">
        <v>-13.72</v>
      </c>
      <c r="I33" s="8">
        <f>IFERROR(H33/H148, "NA")</f>
        <v>-2.8559628841394978E-4</v>
      </c>
      <c r="J33" s="7">
        <v>18.989999999999998</v>
      </c>
      <c r="K33" s="8">
        <f>IFERROR(J33/J148, "NA")</f>
        <v>4.5780646816171773E-4</v>
      </c>
      <c r="L33" s="7">
        <v>20.57</v>
      </c>
      <c r="M33" s="8">
        <f>IFERROR(L33/L148, "NA")</f>
        <v>4.1254861786185098E-4</v>
      </c>
      <c r="N33" s="7">
        <v>-9.1999999999999993</v>
      </c>
      <c r="O33" s="8">
        <f>IFERROR(N33/N148, "NA")</f>
        <v>-1.7980535679246003E-4</v>
      </c>
      <c r="P33" s="7">
        <v>13</v>
      </c>
      <c r="Q33" s="8">
        <f>IFERROR(P33/P148, "NA")</f>
        <v>2.7440129331661879E-4</v>
      </c>
      <c r="R33" s="7">
        <v>14.34</v>
      </c>
      <c r="S33" s="8">
        <f>IFERROR(R33/R148, "NA")</f>
        <v>3.2523983602831809E-4</v>
      </c>
      <c r="T33" s="7">
        <v>-6.02</v>
      </c>
      <c r="U33" s="8">
        <f>IFERROR(T33/T148, "NA")</f>
        <v>-1.2144187412650611E-4</v>
      </c>
      <c r="V33" s="7">
        <v>-2.1800000000000002</v>
      </c>
      <c r="W33" s="8">
        <f>IFERROR(V33/V148, "NA")</f>
        <v>-5.2570885086315125E-5</v>
      </c>
      <c r="X33" s="7">
        <v>9.85</v>
      </c>
      <c r="Y33" s="8">
        <f>IFERROR(X33/X148, "NA")</f>
        <v>2.5325666212861581E-4</v>
      </c>
      <c r="Z33" s="7">
        <v>15.99</v>
      </c>
      <c r="AA33" s="8">
        <f>IFERROR(Z33/Z148, "NA")</f>
        <v>9.1884538084819367E-5</v>
      </c>
      <c r="AB33" s="9">
        <f t="shared" si="6"/>
        <v>3.9975000000000001</v>
      </c>
      <c r="AC33" s="8">
        <f>IFERROR(AB33/AB148, "NA")</f>
        <v>9.1884538084819367E-5</v>
      </c>
      <c r="AD33" s="10">
        <f t="shared" si="7"/>
        <v>5.8524999999999991</v>
      </c>
      <c r="AE33" s="11">
        <f>IFERROR(AD33/AD148, "NA")</f>
        <v>-1.2688793914148731E-3</v>
      </c>
      <c r="AF33" s="10">
        <f t="shared" si="8"/>
        <v>1.4640400250156345</v>
      </c>
      <c r="AG33" s="9">
        <f t="shared" si="9"/>
        <v>7.4187500000000011</v>
      </c>
      <c r="AH33" s="8">
        <f>IFERROR(AG33/AG148, "NA")</f>
        <v>1.6309145107863769E-4</v>
      </c>
      <c r="AI33" s="10">
        <f t="shared" si="10"/>
        <v>2.4312499999999986</v>
      </c>
      <c r="AJ33" s="11">
        <f>IFERROR(AI33/AI148, "NA")</f>
        <v>-3.6865426598376821E-4</v>
      </c>
      <c r="AK33" s="10">
        <f t="shared" si="11"/>
        <v>0.32771693344566111</v>
      </c>
      <c r="AL33" s="11">
        <f>IFERROR(AK33/AK148, "NA")</f>
        <v>-2.2604144088828693</v>
      </c>
    </row>
    <row r="34" spans="1:38" ht="16.5" customHeight="1">
      <c r="A34" s="26" t="s">
        <v>49</v>
      </c>
      <c r="B34" s="13">
        <f>IFERROR(B29+B30+B31+B32+B33, "NA")</f>
        <v>202.38</v>
      </c>
      <c r="C34" s="14">
        <f>IFERROR(B34/B148, "NA")</f>
        <v>4.7682392573251782E-3</v>
      </c>
      <c r="D34" s="13">
        <f>IFERROR(D29+D30+D31+D32+D33, "NA")</f>
        <v>706.23</v>
      </c>
      <c r="E34" s="14">
        <f>IFERROR(D34/D148, "NA")</f>
        <v>1.170715647867936E-2</v>
      </c>
      <c r="F34" s="13">
        <f>IFERROR(F29+F30+F31+F32+F33, "NA")</f>
        <v>310.90999999999997</v>
      </c>
      <c r="G34" s="14">
        <f>IFERROR(F34/F148, "NA")</f>
        <v>5.2901644390215431E-3</v>
      </c>
      <c r="H34" s="13">
        <f>IFERROR(H29+H30+H31+H32+H33, "NA")</f>
        <v>324.33999999999997</v>
      </c>
      <c r="I34" s="14">
        <f>IFERROR(H34/H148, "NA")</f>
        <v>6.7514796052609667E-3</v>
      </c>
      <c r="J34" s="13">
        <f>IFERROR(J29+J30+J31+J32+J33, "NA")</f>
        <v>520.45000000000005</v>
      </c>
      <c r="K34" s="14">
        <f>IFERROR(J34/J148, "NA")</f>
        <v>1.2546886590561666E-2</v>
      </c>
      <c r="L34" s="13">
        <f>IFERROR(L29+L30+L31+L32+L33, "NA")</f>
        <v>559.17999999999995</v>
      </c>
      <c r="M34" s="14">
        <f>IFERROR(L34/L148, "NA")</f>
        <v>1.1214824313854633E-2</v>
      </c>
      <c r="N34" s="13">
        <f>IFERROR(N29+N30+N31+N32+N33, "NA")</f>
        <v>470.36999999999995</v>
      </c>
      <c r="O34" s="14">
        <f>IFERROR(N34/N148, "NA")</f>
        <v>9.1929397472249371E-3</v>
      </c>
      <c r="P34" s="13">
        <f>IFERROR(P29+P30+P31+P32+P33, "NA")</f>
        <v>499.18</v>
      </c>
      <c r="Q34" s="14">
        <f>IFERROR(P34/P148, "NA")</f>
        <v>1.0536587507522288E-2</v>
      </c>
      <c r="R34" s="13">
        <f>IFERROR(R29+R30+R31+R32+R33, "NA")</f>
        <v>376.82999999999993</v>
      </c>
      <c r="S34" s="14">
        <f>IFERROR(R34/R148, "NA")</f>
        <v>8.5467313396479141E-3</v>
      </c>
      <c r="T34" s="13">
        <f>IFERROR(T29+T30+T31+T32+T33, "NA")</f>
        <v>617.42000000000007</v>
      </c>
      <c r="U34" s="14">
        <f>IFERROR(T34/T148, "NA")</f>
        <v>1.2455256133419837E-2</v>
      </c>
      <c r="V34" s="13">
        <f>IFERROR(V29+V30+V31+V32+V33, "NA")</f>
        <v>721.1400000000001</v>
      </c>
      <c r="W34" s="14">
        <f>IFERROR(V34/V148, "NA")</f>
        <v>1.7390352326213436E-2</v>
      </c>
      <c r="X34" s="13">
        <f>IFERROR(X29+X30+X31+X32+X33, "NA")</f>
        <v>202.05</v>
      </c>
      <c r="Y34" s="14">
        <f>IFERROR(X34/X148, "NA")</f>
        <v>5.1949754906687141E-3</v>
      </c>
      <c r="Z34" s="13">
        <f>IFERROR(Z29+Z30+Z31+Z32+Z33, "NA")</f>
        <v>1917.44</v>
      </c>
      <c r="AA34" s="14">
        <f>IFERROR(Z34/Z148, "NA")</f>
        <v>1.1018329500022267E-2</v>
      </c>
      <c r="AB34" s="13">
        <f t="shared" si="6"/>
        <v>479.36</v>
      </c>
      <c r="AC34" s="14">
        <f>IFERROR(AB34/AB148, "NA")</f>
        <v>1.1018329500022267E-2</v>
      </c>
      <c r="AD34" s="15">
        <f t="shared" si="7"/>
        <v>-277.31</v>
      </c>
      <c r="AE34" s="16">
        <f>IFERROR(AD34/AD148, "NA")</f>
        <v>6.0123527387143702E-2</v>
      </c>
      <c r="AF34" s="15">
        <f t="shared" si="8"/>
        <v>-0.57850050066755676</v>
      </c>
      <c r="AG34" s="13">
        <f t="shared" si="9"/>
        <v>495.82749999999999</v>
      </c>
      <c r="AH34" s="14">
        <f>IFERROR(AG34/AG148, "NA")</f>
        <v>1.0900114771315007E-2</v>
      </c>
      <c r="AI34" s="15">
        <f t="shared" si="10"/>
        <v>-293.77749999999997</v>
      </c>
      <c r="AJ34" s="16">
        <f>IFERROR(AI34/AI148, "NA")</f>
        <v>4.4545944935751786E-2</v>
      </c>
      <c r="AK34" s="15">
        <f t="shared" si="11"/>
        <v>-0.59249940755605524</v>
      </c>
      <c r="AL34" s="16">
        <f>IFERROR(AK34/AK148, "NA")</f>
        <v>4.0867409078095136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8476.2899999999991</v>
      </c>
      <c r="C35" s="14">
        <f>IFERROR(B35/B148, "NA")</f>
        <v>0.19970836413910875</v>
      </c>
      <c r="D35" s="13">
        <f>IFERROR(D13+D15+D16+D17+D18+D19+D20+D21+D22+D23+D24+D25+D26+D29+D30+D31+D32+D33, "NA")</f>
        <v>12367.73</v>
      </c>
      <c r="E35" s="14">
        <f>IFERROR(D35/D148, "NA")</f>
        <v>0.20501954093716929</v>
      </c>
      <c r="F35" s="13">
        <f>IFERROR(F13+F15+F16+F17+F18+F19+F20+F21+F22+F23+F24+F25+F26+F29+F30+F31+F32+F33, "NA")</f>
        <v>11044.310000000001</v>
      </c>
      <c r="G35" s="14">
        <f>IFERROR(F35/F148, "NA")</f>
        <v>0.18792002835396104</v>
      </c>
      <c r="H35" s="13">
        <f>IFERROR(H13+H15+H16+H17+H18+H19+H20+H21+H22+H23+H24+H25+H26+H29+H30+H31+H32+H33, "NA")</f>
        <v>9442.48</v>
      </c>
      <c r="I35" s="14">
        <f>IFERROR(H35/H148, "NA")</f>
        <v>0.19655519252353881</v>
      </c>
      <c r="J35" s="13">
        <f>IFERROR(J13+J15+J16+J17+J18+J19+J20+J21+J22+J23+J24+J25+J26+J29+J30+J31+J32+J33, "NA")</f>
        <v>9444.01</v>
      </c>
      <c r="K35" s="14">
        <f>IFERROR(J35/J148, "NA")</f>
        <v>0.22767397911447837</v>
      </c>
      <c r="L35" s="13">
        <f>IFERROR(L13+L15+L16+L17+L18+L19+L20+L21+L22+L23+L24+L25+L26+L29+L30+L31+L32+L33, "NA")</f>
        <v>10643.95</v>
      </c>
      <c r="M35" s="14">
        <f>IFERROR(L35/L148, "NA")</f>
        <v>0.21347335250805294</v>
      </c>
      <c r="N35" s="13">
        <f>IFERROR(N13+N15+N16+N17+N18+N19+N20+N21+N22+N23+N24+N25+N26+N29+N30+N31+N32+N33, "NA")</f>
        <v>10318.519999999999</v>
      </c>
      <c r="O35" s="14">
        <f>IFERROR(N35/N148, "NA")</f>
        <v>0.20166577936631899</v>
      </c>
      <c r="P35" s="13">
        <f>IFERROR(P13+P15+P16+P17+P18+P19+P20+P21+P22+P23+P24+P25+P26+P29+P30+P31+P32+P33, "NA")</f>
        <v>9813.1200000000026</v>
      </c>
      <c r="Q35" s="14">
        <f>IFERROR(P35/P148, "NA")</f>
        <v>0.20713329380547527</v>
      </c>
      <c r="R35" s="13">
        <f>IFERROR(R13+R15+R16+R17+R18+R19+R20+R21+R22+R23+R24+R25+R26+R29+R30+R31+R32+R33, "NA")</f>
        <v>9185.0500000000029</v>
      </c>
      <c r="S35" s="14">
        <f>IFERROR(R35/R148, "NA")</f>
        <v>0.20832246554476319</v>
      </c>
      <c r="T35" s="13">
        <f>IFERROR(T13+T15+T16+T17+T18+T19+T20+T21+T22+T23+T24+T25+T26+T29+T30+T31+T32+T33, "NA")</f>
        <v>9129.5300000000007</v>
      </c>
      <c r="U35" s="14">
        <f>IFERROR(T35/T148, "NA")</f>
        <v>0.18417063672660489</v>
      </c>
      <c r="V35" s="13">
        <f>IFERROR(V13+V15+V16+V17+V18+V19+V20+V21+V22+V23+V24+V25+V26+V29+V30+V31+V32+V33, "NA")</f>
        <v>9100.4000000000015</v>
      </c>
      <c r="W35" s="14">
        <f>IFERROR(V35/V148, "NA")</f>
        <v>0.2194569186419735</v>
      </c>
      <c r="X35" s="13">
        <f>IFERROR(X13+X15+X16+X17+X18+X19+X20+X21+X22+X23+X24+X25+X26+X29+X30+X31+X32+X33, "NA")</f>
        <v>7635.6800000000012</v>
      </c>
      <c r="Y35" s="14">
        <f>IFERROR(X35/X148, "NA")</f>
        <v>0.19632353602865274</v>
      </c>
      <c r="Z35" s="13">
        <f>IFERROR(Z13+Z15+Z16+Z17+Z18+Z19+Z20+Z21+Z22+Z23+Z24+Z25+Z26+Z29+Z30+Z31+Z32+Z33, "NA")</f>
        <v>35050.659999999996</v>
      </c>
      <c r="AA35" s="14">
        <f>IFERROR(Z35/Z148, "NA")</f>
        <v>0.2014142403794906</v>
      </c>
      <c r="AB35" s="13">
        <f t="shared" si="6"/>
        <v>8762.6650000000009</v>
      </c>
      <c r="AC35" s="14">
        <f>IFERROR(AB35/AB148, "NA")</f>
        <v>0.20141424037949063</v>
      </c>
      <c r="AD35" s="15">
        <f t="shared" si="7"/>
        <v>-1126.9849999999997</v>
      </c>
      <c r="AE35" s="16">
        <f>IFERROR(AD35/AD148, "NA")</f>
        <v>0.24434139956150203</v>
      </c>
      <c r="AF35" s="15">
        <f t="shared" si="8"/>
        <v>-0.12861212884436407</v>
      </c>
      <c r="AG35" s="13">
        <f t="shared" si="9"/>
        <v>9408.7825000000012</v>
      </c>
      <c r="AH35" s="14">
        <f>IFERROR(AG35/AG148, "NA")</f>
        <v>0.20683969547542272</v>
      </c>
      <c r="AI35" s="15">
        <f t="shared" si="10"/>
        <v>-1773.1025</v>
      </c>
      <c r="AJ35" s="16">
        <f>IFERROR(AI35/AI148, "NA")</f>
        <v>0.26885832417541788</v>
      </c>
      <c r="AK35" s="15">
        <f t="shared" si="11"/>
        <v>-0.18845185336147369</v>
      </c>
      <c r="AL35" s="16">
        <f>IFERROR(AK35/AK148, "NA")</f>
        <v>1.2998391027285399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1089</v>
      </c>
      <c r="C40" s="8">
        <f>IFERROR(B40/B148, "NA")</f>
        <v>2.5657735701290239E-2</v>
      </c>
      <c r="D40" s="7">
        <v>1173.48</v>
      </c>
      <c r="E40" s="8">
        <f>IFERROR(D40/D148, "NA")</f>
        <v>1.9452747666625116E-2</v>
      </c>
      <c r="F40" s="7">
        <v>1277.51</v>
      </c>
      <c r="G40" s="8">
        <f>IFERROR(F40/F148, "NA")</f>
        <v>2.1736959160189161E-2</v>
      </c>
      <c r="H40" s="7">
        <v>1005.2</v>
      </c>
      <c r="I40" s="8">
        <f>IFERROR(H40/H148, "NA")</f>
        <v>2.0924299498083259E-2</v>
      </c>
      <c r="J40" s="7">
        <v>1060.5999999999999</v>
      </c>
      <c r="K40" s="8">
        <f>IFERROR(J40/J148, "NA")</f>
        <v>2.5568696162839272E-2</v>
      </c>
      <c r="L40" s="7">
        <v>1508.79</v>
      </c>
      <c r="M40" s="8">
        <f>IFERROR(L40/L148, "NA")</f>
        <v>3.0260050031297135E-2</v>
      </c>
      <c r="N40" s="7">
        <v>1125.1199999999999</v>
      </c>
      <c r="O40" s="8">
        <f>IFERROR(N40/N148, "NA")</f>
        <v>2.1989413373297025E-2</v>
      </c>
      <c r="P40" s="7">
        <v>974.15</v>
      </c>
      <c r="Q40" s="8">
        <f>IFERROR(P40/P148, "NA")</f>
        <v>2.0562155375721859E-2</v>
      </c>
      <c r="R40" s="7">
        <v>940.45</v>
      </c>
      <c r="S40" s="8">
        <f>IFERROR(R40/R148, "NA")</f>
        <v>2.132997237049036E-2</v>
      </c>
      <c r="T40" s="7">
        <v>935.71</v>
      </c>
      <c r="U40" s="8">
        <f>IFERROR(T40/T148, "NA")</f>
        <v>1.887614219915499E-2</v>
      </c>
      <c r="V40" s="7">
        <v>910.54</v>
      </c>
      <c r="W40" s="8">
        <f>IFERROR(V40/V148, "NA")</f>
        <v>2.1957749406648335E-2</v>
      </c>
      <c r="X40" s="7">
        <v>1041.96</v>
      </c>
      <c r="Y40" s="8">
        <f>IFERROR(X40/X148, "NA")</f>
        <v>2.6790183926043914E-2</v>
      </c>
      <c r="Z40" s="7">
        <v>3828.66</v>
      </c>
      <c r="AA40" s="8">
        <f>IFERROR(Z40/Z148, "NA")</f>
        <v>2.2000916546830802E-2</v>
      </c>
      <c r="AB40" s="9">
        <f t="shared" si="12"/>
        <v>957.16499999999996</v>
      </c>
      <c r="AC40" s="8">
        <f>IFERROR(AB40/AB148, "NA")</f>
        <v>2.2000916546830802E-2</v>
      </c>
      <c r="AD40" s="10">
        <f t="shared" si="13"/>
        <v>84.795000000000073</v>
      </c>
      <c r="AE40" s="11">
        <f>IFERROR(AD40/AD148, "NA")</f>
        <v>-1.8384387525847805E-2</v>
      </c>
      <c r="AF40" s="10">
        <f t="shared" si="14"/>
        <v>8.85897415806053E-2</v>
      </c>
      <c r="AG40" s="9">
        <f t="shared" si="15"/>
        <v>1062.165</v>
      </c>
      <c r="AH40" s="8">
        <f>IFERROR(AG40/AG148, "NA")</f>
        <v>2.3350299057784824E-2</v>
      </c>
      <c r="AI40" s="10">
        <f t="shared" si="16"/>
        <v>-20.204999999999927</v>
      </c>
      <c r="AJ40" s="11">
        <f>IFERROR(AI40/AI148, "NA")</f>
        <v>3.0637159667668955E-3</v>
      </c>
      <c r="AK40" s="10">
        <f t="shared" si="17"/>
        <v>-1.9022468260580915E-2</v>
      </c>
      <c r="AL40" s="11">
        <f>IFERROR(AK40/AK148, "NA")</f>
        <v>0.13120671213611176</v>
      </c>
    </row>
    <row r="41" spans="1:38" ht="16.5" customHeight="1">
      <c r="A41" s="25" t="s">
        <v>56</v>
      </c>
      <c r="B41" s="7">
        <v>583.16999999999996</v>
      </c>
      <c r="C41" s="8">
        <f>IFERROR(B41/B148, "NA")</f>
        <v>1.373996485667716E-2</v>
      </c>
      <c r="D41" s="7">
        <v>766.6</v>
      </c>
      <c r="E41" s="8">
        <f>IFERROR(D41/D148, "NA")</f>
        <v>1.2707908410228392E-2</v>
      </c>
      <c r="F41" s="7">
        <v>626.83000000000004</v>
      </c>
      <c r="G41" s="8">
        <f>IFERROR(F41/F148, "NA")</f>
        <v>1.066557452417701E-2</v>
      </c>
      <c r="H41" s="7">
        <v>837.72</v>
      </c>
      <c r="I41" s="8">
        <f>IFERROR(H41/H148, "NA")</f>
        <v>1.7438026438056416E-2</v>
      </c>
      <c r="J41" s="7">
        <v>599.58000000000004</v>
      </c>
      <c r="K41" s="8">
        <f>IFERROR(J41/J148, "NA")</f>
        <v>1.4454534080063336E-2</v>
      </c>
      <c r="L41" s="7">
        <v>452.69</v>
      </c>
      <c r="M41" s="8">
        <f>IFERROR(L41/L148, "NA")</f>
        <v>9.0790779688809577E-3</v>
      </c>
      <c r="N41" s="7">
        <v>685.62</v>
      </c>
      <c r="O41" s="8">
        <f>IFERROR(N41/N148, "NA")</f>
        <v>1.3399798774352876E-2</v>
      </c>
      <c r="P41" s="7">
        <v>867.31</v>
      </c>
      <c r="Q41" s="8">
        <f>IFERROR(P41/P148, "NA")</f>
        <v>1.8306998900495124E-2</v>
      </c>
      <c r="R41" s="7">
        <v>842.46</v>
      </c>
      <c r="S41" s="8">
        <f>IFERROR(R41/R148, "NA")</f>
        <v>1.9107500157630186E-2</v>
      </c>
      <c r="T41" s="7">
        <v>436.84</v>
      </c>
      <c r="U41" s="8">
        <f>IFERROR(T41/T148, "NA")</f>
        <v>8.8124033710004872E-3</v>
      </c>
      <c r="V41" s="7">
        <v>632.84</v>
      </c>
      <c r="W41" s="8">
        <f>IFERROR(V41/V148, "NA")</f>
        <v>1.5260990329368654E-2</v>
      </c>
      <c r="X41" s="7">
        <v>961.67</v>
      </c>
      <c r="Y41" s="8">
        <f>IFERROR(X41/X148, "NA")</f>
        <v>2.4725820737992486E-2</v>
      </c>
      <c r="Z41" s="7">
        <v>2873.81</v>
      </c>
      <c r="AA41" s="8">
        <f>IFERROR(Z41/Z148, "NA")</f>
        <v>1.6513990268513742E-2</v>
      </c>
      <c r="AB41" s="9">
        <f t="shared" si="12"/>
        <v>718.45249999999999</v>
      </c>
      <c r="AC41" s="8">
        <f>IFERROR(AB41/AB148, "NA")</f>
        <v>1.6513990268513742E-2</v>
      </c>
      <c r="AD41" s="10">
        <f t="shared" si="13"/>
        <v>243.21749999999997</v>
      </c>
      <c r="AE41" s="11">
        <f>IFERROR(AD41/AD148, "NA")</f>
        <v>-5.2731939065603917E-2</v>
      </c>
      <c r="AF41" s="10">
        <f t="shared" si="14"/>
        <v>0.33852968707047437</v>
      </c>
      <c r="AG41" s="9">
        <f t="shared" si="15"/>
        <v>684.87625000000003</v>
      </c>
      <c r="AH41" s="8">
        <f>IFERROR(AG41/AG148, "NA")</f>
        <v>1.5056102634782924E-2</v>
      </c>
      <c r="AI41" s="10">
        <f t="shared" si="16"/>
        <v>276.79374999999993</v>
      </c>
      <c r="AJ41" s="11">
        <f>IFERROR(AI41/AI148, "NA")</f>
        <v>-4.1970672178979818E-2</v>
      </c>
      <c r="AK41" s="10">
        <f t="shared" si="17"/>
        <v>0.40415147992064249</v>
      </c>
      <c r="AL41" s="11">
        <f>IFERROR(AK41/AK148, "NA")</f>
        <v>-2.7876186286096569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1672.17</v>
      </c>
      <c r="C44" s="14">
        <f>IFERROR(B44/B148, "NA")</f>
        <v>3.9397700557967402E-2</v>
      </c>
      <c r="D44" s="13">
        <f>IFERROR(D39+D40+D41+D42+D43, "NA")</f>
        <v>1940.08</v>
      </c>
      <c r="E44" s="14">
        <f>IFERROR(D44/D148, "NA")</f>
        <v>3.2160656076853505E-2</v>
      </c>
      <c r="F44" s="13">
        <f>IFERROR(F39+F40+F41+F42+F43, "NA")</f>
        <v>1904.3400000000001</v>
      </c>
      <c r="G44" s="14">
        <f>IFERROR(F44/F148, "NA")</f>
        <v>3.2402533684366172E-2</v>
      </c>
      <c r="H44" s="13">
        <f>IFERROR(H39+H40+H41+H42+H43, "NA")</f>
        <v>1842.92</v>
      </c>
      <c r="I44" s="14">
        <f>IFERROR(H44/H148, "NA")</f>
        <v>3.8362325936139675E-2</v>
      </c>
      <c r="J44" s="13">
        <f>IFERROR(J39+J40+J41+J42+J43, "NA")</f>
        <v>1660.1799999999998</v>
      </c>
      <c r="K44" s="14">
        <f>IFERROR(J44/J148, "NA")</f>
        <v>4.0023230242902608E-2</v>
      </c>
      <c r="L44" s="13">
        <f>IFERROR(L39+L40+L41+L42+L43, "NA")</f>
        <v>1961.48</v>
      </c>
      <c r="M44" s="14">
        <f>IFERROR(L44/L148, "NA")</f>
        <v>3.9339128000178095E-2</v>
      </c>
      <c r="N44" s="13">
        <f>IFERROR(N39+N40+N41+N42+N43, "NA")</f>
        <v>1810.7399999999998</v>
      </c>
      <c r="O44" s="14">
        <f>IFERROR(N44/N148, "NA")</f>
        <v>3.5389212147649902E-2</v>
      </c>
      <c r="P44" s="13">
        <f>IFERROR(P39+P40+P41+P42+P43, "NA")</f>
        <v>1841.46</v>
      </c>
      <c r="Q44" s="14">
        <f>IFERROR(P44/P148, "NA")</f>
        <v>3.8869154276216983E-2</v>
      </c>
      <c r="R44" s="13">
        <f>IFERROR(R39+R40+R41+R42+R43, "NA")</f>
        <v>1782.91</v>
      </c>
      <c r="S44" s="14">
        <f>IFERROR(R44/R148, "NA")</f>
        <v>4.0437472528120542E-2</v>
      </c>
      <c r="T44" s="13">
        <f>IFERROR(T39+T40+T41+T42+T43, "NA")</f>
        <v>1372.55</v>
      </c>
      <c r="U44" s="14">
        <f>IFERROR(T44/T148, "NA")</f>
        <v>2.7688545570155477E-2</v>
      </c>
      <c r="V44" s="13">
        <f>IFERROR(V39+V40+V41+V42+V43, "NA")</f>
        <v>1543.38</v>
      </c>
      <c r="W44" s="14">
        <f>IFERROR(V44/V148, "NA")</f>
        <v>3.7218739736016991E-2</v>
      </c>
      <c r="X44" s="13">
        <f>IFERROR(X39+X40+X41+X42+X43, "NA")</f>
        <v>2003.63</v>
      </c>
      <c r="Y44" s="14">
        <f>IFERROR(X44/X148, "NA")</f>
        <v>5.1516004664036399E-2</v>
      </c>
      <c r="Z44" s="13">
        <f>IFERROR(Z39+Z40+Z41+Z42+Z43, "NA")</f>
        <v>6702.4699999999993</v>
      </c>
      <c r="AA44" s="14">
        <f>IFERROR(Z44/Z148, "NA")</f>
        <v>3.8514906815344543E-2</v>
      </c>
      <c r="AB44" s="13">
        <f t="shared" si="12"/>
        <v>1675.6175000000001</v>
      </c>
      <c r="AC44" s="14">
        <f>IFERROR(AB44/AB148, "NA")</f>
        <v>3.851490681534455E-2</v>
      </c>
      <c r="AD44" s="15">
        <f t="shared" si="13"/>
        <v>328.01250000000005</v>
      </c>
      <c r="AE44" s="16">
        <f>IFERROR(AD44/AD148, "NA")</f>
        <v>-7.1116326591451715E-2</v>
      </c>
      <c r="AF44" s="15">
        <f t="shared" si="14"/>
        <v>0.19575619137422476</v>
      </c>
      <c r="AG44" s="13">
        <f t="shared" si="15"/>
        <v>1747.0412500000002</v>
      </c>
      <c r="AH44" s="14">
        <f>IFERROR(AG44/AG148, "NA")</f>
        <v>3.8406401692567753E-2</v>
      </c>
      <c r="AI44" s="15">
        <f t="shared" si="16"/>
        <v>256.58874999999989</v>
      </c>
      <c r="AJ44" s="16">
        <f>IFERROR(AI44/AI148, "NA")</f>
        <v>-3.8906956212212906E-2</v>
      </c>
      <c r="AK44" s="15">
        <f t="shared" si="17"/>
        <v>0.14687045884005306</v>
      </c>
      <c r="AL44" s="16">
        <f>IFERROR(AK44/AK148, "NA")</f>
        <v>-1.0130331011910969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64.650000000000006</v>
      </c>
      <c r="C47" s="8">
        <f>IFERROR(B47/B148, "NA")</f>
        <v>1.5232071745531811E-3</v>
      </c>
      <c r="D47" s="7">
        <v>83.1</v>
      </c>
      <c r="E47" s="8">
        <f>IFERROR(D47/D148, "NA")</f>
        <v>1.377546554774301E-3</v>
      </c>
      <c r="F47" s="7">
        <v>73.48</v>
      </c>
      <c r="G47" s="8">
        <f>IFERROR(F47/F148, "NA")</f>
        <v>1.2502694766308674E-3</v>
      </c>
      <c r="H47" s="7">
        <v>86.43</v>
      </c>
      <c r="I47" s="8">
        <f>IFERROR(H47/H148, "NA")</f>
        <v>1.7991317206718426E-3</v>
      </c>
      <c r="J47" s="7">
        <v>69.27</v>
      </c>
      <c r="K47" s="8">
        <f>IFERROR(J47/J148, "NA")</f>
        <v>1.6699449209880036E-3</v>
      </c>
      <c r="L47" s="7">
        <v>84.74</v>
      </c>
      <c r="M47" s="8">
        <f>IFERROR(L47/L148, "NA")</f>
        <v>1.6995318365392925E-3</v>
      </c>
      <c r="N47" s="7">
        <v>70.739999999999995</v>
      </c>
      <c r="O47" s="8">
        <f>IFERROR(N47/N148, "NA")</f>
        <v>1.3825468412498503E-3</v>
      </c>
      <c r="P47" s="7">
        <v>90.89</v>
      </c>
      <c r="Q47" s="8">
        <f>IFERROR(P47/P148, "NA")</f>
        <v>1.9184871961190368E-3</v>
      </c>
      <c r="R47" s="7">
        <v>72.19</v>
      </c>
      <c r="S47" s="8">
        <f>IFERROR(R47/R148, "NA")</f>
        <v>1.6373126752360029E-3</v>
      </c>
      <c r="T47" s="7">
        <v>60.02</v>
      </c>
      <c r="U47" s="8">
        <f>IFERROR(T47/T148, "NA")</f>
        <v>1.2107875888825411E-3</v>
      </c>
      <c r="V47" s="7">
        <v>43.93</v>
      </c>
      <c r="W47" s="8">
        <f>IFERROR(V47/V148, "NA")</f>
        <v>1.0593756797439558E-3</v>
      </c>
      <c r="X47" s="7">
        <v>78.34</v>
      </c>
      <c r="Y47" s="8">
        <f>IFERROR(X47/X148, "NA")</f>
        <v>2.0142260823508389E-3</v>
      </c>
      <c r="Z47" s="7">
        <v>254.48</v>
      </c>
      <c r="AA47" s="8">
        <f>IFERROR(Z47/Z148, "NA")</f>
        <v>1.4623375392010527E-3</v>
      </c>
      <c r="AB47" s="9">
        <f t="shared" si="18"/>
        <v>63.620000000000005</v>
      </c>
      <c r="AC47" s="8">
        <f>IFERROR(AB47/AB148, "NA")</f>
        <v>1.4623375392010529E-3</v>
      </c>
      <c r="AD47" s="10">
        <f t="shared" si="19"/>
        <v>14.719999999999999</v>
      </c>
      <c r="AE47" s="11">
        <f>IFERROR(AD47/AD148, "NA")</f>
        <v>-3.1914403488469772E-3</v>
      </c>
      <c r="AF47" s="10">
        <f t="shared" si="20"/>
        <v>0.2313737818296133</v>
      </c>
      <c r="AG47" s="9">
        <f t="shared" si="21"/>
        <v>71.265000000000001</v>
      </c>
      <c r="AH47" s="8">
        <f>IFERROR(AG47/AG148, "NA")</f>
        <v>1.5666671961070413E-3</v>
      </c>
      <c r="AI47" s="10">
        <f t="shared" si="22"/>
        <v>7.0750000000000028</v>
      </c>
      <c r="AJ47" s="11">
        <f>IFERROR(AI47/AI148, "NA")</f>
        <v>-1.0727933909861853E-3</v>
      </c>
      <c r="AK47" s="10">
        <f t="shared" si="23"/>
        <v>9.9277345120325586E-2</v>
      </c>
      <c r="AL47" s="11">
        <f>IFERROR(AK47/AK148, "NA")</f>
        <v>-0.68476150751859322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64.650000000000006</v>
      </c>
      <c r="C52" s="14">
        <f>IFERROR(B52/B148, "NA")</f>
        <v>1.5232071745531811E-3</v>
      </c>
      <c r="D52" s="13">
        <f>IFERROR(D46+D47+D48+D49+D50+D51, "NA")</f>
        <v>83.1</v>
      </c>
      <c r="E52" s="14">
        <f>IFERROR(D52/D148, "NA")</f>
        <v>1.377546554774301E-3</v>
      </c>
      <c r="F52" s="13">
        <f>IFERROR(F46+F47+F48+F49+F50+F51, "NA")</f>
        <v>73.48</v>
      </c>
      <c r="G52" s="14">
        <f>IFERROR(F52/F148, "NA")</f>
        <v>1.2502694766308674E-3</v>
      </c>
      <c r="H52" s="13">
        <f>IFERROR(H46+H47+H48+H49+H50+H51, "NA")</f>
        <v>86.43</v>
      </c>
      <c r="I52" s="14">
        <f>IFERROR(H52/H148, "NA")</f>
        <v>1.7991317206718426E-3</v>
      </c>
      <c r="J52" s="13">
        <f>IFERROR(J46+J47+J48+J49+J50+J51, "NA")</f>
        <v>69.27</v>
      </c>
      <c r="K52" s="14">
        <f>IFERROR(J52/J148, "NA")</f>
        <v>1.6699449209880036E-3</v>
      </c>
      <c r="L52" s="13">
        <f>IFERROR(L46+L47+L48+L49+L50+L51, "NA")</f>
        <v>84.74</v>
      </c>
      <c r="M52" s="14">
        <f>IFERROR(L52/L148, "NA")</f>
        <v>1.6995318365392925E-3</v>
      </c>
      <c r="N52" s="13">
        <f>IFERROR(N46+N47+N48+N49+N50+N51, "NA")</f>
        <v>70.739999999999995</v>
      </c>
      <c r="O52" s="14">
        <f>IFERROR(N52/N148, "NA")</f>
        <v>1.3825468412498503E-3</v>
      </c>
      <c r="P52" s="13">
        <f>IFERROR(P46+P47+P48+P49+P50+P51, "NA")</f>
        <v>90.89</v>
      </c>
      <c r="Q52" s="14">
        <f>IFERROR(P52/P148, "NA")</f>
        <v>1.9184871961190368E-3</v>
      </c>
      <c r="R52" s="13">
        <f>IFERROR(R46+R47+R48+R49+R50+R51, "NA")</f>
        <v>72.19</v>
      </c>
      <c r="S52" s="14">
        <f>IFERROR(R52/R148, "NA")</f>
        <v>1.6373126752360029E-3</v>
      </c>
      <c r="T52" s="13">
        <f>IFERROR(T46+T47+T48+T49+T50+T51, "NA")</f>
        <v>60.02</v>
      </c>
      <c r="U52" s="14">
        <f>IFERROR(T52/T148, "NA")</f>
        <v>1.2107875888825411E-3</v>
      </c>
      <c r="V52" s="13">
        <f>IFERROR(V46+V47+V48+V49+V50+V51, "NA")</f>
        <v>43.93</v>
      </c>
      <c r="W52" s="14">
        <f>IFERROR(V52/V148, "NA")</f>
        <v>1.0593756797439558E-3</v>
      </c>
      <c r="X52" s="13">
        <f>IFERROR(X46+X47+X48+X49+X50+X51, "NA")</f>
        <v>78.34</v>
      </c>
      <c r="Y52" s="14">
        <f>IFERROR(X52/X148, "NA")</f>
        <v>2.0142260823508389E-3</v>
      </c>
      <c r="Z52" s="13">
        <f>IFERROR(Z46+Z47+Z48+Z49+Z50+Z51, "NA")</f>
        <v>254.48</v>
      </c>
      <c r="AA52" s="14">
        <f>IFERROR(Z52/Z148, "NA")</f>
        <v>1.4623375392010527E-3</v>
      </c>
      <c r="AB52" s="13">
        <f t="shared" si="18"/>
        <v>63.620000000000005</v>
      </c>
      <c r="AC52" s="14">
        <f>IFERROR(AB52/AB148, "NA")</f>
        <v>1.4623375392010529E-3</v>
      </c>
      <c r="AD52" s="15">
        <f t="shared" si="19"/>
        <v>14.719999999999999</v>
      </c>
      <c r="AE52" s="16">
        <f>IFERROR(AD52/AD148, "NA")</f>
        <v>-3.1914403488469772E-3</v>
      </c>
      <c r="AF52" s="15">
        <f t="shared" si="20"/>
        <v>0.2313737818296133</v>
      </c>
      <c r="AG52" s="13">
        <f t="shared" si="21"/>
        <v>71.265000000000001</v>
      </c>
      <c r="AH52" s="14">
        <f>IFERROR(AG52/AG148, "NA")</f>
        <v>1.5666671961070413E-3</v>
      </c>
      <c r="AI52" s="15">
        <f t="shared" si="22"/>
        <v>7.0750000000000028</v>
      </c>
      <c r="AJ52" s="16">
        <f>IFERROR(AI52/AI148, "NA")</f>
        <v>-1.0727933909861853E-3</v>
      </c>
      <c r="AK52" s="15">
        <f t="shared" si="23"/>
        <v>9.9277345120325586E-2</v>
      </c>
      <c r="AL52" s="16">
        <f>IFERROR(AK52/AK148, "NA")</f>
        <v>-0.68476150751859322</v>
      </c>
    </row>
    <row r="53" spans="1:38" ht="16.5" customHeight="1">
      <c r="A53" s="23" t="s">
        <v>68</v>
      </c>
      <c r="B53" s="7">
        <v>26.83</v>
      </c>
      <c r="C53" s="8">
        <f>IFERROR(B53/B148, "NA")</f>
        <v>6.3213686764519478E-4</v>
      </c>
      <c r="D53" s="7">
        <v>42.59</v>
      </c>
      <c r="E53" s="8">
        <f>IFERROR(D53/D148, "NA")</f>
        <v>7.0601333053956069E-4</v>
      </c>
      <c r="F53" s="7">
        <v>42.93</v>
      </c>
      <c r="G53" s="8">
        <f>IFERROR(F53/F148, "NA")</f>
        <v>7.3045820130325447E-4</v>
      </c>
      <c r="H53" s="7">
        <v>74.28</v>
      </c>
      <c r="I53" s="8">
        <f>IFERROR(H53/H148, "NA")</f>
        <v>1.5462166401886436E-3</v>
      </c>
      <c r="J53" s="7">
        <v>17.3</v>
      </c>
      <c r="K53" s="8">
        <f>IFERROR(J53/J148, "NA")</f>
        <v>4.1706434434953752E-4</v>
      </c>
      <c r="L53" s="7">
        <v>32.81</v>
      </c>
      <c r="M53" s="8">
        <f>IFERROR(L53/L148, "NA")</f>
        <v>6.5803209295320038E-4</v>
      </c>
      <c r="N53" s="7">
        <v>28.18</v>
      </c>
      <c r="O53" s="8">
        <f>IFERROR(N53/N148, "NA")</f>
        <v>5.5075162547951349E-4</v>
      </c>
      <c r="P53" s="7">
        <v>81.52</v>
      </c>
      <c r="Q53" s="8">
        <f>IFERROR(P53/P148, "NA")</f>
        <v>1.7207071870131354E-3</v>
      </c>
      <c r="R53" s="7">
        <v>18.22</v>
      </c>
      <c r="S53" s="8">
        <f>IFERROR(R53/R148, "NA")</f>
        <v>4.132405726942786E-4</v>
      </c>
      <c r="T53" s="7">
        <v>59.55</v>
      </c>
      <c r="U53" s="8">
        <f>IFERROR(T53/T148, "NA")</f>
        <v>1.2013062465504052E-3</v>
      </c>
      <c r="V53" s="7">
        <v>29.28</v>
      </c>
      <c r="W53" s="8">
        <f>IFERROR(V53/V148, "NA")</f>
        <v>7.0608968592995728E-4</v>
      </c>
      <c r="X53" s="7">
        <v>49.78</v>
      </c>
      <c r="Y53" s="8">
        <f>IFERROR(X53/X148, "NA")</f>
        <v>1.2799103188591366E-3</v>
      </c>
      <c r="Z53" s="7">
        <v>156.83000000000001</v>
      </c>
      <c r="AA53" s="8">
        <f>IFERROR(Z53/Z148, "NA")</f>
        <v>9.0120400924591768E-4</v>
      </c>
      <c r="AB53" s="9">
        <f t="shared" si="18"/>
        <v>39.207499999999996</v>
      </c>
      <c r="AC53" s="8">
        <f>IFERROR(AB53/AB148, "NA")</f>
        <v>9.0120400924591747E-4</v>
      </c>
      <c r="AD53" s="10">
        <f t="shared" si="19"/>
        <v>10.572500000000005</v>
      </c>
      <c r="AE53" s="11">
        <f>IFERROR(AD53/AD148, "NA")</f>
        <v>-2.2922216771864594E-3</v>
      </c>
      <c r="AF53" s="10">
        <f t="shared" si="20"/>
        <v>0.2696550404897024</v>
      </c>
      <c r="AG53" s="9">
        <f t="shared" si="21"/>
        <v>39.58</v>
      </c>
      <c r="AH53" s="8">
        <f>IFERROR(AG53/AG148, "NA")</f>
        <v>8.7011418819780669E-4</v>
      </c>
      <c r="AI53" s="10">
        <f t="shared" si="22"/>
        <v>10.200000000000003</v>
      </c>
      <c r="AJ53" s="11">
        <f>IFERROR(AI53/AI148, "NA")</f>
        <v>-1.5466420619164789E-3</v>
      </c>
      <c r="AK53" s="10">
        <f t="shared" si="23"/>
        <v>0.25770591207680654</v>
      </c>
      <c r="AL53" s="11">
        <f>IFERROR(AK53/AK148, "NA")</f>
        <v>-1.7775161960292896</v>
      </c>
    </row>
    <row r="54" spans="1:38" ht="16.5" customHeight="1">
      <c r="A54" s="23" t="s">
        <v>69</v>
      </c>
      <c r="B54" s="7">
        <v>33</v>
      </c>
      <c r="C54" s="8">
        <f>IFERROR(B54/B148, "NA")</f>
        <v>7.7750714246334058E-4</v>
      </c>
      <c r="D54" s="7">
        <v>49</v>
      </c>
      <c r="E54" s="8">
        <f>IFERROR(D54/D148, "NA")</f>
        <v>8.122717350654724E-4</v>
      </c>
      <c r="F54" s="7">
        <v>33.25</v>
      </c>
      <c r="G54" s="8">
        <f>IFERROR(F54/F148, "NA")</f>
        <v>5.6575204270517608E-4</v>
      </c>
      <c r="H54" s="7">
        <v>42</v>
      </c>
      <c r="I54" s="8">
        <f>IFERROR(H54/H148, "NA")</f>
        <v>8.7427435228760141E-4</v>
      </c>
      <c r="J54" s="7">
        <v>46</v>
      </c>
      <c r="K54" s="8">
        <f>IFERROR(J54/J148, "NA")</f>
        <v>1.1089572161895216E-3</v>
      </c>
      <c r="L54" s="7">
        <v>50</v>
      </c>
      <c r="M54" s="8">
        <f>IFERROR(L54/L148, "NA")</f>
        <v>1.0027919734123746E-3</v>
      </c>
      <c r="N54" s="7">
        <v>43</v>
      </c>
      <c r="O54" s="8">
        <f>IFERROR(N54/N148, "NA")</f>
        <v>8.4039460239954155E-4</v>
      </c>
      <c r="P54" s="7">
        <v>49</v>
      </c>
      <c r="Q54" s="8">
        <f>IFERROR(P54/P148, "NA")</f>
        <v>1.0342817978857169E-3</v>
      </c>
      <c r="R54" s="7">
        <v>55</v>
      </c>
      <c r="S54" s="8">
        <f>IFERROR(R54/R148, "NA")</f>
        <v>1.2474331228422243E-3</v>
      </c>
      <c r="T54" s="7">
        <v>57.25</v>
      </c>
      <c r="U54" s="8">
        <f>IFERROR(T54/T148, "NA")</f>
        <v>1.1549081883293149E-3</v>
      </c>
      <c r="V54" s="7">
        <v>38</v>
      </c>
      <c r="W54" s="8">
        <f>IFERROR(V54/V148, "NA")</f>
        <v>9.163732262752178E-4</v>
      </c>
      <c r="X54" s="7">
        <v>52</v>
      </c>
      <c r="Y54" s="8">
        <f>IFERROR(X54/X148, "NA")</f>
        <v>1.3369894853490379E-3</v>
      </c>
      <c r="Z54" s="7">
        <v>202.25</v>
      </c>
      <c r="AA54" s="8">
        <f>IFERROR(Z54/Z148, "NA")</f>
        <v>1.1622043669577684E-3</v>
      </c>
      <c r="AB54" s="9">
        <f t="shared" si="18"/>
        <v>50.5625</v>
      </c>
      <c r="AC54" s="8">
        <f>IFERROR(AB54/AB148, "NA")</f>
        <v>1.1622043669577684E-3</v>
      </c>
      <c r="AD54" s="10">
        <f t="shared" si="19"/>
        <v>1.4375</v>
      </c>
      <c r="AE54" s="11">
        <f>IFERROR(AD54/AD148, "NA")</f>
        <v>-3.1166409656708762E-4</v>
      </c>
      <c r="AF54" s="10">
        <f t="shared" si="20"/>
        <v>2.843016069221261E-2</v>
      </c>
      <c r="AG54" s="9">
        <f t="shared" si="21"/>
        <v>48.78125</v>
      </c>
      <c r="AH54" s="8">
        <f>IFERROR(AG54/AG148, "NA")</f>
        <v>1.0723915549020783E-3</v>
      </c>
      <c r="AI54" s="10">
        <f t="shared" si="22"/>
        <v>3.21875</v>
      </c>
      <c r="AJ54" s="11">
        <f>IFERROR(AI54/AI148, "NA")</f>
        <v>-4.8806413105820245E-4</v>
      </c>
      <c r="AK54" s="10">
        <f t="shared" si="23"/>
        <v>6.5983344010249842E-2</v>
      </c>
      <c r="AL54" s="11">
        <f>IFERROR(AK54/AK148, "NA")</f>
        <v>-0.45511746975923201</v>
      </c>
    </row>
    <row r="55" spans="1:38" ht="16.5" customHeight="1">
      <c r="A55" s="23" t="s">
        <v>70</v>
      </c>
      <c r="B55" s="7">
        <v>-361.62</v>
      </c>
      <c r="C55" s="8">
        <f>IFERROR(B55/B148, "NA")</f>
        <v>-8.5200646320482791E-3</v>
      </c>
      <c r="D55" s="7">
        <v>-318.88</v>
      </c>
      <c r="E55" s="8">
        <f>IFERROR(D55/D148, "NA")</f>
        <v>-5.2860655281158743E-3</v>
      </c>
      <c r="F55" s="7">
        <v>-270.89</v>
      </c>
      <c r="G55" s="8">
        <f>IFERROR(F55/F148, "NA")</f>
        <v>-4.6092201758918842E-3</v>
      </c>
      <c r="H55" s="7">
        <v>-267.55</v>
      </c>
      <c r="I55" s="8">
        <f>IFERROR(H55/H148, "NA")</f>
        <v>-5.5693357846320892E-3</v>
      </c>
      <c r="J55" s="7">
        <v>-389.38</v>
      </c>
      <c r="K55" s="8">
        <f>IFERROR(J55/J148, "NA")</f>
        <v>-9.3870817573886069E-3</v>
      </c>
      <c r="L55" s="7">
        <v>-452.63</v>
      </c>
      <c r="M55" s="8">
        <f>IFERROR(L55/L148, "NA")</f>
        <v>-9.0778746185128639E-3</v>
      </c>
      <c r="N55" s="7">
        <v>-547.62</v>
      </c>
      <c r="O55" s="8">
        <f>IFERROR(N55/N148, "NA")</f>
        <v>-1.0702718422465975E-2</v>
      </c>
      <c r="P55" s="7">
        <v>-788.26</v>
      </c>
      <c r="Q55" s="8">
        <f>IFERROR(P55/P148, "NA")</f>
        <v>-1.6638427959212148E-2</v>
      </c>
      <c r="R55" s="7">
        <v>-459</v>
      </c>
      <c r="S55" s="8">
        <f>IFERROR(R55/R148, "NA")</f>
        <v>-1.0410396425174199E-2</v>
      </c>
      <c r="T55" s="7">
        <v>-422.16</v>
      </c>
      <c r="U55" s="8">
        <f>IFERROR(T55/T148, "NA")</f>
        <v>-8.5162627211371796E-3</v>
      </c>
      <c r="V55" s="7">
        <v>-454.11</v>
      </c>
      <c r="W55" s="8">
        <f>IFERROR(V55/V148, "NA")</f>
        <v>-1.0950901204837873E-2</v>
      </c>
      <c r="X55" s="7">
        <v>-450.3</v>
      </c>
      <c r="Y55" s="8">
        <f>IFERROR(X55/X148, "NA")</f>
        <v>-1.1577814716397534E-2</v>
      </c>
      <c r="Z55" s="7">
        <v>-1785.57</v>
      </c>
      <c r="AA55" s="8">
        <f>IFERROR(Z55/Z148, "NA")</f>
        <v>-1.0260555013640458E-2</v>
      </c>
      <c r="AB55" s="9">
        <f t="shared" si="18"/>
        <v>-446.39249999999998</v>
      </c>
      <c r="AC55" s="8">
        <f>IFERROR(AB55/AB148, "NA")</f>
        <v>-1.0260555013640458E-2</v>
      </c>
      <c r="AD55" s="10">
        <f t="shared" si="19"/>
        <v>-3.9075000000000273</v>
      </c>
      <c r="AE55" s="11">
        <f>IFERROR(AD55/AD148, "NA")</f>
        <v>8.4718431814671542E-4</v>
      </c>
      <c r="AF55" s="10">
        <f t="shared" si="20"/>
        <v>8.7535072833885598E-3</v>
      </c>
      <c r="AG55" s="9">
        <f t="shared" si="21"/>
        <v>-495.43250000000006</v>
      </c>
      <c r="AH55" s="8">
        <f>IFERROR(AG55/AG148, "NA")</f>
        <v>-1.0891431216379735E-2</v>
      </c>
      <c r="AI55" s="10">
        <f t="shared" si="22"/>
        <v>45.13250000000005</v>
      </c>
      <c r="AJ55" s="11">
        <f>IFERROR(AI55/AI148, "NA")</f>
        <v>-6.8435120450436801E-3</v>
      </c>
      <c r="AK55" s="10">
        <f t="shared" si="23"/>
        <v>-9.1097172672362114E-2</v>
      </c>
      <c r="AL55" s="11">
        <f>IFERROR(AK55/AK148, "NA")</f>
        <v>0.62833909603649252</v>
      </c>
    </row>
    <row r="56" spans="1:38" ht="16.5" customHeight="1">
      <c r="A56" s="27" t="s">
        <v>71</v>
      </c>
      <c r="B56" s="13">
        <f>IFERROR(B37+B39+B40+B41+B42+B43+B46+B47+B48+B49+B50+B51+B53+B54+B55, "NA")</f>
        <v>1435.0300000000002</v>
      </c>
      <c r="C56" s="14">
        <f>IFERROR(B56/B148, "NA")</f>
        <v>3.3810487110580843E-2</v>
      </c>
      <c r="D56" s="13">
        <f>IFERROR(D37+D39+D40+D41+D42+D43+D46+D47+D48+D49+D50+D51+D53+D54+D55, "NA")</f>
        <v>1795.8899999999999</v>
      </c>
      <c r="E56" s="14">
        <f>IFERROR(D56/D148, "NA")</f>
        <v>2.9770422169116961E-2</v>
      </c>
      <c r="F56" s="13">
        <f>IFERROR(F37+F39+F40+F41+F42+F43+F46+F47+F48+F49+F50+F51+F53+F54+F55, "NA")</f>
        <v>1783.1100000000001</v>
      </c>
      <c r="G56" s="14">
        <f>IFERROR(F56/F148, "NA")</f>
        <v>3.0339793229113586E-2</v>
      </c>
      <c r="H56" s="13">
        <f>IFERROR(H37+H39+H40+H41+H42+H43+H46+H47+H48+H49+H50+H51+H53+H54+H55, "NA")</f>
        <v>1778.0800000000002</v>
      </c>
      <c r="I56" s="14">
        <f>IFERROR(H56/H148, "NA")</f>
        <v>3.7012612864655674E-2</v>
      </c>
      <c r="J56" s="13">
        <f>IFERROR(J37+J39+J40+J41+J42+J43+J46+J47+J48+J49+J50+J51+J53+J54+J55, "NA")</f>
        <v>1403.37</v>
      </c>
      <c r="K56" s="14">
        <f>IFERROR(J56/J148, "NA")</f>
        <v>3.3832114967041062E-2</v>
      </c>
      <c r="L56" s="13">
        <f>IFERROR(L37+L39+L40+L41+L42+L43+L46+L47+L48+L49+L50+L51+L53+L54+L55, "NA")</f>
        <v>1676.4</v>
      </c>
      <c r="M56" s="14">
        <f>IFERROR(L56/L148, "NA")</f>
        <v>3.36216092845701E-2</v>
      </c>
      <c r="N56" s="13">
        <f>IFERROR(N37+N39+N40+N41+N42+N43+N46+N47+N48+N49+N50+N51+N53+N54+N55, "NA")</f>
        <v>1405.04</v>
      </c>
      <c r="O56" s="14">
        <f>IFERROR(N56/N148, "NA")</f>
        <v>2.7460186794312832E-2</v>
      </c>
      <c r="P56" s="13">
        <f>IFERROR(P37+P39+P40+P41+P42+P43+P46+P47+P48+P49+P50+P51+P53+P54+P55, "NA")</f>
        <v>1274.6099999999999</v>
      </c>
      <c r="Q56" s="14">
        <f>IFERROR(P56/P148, "NA")</f>
        <v>2.6904202498022722E-2</v>
      </c>
      <c r="R56" s="13">
        <f>IFERROR(R37+R39+R40+R41+R42+R43+R46+R47+R48+R49+R50+R51+R53+R54+R55, "NA")</f>
        <v>1469.3200000000002</v>
      </c>
      <c r="S56" s="14">
        <f>IFERROR(R56/R148, "NA")</f>
        <v>3.3325062473718858E-2</v>
      </c>
      <c r="T56" s="13">
        <f>IFERROR(T37+T39+T40+T41+T42+T43+T46+T47+T48+T49+T50+T51+T53+T54+T55, "NA")</f>
        <v>1127.2099999999998</v>
      </c>
      <c r="U56" s="14">
        <f>IFERROR(T56/T148, "NA")</f>
        <v>2.2739284872780555E-2</v>
      </c>
      <c r="V56" s="13">
        <f>IFERROR(V37+V39+V40+V41+V42+V43+V46+V47+V48+V49+V50+V51+V53+V54+V55, "NA")</f>
        <v>1200.48</v>
      </c>
      <c r="W56" s="14">
        <f>IFERROR(V56/V148, "NA")</f>
        <v>2.8949677123128247E-2</v>
      </c>
      <c r="X56" s="13">
        <f>IFERROR(X37+X39+X40+X41+X42+X43+X46+X47+X48+X49+X50+X51+X53+X54+X55, "NA")</f>
        <v>1733.4500000000005</v>
      </c>
      <c r="Y56" s="14">
        <f>IFERROR(X56/X148, "NA")</f>
        <v>4.456931583419789E-2</v>
      </c>
      <c r="Z56" s="13">
        <f>IFERROR(Z37+Z39+Z40+Z41+Z42+Z43+Z46+Z47+Z48+Z49+Z50+Z51+Z53+Z54+Z55, "NA")</f>
        <v>5530.4599999999991</v>
      </c>
      <c r="AA56" s="14">
        <f>IFERROR(Z56/Z148, "NA")</f>
        <v>3.1780097717108824E-2</v>
      </c>
      <c r="AB56" s="13">
        <f t="shared" si="18"/>
        <v>1382.615</v>
      </c>
      <c r="AC56" s="14">
        <f>IFERROR(AB56/AB148, "NA")</f>
        <v>3.1780097717108824E-2</v>
      </c>
      <c r="AD56" s="15">
        <f t="shared" si="19"/>
        <v>350.83500000000049</v>
      </c>
      <c r="AE56" s="16">
        <f>IFERROR(AD56/AD148, "NA")</f>
        <v>-7.6064468395905624E-2</v>
      </c>
      <c r="AF56" s="15">
        <f t="shared" si="20"/>
        <v>0.2537474278812254</v>
      </c>
      <c r="AG56" s="13">
        <f t="shared" si="21"/>
        <v>1411.2349999999999</v>
      </c>
      <c r="AH56" s="14">
        <f>IFERROR(AG56/AG148, "NA")</f>
        <v>3.1024143415394941E-2</v>
      </c>
      <c r="AI56" s="15">
        <f t="shared" si="22"/>
        <v>322.2150000000006</v>
      </c>
      <c r="AJ56" s="16">
        <f>IFERROR(AI56/AI148, "NA")</f>
        <v>-4.8857967841217549E-2</v>
      </c>
      <c r="AK56" s="15">
        <f t="shared" si="23"/>
        <v>0.22832129305183094</v>
      </c>
      <c r="AL56" s="16">
        <f>IFERROR(AK56/AK148, "NA")</f>
        <v>-1.5748369644582365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9911.3199999999979</v>
      </c>
      <c r="C57" s="29">
        <f>IFERROR(B57/B148, "NA")</f>
        <v>0.23351885124968955</v>
      </c>
      <c r="D57" s="28">
        <f>IFERROR(D13+D15+D16+D17+D18+D19+D20+D21+D22+D23+D24+D25+D26+D29+D30+D31+D32+D33+D37+D39+D40+D41+D42+D43+D46+D47+D48+D49+D50+D51+D53+D54+D55, "NA")</f>
        <v>14163.62</v>
      </c>
      <c r="E57" s="29">
        <f>IFERROR(D57/D148, "NA")</f>
        <v>0.23478996310628628</v>
      </c>
      <c r="F57" s="28">
        <f>IFERROR(F13+F15+F16+F17+F18+F19+F20+F21+F22+F23+F24+F25+F26+F29+F30+F31+F32+F33+F37+F39+F40+F41+F42+F43+F46+F47+F48+F49+F50+F51+F53+F54+F55, "NA")</f>
        <v>12827.420000000002</v>
      </c>
      <c r="G57" s="29">
        <f>IFERROR(F57/F148, "NA")</f>
        <v>0.21825982158307464</v>
      </c>
      <c r="H57" s="28">
        <f>IFERROR(H13+H15+H16+H17+H18+H19+H20+H21+H22+H23+H24+H25+H26+H29+H30+H31+H32+H33+H37+H39+H40+H41+H42+H43+H46+H47+H48+H49+H50+H51+H53+H54+H55, "NA")</f>
        <v>11220.560000000001</v>
      </c>
      <c r="I57" s="29">
        <f>IFERROR(H57/H148, "NA")</f>
        <v>0.23356780538819452</v>
      </c>
      <c r="J57" s="28">
        <f>IFERROR(J13+J15+J16+J17+J18+J19+J20+J21+J22+J23+J24+J25+J26+J29+J30+J31+J32+J33+J37+J39+J40+J41+J42+J43+J46+J47+J48+J49+J50+J51+J53+J54+J55, "NA")</f>
        <v>10847.380000000001</v>
      </c>
      <c r="K57" s="29">
        <f>IFERROR(J57/J148, "NA")</f>
        <v>0.26150609408151942</v>
      </c>
      <c r="L57" s="28">
        <f>IFERROR(L13+L15+L16+L17+L18+L19+L20+L21+L22+L23+L24+L25+L26+L29+L30+L31+L32+L33+L37+L39+L40+L41+L42+L43+L46+L47+L48+L49+L50+L51+L53+L54+L55, "NA")</f>
        <v>12320.350000000002</v>
      </c>
      <c r="M57" s="29">
        <f>IFERROR(L57/L148, "NA")</f>
        <v>0.24709496179262305</v>
      </c>
      <c r="N57" s="28">
        <f>IFERROR(N13+N15+N16+N17+N18+N19+N20+N21+N22+N23+N24+N25+N26+N29+N30+N31+N32+N33+N37+N39+N40+N41+N42+N43+N46+N47+N48+N49+N50+N51+N53+N54+N55, "NA")</f>
        <v>11723.56</v>
      </c>
      <c r="O57" s="29">
        <f>IFERROR(N57/N148, "NA")</f>
        <v>0.22912596616063183</v>
      </c>
      <c r="P57" s="28">
        <f>IFERROR(P13+P15+P16+P17+P18+P19+P20+P21+P22+P23+P24+P25+P26+P29+P30+P31+P32+P33+P37+P39+P40+P41+P42+P43+P46+P47+P48+P49+P50+P51+P53+P54+P55, "NA")</f>
        <v>11087.730000000001</v>
      </c>
      <c r="Q57" s="29">
        <f>IFERROR(P57/P148, "NA")</f>
        <v>0.23403749630349799</v>
      </c>
      <c r="R57" s="28">
        <f>IFERROR(R13+R15+R16+R17+R18+R19+R20+R21+R22+R23+R24+R25+R26+R29+R30+R31+R32+R33+R37+R39+R40+R41+R42+R43+R46+R47+R48+R49+R50+R51+R53+R54+R55, "NA")</f>
        <v>10654.370000000003</v>
      </c>
      <c r="S57" s="29">
        <f>IFERROR(R57/R148, "NA")</f>
        <v>0.24164752801848202</v>
      </c>
      <c r="T57" s="28">
        <f>IFERROR(T13+T15+T16+T17+T18+T19+T20+T21+T22+T23+T24+T25+T26+T29+T30+T31+T32+T33+T37+T39+T40+T41+T42+T43+T46+T47+T48+T49+T50+T51+T53+T54+T55, "NA")</f>
        <v>10256.740000000002</v>
      </c>
      <c r="U57" s="29">
        <f>IFERROR(T57/T148, "NA")</f>
        <v>0.20690992159938548</v>
      </c>
      <c r="V57" s="28">
        <f>IFERROR(V13+V15+V16+V17+V18+V19+V20+V21+V22+V23+V24+V25+V26+V29+V30+V31+V32+V33+V37+V39+V40+V41+V42+V43+V46+V47+V48+V49+V50+V51+V53+V54+V55, "NA")</f>
        <v>10300.880000000003</v>
      </c>
      <c r="W57" s="29">
        <f>IFERROR(V57/V148, "NA")</f>
        <v>0.24840659576510177</v>
      </c>
      <c r="X57" s="28">
        <f>IFERROR(X13+X15+X16+X17+X18+X19+X20+X21+X22+X23+X24+X25+X26+X29+X30+X31+X32+X33+X37+X39+X40+X41+X42+X43+X46+X47+X48+X49+X50+X51+X53+X54+X55, "NA")</f>
        <v>9369.1300000000028</v>
      </c>
      <c r="Y57" s="29">
        <f>IFERROR(X57/X148, "NA")</f>
        <v>0.24089285186285067</v>
      </c>
      <c r="Z57" s="28">
        <f>IFERROR(Z13+Z15+Z16+Z17+Z18+Z19+Z20+Z21+Z22+Z23+Z24+Z25+Z26+Z29+Z30+Z31+Z32+Z33+Z37+Z39+Z40+Z41+Z42+Z43+Z46+Z47+Z48+Z49+Z50+Z51+Z53+Z54+Z55, "NA")</f>
        <v>40581.119999999995</v>
      </c>
      <c r="AA57" s="29">
        <f>IFERROR(Z57/Z148, "NA")</f>
        <v>0.23319433809659942</v>
      </c>
      <c r="AB57" s="28">
        <f t="shared" si="18"/>
        <v>10145.280000000002</v>
      </c>
      <c r="AC57" s="29">
        <f>IFERROR(AB57/AB148, "NA")</f>
        <v>0.23319433809659951</v>
      </c>
      <c r="AD57" s="30">
        <f t="shared" si="19"/>
        <v>-776.14999999999964</v>
      </c>
      <c r="AE57" s="31">
        <f>IFERROR(AD57/AD148, "NA")</f>
        <v>0.1682769311655965</v>
      </c>
      <c r="AF57" s="30">
        <f t="shared" si="20"/>
        <v>-7.6503556333585618E-2</v>
      </c>
      <c r="AG57" s="28">
        <f t="shared" si="21"/>
        <v>10820.017500000002</v>
      </c>
      <c r="AH57" s="29">
        <f>IFERROR(AG57/AG148, "NA")</f>
        <v>0.23786383889081769</v>
      </c>
      <c r="AI57" s="30">
        <f t="shared" si="22"/>
        <v>-1450.8874999999989</v>
      </c>
      <c r="AJ57" s="31">
        <f>IFERROR(AI57/AI148, "NA")</f>
        <v>0.22000035633420029</v>
      </c>
      <c r="AK57" s="30">
        <f t="shared" si="23"/>
        <v>-0.13409289772405625</v>
      </c>
      <c r="AL57" s="31">
        <f>IFERROR(AK57/AK148, "NA")</f>
        <v>0.92490038570000144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32532.01999999999</v>
      </c>
      <c r="C59" s="34">
        <f>IFERROR(B59/B148, "NA")</f>
        <v>0.76648114875031026</v>
      </c>
      <c r="D59" s="33">
        <f>IFERROR(D9-D57, "NA")</f>
        <v>46161.01999999999</v>
      </c>
      <c r="E59" s="34">
        <f>IFERROR(D59/D148, "NA")</f>
        <v>0.76521003689371359</v>
      </c>
      <c r="F59" s="33">
        <f>IFERROR(F9-F57, "NA")</f>
        <v>45943.909999999989</v>
      </c>
      <c r="G59" s="34">
        <f>IFERROR(F59/F148, "NA")</f>
        <v>0.78174017841692522</v>
      </c>
      <c r="H59" s="33">
        <f>IFERROR(H9-H57, "NA")</f>
        <v>36819.279999999999</v>
      </c>
      <c r="I59" s="34">
        <f>IFERROR(H59/H148, "NA")</f>
        <v>0.76643219461180556</v>
      </c>
      <c r="J59" s="33">
        <f>IFERROR(J9-J57, "NA")</f>
        <v>30633.029999999995</v>
      </c>
      <c r="K59" s="34">
        <f>IFERROR(J59/J148, "NA")</f>
        <v>0.73849390591848041</v>
      </c>
      <c r="L59" s="33">
        <f>IFERROR(L9-L57, "NA")</f>
        <v>37540.439999999988</v>
      </c>
      <c r="M59" s="34">
        <f>IFERROR(L59/L148, "NA")</f>
        <v>0.75290503820737675</v>
      </c>
      <c r="N59" s="33">
        <f>IFERROR(N9-N57, "NA")</f>
        <v>39442.880000000012</v>
      </c>
      <c r="O59" s="34">
        <f>IFERROR(N59/N148, "NA")</f>
        <v>0.77087403383936837</v>
      </c>
      <c r="P59" s="33">
        <f>IFERROR(P9-P57, "NA")</f>
        <v>36288.140000000007</v>
      </c>
      <c r="Q59" s="34">
        <f>IFERROR(P59/P148, "NA")</f>
        <v>0.76596250369650209</v>
      </c>
      <c r="R59" s="33">
        <f>IFERROR(R9-R57, "NA")</f>
        <v>33436.170000000006</v>
      </c>
      <c r="S59" s="34">
        <f>IFERROR(R59/R148, "NA")</f>
        <v>0.75835247198151812</v>
      </c>
      <c r="T59" s="33">
        <f>IFERROR(T9-T57, "NA")</f>
        <v>39314.300000000003</v>
      </c>
      <c r="U59" s="34">
        <f>IFERROR(T59/T148, "NA")</f>
        <v>0.79309007840061463</v>
      </c>
      <c r="V59" s="33">
        <f>IFERROR(V9-V57, "NA")</f>
        <v>31166.940000000002</v>
      </c>
      <c r="W59" s="34">
        <f>IFERROR(V59/V148, "NA")</f>
        <v>0.7515934042348984</v>
      </c>
      <c r="X59" s="33">
        <f>IFERROR(X9-X57, "NA")</f>
        <v>29524.219999999994</v>
      </c>
      <c r="Y59" s="34">
        <f>IFERROR(X59/X148, "NA")</f>
        <v>0.7591071481371493</v>
      </c>
      <c r="Z59" s="33">
        <f>IFERROR(Z9-Z57, "NA")</f>
        <v>133441.62999999995</v>
      </c>
      <c r="AA59" s="34">
        <f>IFERROR(Z59/Z148, "NA")</f>
        <v>0.76680566190340027</v>
      </c>
      <c r="AB59" s="33">
        <f>IFERROR((R59+T59+V59+X59)/4, "NA")</f>
        <v>33360.407500000001</v>
      </c>
      <c r="AC59" s="34">
        <f>IFERROR(AB59/AB148, "NA")</f>
        <v>0.7668056619034006</v>
      </c>
      <c r="AD59" s="15">
        <f>IFERROR(X59-AB59, "NA")</f>
        <v>-3836.1875000000073</v>
      </c>
      <c r="AE59" s="16">
        <f>IFERROR(AD59/AD148, "NA")</f>
        <v>0.83172306883440472</v>
      </c>
      <c r="AF59" s="15">
        <f>IFERROR((X59-AB59)/AB59, "NA")</f>
        <v>-0.11499222543969247</v>
      </c>
      <c r="AG59" s="33">
        <f>IFERROR((J59+L59+N59+P59+R59+T59+V59+X59)/8, "NA")</f>
        <v>34668.264999999999</v>
      </c>
      <c r="AH59" s="34">
        <f>IFERROR(AG59/AG148, "NA")</f>
        <v>0.76213616110918236</v>
      </c>
      <c r="AI59" s="15">
        <f>IFERROR(X59-AG59, "NA")</f>
        <v>-5144.0450000000055</v>
      </c>
      <c r="AJ59" s="16">
        <f>IFERROR(AI59/AI148, "NA")</f>
        <v>0.77999964366579999</v>
      </c>
      <c r="AK59" s="15">
        <f>IFERROR((X59-AG59)/AG59, "NA")</f>
        <v>-0.14837907233027109</v>
      </c>
      <c r="AL59" s="16">
        <f>IFERROR(AK59/AK148, "NA")</f>
        <v>1.0234387022531772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2519.23</v>
      </c>
      <c r="C66" s="8">
        <f>IFERROR(B66/B148, "NA")</f>
        <v>5.9355130863876414E-2</v>
      </c>
      <c r="D66" s="7">
        <v>2519.23</v>
      </c>
      <c r="E66" s="8">
        <f>IFERROR(D66/D148, "NA")</f>
        <v>4.1761210676101841E-2</v>
      </c>
      <c r="F66" s="7">
        <v>2519.23</v>
      </c>
      <c r="G66" s="8">
        <f>IFERROR(F66/F148, "NA")</f>
        <v>4.2864947926140179E-2</v>
      </c>
      <c r="H66" s="7">
        <v>2519.23</v>
      </c>
      <c r="I66" s="8">
        <f>IFERROR(H66/H148, "NA")</f>
        <v>5.244043277413081E-2</v>
      </c>
      <c r="J66" s="7">
        <v>2519.23</v>
      </c>
      <c r="K66" s="8">
        <f>IFERROR(J66/J148, "NA")</f>
        <v>6.0733006255241931E-2</v>
      </c>
      <c r="L66" s="7">
        <v>2519.23</v>
      </c>
      <c r="M66" s="8">
        <f>IFERROR(L66/L148, "NA")</f>
        <v>5.0525272463593132E-2</v>
      </c>
      <c r="N66" s="7">
        <v>2519.23</v>
      </c>
      <c r="O66" s="8">
        <f>IFERROR(N66/N148, "NA")</f>
        <v>4.9235983586116208E-2</v>
      </c>
      <c r="P66" s="7">
        <v>2519.23</v>
      </c>
      <c r="Q66" s="8">
        <f>IFERROR(P66/P148, "NA")</f>
        <v>5.3175382320155805E-2</v>
      </c>
      <c r="R66" s="7">
        <v>2519.23</v>
      </c>
      <c r="S66" s="8">
        <f>IFERROR(R66/R148, "NA")</f>
        <v>5.7137653564687571E-2</v>
      </c>
      <c r="T66" s="7">
        <v>2519.23</v>
      </c>
      <c r="U66" s="8">
        <f>IFERROR(T66/T148, "NA")</f>
        <v>5.0820600092311964E-2</v>
      </c>
      <c r="V66" s="7">
        <v>2519.23</v>
      </c>
      <c r="W66" s="8">
        <f>IFERROR(V66/V148, "NA")</f>
        <v>6.0751445337613598E-2</v>
      </c>
      <c r="X66" s="7">
        <v>2519.23</v>
      </c>
      <c r="Y66" s="8">
        <f>IFERROR(X66/X148, "NA")</f>
        <v>6.4772769637997246E-2</v>
      </c>
      <c r="Z66" s="7">
        <v>10076.92</v>
      </c>
      <c r="AA66" s="8">
        <f>IFERROR(Z66/Z148, "NA")</f>
        <v>5.790576232130569E-2</v>
      </c>
      <c r="AB66" s="9">
        <f t="shared" si="24"/>
        <v>2519.23</v>
      </c>
      <c r="AC66" s="8">
        <f>IFERROR(AB66/AB148, "NA")</f>
        <v>5.790576232130569E-2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2519.23</v>
      </c>
      <c r="AH66" s="8">
        <f>IFERROR(AG66/AG148, "NA")</f>
        <v>5.538195468250532E-2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6285.82</v>
      </c>
      <c r="C68" s="8">
        <f>IFERROR(B68/B148, "NA")</f>
        <v>0.14809908927996712</v>
      </c>
      <c r="D68" s="7">
        <v>8052.56</v>
      </c>
      <c r="E68" s="8">
        <f>IFERROR(D68/D148, "NA")</f>
        <v>0.13348707924324124</v>
      </c>
      <c r="F68" s="7">
        <v>8154.52</v>
      </c>
      <c r="G68" s="8">
        <f>IFERROR(F68/F148, "NA")</f>
        <v>0.13874996533173573</v>
      </c>
      <c r="H68" s="7">
        <v>7551.75</v>
      </c>
      <c r="I68" s="8">
        <f>IFERROR(H68/H148, "NA")</f>
        <v>0.15719765094971175</v>
      </c>
      <c r="J68" s="7">
        <v>6695.05</v>
      </c>
      <c r="K68" s="8">
        <f>IFERROR(J68/J148, "NA")</f>
        <v>0.16140269587499254</v>
      </c>
      <c r="L68" s="7">
        <v>8012.16</v>
      </c>
      <c r="M68" s="8">
        <f>IFERROR(L68/L148, "NA")</f>
        <v>0.16069059475391384</v>
      </c>
      <c r="N68" s="7">
        <v>7685.83</v>
      </c>
      <c r="O68" s="8">
        <f>IFERROR(N68/N148, "NA")</f>
        <v>0.15021232667349926</v>
      </c>
      <c r="P68" s="7">
        <v>6943.38</v>
      </c>
      <c r="Q68" s="8">
        <f>IFERROR(P68/P148, "NA")</f>
        <v>0.14655941938374956</v>
      </c>
      <c r="R68" s="7">
        <v>6896.57</v>
      </c>
      <c r="S68" s="8">
        <f>IFERROR(R68/R148, "NA")</f>
        <v>0.1564183609454545</v>
      </c>
      <c r="T68" s="7">
        <v>7621.22</v>
      </c>
      <c r="U68" s="8">
        <f>IFERROR(T68/T148, "NA")</f>
        <v>0.15374339533727757</v>
      </c>
      <c r="V68" s="7">
        <v>7148.11</v>
      </c>
      <c r="W68" s="8">
        <f>IFERROR(V68/V148, "NA")</f>
        <v>0.17237727953868806</v>
      </c>
      <c r="X68" s="7">
        <v>7063.93</v>
      </c>
      <c r="Y68" s="8">
        <f>IFERROR(X68/X148, "NA")</f>
        <v>0.18162307952387749</v>
      </c>
      <c r="Z68" s="7">
        <v>28729.83</v>
      </c>
      <c r="AA68" s="8">
        <f>IFERROR(Z68/Z148, "NA")</f>
        <v>0.16509238016293848</v>
      </c>
      <c r="AB68" s="9">
        <f t="shared" si="24"/>
        <v>7182.4575000000004</v>
      </c>
      <c r="AC68" s="8">
        <f>IFERROR(AB68/AB148, "NA")</f>
        <v>0.16509238016293848</v>
      </c>
      <c r="AD68" s="10">
        <f t="shared" si="25"/>
        <v>-118.52750000000015</v>
      </c>
      <c r="AE68" s="11">
        <f>IFERROR(AD68/AD148, "NA")</f>
        <v>2.5697924317116885E-2</v>
      </c>
      <c r="AF68" s="10">
        <f t="shared" si="26"/>
        <v>-1.6502360090540062E-2</v>
      </c>
      <c r="AG68" s="9">
        <f t="shared" si="27"/>
        <v>7258.2812500000009</v>
      </c>
      <c r="AH68" s="8">
        <f>IFERROR(AG68/AG148, "NA")</f>
        <v>0.15956375688618274</v>
      </c>
      <c r="AI68" s="10">
        <f t="shared" si="28"/>
        <v>-194.35125000000062</v>
      </c>
      <c r="AJ68" s="11">
        <f>IFERROR(AI68/AI148, "NA")</f>
        <v>2.9469786081965287E-2</v>
      </c>
      <c r="AK68" s="10">
        <f t="shared" si="29"/>
        <v>-2.6776483757776758E-2</v>
      </c>
      <c r="AL68" s="11">
        <f>IFERROR(AK68/AK148, "NA")</f>
        <v>0.18468972313672813</v>
      </c>
    </row>
    <row r="69" spans="1:38" ht="16.5" customHeight="1">
      <c r="A69" s="25" t="s">
        <v>81</v>
      </c>
      <c r="B69" s="7">
        <v>0.02</v>
      </c>
      <c r="C69" s="8">
        <f>IFERROR(B69/B148, "NA")</f>
        <v>4.7121644997778221E-7</v>
      </c>
      <c r="D69" s="7">
        <v>330.74</v>
      </c>
      <c r="E69" s="8">
        <f>IFERROR(D69/D148, "NA")</f>
        <v>5.4826684419500889E-3</v>
      </c>
      <c r="F69" s="7">
        <v>331.53</v>
      </c>
      <c r="G69" s="8">
        <f>IFERROR(F69/F148, "NA")</f>
        <v>5.6410157809938955E-3</v>
      </c>
      <c r="H69" s="7">
        <v>93.98</v>
      </c>
      <c r="I69" s="8">
        <f>IFERROR(H69/H148, "NA")</f>
        <v>1.9562929435235424E-3</v>
      </c>
      <c r="J69" s="7">
        <v>145.08000000000001</v>
      </c>
      <c r="K69" s="8">
        <f>IFERROR(J69/J148, "NA")</f>
        <v>3.4975546287994742E-3</v>
      </c>
      <c r="L69" s="7">
        <v>453.47</v>
      </c>
      <c r="M69" s="8">
        <f>IFERROR(L69/L148, "NA")</f>
        <v>9.0947215236661921E-3</v>
      </c>
      <c r="N69" s="7">
        <v>274.60000000000002</v>
      </c>
      <c r="O69" s="8">
        <f>IFERROR(N69/N148, "NA")</f>
        <v>5.3667990190445145E-3</v>
      </c>
      <c r="P69" s="7">
        <v>229.06</v>
      </c>
      <c r="Q69" s="8">
        <f>IFERROR(P69/P148, "NA")</f>
        <v>4.8349507882388225E-3</v>
      </c>
      <c r="R69" s="7">
        <v>230.99</v>
      </c>
      <c r="S69" s="8">
        <f>IFERROR(R69/R148, "NA")</f>
        <v>5.2389923099150065E-3</v>
      </c>
      <c r="T69" s="7">
        <v>264.58</v>
      </c>
      <c r="U69" s="8">
        <f>IFERROR(T69/T148, "NA")</f>
        <v>5.337390540928735E-3</v>
      </c>
      <c r="V69" s="7">
        <v>219.61</v>
      </c>
      <c r="W69" s="8">
        <f>IFERROR(V69/V148, "NA")</f>
        <v>5.2959137953236994E-3</v>
      </c>
      <c r="X69" s="7">
        <v>91.1</v>
      </c>
      <c r="Y69" s="8">
        <f>IFERROR(X69/X148, "NA")</f>
        <v>2.3423027329864871E-3</v>
      </c>
      <c r="Z69" s="7">
        <v>806.28</v>
      </c>
      <c r="AA69" s="8">
        <f>IFERROR(Z69/Z148, "NA")</f>
        <v>4.6331873275189594E-3</v>
      </c>
      <c r="AB69" s="9">
        <f t="shared" si="24"/>
        <v>201.57000000000002</v>
      </c>
      <c r="AC69" s="8">
        <f>IFERROR(AB69/AB148, "NA")</f>
        <v>4.6331873275189603E-3</v>
      </c>
      <c r="AD69" s="10">
        <f t="shared" si="25"/>
        <v>-110.47000000000003</v>
      </c>
      <c r="AE69" s="11">
        <f>IFERROR(AD69/AD148, "NA")</f>
        <v>2.3950979302793864E-2</v>
      </c>
      <c r="AF69" s="10">
        <f t="shared" si="26"/>
        <v>-0.54804782457707013</v>
      </c>
      <c r="AG69" s="9">
        <f t="shared" si="27"/>
        <v>238.56124999999997</v>
      </c>
      <c r="AH69" s="8">
        <f>IFERROR(AG69/AG148, "NA")</f>
        <v>5.2444549868419406E-3</v>
      </c>
      <c r="AI69" s="10">
        <f t="shared" si="28"/>
        <v>-147.46124999999998</v>
      </c>
      <c r="AJ69" s="11">
        <f>IFERROR(AI69/AI148, "NA")</f>
        <v>2.235978154439032E-2</v>
      </c>
      <c r="AK69" s="10">
        <f t="shared" si="29"/>
        <v>-0.61812742010699562</v>
      </c>
      <c r="AL69" s="11">
        <f>IFERROR(AK69/AK148, "NA")</f>
        <v>4.2635090968441576</v>
      </c>
    </row>
    <row r="70" spans="1:38" ht="16.5" customHeight="1">
      <c r="A70" s="26" t="s">
        <v>82</v>
      </c>
      <c r="B70" s="13">
        <f>IFERROR(B65+B66+B67+B68+B69, "NA")</f>
        <v>8805.07</v>
      </c>
      <c r="C70" s="14">
        <f>IFERROR(B70/B148, "NA")</f>
        <v>0.20745469136029351</v>
      </c>
      <c r="D70" s="13">
        <f>IFERROR(D65+D66+D67+D68+D69, "NA")</f>
        <v>10902.53</v>
      </c>
      <c r="E70" s="14">
        <f>IFERROR(D70/D148, "NA")</f>
        <v>0.18073095836129319</v>
      </c>
      <c r="F70" s="13">
        <f>IFERROR(F65+F66+F67+F68+F69, "NA")</f>
        <v>11005.28</v>
      </c>
      <c r="G70" s="14">
        <f>IFERROR(F70/F148, "NA")</f>
        <v>0.18725592903886981</v>
      </c>
      <c r="H70" s="13">
        <f>IFERROR(H65+H66+H67+H68+H69, "NA")</f>
        <v>10164.959999999999</v>
      </c>
      <c r="I70" s="14">
        <f>IFERROR(H70/H148, "NA")</f>
        <v>0.21159437666736608</v>
      </c>
      <c r="J70" s="13">
        <f>IFERROR(J65+J66+J67+J68+J69, "NA")</f>
        <v>9359.36</v>
      </c>
      <c r="K70" s="14">
        <f>IFERROR(J70/J148, "NA")</f>
        <v>0.22563325675903395</v>
      </c>
      <c r="L70" s="13">
        <f>IFERROR(L65+L66+L67+L68+L69, "NA")</f>
        <v>10984.859999999999</v>
      </c>
      <c r="M70" s="14">
        <f>IFERROR(L70/L148, "NA")</f>
        <v>0.22031058874117315</v>
      </c>
      <c r="N70" s="13">
        <f>IFERROR(N65+N66+N67+N68+N69, "NA")</f>
        <v>10479.66</v>
      </c>
      <c r="O70" s="14">
        <f>IFERROR(N70/N148, "NA")</f>
        <v>0.20481510927865998</v>
      </c>
      <c r="P70" s="13">
        <f>IFERROR(P65+P66+P67+P68+P69, "NA")</f>
        <v>9691.67</v>
      </c>
      <c r="Q70" s="14">
        <f>IFERROR(P70/P148, "NA")</f>
        <v>0.20456975249214421</v>
      </c>
      <c r="R70" s="13">
        <f>IFERROR(R65+R66+R67+R68+R69, "NA")</f>
        <v>9646.7899999999991</v>
      </c>
      <c r="S70" s="14">
        <f>IFERROR(R70/R148, "NA")</f>
        <v>0.21879500682005706</v>
      </c>
      <c r="T70" s="13">
        <f>IFERROR(T65+T66+T67+T68+T69, "NA")</f>
        <v>10405.030000000001</v>
      </c>
      <c r="U70" s="14">
        <f>IFERROR(T70/T148, "NA")</f>
        <v>0.20990138597051827</v>
      </c>
      <c r="V70" s="13">
        <f>IFERROR(V65+V66+V67+V68+V69, "NA")</f>
        <v>9886.9500000000007</v>
      </c>
      <c r="W70" s="14">
        <f>IFERROR(V70/V148, "NA")</f>
        <v>0.23842463867162539</v>
      </c>
      <c r="X70" s="13">
        <f>IFERROR(X65+X66+X67+X68+X69, "NA")</f>
        <v>9674.26</v>
      </c>
      <c r="Y70" s="14">
        <f>IFERROR(X70/X148, "NA")</f>
        <v>0.24873815189486123</v>
      </c>
      <c r="Z70" s="13">
        <f>IFERROR(Z65+Z66+Z67+Z68+Z69, "NA")</f>
        <v>39613.03</v>
      </c>
      <c r="AA70" s="14">
        <f>IFERROR(Z70/Z148, "NA")</f>
        <v>0.22763132981176312</v>
      </c>
      <c r="AB70" s="13">
        <f t="shared" si="24"/>
        <v>9903.2574999999997</v>
      </c>
      <c r="AC70" s="14">
        <f>IFERROR(AB70/AB148, "NA")</f>
        <v>0.22763132981176312</v>
      </c>
      <c r="AD70" s="15">
        <f t="shared" si="25"/>
        <v>-228.99749999999949</v>
      </c>
      <c r="AE70" s="16">
        <f>IFERROR(AD70/AD148, "NA")</f>
        <v>4.9648903619910603E-2</v>
      </c>
      <c r="AF70" s="15">
        <f t="shared" si="26"/>
        <v>-2.3123452056053224E-2</v>
      </c>
      <c r="AG70" s="13">
        <f t="shared" si="27"/>
        <v>10016.0725</v>
      </c>
      <c r="AH70" s="14">
        <f>IFERROR(AG70/AG148, "NA")</f>
        <v>0.22019016655552998</v>
      </c>
      <c r="AI70" s="15">
        <f t="shared" si="28"/>
        <v>-341.8125</v>
      </c>
      <c r="AJ70" s="16">
        <f>IFERROR(AI70/AI148, "NA")</f>
        <v>5.1829567626355516E-2</v>
      </c>
      <c r="AK70" s="15">
        <f t="shared" si="29"/>
        <v>-3.4126400343048632E-2</v>
      </c>
      <c r="AL70" s="16">
        <f>IFERROR(AK70/AK148, "NA")</f>
        <v>0.2353854780943842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-1876</v>
      </c>
      <c r="I72" s="8">
        <f>IFERROR(H72/H148, "NA")</f>
        <v>-3.9050921068846195E-2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863</v>
      </c>
      <c r="Q72" s="8">
        <f>IFERROR(P72/P148, "NA")</f>
        <v>1.821602431786477E-2</v>
      </c>
      <c r="R72" s="7">
        <v>0</v>
      </c>
      <c r="S72" s="8">
        <f>IFERROR(R72/R148, "NA")</f>
        <v>0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0</v>
      </c>
      <c r="AC72" s="8">
        <f>IFERROR(AB72/AB148, "NA")</f>
        <v>0</v>
      </c>
      <c r="AD72" s="10">
        <f t="shared" si="25"/>
        <v>0</v>
      </c>
      <c r="AE72" s="11">
        <f>IFERROR(AD72/AD148, "NA")</f>
        <v>0</v>
      </c>
      <c r="AF72" s="10" t="str">
        <f t="shared" si="26"/>
        <v>NA</v>
      </c>
      <c r="AG72" s="9">
        <f t="shared" si="27"/>
        <v>107.875</v>
      </c>
      <c r="AH72" s="8">
        <f>IFERROR(AG72/AG148, "NA")</f>
        <v>2.3714898446649418E-3</v>
      </c>
      <c r="AI72" s="10">
        <f t="shared" si="28"/>
        <v>-107.875</v>
      </c>
      <c r="AJ72" s="11">
        <f>IFERROR(AI72/AI148, "NA")</f>
        <v>1.6357256120513735E-2</v>
      </c>
      <c r="AK72" s="10">
        <f t="shared" si="29"/>
        <v>-1</v>
      </c>
      <c r="AL72" s="11">
        <f>IFERROR(AK72/AK148, "NA")</f>
        <v>6.8974599057685548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837.16</v>
      </c>
      <c r="C74" s="8">
        <f>IFERROR(B74/B148, "NA")</f>
        <v>1.9724178163170007E-2</v>
      </c>
      <c r="D74" s="7">
        <v>1103.42</v>
      </c>
      <c r="E74" s="8">
        <f>IFERROR(D74/D148, "NA")</f>
        <v>1.8291364855223341E-2</v>
      </c>
      <c r="F74" s="7">
        <v>1116.1500000000001</v>
      </c>
      <c r="G74" s="8">
        <f>IFERROR(F74/F148, "NA")</f>
        <v>1.8991402780913755E-2</v>
      </c>
      <c r="H74" s="7">
        <v>1016.17</v>
      </c>
      <c r="I74" s="8">
        <f>IFERROR(H74/H148, "NA")</f>
        <v>2.1152651632478377E-2</v>
      </c>
      <c r="J74" s="7">
        <v>1020.27</v>
      </c>
      <c r="K74" s="8">
        <f>IFERROR(J74/J148, "NA")</f>
        <v>2.4596429977427895E-2</v>
      </c>
      <c r="L74" s="7">
        <v>1146.8599999999999</v>
      </c>
      <c r="M74" s="8">
        <f>IFERROR(L74/L148, "NA")</f>
        <v>2.3001240052554318E-2</v>
      </c>
      <c r="N74" s="7">
        <v>1081.04</v>
      </c>
      <c r="O74" s="8">
        <f>IFERROR(N74/N148, "NA")</f>
        <v>2.1127911185534892E-2</v>
      </c>
      <c r="P74" s="7">
        <v>1003.55</v>
      </c>
      <c r="Q74" s="8">
        <f>IFERROR(P74/P148, "NA")</f>
        <v>2.1182724454453287E-2</v>
      </c>
      <c r="R74" s="7">
        <v>963.22</v>
      </c>
      <c r="S74" s="8">
        <f>IFERROR(R74/R148, "NA")</f>
        <v>2.1846409683347039E-2</v>
      </c>
      <c r="T74" s="7">
        <v>1037.05</v>
      </c>
      <c r="U74" s="8">
        <f>IFERROR(T74/T148, "NA")</f>
        <v>2.0920480990513815E-2</v>
      </c>
      <c r="V74" s="7">
        <v>954.23</v>
      </c>
      <c r="W74" s="8">
        <f>IFERROR(V74/V148, "NA")</f>
        <v>2.3011337466015816E-2</v>
      </c>
      <c r="X74" s="7">
        <v>941.37</v>
      </c>
      <c r="Y74" s="8">
        <f>IFERROR(X74/X148, "NA")</f>
        <v>2.4203880611981227E-2</v>
      </c>
      <c r="Z74" s="7">
        <v>3895.87</v>
      </c>
      <c r="AA74" s="8">
        <f>IFERROR(Z74/Z148, "NA")</f>
        <v>2.2387130418293009E-2</v>
      </c>
      <c r="AB74" s="9">
        <f t="shared" ref="AB74:AB85" si="30">IFERROR((R74+T74+V74+X74)/4, "NA")</f>
        <v>973.96749999999997</v>
      </c>
      <c r="AC74" s="8">
        <f>IFERROR(AB74/AB148, "NA")</f>
        <v>2.2387130418293009E-2</v>
      </c>
      <c r="AD74" s="10">
        <f t="shared" ref="AD74:AD85" si="31">IFERROR(X74-AB74, "NA")</f>
        <v>-32.597499999999968</v>
      </c>
      <c r="AE74" s="11">
        <f>IFERROR(AD74/AD148, "NA")</f>
        <v>7.0674576611100028E-3</v>
      </c>
      <c r="AF74" s="10">
        <f t="shared" ref="AF74:AF85" si="32">IFERROR((X74-AB74)/AB74, "NA")</f>
        <v>-3.3468775908847032E-2</v>
      </c>
      <c r="AG74" s="9">
        <f t="shared" ref="AG74:AG85" si="33">IFERROR((J74+L74+N74+P74+R74+T74+V74+X74)/8, "NA")</f>
        <v>1018.4487500000001</v>
      </c>
      <c r="AH74" s="8">
        <f>IFERROR(AG74/AG148, "NA")</f>
        <v>2.2389254859204677E-2</v>
      </c>
      <c r="AI74" s="10">
        <f t="shared" ref="AI74:AI85" si="34">IFERROR(X74-AG74, "NA")</f>
        <v>-77.078750000000127</v>
      </c>
      <c r="AJ74" s="11">
        <f>IFERROR(AI74/AI148, "NA")</f>
        <v>1.1687572238229898E-2</v>
      </c>
      <c r="AK74" s="10">
        <f t="shared" ref="AK74:AK85" si="35">IFERROR((X74-AG74)/AG74, "NA")</f>
        <v>-7.5682502433234974E-2</v>
      </c>
      <c r="AL74" s="11">
        <f>IFERROR(AK74/AK148, "NA")</f>
        <v>0.52201702610146938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837.16</v>
      </c>
      <c r="C81" s="14">
        <f>IFERROR(B81/B148, "NA")</f>
        <v>1.9724178163170007E-2</v>
      </c>
      <c r="D81" s="13">
        <f>IFERROR(D74+D75+D76+D77+D78+D79+D80, "NA")</f>
        <v>1103.42</v>
      </c>
      <c r="E81" s="14">
        <f>IFERROR(D81/D148, "NA")</f>
        <v>1.8291364855223341E-2</v>
      </c>
      <c r="F81" s="13">
        <f>IFERROR(F74+F75+F76+F77+F78+F79+F80, "NA")</f>
        <v>1116.1500000000001</v>
      </c>
      <c r="G81" s="14">
        <f>IFERROR(F81/F148, "NA")</f>
        <v>1.8991402780913755E-2</v>
      </c>
      <c r="H81" s="13">
        <f>IFERROR(H74+H75+H76+H77+H78+H79+H80, "NA")</f>
        <v>1016.17</v>
      </c>
      <c r="I81" s="14">
        <f>IFERROR(H81/H148, "NA")</f>
        <v>2.1152651632478377E-2</v>
      </c>
      <c r="J81" s="13">
        <f>IFERROR(J74+J75+J76+J77+J78+J79+J80, "NA")</f>
        <v>1020.27</v>
      </c>
      <c r="K81" s="14">
        <f>IFERROR(J81/J148, "NA")</f>
        <v>2.4596429977427895E-2</v>
      </c>
      <c r="L81" s="13">
        <f>IFERROR(L74+L75+L76+L77+L78+L79+L80, "NA")</f>
        <v>1146.8599999999999</v>
      </c>
      <c r="M81" s="14">
        <f>IFERROR(L81/L148, "NA")</f>
        <v>2.3001240052554318E-2</v>
      </c>
      <c r="N81" s="13">
        <f>IFERROR(N74+N75+N76+N77+N78+N79+N80, "NA")</f>
        <v>1081.04</v>
      </c>
      <c r="O81" s="14">
        <f>IFERROR(N81/N148, "NA")</f>
        <v>2.1127911185534892E-2</v>
      </c>
      <c r="P81" s="13">
        <f>IFERROR(P74+P75+P76+P77+P78+P79+P80, "NA")</f>
        <v>1003.55</v>
      </c>
      <c r="Q81" s="14">
        <f>IFERROR(P81/P148, "NA")</f>
        <v>2.1182724454453287E-2</v>
      </c>
      <c r="R81" s="13">
        <f>IFERROR(R74+R75+R76+R77+R78+R79+R80, "NA")</f>
        <v>963.22</v>
      </c>
      <c r="S81" s="14">
        <f>IFERROR(R81/R148, "NA")</f>
        <v>2.1846409683347039E-2</v>
      </c>
      <c r="T81" s="13">
        <f>IFERROR(T74+T75+T76+T77+T78+T79+T80, "NA")</f>
        <v>1037.05</v>
      </c>
      <c r="U81" s="14">
        <f>IFERROR(T81/T148, "NA")</f>
        <v>2.0920480990513815E-2</v>
      </c>
      <c r="V81" s="13">
        <f>IFERROR(V74+V75+V76+V77+V78+V79+V80, "NA")</f>
        <v>954.23</v>
      </c>
      <c r="W81" s="14">
        <f>IFERROR(V81/V148, "NA")</f>
        <v>2.3011337466015816E-2</v>
      </c>
      <c r="X81" s="13">
        <f>IFERROR(X74+X75+X76+X77+X78+X79+X80, "NA")</f>
        <v>941.37</v>
      </c>
      <c r="Y81" s="14">
        <f>IFERROR(X81/X148, "NA")</f>
        <v>2.4203880611981227E-2</v>
      </c>
      <c r="Z81" s="13">
        <f>IFERROR(Z74+Z75+Z76+Z77+Z78+Z79+Z80, "NA")</f>
        <v>3895.87</v>
      </c>
      <c r="AA81" s="14">
        <f>IFERROR(Z81/Z148, "NA")</f>
        <v>2.2387130418293009E-2</v>
      </c>
      <c r="AB81" s="13">
        <f t="shared" si="30"/>
        <v>973.96749999999997</v>
      </c>
      <c r="AC81" s="14">
        <f>IFERROR(AB81/AB148, "NA")</f>
        <v>2.2387130418293009E-2</v>
      </c>
      <c r="AD81" s="15">
        <f t="shared" si="31"/>
        <v>-32.597499999999968</v>
      </c>
      <c r="AE81" s="16">
        <f>IFERROR(AD81/AD148, "NA")</f>
        <v>7.0674576611100028E-3</v>
      </c>
      <c r="AF81" s="15">
        <f t="shared" si="32"/>
        <v>-3.3468775908847032E-2</v>
      </c>
      <c r="AG81" s="13">
        <f t="shared" si="33"/>
        <v>1018.4487500000001</v>
      </c>
      <c r="AH81" s="14">
        <f>IFERROR(AG81/AG148, "NA")</f>
        <v>2.2389254859204677E-2</v>
      </c>
      <c r="AI81" s="15">
        <f t="shared" si="34"/>
        <v>-77.078750000000127</v>
      </c>
      <c r="AJ81" s="16">
        <f>IFERROR(AI81/AI148, "NA")</f>
        <v>1.1687572238229898E-2</v>
      </c>
      <c r="AK81" s="15">
        <f t="shared" si="35"/>
        <v>-7.5682502433234974E-2</v>
      </c>
      <c r="AL81" s="16">
        <f>IFERROR(AK81/AK148, "NA")</f>
        <v>0.52201702610146938</v>
      </c>
    </row>
    <row r="82" spans="1:38" ht="16.5" customHeight="1">
      <c r="A82" s="23" t="s">
        <v>94</v>
      </c>
      <c r="B82" s="7">
        <v>224.72</v>
      </c>
      <c r="C82" s="8">
        <f>IFERROR(B82/B148, "NA")</f>
        <v>5.294588031950361E-3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275.60000000000002</v>
      </c>
      <c r="K82" s="8">
        <f>IFERROR(J82/J148, "NA")</f>
        <v>6.6441001909093959E-3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262.88</v>
      </c>
      <c r="U82" s="8">
        <f>IFERROR(T82/T148, "NA")</f>
        <v>5.3030963239827124E-3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262.88</v>
      </c>
      <c r="AA82" s="8">
        <f>IFERROR(Z82/Z148, "NA")</f>
        <v>1.5106070901649354E-3</v>
      </c>
      <c r="AB82" s="9">
        <f t="shared" si="30"/>
        <v>65.72</v>
      </c>
      <c r="AC82" s="8">
        <f>IFERROR(AB82/AB148, "NA")</f>
        <v>1.5106070901649354E-3</v>
      </c>
      <c r="AD82" s="10">
        <f t="shared" si="31"/>
        <v>-65.72</v>
      </c>
      <c r="AE82" s="11">
        <f>IFERROR(AD82/AD148, "NA")</f>
        <v>1.4248740470531478E-2</v>
      </c>
      <c r="AF82" s="10">
        <f t="shared" si="32"/>
        <v>-1</v>
      </c>
      <c r="AG82" s="9">
        <f t="shared" si="33"/>
        <v>67.31</v>
      </c>
      <c r="AH82" s="8">
        <f>IFERROR(AG82/AG148, "NA")</f>
        <v>1.4797217283374021E-3</v>
      </c>
      <c r="AI82" s="10">
        <f t="shared" si="34"/>
        <v>-67.31</v>
      </c>
      <c r="AJ82" s="11">
        <f>IFERROR(AI82/AI148, "NA")</f>
        <v>1.0206321292901782E-2</v>
      </c>
      <c r="AK82" s="10">
        <f t="shared" si="35"/>
        <v>-1</v>
      </c>
      <c r="AL82" s="11">
        <f>IFERROR(AK82/AK148, "NA")</f>
        <v>6.8974599057685548</v>
      </c>
    </row>
    <row r="83" spans="1:38" ht="16.5" customHeight="1">
      <c r="A83" s="23" t="s">
        <v>95</v>
      </c>
      <c r="B83" s="7">
        <v>-61.25</v>
      </c>
      <c r="C83" s="8">
        <f>IFERROR(B83/B148, "NA")</f>
        <v>-1.443100378056958E-3</v>
      </c>
      <c r="D83" s="7">
        <v>0</v>
      </c>
      <c r="E83" s="8">
        <f>IFERROR(D83/D148, "NA")</f>
        <v>0</v>
      </c>
      <c r="F83" s="7">
        <v>484.37</v>
      </c>
      <c r="G83" s="8">
        <f>IFERROR(F83/F148, "NA")</f>
        <v>8.2416035165445468E-3</v>
      </c>
      <c r="H83" s="7">
        <v>0</v>
      </c>
      <c r="I83" s="8">
        <f>IFERROR(H83/H148, "NA")</f>
        <v>0</v>
      </c>
      <c r="J83" s="7">
        <v>-245</v>
      </c>
      <c r="K83" s="8">
        <f>IFERROR(J83/J148, "NA")</f>
        <v>-5.90640256448767E-3</v>
      </c>
      <c r="L83" s="7">
        <v>-61.25</v>
      </c>
      <c r="M83" s="8">
        <f>IFERROR(L83/L148, "NA")</f>
        <v>-1.228420167430159E-3</v>
      </c>
      <c r="N83" s="7">
        <v>423.12</v>
      </c>
      <c r="O83" s="8">
        <f>IFERROR(N83/N148, "NA")</f>
        <v>8.2694828876114894E-3</v>
      </c>
      <c r="P83" s="7">
        <v>-61.25</v>
      </c>
      <c r="Q83" s="8">
        <f>IFERROR(P83/P148, "NA")</f>
        <v>-1.292852247357146E-3</v>
      </c>
      <c r="R83" s="7">
        <v>-61.25</v>
      </c>
      <c r="S83" s="8">
        <f>IFERROR(R83/R148, "NA")</f>
        <v>-1.3891868868015679E-3</v>
      </c>
      <c r="T83" s="7">
        <v>-61.25</v>
      </c>
      <c r="U83" s="8">
        <f>IFERROR(T83/T148, "NA")</f>
        <v>-1.2356004634964286E-3</v>
      </c>
      <c r="V83" s="7">
        <v>-61.25</v>
      </c>
      <c r="W83" s="8">
        <f>IFERROR(V83/V148, "NA")</f>
        <v>-1.4770489502462392E-3</v>
      </c>
      <c r="X83" s="7">
        <v>423.12</v>
      </c>
      <c r="Y83" s="8">
        <f>IFERROR(X83/X148, "NA")</f>
        <v>1.0878980596940094E-2</v>
      </c>
      <c r="Z83" s="7">
        <v>239.37</v>
      </c>
      <c r="AA83" s="8">
        <f>IFERROR(Z83/Z148, "NA")</f>
        <v>1.3755098112172115E-3</v>
      </c>
      <c r="AB83" s="9">
        <f t="shared" si="30"/>
        <v>59.842500000000001</v>
      </c>
      <c r="AC83" s="8">
        <f>IFERROR(AB83/AB148, "NA")</f>
        <v>1.3755098112172115E-3</v>
      </c>
      <c r="AD83" s="10">
        <f t="shared" si="31"/>
        <v>363.27750000000003</v>
      </c>
      <c r="AE83" s="11">
        <f>IFERROR(AD83/AD148, "NA")</f>
        <v>-7.8762124410887091E-2</v>
      </c>
      <c r="AF83" s="10">
        <f t="shared" si="32"/>
        <v>6.0705602205790203</v>
      </c>
      <c r="AG83" s="9">
        <f t="shared" si="33"/>
        <v>36.873750000000001</v>
      </c>
      <c r="AH83" s="8">
        <f>IFERROR(AG83/AG148, "NA")</f>
        <v>8.1062084504949161E-4</v>
      </c>
      <c r="AI83" s="10">
        <f t="shared" si="34"/>
        <v>386.24625000000003</v>
      </c>
      <c r="AJ83" s="11">
        <f>IFERROR(AI83/AI148, "NA")</f>
        <v>-5.8567127108579184E-2</v>
      </c>
      <c r="AK83" s="10">
        <f t="shared" si="35"/>
        <v>10.474829655242551</v>
      </c>
      <c r="AL83" s="11">
        <f>IFERROR(AK83/AK148, "NA")</f>
        <v>-72.249717566790949</v>
      </c>
    </row>
    <row r="84" spans="1:38" ht="16.5" customHeight="1">
      <c r="A84" s="27" t="s">
        <v>96</v>
      </c>
      <c r="B84" s="13">
        <f>IFERROR(B63+B65+B66+B67+B68+B69+B71+B72+B74+B75+B76+B77+B78+B79+B80+B82+B83, "NA")</f>
        <v>9805.6999999999989</v>
      </c>
      <c r="C84" s="14">
        <f>IFERROR(B84/B148, "NA")</f>
        <v>0.2310303571773569</v>
      </c>
      <c r="D84" s="13">
        <f>IFERROR(D63+D65+D66+D67+D68+D69+D71+D72+D74+D75+D76+D77+D78+D79+D80+D82+D83, "NA")</f>
        <v>12005.95</v>
      </c>
      <c r="E84" s="14">
        <f>IFERROR(D84/D148, "NA")</f>
        <v>0.19902232321651653</v>
      </c>
      <c r="F84" s="13">
        <f>IFERROR(F63+F65+F66+F67+F68+F69+F71+F72+F74+F75+F76+F77+F78+F79+F80+F82+F83, "NA")</f>
        <v>12605.800000000001</v>
      </c>
      <c r="G84" s="14">
        <f>IFERROR(F84/F148, "NA")</f>
        <v>0.21448893533632812</v>
      </c>
      <c r="H84" s="13">
        <f>IFERROR(H63+H65+H66+H67+H68+H69+H71+H72+H74+H75+H76+H77+H78+H79+H80+H82+H83, "NA")</f>
        <v>9305.1299999999992</v>
      </c>
      <c r="I84" s="14">
        <f>IFERROR(H84/H148, "NA")</f>
        <v>0.19369610723099828</v>
      </c>
      <c r="J84" s="13">
        <f>IFERROR(J63+J65+J66+J67+J68+J69+J71+J72+J74+J75+J76+J77+J78+J79+J80+J82+J83, "NA")</f>
        <v>10410.230000000001</v>
      </c>
      <c r="K84" s="14">
        <f>IFERROR(J84/J148, "NA")</f>
        <v>0.25096738436288363</v>
      </c>
      <c r="L84" s="13">
        <f>IFERROR(L63+L65+L66+L67+L68+L69+L71+L72+L74+L75+L76+L77+L78+L79+L80+L82+L83, "NA")</f>
        <v>12070.47</v>
      </c>
      <c r="M84" s="14">
        <f>IFERROR(L84/L148, "NA")</f>
        <v>0.24208340862629732</v>
      </c>
      <c r="N84" s="13">
        <f>IFERROR(N63+N65+N66+N67+N68+N69+N71+N72+N74+N75+N76+N77+N78+N79+N80+N82+N83, "NA")</f>
        <v>11983.820000000002</v>
      </c>
      <c r="O84" s="14">
        <f>IFERROR(N84/N148, "NA")</f>
        <v>0.23421250335180641</v>
      </c>
      <c r="P84" s="13">
        <f>IFERROR(P63+P65+P66+P67+P68+P69+P71+P72+P74+P75+P76+P77+P78+P79+P80+P82+P83, "NA")</f>
        <v>11496.97</v>
      </c>
      <c r="Q84" s="14">
        <f>IFERROR(P84/P148, "NA")</f>
        <v>0.24267564901710509</v>
      </c>
      <c r="R84" s="13">
        <f>IFERROR(R63+R65+R66+R67+R68+R69+R71+R72+R74+R75+R76+R77+R78+R79+R80+R82+R83, "NA")</f>
        <v>10548.759999999998</v>
      </c>
      <c r="S84" s="14">
        <f>IFERROR(R84/R148, "NA")</f>
        <v>0.23925222961660253</v>
      </c>
      <c r="T84" s="13">
        <f>IFERROR(T63+T65+T66+T67+T68+T69+T71+T72+T74+T75+T76+T77+T78+T79+T80+T82+T83, "NA")</f>
        <v>11643.71</v>
      </c>
      <c r="U84" s="14">
        <f>IFERROR(T84/T148, "NA")</f>
        <v>0.23488936282151834</v>
      </c>
      <c r="V84" s="13">
        <f>IFERROR(V63+V65+V66+V67+V68+V69+V71+V72+V74+V75+V76+V77+V78+V79+V80+V82+V83, "NA")</f>
        <v>10779.93</v>
      </c>
      <c r="W84" s="14">
        <f>IFERROR(V84/V148, "NA")</f>
        <v>0.25995892718739494</v>
      </c>
      <c r="X84" s="13">
        <f>IFERROR(X63+X65+X66+X67+X68+X69+X71+X72+X74+X75+X76+X77+X78+X79+X80+X82+X83, "NA")</f>
        <v>11038.750000000002</v>
      </c>
      <c r="Y84" s="14">
        <f>IFERROR(X84/X148, "NA")</f>
        <v>0.2838210131037826</v>
      </c>
      <c r="Z84" s="13">
        <f>IFERROR(Z63+Z65+Z66+Z67+Z68+Z69+Z71+Z72+Z74+Z75+Z76+Z77+Z78+Z79+Z80+Z82+Z83, "NA")</f>
        <v>44011.15</v>
      </c>
      <c r="AA84" s="14">
        <f>IFERROR(Z84/Z148, "NA")</f>
        <v>0.25290457713143827</v>
      </c>
      <c r="AB84" s="13">
        <f t="shared" si="30"/>
        <v>11002.787499999999</v>
      </c>
      <c r="AC84" s="14">
        <f>IFERROR(AB84/AB148, "NA")</f>
        <v>0.25290457713143827</v>
      </c>
      <c r="AD84" s="15">
        <f t="shared" si="31"/>
        <v>35.962500000003274</v>
      </c>
      <c r="AE84" s="16">
        <f>IFERROR(AD84/AD148, "NA")</f>
        <v>-7.7970226593355894E-3</v>
      </c>
      <c r="AF84" s="15">
        <f t="shared" si="32"/>
        <v>3.2684899167600284E-3</v>
      </c>
      <c r="AG84" s="13">
        <f t="shared" si="33"/>
        <v>11246.579999999998</v>
      </c>
      <c r="AH84" s="14">
        <f>IFERROR(AG84/AG148, "NA")</f>
        <v>0.24724125383278645</v>
      </c>
      <c r="AI84" s="15">
        <f t="shared" si="34"/>
        <v>-207.82999999999629</v>
      </c>
      <c r="AJ84" s="16">
        <f>IFERROR(AI84/AI148, "NA")</f>
        <v>3.1513590169421173E-2</v>
      </c>
      <c r="AK84" s="15">
        <f t="shared" si="35"/>
        <v>-1.8479395514013713E-2</v>
      </c>
      <c r="AL84" s="16">
        <f>IFERROR(AK84/AK148, "NA")</f>
        <v>0.12746088964074889</v>
      </c>
    </row>
    <row r="85" spans="1:38" ht="16.5" customHeight="1">
      <c r="A85" s="12" t="s">
        <v>96</v>
      </c>
      <c r="B85" s="28">
        <f>IFERROR(B63+B65+B66+B67+B68+B69+B71+B72+B74+B75+B76+B77+B78+B79+B80+B82+B83, "NA")</f>
        <v>9805.6999999999989</v>
      </c>
      <c r="C85" s="29">
        <f>IFERROR(B85/B148, "NA")</f>
        <v>0.2310303571773569</v>
      </c>
      <c r="D85" s="28">
        <f>IFERROR(D63+D65+D66+D67+D68+D69+D71+D72+D74+D75+D76+D77+D78+D79+D80+D82+D83, "NA")</f>
        <v>12005.95</v>
      </c>
      <c r="E85" s="29">
        <f>IFERROR(D85/D148, "NA")</f>
        <v>0.19902232321651653</v>
      </c>
      <c r="F85" s="28">
        <f>IFERROR(F63+F65+F66+F67+F68+F69+F71+F72+F74+F75+F76+F77+F78+F79+F80+F82+F83, "NA")</f>
        <v>12605.800000000001</v>
      </c>
      <c r="G85" s="29">
        <f>IFERROR(F85/F148, "NA")</f>
        <v>0.21448893533632812</v>
      </c>
      <c r="H85" s="28">
        <f>IFERROR(H63+H65+H66+H67+H68+H69+H71+H72+H74+H75+H76+H77+H78+H79+H80+H82+H83, "NA")</f>
        <v>9305.1299999999992</v>
      </c>
      <c r="I85" s="29">
        <f>IFERROR(H85/H148, "NA")</f>
        <v>0.19369610723099828</v>
      </c>
      <c r="J85" s="28">
        <f>IFERROR(J63+J65+J66+J67+J68+J69+J71+J72+J74+J75+J76+J77+J78+J79+J80+J82+J83, "NA")</f>
        <v>10410.230000000001</v>
      </c>
      <c r="K85" s="29">
        <f>IFERROR(J85/J148, "NA")</f>
        <v>0.25096738436288363</v>
      </c>
      <c r="L85" s="28">
        <f>IFERROR(L63+L65+L66+L67+L68+L69+L71+L72+L74+L75+L76+L77+L78+L79+L80+L82+L83, "NA")</f>
        <v>12070.47</v>
      </c>
      <c r="M85" s="29">
        <f>IFERROR(L85/L148, "NA")</f>
        <v>0.24208340862629732</v>
      </c>
      <c r="N85" s="28">
        <f>IFERROR(N63+N65+N66+N67+N68+N69+N71+N72+N74+N75+N76+N77+N78+N79+N80+N82+N83, "NA")</f>
        <v>11983.820000000002</v>
      </c>
      <c r="O85" s="29">
        <f>IFERROR(N85/N148, "NA")</f>
        <v>0.23421250335180641</v>
      </c>
      <c r="P85" s="28">
        <f>IFERROR(P63+P65+P66+P67+P68+P69+P71+P72+P74+P75+P76+P77+P78+P79+P80+P82+P83, "NA")</f>
        <v>11496.97</v>
      </c>
      <c r="Q85" s="29">
        <f>IFERROR(P85/P148, "NA")</f>
        <v>0.24267564901710509</v>
      </c>
      <c r="R85" s="28">
        <f>IFERROR(R63+R65+R66+R67+R68+R69+R71+R72+R74+R75+R76+R77+R78+R79+R80+R82+R83, "NA")</f>
        <v>10548.759999999998</v>
      </c>
      <c r="S85" s="29">
        <f>IFERROR(R85/R148, "NA")</f>
        <v>0.23925222961660253</v>
      </c>
      <c r="T85" s="28">
        <f>IFERROR(T63+T65+T66+T67+T68+T69+T71+T72+T74+T75+T76+T77+T78+T79+T80+T82+T83, "NA")</f>
        <v>11643.71</v>
      </c>
      <c r="U85" s="29">
        <f>IFERROR(T85/T148, "NA")</f>
        <v>0.23488936282151834</v>
      </c>
      <c r="V85" s="28">
        <f>IFERROR(V63+V65+V66+V67+V68+V69+V71+V72+V74+V75+V76+V77+V78+V79+V80+V82+V83, "NA")</f>
        <v>10779.93</v>
      </c>
      <c r="W85" s="29">
        <f>IFERROR(V85/V148, "NA")</f>
        <v>0.25995892718739494</v>
      </c>
      <c r="X85" s="28">
        <f>IFERROR(X63+X65+X66+X67+X68+X69+X71+X72+X74+X75+X76+X77+X78+X79+X80+X82+X83, "NA")</f>
        <v>11038.750000000002</v>
      </c>
      <c r="Y85" s="29">
        <f>IFERROR(X85/X148, "NA")</f>
        <v>0.2838210131037826</v>
      </c>
      <c r="Z85" s="28">
        <f>IFERROR(Z63+Z65+Z66+Z67+Z68+Z69+Z71+Z72+Z74+Z75+Z76+Z77+Z78+Z79+Z80+Z82+Z83, "NA")</f>
        <v>44011.15</v>
      </c>
      <c r="AA85" s="29">
        <f>IFERROR(Z85/Z148, "NA")</f>
        <v>0.25290457713143827</v>
      </c>
      <c r="AB85" s="28">
        <f t="shared" si="30"/>
        <v>11002.787499999999</v>
      </c>
      <c r="AC85" s="29">
        <f>IFERROR(AB85/AB148, "NA")</f>
        <v>0.25290457713143827</v>
      </c>
      <c r="AD85" s="30">
        <f t="shared" si="31"/>
        <v>35.962500000003274</v>
      </c>
      <c r="AE85" s="31">
        <f>IFERROR(AD85/AD148, "NA")</f>
        <v>-7.7970226593355894E-3</v>
      </c>
      <c r="AF85" s="30">
        <f t="shared" si="32"/>
        <v>3.2684899167600284E-3</v>
      </c>
      <c r="AG85" s="28">
        <f t="shared" si="33"/>
        <v>11246.579999999998</v>
      </c>
      <c r="AH85" s="29">
        <f>IFERROR(AG85/AG148, "NA")</f>
        <v>0.24724125383278645</v>
      </c>
      <c r="AI85" s="30">
        <f t="shared" si="34"/>
        <v>-207.82999999999629</v>
      </c>
      <c r="AJ85" s="31">
        <f>IFERROR(AI85/AI148, "NA")</f>
        <v>3.1513590169421173E-2</v>
      </c>
      <c r="AK85" s="30">
        <f t="shared" si="35"/>
        <v>-1.8479395514013713E-2</v>
      </c>
      <c r="AL85" s="31">
        <f>IFERROR(AK85/AK148, "NA")</f>
        <v>0.12746088964074889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22726.319999999992</v>
      </c>
      <c r="C87" s="34">
        <f>IFERROR(B87/B148, "NA")</f>
        <v>0.53545079157295339</v>
      </c>
      <c r="D87" s="33">
        <f>IFERROR(D59-D85, "NA")</f>
        <v>34155.069999999992</v>
      </c>
      <c r="E87" s="34">
        <f>IFERROR(D87/D148, "NA")</f>
        <v>0.56618771367719711</v>
      </c>
      <c r="F87" s="33">
        <f>IFERROR(F59-F85, "NA")</f>
        <v>33338.109999999986</v>
      </c>
      <c r="G87" s="34">
        <f>IFERROR(F87/F148, "NA")</f>
        <v>0.56725124308059705</v>
      </c>
      <c r="H87" s="33">
        <f>IFERROR(H59-H85, "NA")</f>
        <v>27514.15</v>
      </c>
      <c r="I87" s="34">
        <f>IFERROR(H87/H148, "NA")</f>
        <v>0.57273608738080739</v>
      </c>
      <c r="J87" s="33">
        <f>IFERROR(J59-J85, "NA")</f>
        <v>20222.799999999996</v>
      </c>
      <c r="K87" s="34">
        <f>IFERROR(J87/J148, "NA")</f>
        <v>0.48752652155559684</v>
      </c>
      <c r="L87" s="33">
        <f>IFERROR(L59-L85, "NA")</f>
        <v>25469.969999999987</v>
      </c>
      <c r="M87" s="34">
        <f>IFERROR(L87/L148, "NA")</f>
        <v>0.51082162958107935</v>
      </c>
      <c r="N87" s="33">
        <f>IFERROR(N59-N85, "NA")</f>
        <v>27459.060000000012</v>
      </c>
      <c r="O87" s="34">
        <f>IFERROR(N87/N148, "NA")</f>
        <v>0.53666153048756193</v>
      </c>
      <c r="P87" s="33">
        <f>IFERROR(P59-P85, "NA")</f>
        <v>24791.170000000006</v>
      </c>
      <c r="Q87" s="34">
        <f>IFERROR(P87/P148, "NA")</f>
        <v>0.52328685467939695</v>
      </c>
      <c r="R87" s="33">
        <f>IFERROR(R59-R85, "NA")</f>
        <v>22887.410000000007</v>
      </c>
      <c r="S87" s="34">
        <f>IFERROR(R87/R148, "NA")</f>
        <v>0.51910024236491559</v>
      </c>
      <c r="T87" s="33">
        <f>IFERROR(T59-T85, "NA")</f>
        <v>27670.590000000004</v>
      </c>
      <c r="U87" s="34">
        <f>IFERROR(T87/T148, "NA")</f>
        <v>0.55820071557909623</v>
      </c>
      <c r="V87" s="33">
        <f>IFERROR(V59-V85, "NA")</f>
        <v>20387.010000000002</v>
      </c>
      <c r="W87" s="34">
        <f>IFERROR(V87/V148, "NA")</f>
        <v>0.4916344770475034</v>
      </c>
      <c r="X87" s="33">
        <f>IFERROR(X59-X85, "NA")</f>
        <v>18485.469999999994</v>
      </c>
      <c r="Y87" s="34">
        <f>IFERROR(X87/X148, "NA")</f>
        <v>0.47528613503336675</v>
      </c>
      <c r="Z87" s="33">
        <f>IFERROR(Z59-Z85, "NA")</f>
        <v>89430.479999999952</v>
      </c>
      <c r="AA87" s="34">
        <f>IFERROR(Z87/Z148, "NA")</f>
        <v>0.51390108477196206</v>
      </c>
      <c r="AB87" s="33">
        <f>IFERROR((R87+T87+V87+X87)/4, "NA")</f>
        <v>22357.620000000003</v>
      </c>
      <c r="AC87" s="34">
        <f>IFERROR(AB87/AB148, "NA")</f>
        <v>0.51390108477196239</v>
      </c>
      <c r="AD87" s="15">
        <f>IFERROR(X87-AB87, "NA")</f>
        <v>-3872.1500000000087</v>
      </c>
      <c r="AE87" s="16">
        <f>IFERROR(AD87/AD148, "NA")</f>
        <v>0.83952009149373985</v>
      </c>
      <c r="AF87" s="15">
        <f>IFERROR((X87-AB87)/AB87, "NA")</f>
        <v>-0.1731915114399479</v>
      </c>
      <c r="AG87" s="33">
        <f>IFERROR((J87+L87+N87+P87+R87+T87+V87+X87)/8, "NA")</f>
        <v>23421.685000000001</v>
      </c>
      <c r="AH87" s="34">
        <f>IFERROR(AG87/AG148, "NA")</f>
        <v>0.51489490727639586</v>
      </c>
      <c r="AI87" s="15">
        <f>IFERROR(X87-AG87, "NA")</f>
        <v>-4936.2150000000074</v>
      </c>
      <c r="AJ87" s="16">
        <f>IFERROR(AI87/AI148, "NA")</f>
        <v>0.74848605349637853</v>
      </c>
      <c r="AK87" s="15">
        <f>IFERROR((X87-AG87)/AG87, "NA")</f>
        <v>-0.21075405121365123</v>
      </c>
      <c r="AL87" s="16">
        <f>IFERROR(AK87/AK148, "NA")</f>
        <v>1.4536676182244521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602.38</v>
      </c>
      <c r="C90" s="8">
        <f>IFERROR(B90/B148, "NA")</f>
        <v>1.4192568256880821E-2</v>
      </c>
      <c r="D90" s="7">
        <v>1205.3799999999997</v>
      </c>
      <c r="E90" s="8">
        <f>IFERROR(D90/D148, "NA")</f>
        <v>1.9981553143126916E-2</v>
      </c>
      <c r="F90" s="7">
        <v>900.44</v>
      </c>
      <c r="G90" s="8">
        <f>IFERROR(F90/F148, "NA")</f>
        <v>1.5321075769427032E-2</v>
      </c>
      <c r="H90" s="7">
        <v>1010.4799999999999</v>
      </c>
      <c r="I90" s="8">
        <f>IFERROR(H90/H148, "NA")</f>
        <v>2.1034208273799412E-2</v>
      </c>
      <c r="J90" s="7">
        <v>744.20999999999992</v>
      </c>
      <c r="K90" s="8">
        <f>IFERROR(J90/J148, "NA")</f>
        <v>1.7941240214356606E-2</v>
      </c>
      <c r="L90" s="7">
        <v>475.95</v>
      </c>
      <c r="M90" s="8">
        <f>IFERROR(L90/L148, "NA")</f>
        <v>9.5455767949123946E-3</v>
      </c>
      <c r="N90" s="7">
        <v>851.93</v>
      </c>
      <c r="O90" s="8">
        <f>IFERROR(N90/N148, "NA")</f>
        <v>1.6650171479587007E-2</v>
      </c>
      <c r="P90" s="7">
        <v>974.20999999999992</v>
      </c>
      <c r="Q90" s="8">
        <f>IFERROR(P90/P148, "NA")</f>
        <v>2.0563421843229474E-2</v>
      </c>
      <c r="R90" s="7">
        <v>1108.3799999999999</v>
      </c>
      <c r="S90" s="8">
        <f>IFERROR(R90/R148, "NA")</f>
        <v>2.5138725903561168E-2</v>
      </c>
      <c r="T90" s="7">
        <v>864.41</v>
      </c>
      <c r="U90" s="8">
        <f>IFERROR(T90/T148, "NA")</f>
        <v>1.7437802394301188E-2</v>
      </c>
      <c r="V90" s="7">
        <v>741.14</v>
      </c>
      <c r="W90" s="8">
        <f>IFERROR(V90/V148, "NA")</f>
        <v>1.7872654024253021E-2</v>
      </c>
      <c r="X90" s="7">
        <v>1276.75</v>
      </c>
      <c r="Y90" s="8">
        <f>IFERROR(X90/X148, "NA")</f>
        <v>3.2826948565757387E-2</v>
      </c>
      <c r="Z90" s="7">
        <v>3990.6800000000003</v>
      </c>
      <c r="AA90" s="8">
        <f>IFERROR(Z90/Z148, "NA")</f>
        <v>2.2931944242922265E-2</v>
      </c>
      <c r="AB90" s="9">
        <f t="shared" ref="AB90:AB99" si="36">IFERROR((R90+T90+V90+X90)/4, "NA")</f>
        <v>997.67</v>
      </c>
      <c r="AC90" s="8">
        <f>IFERROR(AB90/AB148, "NA")</f>
        <v>2.2931944242922261E-2</v>
      </c>
      <c r="AD90" s="10">
        <f t="shared" ref="AD90:AD99" si="37">IFERROR(X90-AB90, "NA")</f>
        <v>279.08000000000004</v>
      </c>
      <c r="AE90" s="11">
        <f>IFERROR(AD90/AD148, "NA")</f>
        <v>-6.0507280744308056E-2</v>
      </c>
      <c r="AF90" s="10">
        <f t="shared" ref="AF90:AF99" si="38">IFERROR((X90-AB90)/AB90, "NA")</f>
        <v>0.27973177503583352</v>
      </c>
      <c r="AG90" s="9">
        <f t="shared" ref="AG90:AG99" si="39">IFERROR((J90+L90+N90+P90+R90+T90+V90+X90)/8, "NA")</f>
        <v>879.62249999999995</v>
      </c>
      <c r="AH90" s="8">
        <f>IFERROR(AG90/AG148, "NA")</f>
        <v>1.9337342534310895E-2</v>
      </c>
      <c r="AI90" s="10">
        <f t="shared" ref="AI90:AI99" si="40">IFERROR(X90-AG90, "NA")</f>
        <v>397.12750000000005</v>
      </c>
      <c r="AJ90" s="11">
        <f>IFERROR(AI90/AI148, "NA")</f>
        <v>-6.0217068180758469E-2</v>
      </c>
      <c r="AK90" s="10">
        <f t="shared" ref="AK90:AK99" si="41">IFERROR((X90-AG90)/AG90, "NA")</f>
        <v>0.45147492248095072</v>
      </c>
      <c r="AL90" s="11">
        <f>IFERROR(AK90/AK148, "NA")</f>
        <v>-3.1140301762723239</v>
      </c>
    </row>
    <row r="91" spans="1:38" ht="16.5" hidden="1" customHeight="1">
      <c r="A91" s="6" t="s">
        <v>100</v>
      </c>
      <c r="B91" s="7">
        <v>4147.83</v>
      </c>
      <c r="C91" s="8">
        <f>IFERROR(B91/B148, "NA")</f>
        <v>9.7726286385567213E-2</v>
      </c>
      <c r="D91" s="7">
        <v>4671.34</v>
      </c>
      <c r="E91" s="8">
        <f>IFERROR(D91/D148, "NA")</f>
        <v>7.7436682589402936E-2</v>
      </c>
      <c r="F91" s="7">
        <v>5913.32</v>
      </c>
      <c r="G91" s="8">
        <f>IFERROR(F91/F148, "NA")</f>
        <v>0.10061572538855254</v>
      </c>
      <c r="H91" s="7">
        <v>1475.94</v>
      </c>
      <c r="I91" s="8">
        <f>IFERROR(H91/H148, "NA")</f>
        <v>3.0723249702746723E-2</v>
      </c>
      <c r="J91" s="7">
        <v>1308.29</v>
      </c>
      <c r="K91" s="8">
        <f>IFERROR(J91/J148, "NA")</f>
        <v>3.153994861670846E-2</v>
      </c>
      <c r="L91" s="7">
        <v>1076.97</v>
      </c>
      <c r="M91" s="8">
        <f>IFERROR(L91/L148, "NA")</f>
        <v>2.1599537432118506E-2</v>
      </c>
      <c r="N91" s="7">
        <v>2844.63</v>
      </c>
      <c r="O91" s="8">
        <f>IFERROR(N91/N148, "NA")</f>
        <v>5.5595620879623442E-2</v>
      </c>
      <c r="P91" s="7">
        <v>3014.6000000000004</v>
      </c>
      <c r="Q91" s="8">
        <f>IFERROR(P91/P148, "NA")</f>
        <v>6.3631549140944543E-2</v>
      </c>
      <c r="R91" s="7">
        <v>2991.4799999999996</v>
      </c>
      <c r="S91" s="8">
        <f>IFERROR(R91/R148, "NA")</f>
        <v>6.784856796945557E-2</v>
      </c>
      <c r="T91" s="7">
        <v>1791.91</v>
      </c>
      <c r="U91" s="8">
        <f>IFERROR(T91/T148, "NA")</f>
        <v>3.6148323698675683E-2</v>
      </c>
      <c r="V91" s="7">
        <v>602.26</v>
      </c>
      <c r="W91" s="8">
        <f>IFERROR(V91/V148, "NA")</f>
        <v>1.4523551033066122E-2</v>
      </c>
      <c r="X91" s="7">
        <v>581.72</v>
      </c>
      <c r="Y91" s="8">
        <f>IFERROR(X91/X148, "NA")</f>
        <v>1.495679852725466E-2</v>
      </c>
      <c r="Z91" s="7">
        <v>5967.37</v>
      </c>
      <c r="AA91" s="8">
        <f>IFERROR(Z91/Z148, "NA")</f>
        <v>3.4290746468493345E-2</v>
      </c>
      <c r="AB91" s="9">
        <f t="shared" si="36"/>
        <v>1491.8425</v>
      </c>
      <c r="AC91" s="8">
        <f>IFERROR(AB91/AB148, "NA")</f>
        <v>3.4290746468493345E-2</v>
      </c>
      <c r="AD91" s="10">
        <f t="shared" si="37"/>
        <v>-910.12249999999995</v>
      </c>
      <c r="AE91" s="11">
        <f>IFERROR(AD91/AD148, "NA")</f>
        <v>0.19732348294113336</v>
      </c>
      <c r="AF91" s="10">
        <f t="shared" si="38"/>
        <v>-0.6100660760100346</v>
      </c>
      <c r="AG91" s="9">
        <f t="shared" si="39"/>
        <v>1776.4825000000001</v>
      </c>
      <c r="AH91" s="8">
        <f>IFERROR(AG91/AG148, "NA")</f>
        <v>3.9053628810892124E-2</v>
      </c>
      <c r="AI91" s="10">
        <f t="shared" si="40"/>
        <v>-1194.7625</v>
      </c>
      <c r="AJ91" s="11">
        <f>IFERROR(AI91/AI148, "NA")</f>
        <v>0.18116371926475358</v>
      </c>
      <c r="AK91" s="10">
        <f t="shared" si="41"/>
        <v>-0.67254391754492371</v>
      </c>
      <c r="AL91" s="11">
        <f>IFERROR(AK91/AK148, "NA")</f>
        <v>4.6388447061346243</v>
      </c>
    </row>
    <row r="92" spans="1:38" ht="16.5" hidden="1" customHeight="1">
      <c r="A92" s="6" t="s">
        <v>101</v>
      </c>
      <c r="B92" s="7">
        <v>639.41</v>
      </c>
      <c r="C92" s="8">
        <f>IFERROR(B92/B148, "NA")</f>
        <v>1.5065025514014684E-2</v>
      </c>
      <c r="D92" s="7">
        <v>921.43999999999994</v>
      </c>
      <c r="E92" s="8">
        <f>IFERROR(D92/D148, "NA")</f>
        <v>1.5274687093035283E-2</v>
      </c>
      <c r="F92" s="7">
        <v>949.68</v>
      </c>
      <c r="G92" s="8">
        <f>IFERROR(F92/F148, "NA")</f>
        <v>1.6158899245601554E-2</v>
      </c>
      <c r="H92" s="7">
        <v>1316.9399999999998</v>
      </c>
      <c r="I92" s="8">
        <f>IFERROR(H92/H148, "NA")</f>
        <v>2.7413496797657942E-2</v>
      </c>
      <c r="J92" s="7">
        <v>1195.6499999999999</v>
      </c>
      <c r="K92" s="8">
        <f>IFERROR(J92/J148, "NA")</f>
        <v>2.8824449902978291E-2</v>
      </c>
      <c r="L92" s="7">
        <v>1150.6599999999999</v>
      </c>
      <c r="M92" s="8">
        <f>IFERROR(L92/L148, "NA")</f>
        <v>2.3077452242533658E-2</v>
      </c>
      <c r="N92" s="7">
        <v>1331.71</v>
      </c>
      <c r="O92" s="8">
        <f>IFERROR(N92/N148, "NA")</f>
        <v>2.6027020836313801E-2</v>
      </c>
      <c r="P92" s="7">
        <v>1110.3599999999999</v>
      </c>
      <c r="Q92" s="8">
        <f>IFERROR(P92/P148, "NA")</f>
        <v>2.3437247695926214E-2</v>
      </c>
      <c r="R92" s="7">
        <v>1189.07</v>
      </c>
      <c r="S92" s="8">
        <f>IFERROR(R92/R148, "NA")</f>
        <v>2.696882369778188E-2</v>
      </c>
      <c r="T92" s="7">
        <v>890.76</v>
      </c>
      <c r="U92" s="8">
        <f>IFERROR(T92/T148, "NA")</f>
        <v>1.7969362756964549E-2</v>
      </c>
      <c r="V92" s="7">
        <v>991.83</v>
      </c>
      <c r="W92" s="8">
        <f>IFERROR(V92/V148, "NA")</f>
        <v>2.3918064658330244E-2</v>
      </c>
      <c r="X92" s="7">
        <v>1191.96</v>
      </c>
      <c r="Y92" s="8">
        <f>IFERROR(X92/X148, "NA")</f>
        <v>3.0646884364550753E-2</v>
      </c>
      <c r="Z92" s="7">
        <v>4263.62</v>
      </c>
      <c r="AA92" s="8">
        <f>IFERROR(Z92/Z148, "NA")</f>
        <v>2.450035986674156E-2</v>
      </c>
      <c r="AB92" s="9">
        <f t="shared" si="36"/>
        <v>1065.905</v>
      </c>
      <c r="AC92" s="8">
        <f>IFERROR(AB92/AB148, "NA")</f>
        <v>2.450035986674156E-2</v>
      </c>
      <c r="AD92" s="10">
        <f t="shared" si="37"/>
        <v>126.05500000000006</v>
      </c>
      <c r="AE92" s="11">
        <f>IFERROR(AD92/AD148, "NA")</f>
        <v>-2.7329960134096869E-2</v>
      </c>
      <c r="AF92" s="10">
        <f t="shared" si="38"/>
        <v>0.11826100825120443</v>
      </c>
      <c r="AG92" s="9">
        <f t="shared" si="39"/>
        <v>1131.5</v>
      </c>
      <c r="AH92" s="8">
        <f>IFERROR(AG92/AG148, "NA")</f>
        <v>2.4874537744967617E-2</v>
      </c>
      <c r="AI92" s="10">
        <f t="shared" si="40"/>
        <v>60.460000000000036</v>
      </c>
      <c r="AJ92" s="11">
        <f>IFERROR(AI92/AI148, "NA")</f>
        <v>-9.1676450062225818E-3</v>
      </c>
      <c r="AK92" s="10">
        <f t="shared" si="41"/>
        <v>5.3433495360141435E-2</v>
      </c>
      <c r="AL92" s="11">
        <f>IFERROR(AK92/AK148, "NA")</f>
        <v>-0.36855539187164565</v>
      </c>
    </row>
    <row r="93" spans="1:38" ht="16.5" hidden="1" customHeight="1">
      <c r="A93" s="6" t="s">
        <v>102</v>
      </c>
      <c r="B93" s="7">
        <v>3835.44</v>
      </c>
      <c r="C93" s="8">
        <f>IFERROR(B93/B148, "NA")</f>
        <v>9.0366121045139247E-2</v>
      </c>
      <c r="D93" s="7">
        <v>6984.3600000000006</v>
      </c>
      <c r="E93" s="8">
        <f>IFERROR(D93/D148, "NA")</f>
        <v>0.11577955541881395</v>
      </c>
      <c r="F93" s="7">
        <v>6231.1100000000006</v>
      </c>
      <c r="G93" s="8">
        <f>IFERROR(F93/F148, "NA")</f>
        <v>0.10602295370889174</v>
      </c>
      <c r="H93" s="7">
        <v>5550.6900000000005</v>
      </c>
      <c r="I93" s="8">
        <f>IFERROR(H93/H148, "NA")</f>
        <v>0.11554347391664919</v>
      </c>
      <c r="J93" s="7">
        <v>3885.83</v>
      </c>
      <c r="K93" s="8">
        <f>IFERROR(J93/J148, "NA")</f>
        <v>9.3678678682298455E-2</v>
      </c>
      <c r="L93" s="7">
        <v>5255.29</v>
      </c>
      <c r="M93" s="8">
        <f>IFERROR(L93/L148, "NA")</f>
        <v>0.10539925259908638</v>
      </c>
      <c r="N93" s="7">
        <v>5160.62</v>
      </c>
      <c r="O93" s="8">
        <f>IFERROR(N93/N148, "NA")</f>
        <v>0.10085946960546795</v>
      </c>
      <c r="P93" s="7">
        <v>5327.74</v>
      </c>
      <c r="Q93" s="8">
        <f>IFERROR(P93/P148, "NA")</f>
        <v>0.11245682665036018</v>
      </c>
      <c r="R93" s="7">
        <v>4097.17</v>
      </c>
      <c r="S93" s="8">
        <f>IFERROR(R93/R148, "NA")</f>
        <v>9.2926283053008651E-2</v>
      </c>
      <c r="T93" s="7">
        <v>5884.13</v>
      </c>
      <c r="U93" s="8">
        <f>IFERROR(T93/T148, "NA")</f>
        <v>0.11870095926976719</v>
      </c>
      <c r="V93" s="7">
        <v>3078.21</v>
      </c>
      <c r="W93" s="8">
        <f>IFERROR(V93/V148, "NA")</f>
        <v>7.4231295496122049E-2</v>
      </c>
      <c r="X93" s="7">
        <v>3190.41</v>
      </c>
      <c r="Y93" s="8">
        <f>IFERROR(X93/X148, "NA")</f>
        <v>8.2029704306777376E-2</v>
      </c>
      <c r="Z93" s="7">
        <v>16249.919999999998</v>
      </c>
      <c r="AA93" s="8">
        <f>IFERROR(Z93/Z148, "NA")</f>
        <v>9.3378135904644638E-2</v>
      </c>
      <c r="AB93" s="9">
        <f t="shared" si="36"/>
        <v>4062.4799999999996</v>
      </c>
      <c r="AC93" s="8">
        <f>IFERROR(AB93/AB148, "NA")</f>
        <v>9.3378135904644638E-2</v>
      </c>
      <c r="AD93" s="10">
        <f t="shared" si="37"/>
        <v>-872.06999999999971</v>
      </c>
      <c r="AE93" s="11">
        <f>IFERROR(AD93/AD148, "NA")</f>
        <v>0.18907332778661567</v>
      </c>
      <c r="AF93" s="10">
        <f t="shared" si="38"/>
        <v>-0.21466444142494234</v>
      </c>
      <c r="AG93" s="9">
        <f t="shared" si="39"/>
        <v>4484.9249999999993</v>
      </c>
      <c r="AH93" s="8">
        <f>IFERROR(AG93/AG148, "NA")</f>
        <v>9.8595171185018898E-2</v>
      </c>
      <c r="AI93" s="10">
        <f t="shared" si="40"/>
        <v>-1294.5149999999994</v>
      </c>
      <c r="AJ93" s="11">
        <f>IFERROR(AI93/AI148, "NA")</f>
        <v>0.19628934791978522</v>
      </c>
      <c r="AK93" s="10">
        <f t="shared" si="41"/>
        <v>-0.28863693372798865</v>
      </c>
      <c r="AL93" s="11">
        <f>IFERROR(AK93/AK148, "NA")</f>
        <v>1.9908616777127772</v>
      </c>
    </row>
    <row r="94" spans="1:38" ht="16.5" hidden="1" customHeight="1">
      <c r="A94" s="6" t="s">
        <v>103</v>
      </c>
      <c r="B94" s="7">
        <v>1231.8900000000001</v>
      </c>
      <c r="C94" s="8">
        <f>IFERROR(B94/B148, "NA")</f>
        <v>2.9024341628156508E-2</v>
      </c>
      <c r="D94" s="7">
        <v>1660.08</v>
      </c>
      <c r="E94" s="8">
        <f>IFERROR(D94/D148, "NA")</f>
        <v>2.7519103305050804E-2</v>
      </c>
      <c r="F94" s="7">
        <v>1549.9</v>
      </c>
      <c r="G94" s="8">
        <f>IFERROR(F94/F148, "NA")</f>
        <v>2.6371701984624137E-2</v>
      </c>
      <c r="H94" s="7">
        <v>1301.67</v>
      </c>
      <c r="I94" s="8">
        <f>IFERROR(H94/H148, "NA")</f>
        <v>2.7095635622433382E-2</v>
      </c>
      <c r="J94" s="7">
        <v>1115.01</v>
      </c>
      <c r="K94" s="8">
        <f>IFERROR(J94/J148, "NA")</f>
        <v>2.6880399687466926E-2</v>
      </c>
      <c r="L94" s="7">
        <v>1365.11</v>
      </c>
      <c r="M94" s="8">
        <f>IFERROR(L94/L148, "NA")</f>
        <v>2.7378427016499333E-2</v>
      </c>
      <c r="N94" s="7">
        <v>1415.97</v>
      </c>
      <c r="O94" s="8">
        <f>IFERROR(N94/N148, "NA")</f>
        <v>2.7673803375806483E-2</v>
      </c>
      <c r="P94" s="7">
        <v>1374.14</v>
      </c>
      <c r="Q94" s="8">
        <f>IFERROR(P94/P148, "NA")</f>
        <v>2.9005061015238347E-2</v>
      </c>
      <c r="R94" s="7">
        <v>1135.6099999999999</v>
      </c>
      <c r="S94" s="8">
        <f>IFERROR(R94/R148, "NA")</f>
        <v>2.5756318702379238E-2</v>
      </c>
      <c r="T94" s="7">
        <v>1295.06</v>
      </c>
      <c r="U94" s="8">
        <f>IFERROR(T94/T148, "NA")</f>
        <v>2.6125334469480566E-2</v>
      </c>
      <c r="V94" s="7">
        <v>978.43</v>
      </c>
      <c r="W94" s="8">
        <f>IFERROR(V94/V148, "NA")</f>
        <v>2.3594922520643716E-2</v>
      </c>
      <c r="X94" s="7">
        <v>886.03</v>
      </c>
      <c r="Y94" s="8">
        <f>IFERROR(X94/X148, "NA")</f>
        <v>2.2781015263534769E-2</v>
      </c>
      <c r="Z94" s="7">
        <v>4295.13</v>
      </c>
      <c r="AA94" s="8">
        <f>IFERROR(Z94/Z148, "NA")</f>
        <v>2.468142814660727E-2</v>
      </c>
      <c r="AB94" s="9">
        <f t="shared" si="36"/>
        <v>1073.7825</v>
      </c>
      <c r="AC94" s="8">
        <f>IFERROR(AB94/AB148, "NA")</f>
        <v>2.468142814660727E-2</v>
      </c>
      <c r="AD94" s="10">
        <f t="shared" si="37"/>
        <v>-187.75250000000005</v>
      </c>
      <c r="AE94" s="11">
        <f>IFERROR(AD94/AD148, "NA")</f>
        <v>4.070658315875627E-2</v>
      </c>
      <c r="AF94" s="10">
        <f t="shared" si="38"/>
        <v>-0.17485151788188022</v>
      </c>
      <c r="AG94" s="9">
        <f t="shared" si="39"/>
        <v>1195.67</v>
      </c>
      <c r="AH94" s="8">
        <f>IFERROR(AG94/AG148, "NA")</f>
        <v>2.6285230707490441E-2</v>
      </c>
      <c r="AI94" s="10">
        <f t="shared" si="40"/>
        <v>-309.6400000000001</v>
      </c>
      <c r="AJ94" s="11">
        <f>IFERROR(AI94/AI148, "NA")</f>
        <v>4.6951200789393972E-2</v>
      </c>
      <c r="AK94" s="10">
        <f t="shared" si="41"/>
        <v>-0.25896777538953064</v>
      </c>
      <c r="AL94" s="11">
        <f>IFERROR(AK94/AK148, "NA")</f>
        <v>1.7862198476353643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0</v>
      </c>
      <c r="G95" s="8">
        <f>IFERROR(F95/F148, "NA")</f>
        <v>0</v>
      </c>
      <c r="H95" s="7">
        <v>1244.29</v>
      </c>
      <c r="I95" s="8">
        <f>IFERROR(H95/H148, "NA")</f>
        <v>2.5901210328760464E-2</v>
      </c>
      <c r="J95" s="7">
        <v>0</v>
      </c>
      <c r="K95" s="8">
        <f>IFERROR(J95/J148, "NA")</f>
        <v>0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1244.29</v>
      </c>
      <c r="Q95" s="8">
        <f>IFERROR(P95/P148, "NA")</f>
        <v>2.6264214250841196E-2</v>
      </c>
      <c r="R95" s="7">
        <v>0</v>
      </c>
      <c r="S95" s="8">
        <f>IFERROR(R95/R148, "NA")</f>
        <v>0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0</v>
      </c>
      <c r="AC95" s="8">
        <f>IFERROR(AB95/AB148, "NA")</f>
        <v>0</v>
      </c>
      <c r="AD95" s="10">
        <f t="shared" si="37"/>
        <v>0</v>
      </c>
      <c r="AE95" s="11">
        <f>IFERROR(AD95/AD148, "NA")</f>
        <v>0</v>
      </c>
      <c r="AF95" s="10" t="str">
        <f t="shared" si="38"/>
        <v>NA</v>
      </c>
      <c r="AG95" s="9">
        <f t="shared" si="39"/>
        <v>155.53625</v>
      </c>
      <c r="AH95" s="8">
        <f>IFERROR(AG95/AG148, "NA")</f>
        <v>3.4192596741809277E-3</v>
      </c>
      <c r="AI95" s="10">
        <f t="shared" si="40"/>
        <v>-155.53625</v>
      </c>
      <c r="AJ95" s="11">
        <f>IFERROR(AI95/AI148, "NA")</f>
        <v>2.3584206510074202E-2</v>
      </c>
      <c r="AK95" s="10">
        <f t="shared" si="41"/>
        <v>-1</v>
      </c>
      <c r="AL95" s="11">
        <f>IFERROR(AK95/AK148, "NA")</f>
        <v>6.8974599057685548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1622.1100000000001</v>
      </c>
      <c r="C97" s="8">
        <f>IFERROR(B97/B148, "NA")</f>
        <v>3.8218245783673013E-2</v>
      </c>
      <c r="D97" s="7">
        <v>219.54000000000002</v>
      </c>
      <c r="E97" s="8">
        <f>IFERROR(D97/D148, "NA")</f>
        <v>3.6393089125770169E-3</v>
      </c>
      <c r="F97" s="7">
        <v>644.37</v>
      </c>
      <c r="G97" s="8">
        <f>IFERROR(F97/F148, "NA")</f>
        <v>1.0964019361140883E-2</v>
      </c>
      <c r="H97" s="7">
        <v>826.07999999999993</v>
      </c>
      <c r="I97" s="8">
        <f>IFERROR(H97/H148, "NA")</f>
        <v>1.7195727546136706E-2</v>
      </c>
      <c r="J97" s="7">
        <v>231.58</v>
      </c>
      <c r="K97" s="8">
        <f>IFERROR(J97/J148, "NA")</f>
        <v>5.5828763505471621E-3</v>
      </c>
      <c r="L97" s="7">
        <v>204.96</v>
      </c>
      <c r="M97" s="8">
        <f>IFERROR(L97/L148, "NA")</f>
        <v>4.1106448574120069E-3</v>
      </c>
      <c r="N97" s="7">
        <v>1360.37</v>
      </c>
      <c r="O97" s="8">
        <f>IFERROR(N97/N148, "NA")</f>
        <v>2.6587153610843354E-2</v>
      </c>
      <c r="P97" s="7">
        <v>1917.76</v>
      </c>
      <c r="Q97" s="8">
        <f>IFERROR(P97/P148, "NA")</f>
        <v>4.04796787900676E-2</v>
      </c>
      <c r="R97" s="7">
        <v>0</v>
      </c>
      <c r="S97" s="8">
        <f>IFERROR(R97/R148, "NA")</f>
        <v>0</v>
      </c>
      <c r="T97" s="7">
        <v>259.95</v>
      </c>
      <c r="U97" s="8">
        <f>IFERROR(T97/T148, "NA")</f>
        <v>5.2439892324228016E-3</v>
      </c>
      <c r="V97" s="7">
        <v>1098.98</v>
      </c>
      <c r="W97" s="8">
        <f>IFERROR(V97/V148, "NA")</f>
        <v>2.6501996005577337E-2</v>
      </c>
      <c r="X97" s="7">
        <v>516.11</v>
      </c>
      <c r="Y97" s="8">
        <f>IFERROR(X97/X148, "NA")</f>
        <v>1.3269877755451768E-2</v>
      </c>
      <c r="Z97" s="7">
        <v>1875.04</v>
      </c>
      <c r="AA97" s="8">
        <f>IFERROR(Z97/Z148, "NA")</f>
        <v>1.0774683195156955E-2</v>
      </c>
      <c r="AB97" s="9">
        <f t="shared" si="36"/>
        <v>468.76</v>
      </c>
      <c r="AC97" s="8">
        <f>IFERROR(AB97/AB148, "NA")</f>
        <v>1.0774683195156955E-2</v>
      </c>
      <c r="AD97" s="10">
        <f t="shared" si="37"/>
        <v>47.350000000000023</v>
      </c>
      <c r="AE97" s="11">
        <f>IFERROR(AD97/AD148, "NA")</f>
        <v>-1.0265944328661987E-2</v>
      </c>
      <c r="AF97" s="10">
        <f t="shared" si="38"/>
        <v>0.10101117842819358</v>
      </c>
      <c r="AG97" s="9">
        <f t="shared" si="39"/>
        <v>698.71375</v>
      </c>
      <c r="AH97" s="8">
        <f>IFERROR(AG97/AG148, "NA")</f>
        <v>1.5360301853559759E-2</v>
      </c>
      <c r="AI97" s="10">
        <f t="shared" si="40"/>
        <v>-182.60374999999999</v>
      </c>
      <c r="AJ97" s="11">
        <f>IFERROR(AI97/AI148, "NA")</f>
        <v>2.7688494158204034E-2</v>
      </c>
      <c r="AK97" s="10">
        <f t="shared" si="41"/>
        <v>-0.2613427172429339</v>
      </c>
      <c r="AL97" s="11">
        <f>IFERROR(AK97/AK148, "NA")</f>
        <v>1.802600913847745</v>
      </c>
    </row>
    <row r="98" spans="1:38" ht="16.5" hidden="1" customHeight="1">
      <c r="A98" s="6" t="s">
        <v>107</v>
      </c>
      <c r="B98" s="7">
        <v>497.6</v>
      </c>
      <c r="C98" s="8">
        <f>IFERROR(B98/B148, "NA")</f>
        <v>1.1723865275447221E-2</v>
      </c>
      <c r="D98" s="7">
        <v>2765.36</v>
      </c>
      <c r="E98" s="8">
        <f>IFERROR(D98/D148, "NA")</f>
        <v>4.5841301332258264E-2</v>
      </c>
      <c r="F98" s="7">
        <v>2523.0700000000002</v>
      </c>
      <c r="G98" s="8">
        <f>IFERROR(F98/F148, "NA")</f>
        <v>4.2930285906410494E-2</v>
      </c>
      <c r="H98" s="7">
        <v>557.79</v>
      </c>
      <c r="I98" s="8">
        <f>IFERROR(H98/H148, "NA")</f>
        <v>1.1610987880059551E-2</v>
      </c>
      <c r="J98" s="7">
        <v>601.20000000000005</v>
      </c>
      <c r="K98" s="8">
        <f>IFERROR(J98/J148, "NA")</f>
        <v>1.4493588660285663E-2</v>
      </c>
      <c r="L98" s="7">
        <v>2573.83</v>
      </c>
      <c r="M98" s="8">
        <f>IFERROR(L98/L148, "NA")</f>
        <v>5.1620321298559445E-2</v>
      </c>
      <c r="N98" s="7">
        <v>2484.8900000000003</v>
      </c>
      <c r="O98" s="8">
        <f>IFERROR(N98/N148, "NA")</f>
        <v>4.8564840547827837E-2</v>
      </c>
      <c r="P98" s="7">
        <v>1108.03</v>
      </c>
      <c r="Q98" s="8">
        <f>IFERROR(P98/P148, "NA")</f>
        <v>2.3388066541047161E-2</v>
      </c>
      <c r="R98" s="7">
        <v>573.91</v>
      </c>
      <c r="S98" s="8">
        <f>IFERROR(R98/R148, "NA")</f>
        <v>1.3016624427825106E-2</v>
      </c>
      <c r="T98" s="7">
        <v>762.85</v>
      </c>
      <c r="U98" s="8">
        <f>IFERROR(T98/T148, "NA")</f>
        <v>1.5389025527808173E-2</v>
      </c>
      <c r="V98" s="7">
        <v>1795.5099999999998</v>
      </c>
      <c r="W98" s="8">
        <f>IFERROR(V98/V148, "NA")</f>
        <v>4.3298876092353056E-2</v>
      </c>
      <c r="X98" s="7">
        <v>2246.8000000000002</v>
      </c>
      <c r="Y98" s="8">
        <f>IFERROR(X98/X148, "NA")</f>
        <v>5.7768230301581125E-2</v>
      </c>
      <c r="Z98" s="7">
        <v>5379.07</v>
      </c>
      <c r="AA98" s="8">
        <f>IFERROR(Z98/Z148, "NA")</f>
        <v>3.0910153988487135E-2</v>
      </c>
      <c r="AB98" s="9">
        <f t="shared" si="36"/>
        <v>1344.7674999999999</v>
      </c>
      <c r="AC98" s="8">
        <f>IFERROR(AB98/AB148, "NA")</f>
        <v>3.0910153988487135E-2</v>
      </c>
      <c r="AD98" s="10">
        <f t="shared" si="37"/>
        <v>902.03250000000025</v>
      </c>
      <c r="AE98" s="11">
        <f>IFERROR(AD98/AD148, "NA")</f>
        <v>-0.19556949160810544</v>
      </c>
      <c r="AF98" s="10">
        <f t="shared" si="38"/>
        <v>0.67077208513739384</v>
      </c>
      <c r="AG98" s="9">
        <f t="shared" si="39"/>
        <v>1518.3775000000001</v>
      </c>
      <c r="AH98" s="8">
        <f>IFERROR(AG98/AG148, "NA")</f>
        <v>3.3379530211983713E-2</v>
      </c>
      <c r="AI98" s="10">
        <f t="shared" si="40"/>
        <v>728.42250000000013</v>
      </c>
      <c r="AJ98" s="11">
        <f>IFERROR(AI98/AI148, "NA")</f>
        <v>-0.110451850720231</v>
      </c>
      <c r="AK98" s="10">
        <f t="shared" si="41"/>
        <v>0.47973741707842754</v>
      </c>
      <c r="AL98" s="11">
        <f>IFERROR(AK98/AK148, "NA")</f>
        <v>-3.3089695995954207</v>
      </c>
    </row>
    <row r="99" spans="1:38" ht="16.5" hidden="1" customHeight="1">
      <c r="A99" s="12" t="s">
        <v>108</v>
      </c>
      <c r="B99" s="13">
        <f>IFERROR(B90+B91+B92+B93+B94+B95+B96+B97+B98, "NA")</f>
        <v>12576.66</v>
      </c>
      <c r="C99" s="14">
        <f>IFERROR(B99/B148, "NA")</f>
        <v>0.29631645388887867</v>
      </c>
      <c r="D99" s="13">
        <f>IFERROR(D90+D91+D92+D93+D94+D95+D96+D97+D98, "NA")</f>
        <v>18427.5</v>
      </c>
      <c r="E99" s="14">
        <f>IFERROR(D99/D148, "NA")</f>
        <v>0.30547219179426516</v>
      </c>
      <c r="F99" s="13">
        <f>IFERROR(F90+F91+F92+F93+F94+F95+F96+F97+F98, "NA")</f>
        <v>18711.890000000003</v>
      </c>
      <c r="G99" s="14">
        <f>IFERROR(F99/F148, "NA")</f>
        <v>0.31838466136464844</v>
      </c>
      <c r="H99" s="13">
        <f>IFERROR(H90+H91+H92+H93+H94+H95+H96+H97+H98, "NA")</f>
        <v>13283.879999999997</v>
      </c>
      <c r="I99" s="14">
        <f>IFERROR(H99/H148, "NA")</f>
        <v>0.27651799006824335</v>
      </c>
      <c r="J99" s="13">
        <f>IFERROR(J90+J91+J92+J93+J94+J95+J96+J97+J98, "NA")</f>
        <v>9081.77</v>
      </c>
      <c r="K99" s="14">
        <f>IFERROR(J99/J148, "NA")</f>
        <v>0.21894118211464159</v>
      </c>
      <c r="L99" s="13">
        <f>IFERROR(L90+L91+L92+L93+L94+L95+L96+L97+L98, "NA")</f>
        <v>12102.769999999999</v>
      </c>
      <c r="M99" s="14">
        <f>IFERROR(L99/L148, "NA")</f>
        <v>0.24273121224112171</v>
      </c>
      <c r="N99" s="13">
        <f>IFERROR(N90+N91+N92+N93+N94+N95+N96+N97+N98, "NA")</f>
        <v>15450.119999999999</v>
      </c>
      <c r="O99" s="14">
        <f>IFERROR(N99/N148, "NA")</f>
        <v>0.30195808033546984</v>
      </c>
      <c r="P99" s="13">
        <f>IFERROR(P90+P91+P92+P93+P94+P95+P96+P97+P98, "NA")</f>
        <v>16071.130000000001</v>
      </c>
      <c r="Q99" s="14">
        <f>IFERROR(P99/P148, "NA")</f>
        <v>0.33922606592765475</v>
      </c>
      <c r="R99" s="13">
        <f>IFERROR(R90+R91+R92+R93+R94+R95+R96+R97+R98, "NA")</f>
        <v>11095.619999999999</v>
      </c>
      <c r="S99" s="14">
        <f>IFERROR(R99/R148, "NA")</f>
        <v>0.25165534375401161</v>
      </c>
      <c r="T99" s="13">
        <f>IFERROR(T90+T91+T92+T93+T94+T95+T96+T97+T98, "NA")</f>
        <v>11749.07</v>
      </c>
      <c r="U99" s="14">
        <f>IFERROR(T99/T148, "NA")</f>
        <v>0.23701479734942013</v>
      </c>
      <c r="V99" s="13">
        <f>IFERROR(V90+V91+V92+V93+V94+V95+V96+V97+V98, "NA")</f>
        <v>9286.36</v>
      </c>
      <c r="W99" s="14">
        <f>IFERROR(V99/V148, "NA")</f>
        <v>0.22394135983034558</v>
      </c>
      <c r="X99" s="13">
        <f>IFERROR(X90+X91+X92+X93+X94+X95+X96+X97+X98, "NA")</f>
        <v>9889.7799999999988</v>
      </c>
      <c r="Y99" s="14">
        <f>IFERROR(X99/X148, "NA")</f>
        <v>0.25427945908490779</v>
      </c>
      <c r="Z99" s="13">
        <f>IFERROR(Z90+Z91+Z92+Z93+Z94+Z95+Z96+Z97+Z98, "NA")</f>
        <v>42020.829999999994</v>
      </c>
      <c r="AA99" s="14">
        <f>IFERROR(Z99/Z148, "NA")</f>
        <v>0.24146745181305315</v>
      </c>
      <c r="AB99" s="13">
        <f t="shared" si="36"/>
        <v>10505.2075</v>
      </c>
      <c r="AC99" s="14">
        <f>IFERROR(AB99/AB148, "NA")</f>
        <v>0.24146745181305318</v>
      </c>
      <c r="AD99" s="15">
        <f t="shared" si="37"/>
        <v>-615.4275000000016</v>
      </c>
      <c r="AE99" s="16">
        <f>IFERROR(AD99/AD148, "NA")</f>
        <v>0.13343071707133344</v>
      </c>
      <c r="AF99" s="15">
        <f t="shared" si="38"/>
        <v>-5.8583088434950151E-2</v>
      </c>
      <c r="AG99" s="13">
        <f t="shared" si="39"/>
        <v>11840.827500000001</v>
      </c>
      <c r="AH99" s="14">
        <f>IFERROR(AG99/AG148, "NA")</f>
        <v>0.26030500272240442</v>
      </c>
      <c r="AI99" s="15">
        <f t="shared" si="40"/>
        <v>-1951.0475000000024</v>
      </c>
      <c r="AJ99" s="16">
        <f>IFERROR(AI99/AI148, "NA")</f>
        <v>0.29584040473499945</v>
      </c>
      <c r="AK99" s="15">
        <f t="shared" si="41"/>
        <v>-0.16477290121826385</v>
      </c>
      <c r="AL99" s="16">
        <f>IFERROR(AK99/AK148, "NA")</f>
        <v>1.1365144797101376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10149.659999999993</v>
      </c>
      <c r="C101" s="34">
        <f>IFERROR(B101/B148, "NA")</f>
        <v>0.23913433768407466</v>
      </c>
      <c r="D101" s="33">
        <f>IFERROR(D87-D99, "NA")</f>
        <v>15727.569999999992</v>
      </c>
      <c r="E101" s="34">
        <f>IFERROR(D101/D148, "NA")</f>
        <v>0.26071552188293196</v>
      </c>
      <c r="F101" s="33">
        <f>IFERROR(F87-F99, "NA")</f>
        <v>14626.219999999983</v>
      </c>
      <c r="G101" s="34">
        <f>IFERROR(F101/F148, "NA")</f>
        <v>0.24886658171594861</v>
      </c>
      <c r="H101" s="33">
        <f>IFERROR(H87-H99, "NA")</f>
        <v>14230.270000000004</v>
      </c>
      <c r="I101" s="34">
        <f>IFERROR(H101/H148, "NA")</f>
        <v>0.29621809731256399</v>
      </c>
      <c r="J101" s="33">
        <f>IFERROR(J87-J99, "NA")</f>
        <v>11141.029999999995</v>
      </c>
      <c r="K101" s="34">
        <f>IFERROR(J101/J148, "NA")</f>
        <v>0.26858533944095525</v>
      </c>
      <c r="L101" s="33">
        <f>IFERROR(L87-L99, "NA")</f>
        <v>13367.199999999988</v>
      </c>
      <c r="M101" s="34">
        <f>IFERROR(L101/L148, "NA")</f>
        <v>0.26809041733995764</v>
      </c>
      <c r="N101" s="33">
        <f>IFERROR(N87-N99, "NA")</f>
        <v>12008.940000000013</v>
      </c>
      <c r="O101" s="34">
        <f>IFERROR(N101/N148, "NA")</f>
        <v>0.23470345015209212</v>
      </c>
      <c r="P101" s="33">
        <f>IFERROR(P87-P99, "NA")</f>
        <v>8720.0400000000045</v>
      </c>
      <c r="Q101" s="34">
        <f>IFERROR(P101/P148, "NA")</f>
        <v>0.18406078875174228</v>
      </c>
      <c r="R101" s="33">
        <f>IFERROR(R87-R99, "NA")</f>
        <v>11791.790000000008</v>
      </c>
      <c r="S101" s="34">
        <f>IFERROR(R101/R148, "NA")</f>
        <v>0.26744489861090404</v>
      </c>
      <c r="T101" s="33">
        <f>IFERROR(T87-T99, "NA")</f>
        <v>15921.520000000004</v>
      </c>
      <c r="U101" s="34">
        <f>IFERROR(T101/T148, "NA")</f>
        <v>0.32118591822967613</v>
      </c>
      <c r="V101" s="33">
        <f>IFERROR(V87-V99, "NA")</f>
        <v>11100.650000000001</v>
      </c>
      <c r="W101" s="34">
        <f>IFERROR(V101/V148, "NA")</f>
        <v>0.26769311721715783</v>
      </c>
      <c r="X101" s="33">
        <f>IFERROR(X87-X99, "NA")</f>
        <v>8595.6899999999951</v>
      </c>
      <c r="Y101" s="34">
        <f>IFERROR(X101/X148, "NA")</f>
        <v>0.22100667594845894</v>
      </c>
      <c r="Z101" s="33">
        <f>IFERROR(Z87-Z99, "NA")</f>
        <v>47409.649999999958</v>
      </c>
      <c r="AA101" s="34">
        <f>IFERROR(Z101/Z148, "NA")</f>
        <v>0.27243363295890888</v>
      </c>
      <c r="AB101" s="33">
        <f>IFERROR((R101+T101+V101+X101)/4, "NA")</f>
        <v>11852.412500000002</v>
      </c>
      <c r="AC101" s="34">
        <f>IFERROR(AB101/AB148, "NA")</f>
        <v>0.27243363295890916</v>
      </c>
      <c r="AD101" s="15">
        <f>IFERROR(X101-AB101, "NA")</f>
        <v>-3256.7225000000071</v>
      </c>
      <c r="AE101" s="16">
        <f>IFERROR(AD101/AD148, "NA")</f>
        <v>0.70608937442240649</v>
      </c>
      <c r="AF101" s="15">
        <f>IFERROR((X101-AB101)/AB101, "NA")</f>
        <v>-0.27477296288835767</v>
      </c>
      <c r="AG101" s="33">
        <f>IFERROR((J101+L101+N101+P101+R101+T101+V101+X101)/8, "NA")</f>
        <v>11580.857500000002</v>
      </c>
      <c r="AH101" s="34">
        <f>IFERROR(AG101/AG148, "NA")</f>
        <v>0.2545899045539915</v>
      </c>
      <c r="AI101" s="15">
        <f>IFERROR(X101-AG101, "NA")</f>
        <v>-2985.1675000000068</v>
      </c>
      <c r="AJ101" s="16">
        <f>IFERROR(AI101/AI148, "NA")</f>
        <v>0.45264564876137936</v>
      </c>
      <c r="AK101" s="15">
        <f>IFERROR((X101-AG101)/AG101, "NA")</f>
        <v>-0.25776739762146339</v>
      </c>
      <c r="AL101" s="16">
        <f>IFERROR(AK101/AK148, "NA")</f>
        <v>1.7779402901083445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-1203.1099999999999</v>
      </c>
      <c r="C104" s="34">
        <f>IFERROR(B104/B148, "NA")</f>
        <v>-2.8346261156638474E-2</v>
      </c>
      <c r="D104" s="39">
        <v>0</v>
      </c>
      <c r="E104" s="34">
        <f>IFERROR(D104/D148, "NA")</f>
        <v>0</v>
      </c>
      <c r="F104" s="39">
        <v>6618.8</v>
      </c>
      <c r="G104" s="34">
        <f>IFERROR(F104/F148, "NA")</f>
        <v>0.11261953745133894</v>
      </c>
      <c r="H104" s="39">
        <v>16493.909999999996</v>
      </c>
      <c r="I104" s="34">
        <f>IFERROR(H104/H148, "NA")</f>
        <v>0.34333815433190445</v>
      </c>
      <c r="J104" s="39">
        <v>-2619</v>
      </c>
      <c r="K104" s="34">
        <f>IFERROR(J104/J148, "NA")</f>
        <v>-6.3138238026094723E-2</v>
      </c>
      <c r="L104" s="39">
        <v>0</v>
      </c>
      <c r="M104" s="34">
        <f>IFERROR(L104/L148, "NA")</f>
        <v>0</v>
      </c>
      <c r="N104" s="39">
        <v>7359.56</v>
      </c>
      <c r="O104" s="34">
        <f>IFERROR(N104/N148, "NA")</f>
        <v>0.14383568604733885</v>
      </c>
      <c r="P104" s="39">
        <v>17460.159999999996</v>
      </c>
      <c r="Q104" s="34">
        <f>IFERROR(P104/P148, "NA")</f>
        <v>0.36854542196269946</v>
      </c>
      <c r="R104" s="39">
        <v>-3000</v>
      </c>
      <c r="S104" s="34">
        <f>IFERROR(R104/R148, "NA")</f>
        <v>-6.8041806700484958E-2</v>
      </c>
      <c r="T104" s="39">
        <v>0</v>
      </c>
      <c r="U104" s="34">
        <f>IFERROR(T104/T148, "NA")</f>
        <v>0</v>
      </c>
      <c r="V104" s="39">
        <v>0</v>
      </c>
      <c r="W104" s="34">
        <f>IFERROR(V104/V148, "NA")</f>
        <v>0</v>
      </c>
      <c r="X104" s="39">
        <v>5987.6600000000008</v>
      </c>
      <c r="Y104" s="34">
        <f>IFERROR(X104/X148, "NA")</f>
        <v>0.15395073965086578</v>
      </c>
      <c r="Z104" s="39">
        <v>2987.6600000000003</v>
      </c>
      <c r="AA104" s="34">
        <f>IFERROR(Z104/Z148, "NA")</f>
        <v>1.7168215075327797E-2</v>
      </c>
      <c r="AB104" s="33">
        <f>IFERROR((R104+T104+V104+X104)/4, "NA")</f>
        <v>746.91500000000019</v>
      </c>
      <c r="AC104" s="34">
        <f>IFERROR(AB104/AB148, "NA")</f>
        <v>1.71682150753278E-2</v>
      </c>
      <c r="AD104" s="15">
        <f>IFERROR(X104-AB104, "NA")</f>
        <v>5240.7450000000008</v>
      </c>
      <c r="AE104" s="16">
        <f>IFERROR(AD104/AD148, "NA")</f>
        <v>-1.1362449083572048</v>
      </c>
      <c r="AF104" s="15">
        <f>IFERROR((X104-AB104)/AB104, "NA")</f>
        <v>7.0165212909099424</v>
      </c>
      <c r="AG104" s="33">
        <f>IFERROR((J104+L104+N104+P104+R104+T104+V104+X104)/8, "NA")</f>
        <v>3148.5474999999997</v>
      </c>
      <c r="AH104" s="34">
        <f>IFERROR(AG104/AG148, "NA")</f>
        <v>6.9216671348275235E-2</v>
      </c>
      <c r="AI104" s="15">
        <f>IFERROR(X104-AG104, "NA")</f>
        <v>2839.1125000000011</v>
      </c>
      <c r="AJ104" s="16">
        <f>IFERROR(AI104/AI148, "NA")</f>
        <v>-0.43049909911890683</v>
      </c>
      <c r="AK104" s="15">
        <f>IFERROR((X104-AG104)/AG104, "NA")</f>
        <v>0.90172134928883918</v>
      </c>
      <c r="AL104" s="16">
        <f>IFERROR(AK104/AK148, "NA")</f>
        <v>-6.2195868528952909</v>
      </c>
    </row>
    <row r="105" spans="1:38" ht="16.5" hidden="1" customHeight="1">
      <c r="A105" s="12" t="s">
        <v>112</v>
      </c>
      <c r="B105" s="13">
        <f>IFERROR(B104, "NA")</f>
        <v>-1203.1099999999999</v>
      </c>
      <c r="C105" s="14">
        <f>IFERROR(B105/B148, "NA")</f>
        <v>-2.8346261156638474E-2</v>
      </c>
      <c r="D105" s="13">
        <f>IFERROR(D104, "NA")</f>
        <v>0</v>
      </c>
      <c r="E105" s="14">
        <f>IFERROR(D105/D148, "NA")</f>
        <v>0</v>
      </c>
      <c r="F105" s="13">
        <f>IFERROR(F104, "NA")</f>
        <v>6618.8</v>
      </c>
      <c r="G105" s="14">
        <f>IFERROR(F105/F148, "NA")</f>
        <v>0.11261953745133894</v>
      </c>
      <c r="H105" s="13">
        <f>IFERROR(H104, "NA")</f>
        <v>16493.909999999996</v>
      </c>
      <c r="I105" s="14">
        <f>IFERROR(H105/H148, "NA")</f>
        <v>0.34333815433190445</v>
      </c>
      <c r="J105" s="13">
        <f>IFERROR(J104, "NA")</f>
        <v>-2619</v>
      </c>
      <c r="K105" s="14">
        <f>IFERROR(J105/J148, "NA")</f>
        <v>-6.3138238026094723E-2</v>
      </c>
      <c r="L105" s="13">
        <f>IFERROR(L104, "NA")</f>
        <v>0</v>
      </c>
      <c r="M105" s="14">
        <f>IFERROR(L105/L148, "NA")</f>
        <v>0</v>
      </c>
      <c r="N105" s="13">
        <f>IFERROR(N104, "NA")</f>
        <v>7359.56</v>
      </c>
      <c r="O105" s="14">
        <f>IFERROR(N105/N148, "NA")</f>
        <v>0.14383568604733885</v>
      </c>
      <c r="P105" s="13">
        <f>IFERROR(P104, "NA")</f>
        <v>17460.159999999996</v>
      </c>
      <c r="Q105" s="14">
        <f>IFERROR(P105/P148, "NA")</f>
        <v>0.36854542196269946</v>
      </c>
      <c r="R105" s="13">
        <f>IFERROR(R104, "NA")</f>
        <v>-3000</v>
      </c>
      <c r="S105" s="14">
        <f>IFERROR(R105/R148, "NA")</f>
        <v>-6.8041806700484958E-2</v>
      </c>
      <c r="T105" s="13">
        <f>IFERROR(T104, "NA")</f>
        <v>0</v>
      </c>
      <c r="U105" s="14">
        <f>IFERROR(T105/T148, "NA")</f>
        <v>0</v>
      </c>
      <c r="V105" s="13">
        <f>IFERROR(V104, "NA")</f>
        <v>0</v>
      </c>
      <c r="W105" s="14">
        <f>IFERROR(V105/V148, "NA")</f>
        <v>0</v>
      </c>
      <c r="X105" s="13">
        <f>IFERROR(X104, "NA")</f>
        <v>5987.6600000000008</v>
      </c>
      <c r="Y105" s="14">
        <f>IFERROR(X105/X148, "NA")</f>
        <v>0.15395073965086578</v>
      </c>
      <c r="Z105" s="13">
        <f>IFERROR(Z104, "NA")</f>
        <v>2987.6600000000003</v>
      </c>
      <c r="AA105" s="14">
        <f>IFERROR(Z105/Z148, "NA")</f>
        <v>1.7168215075327797E-2</v>
      </c>
      <c r="AB105" s="13">
        <f>IFERROR((R105+T105+V105+X105)/4, "NA")</f>
        <v>746.91500000000019</v>
      </c>
      <c r="AC105" s="14">
        <f>IFERROR(AB105/AB148, "NA")</f>
        <v>1.71682150753278E-2</v>
      </c>
      <c r="AD105" s="15">
        <f>IFERROR(X105-AB105, "NA")</f>
        <v>5240.7450000000008</v>
      </c>
      <c r="AE105" s="16">
        <f>IFERROR(AD105/AD148, "NA")</f>
        <v>-1.1362449083572048</v>
      </c>
      <c r="AF105" s="15">
        <f>IFERROR((X105-AB105)/AB105, "NA")</f>
        <v>7.0165212909099424</v>
      </c>
      <c r="AG105" s="13">
        <f>IFERROR((J105+L105+N105+P105+R105+T105+V105+X105)/8, "NA")</f>
        <v>3148.5474999999997</v>
      </c>
      <c r="AH105" s="14">
        <f>IFERROR(AG105/AG148, "NA")</f>
        <v>6.9216671348275235E-2</v>
      </c>
      <c r="AI105" s="15">
        <f>IFERROR(X105-AG105, "NA")</f>
        <v>2839.1125000000011</v>
      </c>
      <c r="AJ105" s="16">
        <f>IFERROR(AI105/AI148, "NA")</f>
        <v>-0.43049909911890683</v>
      </c>
      <c r="AK105" s="15">
        <f>IFERROR((X105-AG105)/AG105, "NA")</f>
        <v>0.90172134928883918</v>
      </c>
      <c r="AL105" s="16">
        <f>IFERROR(AK105/AK148, "NA")</f>
        <v>-6.2195868528952909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11352.769999999993</v>
      </c>
      <c r="C107" s="34">
        <f>IFERROR(B107/B148, "NA")</f>
        <v>0.26748059884071312</v>
      </c>
      <c r="D107" s="33">
        <f>IFERROR(D87-D99-D105, "NA")</f>
        <v>15727.569999999992</v>
      </c>
      <c r="E107" s="34">
        <f>IFERROR(D107/D148, "NA")</f>
        <v>0.26071552188293196</v>
      </c>
      <c r="F107" s="33">
        <f>IFERROR(F87-F99-F105, "NA")</f>
        <v>8007.4199999999828</v>
      </c>
      <c r="G107" s="34">
        <f>IFERROR(F107/F148, "NA")</f>
        <v>0.13624704426460968</v>
      </c>
      <c r="H107" s="33">
        <f>IFERROR(H87-H99-H105, "NA")</f>
        <v>-2263.6399999999921</v>
      </c>
      <c r="I107" s="34">
        <f>IFERROR(H107/H148, "NA")</f>
        <v>-4.7120057019340453E-2</v>
      </c>
      <c r="J107" s="33">
        <f>IFERROR(J87-J99-J105, "NA")</f>
        <v>13760.029999999995</v>
      </c>
      <c r="K107" s="34">
        <f>IFERROR(J107/J148, "NA")</f>
        <v>0.33172357746704995</v>
      </c>
      <c r="L107" s="33">
        <f>IFERROR(L87-L99-L105, "NA")</f>
        <v>13367.199999999988</v>
      </c>
      <c r="M107" s="34">
        <f>IFERROR(L107/L148, "NA")</f>
        <v>0.26809041733995764</v>
      </c>
      <c r="N107" s="33">
        <f>IFERROR(N87-N99-N105, "NA")</f>
        <v>4649.3800000000128</v>
      </c>
      <c r="O107" s="34">
        <f>IFERROR(N107/N148, "NA")</f>
        <v>9.0867764104753279E-2</v>
      </c>
      <c r="P107" s="33">
        <f>IFERROR(P87-P99-P105, "NA")</f>
        <v>-8740.1199999999917</v>
      </c>
      <c r="Q107" s="34">
        <f>IFERROR(P107/P148, "NA")</f>
        <v>-0.18448463321095721</v>
      </c>
      <c r="R107" s="33">
        <f>IFERROR(R87-R99-R105, "NA")</f>
        <v>14791.790000000008</v>
      </c>
      <c r="S107" s="34">
        <f>IFERROR(R107/R148, "NA")</f>
        <v>0.33548670531138897</v>
      </c>
      <c r="T107" s="33">
        <f>IFERROR(T87-T99-T105, "NA")</f>
        <v>15921.520000000004</v>
      </c>
      <c r="U107" s="34">
        <f>IFERROR(T107/T148, "NA")</f>
        <v>0.32118591822967613</v>
      </c>
      <c r="V107" s="33">
        <f>IFERROR(V87-V99-V105, "NA")</f>
        <v>11100.650000000001</v>
      </c>
      <c r="W107" s="34">
        <f>IFERROR(V107/V148, "NA")</f>
        <v>0.26769311721715783</v>
      </c>
      <c r="X107" s="33">
        <f>IFERROR(X87-X99-X105, "NA")</f>
        <v>2608.0299999999943</v>
      </c>
      <c r="Y107" s="34">
        <f>IFERROR(X107/X148, "NA")</f>
        <v>6.7055936297593141E-2</v>
      </c>
      <c r="Z107" s="33">
        <f>IFERROR(Z87-Z99-Z105, "NA")</f>
        <v>44421.989999999954</v>
      </c>
      <c r="AA107" s="34">
        <f>IFERROR(Z107/Z148, "NA")</f>
        <v>0.25526541788358104</v>
      </c>
      <c r="AB107" s="33">
        <f>IFERROR((R107+T107+V107+X107)/4, "NA")</f>
        <v>11105.497500000001</v>
      </c>
      <c r="AC107" s="34">
        <f>IFERROR(AB107/AB148, "NA")</f>
        <v>0.25526541788358137</v>
      </c>
      <c r="AD107" s="15">
        <f>IFERROR(X107-AB107, "NA")</f>
        <v>-8497.4675000000061</v>
      </c>
      <c r="AE107" s="16">
        <f>IFERROR(AD107/AD148, "NA")</f>
        <v>1.842334282779611</v>
      </c>
      <c r="AF107" s="15">
        <f>IFERROR((X107-AB107)/AB107, "NA")</f>
        <v>-0.76515865228009872</v>
      </c>
      <c r="AG107" s="33">
        <f>IFERROR((J107+L107+N107+P107+R107+T107+V107+X107)/8, "NA")</f>
        <v>8432.3100000000013</v>
      </c>
      <c r="AH107" s="34">
        <f>IFERROR(AG107/AG148, "NA")</f>
        <v>0.18537323320571625</v>
      </c>
      <c r="AI107" s="15">
        <f>IFERROR(X107-AG107, "NA")</f>
        <v>-5824.280000000007</v>
      </c>
      <c r="AJ107" s="16">
        <f>IFERROR(AI107/AI148, "NA")</f>
        <v>0.88314474788028607</v>
      </c>
      <c r="AK107" s="15">
        <f>IFERROR((X107-AG107)/AG107, "NA")</f>
        <v>-0.69070990037131064</v>
      </c>
      <c r="AL107" s="16">
        <f>IFERROR(AK107/AK148, "NA")</f>
        <v>4.7641438443285082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670.39</v>
      </c>
      <c r="C128" s="8">
        <f>IFERROR(B128/B148, "NA")</f>
        <v>1.5794939795030268E-2</v>
      </c>
      <c r="D128" s="7">
        <v>738.80000000000007</v>
      </c>
      <c r="E128" s="8">
        <f>IFERROR(D128/D148, "NA")</f>
        <v>1.2247068527885124E-2</v>
      </c>
      <c r="F128" s="7">
        <v>811.16</v>
      </c>
      <c r="G128" s="8">
        <f>IFERROR(F128/F148, "NA")</f>
        <v>1.3801967728142276E-2</v>
      </c>
      <c r="H128" s="7">
        <v>-2220.35</v>
      </c>
      <c r="I128" s="8">
        <f>IFERROR(H128/H148, "NA")</f>
        <v>-4.6218929954804179E-2</v>
      </c>
      <c r="J128" s="7">
        <v>674.71</v>
      </c>
      <c r="K128" s="8">
        <f>IFERROR(J128/J148, "NA")</f>
        <v>1.6265750507287655E-2</v>
      </c>
      <c r="L128" s="7">
        <v>466.58999999999992</v>
      </c>
      <c r="M128" s="8">
        <f>IFERROR(L128/L148, "NA")</f>
        <v>9.3578541374895966E-3</v>
      </c>
      <c r="N128" s="7">
        <v>716.08999999999992</v>
      </c>
      <c r="O128" s="8">
        <f>IFERROR(N128/N148, "NA")</f>
        <v>1.3995306298425294E-2</v>
      </c>
      <c r="P128" s="7">
        <v>-1857.39</v>
      </c>
      <c r="Q128" s="8">
        <f>IFERROR(P128/P148, "NA")</f>
        <v>-3.9205401399488811E-2</v>
      </c>
      <c r="R128" s="7">
        <v>764.65000000000009</v>
      </c>
      <c r="S128" s="8">
        <f>IFERROR(R128/R148, "NA")</f>
        <v>1.7342722497841943E-2</v>
      </c>
      <c r="T128" s="7">
        <v>906.13</v>
      </c>
      <c r="U128" s="8">
        <f>IFERROR(T128/T148, "NA")</f>
        <v>1.8279422824294185E-2</v>
      </c>
      <c r="V128" s="7">
        <v>1114.6500000000001</v>
      </c>
      <c r="W128" s="8">
        <f>IFERROR(V128/V148, "NA")</f>
        <v>2.6879879385991356E-2</v>
      </c>
      <c r="X128" s="7">
        <v>950.91</v>
      </c>
      <c r="Y128" s="8">
        <f>IFERROR(X128/X148, "NA")</f>
        <v>2.4449166759870262E-2</v>
      </c>
      <c r="Z128" s="7">
        <v>3736.34</v>
      </c>
      <c r="AA128" s="8">
        <f>IFERROR(Z128/Z148, "NA")</f>
        <v>2.1470411196237275E-2</v>
      </c>
      <c r="AB128" s="9">
        <f t="shared" si="42"/>
        <v>934.08500000000004</v>
      </c>
      <c r="AC128" s="8">
        <f>IFERROR(AB128/AB148, "NA")</f>
        <v>2.1470411196237275E-2</v>
      </c>
      <c r="AD128" s="10">
        <f t="shared" si="43"/>
        <v>16.824999999999932</v>
      </c>
      <c r="AE128" s="11">
        <f>IFERROR(AD128/AD148, "NA")</f>
        <v>-3.6478249911243328E-3</v>
      </c>
      <c r="AF128" s="10">
        <f t="shared" si="44"/>
        <v>1.8012279396414598E-2</v>
      </c>
      <c r="AG128" s="9">
        <f t="shared" si="45"/>
        <v>467.04249999999996</v>
      </c>
      <c r="AH128" s="8">
        <f>IFERROR(AG128/AG148, "NA")</f>
        <v>1.0267314445209048E-2</v>
      </c>
      <c r="AI128" s="10">
        <f t="shared" si="46"/>
        <v>483.86750000000001</v>
      </c>
      <c r="AJ128" s="11">
        <f>IFERROR(AI128/AI148, "NA")</f>
        <v>-7.3369590970036438E-2</v>
      </c>
      <c r="AK128" s="10">
        <f t="shared" si="47"/>
        <v>1.0360245587928294</v>
      </c>
      <c r="AL128" s="11">
        <f>IFERROR(AK128/AK148, "NA")</f>
        <v>-7.1459378556650979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670.39</v>
      </c>
      <c r="C135" s="14">
        <f>IFERROR(B135/B148, "NA")</f>
        <v>1.5794939795030268E-2</v>
      </c>
      <c r="D135" s="13">
        <f>IFERROR(D110+D111+D112+D113+D114+D115+D116+D117+D118+D119+D120+D121+D122+D123+D124+D125+D126+D127+D128+D129+D130+D131+D132+D133+D134, "NA")</f>
        <v>738.80000000000007</v>
      </c>
      <c r="E135" s="14">
        <f>IFERROR(D135/D148, "NA")</f>
        <v>1.2247068527885124E-2</v>
      </c>
      <c r="F135" s="13">
        <f>IFERROR(F110+F111+F112+F113+F114+F115+F116+F117+F118+F119+F120+F121+F122+F123+F124+F125+F126+F127+F128+F129+F130+F131+F132+F133+F134, "NA")</f>
        <v>811.16</v>
      </c>
      <c r="G135" s="14">
        <f>IFERROR(F135/F148, "NA")</f>
        <v>1.3801967728142276E-2</v>
      </c>
      <c r="H135" s="13">
        <f>IFERROR(H110+H111+H112+H113+H114+H115+H116+H117+H118+H119+H120+H121+H122+H123+H124+H125+H126+H127+H128+H129+H130+H131+H132+H133+H134, "NA")</f>
        <v>-2220.35</v>
      </c>
      <c r="I135" s="14">
        <f>IFERROR(H135/H148, "NA")</f>
        <v>-4.6218929954804179E-2</v>
      </c>
      <c r="J135" s="13">
        <f>IFERROR(J110+J111+J112+J113+J114+J115+J116+J117+J118+J119+J120+J121+J122+J123+J124+J125+J126+J127+J128+J129+J130+J131+J132+J133+J134, "NA")</f>
        <v>674.71</v>
      </c>
      <c r="K135" s="14">
        <f>IFERROR(J135/J148, "NA")</f>
        <v>1.6265750507287655E-2</v>
      </c>
      <c r="L135" s="13">
        <f>IFERROR(L110+L111+L112+L113+L114+L115+L116+L117+L118+L119+L120+L121+L122+L123+L124+L125+L126+L127+L128+L129+L130+L131+L132+L133+L134, "NA")</f>
        <v>466.58999999999992</v>
      </c>
      <c r="M135" s="14">
        <f>IFERROR(L135/L148, "NA")</f>
        <v>9.3578541374895966E-3</v>
      </c>
      <c r="N135" s="13">
        <f>IFERROR(N110+N111+N112+N113+N114+N115+N116+N117+N118+N119+N120+N121+N122+N123+N124+N125+N126+N127+N128+N129+N130+N131+N132+N133+N134, "NA")</f>
        <v>716.08999999999992</v>
      </c>
      <c r="O135" s="14">
        <f>IFERROR(N135/N148, "NA")</f>
        <v>1.3995306298425294E-2</v>
      </c>
      <c r="P135" s="13">
        <f>IFERROR(P110+P111+P112+P113+P114+P115+P116+P117+P118+P119+P120+P121+P122+P123+P124+P125+P126+P127+P128+P129+P130+P131+P132+P133+P134, "NA")</f>
        <v>-1857.39</v>
      </c>
      <c r="Q135" s="14">
        <f>IFERROR(P135/P148, "NA")</f>
        <v>-3.9205401399488811E-2</v>
      </c>
      <c r="R135" s="13">
        <f>IFERROR(R110+R111+R112+R113+R114+R115+R116+R117+R118+R119+R120+R121+R122+R123+R124+R125+R126+R127+R128+R129+R130+R131+R132+R133+R134, "NA")</f>
        <v>764.65000000000009</v>
      </c>
      <c r="S135" s="14">
        <f>IFERROR(R135/R148, "NA")</f>
        <v>1.7342722497841943E-2</v>
      </c>
      <c r="T135" s="13">
        <f>IFERROR(T110+T111+T112+T113+T114+T115+T116+T117+T118+T119+T120+T121+T122+T123+T124+T125+T126+T127+T128+T129+T130+T131+T132+T133+T134, "NA")</f>
        <v>906.13</v>
      </c>
      <c r="U135" s="14">
        <f>IFERROR(T135/T148, "NA")</f>
        <v>1.8279422824294185E-2</v>
      </c>
      <c r="V135" s="13">
        <f>IFERROR(V110+V111+V112+V113+V114+V115+V116+V117+V118+V119+V120+V121+V122+V123+V124+V125+V126+V127+V128+V129+V130+V131+V132+V133+V134, "NA")</f>
        <v>1114.6500000000001</v>
      </c>
      <c r="W135" s="14">
        <f>IFERROR(V135/V148, "NA")</f>
        <v>2.6879879385991356E-2</v>
      </c>
      <c r="X135" s="13">
        <f>IFERROR(X110+X111+X112+X113+X114+X115+X116+X117+X118+X119+X120+X121+X122+X123+X124+X125+X126+X127+X128+X129+X130+X131+X132+X133+X134, "NA")</f>
        <v>950.91</v>
      </c>
      <c r="Y135" s="14">
        <f>IFERROR(X135/X148, "NA")</f>
        <v>2.4449166759870262E-2</v>
      </c>
      <c r="Z135" s="13">
        <f>IFERROR(Z110+Z111+Z112+Z113+Z114+Z115+Z116+Z117+Z118+Z119+Z120+Z121+Z122+Z123+Z124+Z125+Z126+Z127+Z128+Z129+Z130+Z131+Z132+Z133+Z134, "NA")</f>
        <v>3736.34</v>
      </c>
      <c r="AA135" s="14">
        <f>IFERROR(Z135/Z148, "NA")</f>
        <v>2.1470411196237275E-2</v>
      </c>
      <c r="AB135" s="13">
        <f t="shared" si="42"/>
        <v>934.08500000000004</v>
      </c>
      <c r="AC135" s="14">
        <f>IFERROR(AB135/AB148, "NA")</f>
        <v>2.1470411196237275E-2</v>
      </c>
      <c r="AD135" s="15">
        <f t="shared" si="43"/>
        <v>16.824999999999932</v>
      </c>
      <c r="AE135" s="16">
        <f>IFERROR(AD135/AD148, "NA")</f>
        <v>-3.6478249911243328E-3</v>
      </c>
      <c r="AF135" s="15">
        <f t="shared" si="44"/>
        <v>1.8012279396414598E-2</v>
      </c>
      <c r="AG135" s="13">
        <f t="shared" si="45"/>
        <v>467.04249999999996</v>
      </c>
      <c r="AH135" s="14">
        <f>IFERROR(AG135/AG148, "NA")</f>
        <v>1.0267314445209048E-2</v>
      </c>
      <c r="AI135" s="15">
        <f t="shared" si="46"/>
        <v>483.86750000000001</v>
      </c>
      <c r="AJ135" s="16">
        <f>IFERROR(AI135/AI148, "NA")</f>
        <v>-7.3369590970036438E-2</v>
      </c>
      <c r="AK135" s="15">
        <f t="shared" si="47"/>
        <v>1.0360245587928294</v>
      </c>
      <c r="AL135" s="16">
        <f>IFERROR(AK135/AK148, "NA")</f>
        <v>-7.1459378556650979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10682.379999999994</v>
      </c>
      <c r="C137" s="34">
        <f>IFERROR(B137/B148, "NA")</f>
        <v>0.25168565904568291</v>
      </c>
      <c r="D137" s="33">
        <f>IFERROR(D107-D135, "NA")</f>
        <v>14988.769999999993</v>
      </c>
      <c r="E137" s="34">
        <f>IFERROR(D137/D148, "NA")</f>
        <v>0.24846845335504686</v>
      </c>
      <c r="F137" s="33">
        <f>IFERROR(F107-F135, "NA")</f>
        <v>7196.2599999999829</v>
      </c>
      <c r="G137" s="34">
        <f>IFERROR(F137/F148, "NA")</f>
        <v>0.1224450765364674</v>
      </c>
      <c r="H137" s="33">
        <f>IFERROR(H107-H135, "NA")</f>
        <v>-43.289999999992233</v>
      </c>
      <c r="I137" s="34">
        <f>IFERROR(H137/H148, "NA")</f>
        <v>-9.0112706453627318E-4</v>
      </c>
      <c r="J137" s="33">
        <f>IFERROR(J107-J135, "NA")</f>
        <v>13085.319999999996</v>
      </c>
      <c r="K137" s="34">
        <f>IFERROR(J137/J148, "NA")</f>
        <v>0.31545782695976232</v>
      </c>
      <c r="L137" s="33">
        <f>IFERROR(L107-L135, "NA")</f>
        <v>12900.609999999988</v>
      </c>
      <c r="M137" s="34">
        <f>IFERROR(L137/L148, "NA")</f>
        <v>0.25873256320246807</v>
      </c>
      <c r="N137" s="33">
        <f>IFERROR(N107-N135, "NA")</f>
        <v>3933.2900000000127</v>
      </c>
      <c r="O137" s="34">
        <f>IFERROR(N137/N148, "NA")</f>
        <v>7.6872457806327982E-2</v>
      </c>
      <c r="P137" s="33">
        <f>IFERROR(P107-P135, "NA")</f>
        <v>-6882.7299999999914</v>
      </c>
      <c r="Q137" s="34">
        <f>IFERROR(P137/P148, "NA")</f>
        <v>-0.1452792318114684</v>
      </c>
      <c r="R137" s="33">
        <f>IFERROR(R107-R135, "NA")</f>
        <v>14027.140000000009</v>
      </c>
      <c r="S137" s="34">
        <f>IFERROR(R137/R148, "NA")</f>
        <v>0.31814398281354705</v>
      </c>
      <c r="T137" s="33">
        <f>IFERROR(T107-T135, "NA")</f>
        <v>15015.390000000005</v>
      </c>
      <c r="U137" s="34">
        <f>IFERROR(T137/T148, "NA")</f>
        <v>0.30290649540538195</v>
      </c>
      <c r="V137" s="33">
        <f>IFERROR(V107-V135, "NA")</f>
        <v>9986.0000000000018</v>
      </c>
      <c r="W137" s="34">
        <f>IFERROR(V137/V148, "NA")</f>
        <v>0.24081323783116648</v>
      </c>
      <c r="X137" s="33">
        <f>IFERROR(X107-X135, "NA")</f>
        <v>1657.1199999999944</v>
      </c>
      <c r="Y137" s="34">
        <f>IFERROR(X137/X148, "NA")</f>
        <v>4.260676953772289E-2</v>
      </c>
      <c r="Z137" s="33">
        <f>IFERROR(Z107-Z135, "NA")</f>
        <v>40685.649999999951</v>
      </c>
      <c r="AA137" s="34">
        <f>IFERROR(Z137/Z148, "NA")</f>
        <v>0.23379500668734376</v>
      </c>
      <c r="AB137" s="33">
        <f>IFERROR((R137+T137+V137+X137)/4, "NA")</f>
        <v>10171.412500000002</v>
      </c>
      <c r="AC137" s="34">
        <f>IFERROR(AB137/AB148, "NA")</f>
        <v>0.2337950066873441</v>
      </c>
      <c r="AD137" s="15">
        <f>IFERROR(X137-AB137, "NA")</f>
        <v>-8514.2925000000068</v>
      </c>
      <c r="AE137" s="16">
        <f>IFERROR(AD137/AD148, "NA")</f>
        <v>1.8459821077707355</v>
      </c>
      <c r="AF137" s="15">
        <f>IFERROR((X137-AB137)/AB137, "NA")</f>
        <v>-0.83708064145466576</v>
      </c>
      <c r="AG137" s="33">
        <f>IFERROR((J137+L137+N137+P137+R137+T137+V137+X137)/8, "NA")</f>
        <v>7965.2675000000017</v>
      </c>
      <c r="AH137" s="34">
        <f>IFERROR(AG137/AG148, "NA")</f>
        <v>0.17510591876050721</v>
      </c>
      <c r="AI137" s="15">
        <f>IFERROR(X137-AG137, "NA")</f>
        <v>-6308.1475000000073</v>
      </c>
      <c r="AJ137" s="16">
        <f>IFERROR(AI137/AI148, "NA")</f>
        <v>0.95651433885032255</v>
      </c>
      <c r="AK137" s="15">
        <f>IFERROR((X137-AG137)/AG137, "NA")</f>
        <v>-0.79195676730254272</v>
      </c>
      <c r="AL137" s="16">
        <f>IFERROR(AK137/AK148, "NA")</f>
        <v>5.4624900495713655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0</v>
      </c>
      <c r="C140" s="8">
        <f>IFERROR(B140/B148, "NA")</f>
        <v>0</v>
      </c>
      <c r="D140" s="7">
        <v>0</v>
      </c>
      <c r="E140" s="8">
        <f>IFERROR(D140/D148, "NA")</f>
        <v>0</v>
      </c>
      <c r="F140" s="7">
        <v>0</v>
      </c>
      <c r="G140" s="8">
        <f>IFERROR(F140/F148, "NA")</f>
        <v>0</v>
      </c>
      <c r="H140" s="7">
        <v>5418.4000000000005</v>
      </c>
      <c r="I140" s="8">
        <f>IFERROR(H140/H148, "NA")</f>
        <v>0.11278971786750333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-10</v>
      </c>
      <c r="O140" s="8">
        <f>IFERROR(N140/N148, "NA")</f>
        <v>-1.9544060520919571E-4</v>
      </c>
      <c r="P140" s="7">
        <v>5856.3499999999995</v>
      </c>
      <c r="Q140" s="8">
        <f>IFERROR(P140/P148, "NA")</f>
        <v>0.1236146164703677</v>
      </c>
      <c r="R140" s="7">
        <v>0</v>
      </c>
      <c r="S140" s="8">
        <f>IFERROR(R140/R148, "NA")</f>
        <v>0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-118.18</v>
      </c>
      <c r="Y140" s="8">
        <f>IFERROR(X140/X148, "NA")</f>
        <v>-3.0385657188182558E-3</v>
      </c>
      <c r="Z140" s="7">
        <v>-118.18</v>
      </c>
      <c r="AA140" s="8">
        <f>IFERROR(Z140/Z148, "NA")</f>
        <v>-6.7910661106091016E-4</v>
      </c>
      <c r="AB140" s="9">
        <f>IFERROR((R140+T140+V140+X140)/4, "NA")</f>
        <v>-29.545000000000002</v>
      </c>
      <c r="AC140" s="8">
        <f>IFERROR(AB140/AB148, "NA")</f>
        <v>-6.7910661106091016E-4</v>
      </c>
      <c r="AD140" s="10">
        <f>IFERROR(X140-AB140, "NA")</f>
        <v>-88.635000000000005</v>
      </c>
      <c r="AE140" s="11">
        <f>IFERROR(AD140/AD148, "NA")</f>
        <v>1.9216937182068738E-2</v>
      </c>
      <c r="AF140" s="10">
        <f>IFERROR((X140-AB140)/AB140, "NA")</f>
        <v>3</v>
      </c>
      <c r="AG140" s="9">
        <f>IFERROR((J140+L140+N140+P140+R140+T140+V140+X140)/8, "NA")</f>
        <v>716.0212499999999</v>
      </c>
      <c r="AH140" s="8">
        <f>IFERROR(AG140/AG148, "NA")</f>
        <v>1.5740784453666719E-2</v>
      </c>
      <c r="AI140" s="10">
        <f>IFERROR(X140-AG140, "NA")</f>
        <v>-834.20124999999985</v>
      </c>
      <c r="AJ140" s="11">
        <f>IFERROR(AI140/AI148, "NA")</f>
        <v>0.12649124915228466</v>
      </c>
      <c r="AK140" s="10">
        <f>IFERROR((X140-AG140)/AG140, "NA")</f>
        <v>-1.1650509674119307</v>
      </c>
      <c r="AL140" s="11">
        <f>IFERROR(AK140/AK148, "NA")</f>
        <v>8.0358923359006589</v>
      </c>
    </row>
    <row r="141" spans="1:38" ht="16.5" hidden="1" customHeight="1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0</v>
      </c>
      <c r="E141" s="14">
        <f>IFERROR(D141/D148, "NA")</f>
        <v>0</v>
      </c>
      <c r="F141" s="13">
        <f>IFERROR(F140, "NA")</f>
        <v>0</v>
      </c>
      <c r="G141" s="14">
        <f>IFERROR(F141/F148, "NA")</f>
        <v>0</v>
      </c>
      <c r="H141" s="13">
        <f>IFERROR(H140, "NA")</f>
        <v>5418.4000000000005</v>
      </c>
      <c r="I141" s="14">
        <f>IFERROR(H141/H148, "NA")</f>
        <v>0.11278971786750333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-10</v>
      </c>
      <c r="O141" s="14">
        <f>IFERROR(N141/N148, "NA")</f>
        <v>-1.9544060520919571E-4</v>
      </c>
      <c r="P141" s="13">
        <f>IFERROR(P140, "NA")</f>
        <v>5856.3499999999995</v>
      </c>
      <c r="Q141" s="14">
        <f>IFERROR(P141/P148, "NA")</f>
        <v>0.1236146164703677</v>
      </c>
      <c r="R141" s="13">
        <f>IFERROR(R140, "NA")</f>
        <v>0</v>
      </c>
      <c r="S141" s="14">
        <f>IFERROR(R141/R148, "NA")</f>
        <v>0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-118.18</v>
      </c>
      <c r="Y141" s="14">
        <f>IFERROR(X141/X148, "NA")</f>
        <v>-3.0385657188182558E-3</v>
      </c>
      <c r="Z141" s="13">
        <f>IFERROR(Z140, "NA")</f>
        <v>-118.18</v>
      </c>
      <c r="AA141" s="14">
        <f>IFERROR(Z141/Z148, "NA")</f>
        <v>-6.7910661106091016E-4</v>
      </c>
      <c r="AB141" s="13">
        <f>IFERROR((R141+T141+V141+X141)/4, "NA")</f>
        <v>-29.545000000000002</v>
      </c>
      <c r="AC141" s="14">
        <f>IFERROR(AB141/AB148, "NA")</f>
        <v>-6.7910661106091016E-4</v>
      </c>
      <c r="AD141" s="15">
        <f>IFERROR(X141-AB141, "NA")</f>
        <v>-88.635000000000005</v>
      </c>
      <c r="AE141" s="16">
        <f>IFERROR(AD141/AD148, "NA")</f>
        <v>1.9216937182068738E-2</v>
      </c>
      <c r="AF141" s="15">
        <f>IFERROR((X141-AB141)/AB141, "NA")</f>
        <v>3</v>
      </c>
      <c r="AG141" s="13">
        <f>IFERROR((J141+L141+N141+P141+R141+T141+V141+X141)/8, "NA")</f>
        <v>716.0212499999999</v>
      </c>
      <c r="AH141" s="14">
        <f>IFERROR(AG141/AG148, "NA")</f>
        <v>1.5740784453666719E-2</v>
      </c>
      <c r="AI141" s="15">
        <f>IFERROR(X141-AG141, "NA")</f>
        <v>-834.20124999999985</v>
      </c>
      <c r="AJ141" s="16">
        <f>IFERROR(AI141/AI148, "NA")</f>
        <v>0.12649124915228466</v>
      </c>
      <c r="AK141" s="15">
        <f>IFERROR((X141-AG141)/AG141, "NA")</f>
        <v>-1.1650509674119307</v>
      </c>
      <c r="AL141" s="16">
        <f>IFERROR(AK141/AK148, "NA")</f>
        <v>8.0358923359006589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10682.379999999994</v>
      </c>
      <c r="C147" s="34">
        <f>IFERROR(B147/B148, "NA")</f>
        <v>0.25168565904568291</v>
      </c>
      <c r="D147" s="33">
        <f>IFERROR(D137-D141-D145, "NA")</f>
        <v>14988.769999999993</v>
      </c>
      <c r="E147" s="34">
        <f>IFERROR(D147/D148, "NA")</f>
        <v>0.24846845335504686</v>
      </c>
      <c r="F147" s="33">
        <f>IFERROR(F137-F141-F145, "NA")</f>
        <v>7196.2599999999829</v>
      </c>
      <c r="G147" s="34">
        <f>IFERROR(F147/F148, "NA")</f>
        <v>0.1224450765364674</v>
      </c>
      <c r="H147" s="33">
        <f>IFERROR(H137-H141-H145, "NA")</f>
        <v>-5461.6899999999932</v>
      </c>
      <c r="I147" s="34">
        <f>IFERROR(H147/H148, "NA")</f>
        <v>-0.11369084493203961</v>
      </c>
      <c r="J147" s="33">
        <f>IFERROR(J137-J141-J145, "NA")</f>
        <v>13085.319999999996</v>
      </c>
      <c r="K147" s="34">
        <f>IFERROR(J147/J148, "NA")</f>
        <v>0.31545782695976232</v>
      </c>
      <c r="L147" s="33">
        <f>IFERROR(L137-L141-L145, "NA")</f>
        <v>12900.609999999988</v>
      </c>
      <c r="M147" s="34">
        <f>IFERROR(L147/L148, "NA")</f>
        <v>0.25873256320246807</v>
      </c>
      <c r="N147" s="33">
        <f>IFERROR(N137-N141-N145, "NA")</f>
        <v>3943.2900000000127</v>
      </c>
      <c r="O147" s="34">
        <f>IFERROR(N147/N148, "NA")</f>
        <v>7.7067898411537175E-2</v>
      </c>
      <c r="P147" s="33">
        <f>IFERROR(P137-P141-P145, "NA")</f>
        <v>-12739.079999999991</v>
      </c>
      <c r="Q147" s="34">
        <f>IFERROR(P147/P148, "NA")</f>
        <v>-0.2688938482818361</v>
      </c>
      <c r="R147" s="33">
        <f>IFERROR(R137-R141-R145, "NA")</f>
        <v>14027.140000000009</v>
      </c>
      <c r="S147" s="34">
        <f>IFERROR(R147/R148, "NA")</f>
        <v>0.31814398281354705</v>
      </c>
      <c r="T147" s="33">
        <f>IFERROR(T137-T141-T145, "NA")</f>
        <v>15015.390000000005</v>
      </c>
      <c r="U147" s="34">
        <f>IFERROR(T147/T148, "NA")</f>
        <v>0.30290649540538195</v>
      </c>
      <c r="V147" s="33">
        <f>IFERROR(V137-V141-V145, "NA")</f>
        <v>9986.0000000000018</v>
      </c>
      <c r="W147" s="34">
        <f>IFERROR(V147/V148, "NA")</f>
        <v>0.24081323783116648</v>
      </c>
      <c r="X147" s="33">
        <f>IFERROR(X137-X141-X145, "NA")</f>
        <v>1775.2999999999945</v>
      </c>
      <c r="Y147" s="34">
        <f>IFERROR(X147/X148, "NA")</f>
        <v>4.5645335256541145E-2</v>
      </c>
      <c r="Z147" s="33">
        <f>IFERROR(Z137-Z141-Z145, "NA")</f>
        <v>40803.829999999951</v>
      </c>
      <c r="AA147" s="34">
        <f>IFERROR(Z147/Z148, "NA")</f>
        <v>0.23447411329840467</v>
      </c>
      <c r="AB147" s="33">
        <f>IFERROR((R147+T147+V147+X147)/4, "NA")</f>
        <v>10200.957500000002</v>
      </c>
      <c r="AC147" s="34">
        <f>IFERROR(AB147/AB148, "NA")</f>
        <v>0.23447411329840501</v>
      </c>
      <c r="AD147" s="15">
        <f>IFERROR(X147-AB147, "NA")</f>
        <v>-8425.6575000000084</v>
      </c>
      <c r="AE147" s="16">
        <f>IFERROR(AD147/AD148, "NA")</f>
        <v>1.8267651705886669</v>
      </c>
      <c r="AF147" s="15">
        <f>IFERROR((X147-AB147)/AB147, "NA")</f>
        <v>-0.82596731728369677</v>
      </c>
      <c r="AG147" s="33">
        <f>IFERROR((J147+L147+N147+P147+R147+T147+V147+X147)/8, "NA")</f>
        <v>7249.246250000002</v>
      </c>
      <c r="AH147" s="34">
        <f>IFERROR(AG147/AG148, "NA")</f>
        <v>0.15936513430684049</v>
      </c>
      <c r="AI147" s="15">
        <f>IFERROR(X147-AG147, "NA")</f>
        <v>-5473.9462500000072</v>
      </c>
      <c r="AJ147" s="16">
        <f>IFERROR(AI147/AI148, "NA")</f>
        <v>0.83002308969803784</v>
      </c>
      <c r="AK147" s="15">
        <f>IFERROR((X147-AG147)/AG147, "NA")</f>
        <v>-0.75510557390708111</v>
      </c>
      <c r="AL147" s="16">
        <f>IFERROR(AK147/AK148, "NA")</f>
        <v>5.2083104206464466</v>
      </c>
    </row>
    <row r="148" spans="1:38" ht="15.6" hidden="1">
      <c r="A148" s="40" t="s">
        <v>25</v>
      </c>
      <c r="B148" s="7">
        <v>42443.34</v>
      </c>
      <c r="C148" s="41"/>
      <c r="D148" s="7">
        <v>60324.639999999999</v>
      </c>
      <c r="E148" s="41"/>
      <c r="F148" s="7">
        <v>58771.33</v>
      </c>
      <c r="G148" s="41"/>
      <c r="H148" s="7">
        <v>48039.839999999997</v>
      </c>
      <c r="I148" s="41"/>
      <c r="J148" s="7">
        <v>41480.410000000003</v>
      </c>
      <c r="K148" s="41"/>
      <c r="L148" s="7">
        <v>49860.79</v>
      </c>
      <c r="M148" s="41"/>
      <c r="N148" s="7">
        <v>51166.44</v>
      </c>
      <c r="O148" s="41"/>
      <c r="P148" s="7">
        <v>47375.87</v>
      </c>
      <c r="Q148" s="41"/>
      <c r="R148" s="7">
        <v>44090.54</v>
      </c>
      <c r="S148" s="41"/>
      <c r="T148" s="7">
        <v>49571.040000000001</v>
      </c>
      <c r="U148" s="41"/>
      <c r="V148" s="7">
        <v>41467.82</v>
      </c>
      <c r="W148" s="41"/>
      <c r="X148" s="7">
        <v>38893.35</v>
      </c>
      <c r="Y148" s="41"/>
      <c r="Z148" s="7">
        <v>174022.75</v>
      </c>
      <c r="AA148" s="41"/>
      <c r="AB148" s="9">
        <f>IFERROR((R148+T148+V148+X148)/4, "NA")</f>
        <v>43505.6875</v>
      </c>
      <c r="AC148" s="41"/>
      <c r="AD148" s="10">
        <f>IFERROR(X148-AB148, "NA")</f>
        <v>-4612.3375000000015</v>
      </c>
      <c r="AE148" s="42"/>
      <c r="AF148" s="10">
        <f>IFERROR((X148-AB148)/AB148, "NA")</f>
        <v>-0.10601688572327472</v>
      </c>
      <c r="AG148" s="9">
        <f>IFERROR((J148+L148+N148+P148+R148+T148+V148+X148)/8, "NA")</f>
        <v>45488.282500000001</v>
      </c>
      <c r="AH148" s="41"/>
      <c r="AI148" s="10">
        <f>IFERROR(X148-AG148, "NA")</f>
        <v>-6594.9325000000026</v>
      </c>
      <c r="AJ148" s="42"/>
      <c r="AK148" s="10">
        <f>IFERROR((X148-AG148)/AG148, "NA")</f>
        <v>-0.14498090799537228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I5:AJ5"/>
    <mergeCell ref="AK5:AL5"/>
    <mergeCell ref="Z5:AA5"/>
    <mergeCell ref="AB5:AC5"/>
    <mergeCell ref="AD5:AE5"/>
    <mergeCell ref="AF5"/>
    <mergeCell ref="AG5:AH5"/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7" right="0.7" top="0.75" bottom="0.75" header="0.3" footer="0.3"/>
  <ignoredErrors>
    <ignoredError sqref="A1:AL153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44" t="s">
        <v>0</v>
      </c>
      <c r="Y1" s="44" t="s">
        <v>0</v>
      </c>
      <c r="Z1" s="44" t="s">
        <v>0</v>
      </c>
      <c r="AA1" s="44" t="s">
        <v>0</v>
      </c>
      <c r="AB1" s="44" t="s">
        <v>0</v>
      </c>
      <c r="AC1" s="44" t="s">
        <v>0</v>
      </c>
      <c r="AD1" s="44" t="s">
        <v>0</v>
      </c>
      <c r="AE1" s="44" t="s">
        <v>0</v>
      </c>
      <c r="AF1" s="44" t="s">
        <v>0</v>
      </c>
      <c r="AG1" s="44" t="s">
        <v>0</v>
      </c>
      <c r="AH1" s="44" t="s">
        <v>0</v>
      </c>
      <c r="AI1" s="44" t="s">
        <v>0</v>
      </c>
      <c r="AJ1" s="44" t="s">
        <v>0</v>
      </c>
      <c r="AK1" s="44" t="s">
        <v>0</v>
      </c>
      <c r="AL1" s="44" t="s">
        <v>0</v>
      </c>
    </row>
    <row r="2" spans="1:38" ht="23.4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  <c r="I2" s="45" t="s">
        <v>1</v>
      </c>
      <c r="J2" s="45" t="s">
        <v>1</v>
      </c>
      <c r="K2" s="45" t="s">
        <v>1</v>
      </c>
      <c r="L2" s="45" t="s">
        <v>1</v>
      </c>
      <c r="M2" s="45" t="s">
        <v>1</v>
      </c>
      <c r="N2" s="45" t="s">
        <v>1</v>
      </c>
      <c r="O2" s="45" t="s">
        <v>1</v>
      </c>
      <c r="P2" s="45" t="s">
        <v>1</v>
      </c>
      <c r="Q2" s="45" t="s">
        <v>1</v>
      </c>
      <c r="R2" s="45" t="s">
        <v>1</v>
      </c>
      <c r="S2" s="45" t="s">
        <v>1</v>
      </c>
      <c r="T2" s="45" t="s">
        <v>1</v>
      </c>
      <c r="U2" s="45" t="s">
        <v>1</v>
      </c>
      <c r="V2" s="45" t="s">
        <v>1</v>
      </c>
      <c r="W2" s="45" t="s">
        <v>1</v>
      </c>
      <c r="X2" s="45" t="s">
        <v>1</v>
      </c>
      <c r="Y2" s="45" t="s">
        <v>1</v>
      </c>
      <c r="Z2" s="45" t="s">
        <v>1</v>
      </c>
      <c r="AA2" s="45" t="s">
        <v>1</v>
      </c>
      <c r="AB2" s="45" t="s">
        <v>1</v>
      </c>
      <c r="AC2" s="45" t="s">
        <v>1</v>
      </c>
      <c r="AD2" s="45" t="s">
        <v>1</v>
      </c>
      <c r="AE2" s="45" t="s">
        <v>1</v>
      </c>
      <c r="AF2" s="45" t="s">
        <v>1</v>
      </c>
      <c r="AG2" s="45" t="s">
        <v>1</v>
      </c>
      <c r="AH2" s="45" t="s">
        <v>1</v>
      </c>
      <c r="AI2" s="45" t="s">
        <v>1</v>
      </c>
      <c r="AJ2" s="45" t="s">
        <v>1</v>
      </c>
      <c r="AK2" s="45" t="s">
        <v>1</v>
      </c>
      <c r="AL2" s="45" t="s">
        <v>1</v>
      </c>
    </row>
    <row r="3" spans="1:38" ht="15.6">
      <c r="A3" s="46" t="s">
        <v>153</v>
      </c>
      <c r="B3" s="46" t="s">
        <v>153</v>
      </c>
      <c r="C3" s="46" t="s">
        <v>153</v>
      </c>
      <c r="D3" s="46" t="s">
        <v>153</v>
      </c>
      <c r="E3" s="46" t="s">
        <v>153</v>
      </c>
      <c r="F3" s="46" t="s">
        <v>153</v>
      </c>
      <c r="G3" s="46" t="s">
        <v>153</v>
      </c>
      <c r="H3" s="46" t="s">
        <v>153</v>
      </c>
      <c r="I3" s="46" t="s">
        <v>153</v>
      </c>
      <c r="J3" s="46" t="s">
        <v>153</v>
      </c>
      <c r="K3" s="46" t="s">
        <v>153</v>
      </c>
      <c r="L3" s="46" t="s">
        <v>153</v>
      </c>
      <c r="M3" s="46" t="s">
        <v>153</v>
      </c>
      <c r="N3" s="46" t="s">
        <v>153</v>
      </c>
      <c r="O3" s="46" t="s">
        <v>153</v>
      </c>
      <c r="P3" s="46" t="s">
        <v>153</v>
      </c>
      <c r="Q3" s="46" t="s">
        <v>153</v>
      </c>
      <c r="R3" s="46" t="s">
        <v>153</v>
      </c>
      <c r="S3" s="46" t="s">
        <v>153</v>
      </c>
      <c r="T3" s="46" t="s">
        <v>153</v>
      </c>
      <c r="U3" s="46" t="s">
        <v>153</v>
      </c>
      <c r="V3" s="46" t="s">
        <v>153</v>
      </c>
      <c r="W3" s="46" t="s">
        <v>153</v>
      </c>
      <c r="X3" s="46" t="s">
        <v>153</v>
      </c>
      <c r="Y3" s="46" t="s">
        <v>153</v>
      </c>
      <c r="Z3" s="46" t="s">
        <v>153</v>
      </c>
      <c r="AA3" s="46" t="s">
        <v>153</v>
      </c>
      <c r="AB3" s="46" t="s">
        <v>153</v>
      </c>
      <c r="AC3" s="46" t="s">
        <v>153</v>
      </c>
      <c r="AD3" s="46" t="s">
        <v>153</v>
      </c>
      <c r="AE3" s="46" t="s">
        <v>153</v>
      </c>
      <c r="AF3" s="46" t="s">
        <v>153</v>
      </c>
      <c r="AG3" s="46" t="s">
        <v>153</v>
      </c>
      <c r="AH3" s="46" t="s">
        <v>153</v>
      </c>
      <c r="AI3" s="46" t="s">
        <v>153</v>
      </c>
      <c r="AJ3" s="46" t="s">
        <v>153</v>
      </c>
      <c r="AK3" s="46" t="s">
        <v>153</v>
      </c>
      <c r="AL3" s="46" t="s">
        <v>153</v>
      </c>
    </row>
    <row r="5" spans="1:38" ht="13.5" customHeight="1">
      <c r="A5" s="47" t="s">
        <v>3</v>
      </c>
      <c r="B5" s="48" t="s">
        <v>4</v>
      </c>
      <c r="C5" s="49" t="s">
        <v>3</v>
      </c>
      <c r="D5" s="48" t="s">
        <v>5</v>
      </c>
      <c r="E5" s="49" t="s">
        <v>3</v>
      </c>
      <c r="F5" s="48" t="s">
        <v>6</v>
      </c>
      <c r="G5" s="49" t="s">
        <v>3</v>
      </c>
      <c r="H5" s="48" t="s">
        <v>7</v>
      </c>
      <c r="I5" s="49" t="s">
        <v>3</v>
      </c>
      <c r="J5" s="48" t="s">
        <v>8</v>
      </c>
      <c r="K5" s="49" t="s">
        <v>3</v>
      </c>
      <c r="L5" s="48" t="s">
        <v>9</v>
      </c>
      <c r="M5" s="49" t="s">
        <v>3</v>
      </c>
      <c r="N5" s="48" t="s">
        <v>10</v>
      </c>
      <c r="O5" s="49" t="s">
        <v>3</v>
      </c>
      <c r="P5" s="48" t="s">
        <v>11</v>
      </c>
      <c r="Q5" s="49" t="s">
        <v>3</v>
      </c>
      <c r="R5" s="48" t="s">
        <v>12</v>
      </c>
      <c r="S5" s="49" t="s">
        <v>3</v>
      </c>
      <c r="T5" s="48" t="s">
        <v>13</v>
      </c>
      <c r="U5" s="49" t="s">
        <v>3</v>
      </c>
      <c r="V5" s="48" t="s">
        <v>14</v>
      </c>
      <c r="W5" s="49" t="s">
        <v>3</v>
      </c>
      <c r="X5" s="48" t="s">
        <v>15</v>
      </c>
      <c r="Y5" s="49" t="s">
        <v>3</v>
      </c>
      <c r="Z5" s="48" t="s">
        <v>16</v>
      </c>
      <c r="AA5" s="49" t="s">
        <v>3</v>
      </c>
      <c r="AB5" s="48" t="s">
        <v>17</v>
      </c>
      <c r="AC5" s="49" t="s">
        <v>3</v>
      </c>
      <c r="AD5" s="50" t="s">
        <v>18</v>
      </c>
      <c r="AE5" s="51" t="s">
        <v>3</v>
      </c>
      <c r="AF5" s="50" t="s">
        <v>19</v>
      </c>
      <c r="AG5" s="48" t="s">
        <v>20</v>
      </c>
      <c r="AH5" s="49" t="s">
        <v>3</v>
      </c>
      <c r="AI5" s="50" t="s">
        <v>21</v>
      </c>
      <c r="AJ5" s="51" t="s">
        <v>3</v>
      </c>
      <c r="AK5" s="50" t="s">
        <v>22</v>
      </c>
      <c r="AL5" s="51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28548.880000000001</v>
      </c>
      <c r="C7" s="8">
        <f>IFERROR(B7/B148, "NA")</f>
        <v>1</v>
      </c>
      <c r="D7" s="7">
        <v>34892.289999999994</v>
      </c>
      <c r="E7" s="8">
        <f>IFERROR(D7/D148, "NA")</f>
        <v>0.99999999999999978</v>
      </c>
      <c r="F7" s="7">
        <v>45409.659999999996</v>
      </c>
      <c r="G7" s="8">
        <f>IFERROR(F7/F148, "NA")</f>
        <v>0.99999999999999989</v>
      </c>
      <c r="H7" s="7">
        <v>40494.579999999994</v>
      </c>
      <c r="I7" s="8">
        <f>IFERROR(H7/H148, "NA")</f>
        <v>0.99999999999999978</v>
      </c>
      <c r="J7" s="7">
        <v>23146.28</v>
      </c>
      <c r="K7" s="8">
        <f>IFERROR(J7/J148, "NA")</f>
        <v>1</v>
      </c>
      <c r="L7" s="7">
        <v>25422.050000000007</v>
      </c>
      <c r="M7" s="8">
        <f>IFERROR(L7/L148, "NA")</f>
        <v>1.0000000000000002</v>
      </c>
      <c r="N7" s="7">
        <v>24506.450000000004</v>
      </c>
      <c r="O7" s="8">
        <f>IFERROR(N7/N148, "NA")</f>
        <v>1.0000000000000002</v>
      </c>
      <c r="P7" s="7">
        <v>25844.799999999996</v>
      </c>
      <c r="Q7" s="8">
        <f>IFERROR(P7/P148, "NA")</f>
        <v>0.99999999999999989</v>
      </c>
      <c r="R7" s="7">
        <v>28469.190000000002</v>
      </c>
      <c r="S7" s="8">
        <f>IFERROR(R7/R148, "NA")</f>
        <v>1.0000000000000002</v>
      </c>
      <c r="T7" s="7">
        <v>24574.080000000002</v>
      </c>
      <c r="U7" s="8">
        <f>IFERROR(T7/T148, "NA")</f>
        <v>1</v>
      </c>
      <c r="V7" s="7">
        <v>21459.17</v>
      </c>
      <c r="W7" s="8">
        <f>IFERROR(V7/V148, "NA")</f>
        <v>1</v>
      </c>
      <c r="X7" s="7">
        <v>44464.369999999995</v>
      </c>
      <c r="Y7" s="8">
        <f>IFERROR(X7/X148, "NA")</f>
        <v>0.99999999999999989</v>
      </c>
      <c r="Z7" s="7">
        <v>118966.80999999998</v>
      </c>
      <c r="AA7" s="8">
        <f>IFERROR(Z7/Z148, "NA")</f>
        <v>0.99999999999999989</v>
      </c>
      <c r="AB7" s="9">
        <f>IFERROR((R7+T7+V7+X7)/4, "NA")</f>
        <v>29741.702499999999</v>
      </c>
      <c r="AC7" s="8">
        <f>IFERROR(AB7/AB148, "NA")</f>
        <v>1</v>
      </c>
      <c r="AD7" s="10">
        <f>IFERROR(X7-AB7, "NA")</f>
        <v>14722.667499999996</v>
      </c>
      <c r="AE7" s="11">
        <f>IFERROR(AD7/AD148, "NA")</f>
        <v>0.99999999999999956</v>
      </c>
      <c r="AF7" s="10">
        <f>IFERROR((X7-AB7)/AB7, "NA")</f>
        <v>0.49501764399667425</v>
      </c>
      <c r="AG7" s="9">
        <f>IFERROR((J7+L7+N7+P7+R7+T7+V7+X7)/8, "NA")</f>
        <v>27235.798749999994</v>
      </c>
      <c r="AH7" s="8">
        <f>IFERROR(AG7/AG148, "NA")</f>
        <v>0.99999999999999978</v>
      </c>
      <c r="AI7" s="10">
        <f>IFERROR(X7-AG7, "NA")</f>
        <v>17228.571250000001</v>
      </c>
      <c r="AJ7" s="11">
        <f>IFERROR(AI7/AI148, "NA")</f>
        <v>1</v>
      </c>
      <c r="AK7" s="10">
        <f>IFERROR((X7-AG7)/AG7, "NA")</f>
        <v>0.6325708090349289</v>
      </c>
      <c r="AL7" s="11">
        <f>IFERROR(AK7/AK148, "NA")</f>
        <v>1.0000000000000004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28548.880000000001</v>
      </c>
      <c r="C9" s="14">
        <f>IFERROR(B9/B148, "NA")</f>
        <v>1</v>
      </c>
      <c r="D9" s="13">
        <f>IFERROR(D7+D8, "NA")</f>
        <v>34892.289999999994</v>
      </c>
      <c r="E9" s="14">
        <f>IFERROR(D9/D148, "NA")</f>
        <v>0.99999999999999978</v>
      </c>
      <c r="F9" s="13">
        <f>IFERROR(F7+F8, "NA")</f>
        <v>45409.659999999996</v>
      </c>
      <c r="G9" s="14">
        <f>IFERROR(F9/F148, "NA")</f>
        <v>0.99999999999999989</v>
      </c>
      <c r="H9" s="13">
        <f>IFERROR(H7+H8, "NA")</f>
        <v>40494.579999999994</v>
      </c>
      <c r="I9" s="14">
        <f>IFERROR(H9/H148, "NA")</f>
        <v>0.99999999999999978</v>
      </c>
      <c r="J9" s="13">
        <f>IFERROR(J7+J8, "NA")</f>
        <v>23146.28</v>
      </c>
      <c r="K9" s="14">
        <f>IFERROR(J9/J148, "NA")</f>
        <v>1</v>
      </c>
      <c r="L9" s="13">
        <f>IFERROR(L7+L8, "NA")</f>
        <v>25422.050000000007</v>
      </c>
      <c r="M9" s="14">
        <f>IFERROR(L9/L148, "NA")</f>
        <v>1.0000000000000002</v>
      </c>
      <c r="N9" s="13">
        <f>IFERROR(N7+N8, "NA")</f>
        <v>24506.450000000004</v>
      </c>
      <c r="O9" s="14">
        <f>IFERROR(N9/N148, "NA")</f>
        <v>1.0000000000000002</v>
      </c>
      <c r="P9" s="13">
        <f>IFERROR(P7+P8, "NA")</f>
        <v>25844.799999999996</v>
      </c>
      <c r="Q9" s="14">
        <f>IFERROR(P9/P148, "NA")</f>
        <v>0.99999999999999989</v>
      </c>
      <c r="R9" s="13">
        <f>IFERROR(R7+R8, "NA")</f>
        <v>28469.190000000002</v>
      </c>
      <c r="S9" s="14">
        <f>IFERROR(R9/R148, "NA")</f>
        <v>1.0000000000000002</v>
      </c>
      <c r="T9" s="13">
        <f>IFERROR(T7+T8, "NA")</f>
        <v>24574.080000000002</v>
      </c>
      <c r="U9" s="14">
        <f>IFERROR(T9/T148, "NA")</f>
        <v>1</v>
      </c>
      <c r="V9" s="13">
        <f>IFERROR(V7+V8, "NA")</f>
        <v>21459.17</v>
      </c>
      <c r="W9" s="14">
        <f>IFERROR(V9/V148, "NA")</f>
        <v>1</v>
      </c>
      <c r="X9" s="13">
        <f>IFERROR(X7+X8, "NA")</f>
        <v>44464.369999999995</v>
      </c>
      <c r="Y9" s="14">
        <f>IFERROR(X9/X148, "NA")</f>
        <v>0.99999999999999989</v>
      </c>
      <c r="Z9" s="13">
        <f>IFERROR(Z7+Z8, "NA")</f>
        <v>118966.80999999998</v>
      </c>
      <c r="AA9" s="14">
        <f>IFERROR(Z9/Z148, "NA")</f>
        <v>0.99999999999999989</v>
      </c>
      <c r="AB9" s="13">
        <f>IFERROR((R9+T9+V9+X9)/4, "NA")</f>
        <v>29741.702499999999</v>
      </c>
      <c r="AC9" s="14">
        <f>IFERROR(AB9/AB148, "NA")</f>
        <v>1</v>
      </c>
      <c r="AD9" s="15">
        <f>IFERROR(X9-AB9, "NA")</f>
        <v>14722.667499999996</v>
      </c>
      <c r="AE9" s="16">
        <f>IFERROR(AD9/AD148, "NA")</f>
        <v>0.99999999999999956</v>
      </c>
      <c r="AF9" s="15">
        <f>IFERROR((X9-AB9)/AB9, "NA")</f>
        <v>0.49501764399667425</v>
      </c>
      <c r="AG9" s="13">
        <f>IFERROR((J9+L9+N9+P9+R9+T9+V9+X9)/8, "NA")</f>
        <v>27235.798749999994</v>
      </c>
      <c r="AH9" s="14">
        <f>IFERROR(AG9/AG148, "NA")</f>
        <v>0.99999999999999978</v>
      </c>
      <c r="AI9" s="15">
        <f>IFERROR(X9-AG9, "NA")</f>
        <v>17228.571250000001</v>
      </c>
      <c r="AJ9" s="16">
        <f>IFERROR(AI9/AI148, "NA")</f>
        <v>1</v>
      </c>
      <c r="AK9" s="15">
        <f>IFERROR((X9-AG9)/AG9, "NA")</f>
        <v>0.6325708090349289</v>
      </c>
      <c r="AL9" s="16">
        <f>IFERROR(AK9/AK148, "NA")</f>
        <v>1.0000000000000004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1123.6300000000001</v>
      </c>
      <c r="C16" s="8">
        <f>IFERROR(B16/B148, "NA")</f>
        <v>3.9358111421533878E-2</v>
      </c>
      <c r="D16" s="7">
        <v>1562.6</v>
      </c>
      <c r="E16" s="8">
        <f>IFERROR(D16/D148, "NA")</f>
        <v>4.4783532407875776E-2</v>
      </c>
      <c r="F16" s="7">
        <v>1618.52</v>
      </c>
      <c r="G16" s="8">
        <f>IFERROR(F16/F148, "NA")</f>
        <v>3.5642636390582967E-2</v>
      </c>
      <c r="H16" s="7">
        <v>1586.33</v>
      </c>
      <c r="I16" s="8">
        <f>IFERROR(H16/H148, "NA")</f>
        <v>3.9173884505037462E-2</v>
      </c>
      <c r="J16" s="7">
        <v>843.49</v>
      </c>
      <c r="K16" s="8">
        <f>IFERROR(J16/J148, "NA")</f>
        <v>3.6441708991682469E-2</v>
      </c>
      <c r="L16" s="7">
        <v>1074.76</v>
      </c>
      <c r="M16" s="8">
        <f>IFERROR(L16/L148, "NA")</f>
        <v>4.2276685003766419E-2</v>
      </c>
      <c r="N16" s="7">
        <v>1065.3399999999999</v>
      </c>
      <c r="O16" s="8">
        <f>IFERROR(N16/N148, "NA")</f>
        <v>4.3471820683942383E-2</v>
      </c>
      <c r="P16" s="7">
        <v>931.84</v>
      </c>
      <c r="Q16" s="8">
        <f>IFERROR(P16/P148, "NA")</f>
        <v>3.605522194019687E-2</v>
      </c>
      <c r="R16" s="7">
        <v>923.91</v>
      </c>
      <c r="S16" s="8">
        <f>IFERROR(R16/R148, "NA")</f>
        <v>3.2452978114235073E-2</v>
      </c>
      <c r="T16" s="7">
        <v>883.45</v>
      </c>
      <c r="U16" s="8">
        <f>IFERROR(T16/T148, "NA")</f>
        <v>3.5950481157382086E-2</v>
      </c>
      <c r="V16" s="7">
        <v>1021.44</v>
      </c>
      <c r="W16" s="8">
        <f>IFERROR(V16/V148, "NA")</f>
        <v>4.7599231470741882E-2</v>
      </c>
      <c r="X16" s="7">
        <v>1429.32</v>
      </c>
      <c r="Y16" s="8">
        <f>IFERROR(X16/X148, "NA")</f>
        <v>3.2145288463549575E-2</v>
      </c>
      <c r="Z16" s="7">
        <v>4258.12</v>
      </c>
      <c r="AA16" s="8">
        <f>IFERROR(Z16/Z148, "NA")</f>
        <v>3.5792503808415137E-2</v>
      </c>
      <c r="AB16" s="9">
        <f t="shared" si="0"/>
        <v>1064.53</v>
      </c>
      <c r="AC16" s="8">
        <f>IFERROR(AB16/AB148, "NA")</f>
        <v>3.5792503808415137E-2</v>
      </c>
      <c r="AD16" s="10">
        <f t="shared" si="1"/>
        <v>364.78999999999996</v>
      </c>
      <c r="AE16" s="11">
        <f>IFERROR(AD16/AD148, "NA")</f>
        <v>2.4777439278581812E-2</v>
      </c>
      <c r="AF16" s="10">
        <f t="shared" si="2"/>
        <v>0.34267704996571252</v>
      </c>
      <c r="AG16" s="9">
        <f t="shared" si="3"/>
        <v>1021.6937499999999</v>
      </c>
      <c r="AH16" s="8">
        <f>IFERROR(AG16/AG148, "NA")</f>
        <v>3.7512898350374239E-2</v>
      </c>
      <c r="AI16" s="10">
        <f t="shared" si="4"/>
        <v>407.62625000000003</v>
      </c>
      <c r="AJ16" s="11">
        <f>IFERROR(AI16/AI148, "NA")</f>
        <v>2.3659898669775071E-2</v>
      </c>
      <c r="AK16" s="10">
        <f t="shared" si="5"/>
        <v>0.39897107132151888</v>
      </c>
      <c r="AL16" s="11">
        <f>IFERROR(AK16/AK148, "NA")</f>
        <v>0.63071369342857053</v>
      </c>
    </row>
    <row r="17" spans="1:38" ht="16.5" customHeight="1">
      <c r="A17" s="25" t="s">
        <v>32</v>
      </c>
      <c r="B17" s="7">
        <v>686.16</v>
      </c>
      <c r="C17" s="8">
        <f>IFERROR(B17/B148, "NA")</f>
        <v>2.4034568081129627E-2</v>
      </c>
      <c r="D17" s="7">
        <v>670.97</v>
      </c>
      <c r="E17" s="8">
        <f>IFERROR(D17/D148, "NA")</f>
        <v>1.922974960944094E-2</v>
      </c>
      <c r="F17" s="7">
        <v>1434.38</v>
      </c>
      <c r="G17" s="8">
        <f>IFERROR(F17/F148, "NA")</f>
        <v>3.1587552075923932E-2</v>
      </c>
      <c r="H17" s="7">
        <v>783.84</v>
      </c>
      <c r="I17" s="8">
        <f>IFERROR(H17/H148, "NA")</f>
        <v>1.9356664521523622E-2</v>
      </c>
      <c r="J17" s="7">
        <v>392.89</v>
      </c>
      <c r="K17" s="8">
        <f>IFERROR(J17/J148, "NA")</f>
        <v>1.6974217887280374E-2</v>
      </c>
      <c r="L17" s="7">
        <v>605.05999999999995</v>
      </c>
      <c r="M17" s="8">
        <f>IFERROR(L17/L148, "NA")</f>
        <v>2.3800598299507709E-2</v>
      </c>
      <c r="N17" s="7">
        <v>741.04</v>
      </c>
      <c r="O17" s="8">
        <f>IFERROR(N17/N148, "NA")</f>
        <v>3.0238569845897709E-2</v>
      </c>
      <c r="P17" s="7">
        <v>553.62</v>
      </c>
      <c r="Q17" s="8">
        <f>IFERROR(P17/P148, "NA")</f>
        <v>2.1420943477991707E-2</v>
      </c>
      <c r="R17" s="7">
        <v>715.58</v>
      </c>
      <c r="S17" s="8">
        <f>IFERROR(R17/R148, "NA")</f>
        <v>2.5135242695700163E-2</v>
      </c>
      <c r="T17" s="7">
        <v>564.22</v>
      </c>
      <c r="U17" s="8">
        <f>IFERROR(T17/T148, "NA")</f>
        <v>2.2959964320129176E-2</v>
      </c>
      <c r="V17" s="7">
        <v>677.4</v>
      </c>
      <c r="W17" s="8">
        <f>IFERROR(V17/V148, "NA")</f>
        <v>3.1566924536223909E-2</v>
      </c>
      <c r="X17" s="7">
        <v>1082.1300000000001</v>
      </c>
      <c r="Y17" s="8">
        <f>IFERROR(X17/X148, "NA")</f>
        <v>2.4337014108149965E-2</v>
      </c>
      <c r="Z17" s="7">
        <v>3039.33</v>
      </c>
      <c r="AA17" s="8">
        <f>IFERROR(Z17/Z148, "NA")</f>
        <v>2.5547713685859105E-2</v>
      </c>
      <c r="AB17" s="9">
        <f t="shared" si="0"/>
        <v>759.8325000000001</v>
      </c>
      <c r="AC17" s="8">
        <f>IFERROR(AB17/AB148, "NA")</f>
        <v>2.5547713685859109E-2</v>
      </c>
      <c r="AD17" s="10">
        <f t="shared" si="1"/>
        <v>322.29750000000001</v>
      </c>
      <c r="AE17" s="11">
        <f>IFERROR(AD17/AD148, "NA")</f>
        <v>2.1891243553520442E-2</v>
      </c>
      <c r="AF17" s="10">
        <f t="shared" si="2"/>
        <v>0.42416914254128374</v>
      </c>
      <c r="AG17" s="9">
        <f t="shared" si="3"/>
        <v>666.49249999999995</v>
      </c>
      <c r="AH17" s="8">
        <f>IFERROR(AG17/AG148, "NA")</f>
        <v>2.4471193450862162E-2</v>
      </c>
      <c r="AI17" s="10">
        <f t="shared" si="4"/>
        <v>415.63750000000016</v>
      </c>
      <c r="AJ17" s="11">
        <f>IFERROR(AI17/AI148, "NA")</f>
        <v>2.4124896601626217E-2</v>
      </c>
      <c r="AK17" s="10">
        <f t="shared" si="5"/>
        <v>0.62361917050829563</v>
      </c>
      <c r="AL17" s="11">
        <f>IFERROR(AK17/AK148, "NA")</f>
        <v>0.98584879605764619</v>
      </c>
    </row>
    <row r="18" spans="1:38" ht="16.5" customHeight="1">
      <c r="A18" s="25" t="s">
        <v>33</v>
      </c>
      <c r="B18" s="7">
        <v>1133.83</v>
      </c>
      <c r="C18" s="8">
        <f>IFERROR(B18/B148, "NA")</f>
        <v>3.9715393388462174E-2</v>
      </c>
      <c r="D18" s="7">
        <v>1162.22</v>
      </c>
      <c r="E18" s="8">
        <f>IFERROR(D18/D148, "NA")</f>
        <v>3.330879113981914E-2</v>
      </c>
      <c r="F18" s="7">
        <v>1669.07</v>
      </c>
      <c r="G18" s="8">
        <f>IFERROR(F18/F148, "NA")</f>
        <v>3.6755835652590219E-2</v>
      </c>
      <c r="H18" s="7">
        <v>1968.65</v>
      </c>
      <c r="I18" s="8">
        <f>IFERROR(H18/H148, "NA")</f>
        <v>4.8615148002522805E-2</v>
      </c>
      <c r="J18" s="7">
        <v>756.24</v>
      </c>
      <c r="K18" s="8">
        <f>IFERROR(J18/J148, "NA")</f>
        <v>3.2672204777614372E-2</v>
      </c>
      <c r="L18" s="7">
        <v>711.53</v>
      </c>
      <c r="M18" s="8">
        <f>IFERROR(L18/L148, "NA")</f>
        <v>2.798869485348349E-2</v>
      </c>
      <c r="N18" s="7">
        <v>884.66</v>
      </c>
      <c r="O18" s="8">
        <f>IFERROR(N18/N148, "NA")</f>
        <v>3.6099067796437262E-2</v>
      </c>
      <c r="P18" s="7">
        <v>680.62</v>
      </c>
      <c r="Q18" s="8">
        <f>IFERROR(P18/P148, "NA")</f>
        <v>2.6334891351451745E-2</v>
      </c>
      <c r="R18" s="7">
        <v>834.53</v>
      </c>
      <c r="S18" s="8">
        <f>IFERROR(R18/R148, "NA")</f>
        <v>2.9313443761483905E-2</v>
      </c>
      <c r="T18" s="7">
        <v>875.36</v>
      </c>
      <c r="U18" s="8">
        <f>IFERROR(T18/T148, "NA")</f>
        <v>3.5621272495247019E-2</v>
      </c>
      <c r="V18" s="7">
        <v>687.61</v>
      </c>
      <c r="W18" s="8">
        <f>IFERROR(V18/V148, "NA")</f>
        <v>3.2042711810382228E-2</v>
      </c>
      <c r="X18" s="7">
        <v>1193.1500000000001</v>
      </c>
      <c r="Y18" s="8">
        <f>IFERROR(X18/X148, "NA")</f>
        <v>2.6833844716567447E-2</v>
      </c>
      <c r="Z18" s="7">
        <v>3590.65</v>
      </c>
      <c r="AA18" s="8">
        <f>IFERROR(Z18/Z148, "NA")</f>
        <v>3.0181947385157257E-2</v>
      </c>
      <c r="AB18" s="9">
        <f t="shared" si="0"/>
        <v>897.66250000000002</v>
      </c>
      <c r="AC18" s="8">
        <f>IFERROR(AB18/AB148, "NA")</f>
        <v>3.0181947385157257E-2</v>
      </c>
      <c r="AD18" s="10">
        <f t="shared" si="1"/>
        <v>295.48750000000007</v>
      </c>
      <c r="AE18" s="11">
        <f>IFERROR(AD18/AD148, "NA")</f>
        <v>2.0070242026453428E-2</v>
      </c>
      <c r="AF18" s="10">
        <f t="shared" si="2"/>
        <v>0.32917438346817435</v>
      </c>
      <c r="AG18" s="9">
        <f t="shared" si="3"/>
        <v>827.96249999999986</v>
      </c>
      <c r="AH18" s="8">
        <f>IFERROR(AG18/AG148, "NA")</f>
        <v>3.0399787705877354E-2</v>
      </c>
      <c r="AI18" s="10">
        <f t="shared" si="4"/>
        <v>365.18750000000023</v>
      </c>
      <c r="AJ18" s="11">
        <f>IFERROR(AI18/AI148, "NA")</f>
        <v>2.1196621281059518E-2</v>
      </c>
      <c r="AK18" s="10">
        <f t="shared" si="5"/>
        <v>0.44106768120536893</v>
      </c>
      <c r="AL18" s="11">
        <f>IFERROR(AK18/AK148, "NA")</f>
        <v>0.69726214821432664</v>
      </c>
    </row>
    <row r="19" spans="1:38" ht="16.5" customHeight="1">
      <c r="A19" s="25" t="s">
        <v>34</v>
      </c>
      <c r="B19" s="7">
        <v>654.19000000000005</v>
      </c>
      <c r="C19" s="8">
        <f>IFERROR(B19/B148, "NA")</f>
        <v>2.2914734308316125E-2</v>
      </c>
      <c r="D19" s="7">
        <v>476.96</v>
      </c>
      <c r="E19" s="8">
        <f>IFERROR(D19/D148, "NA")</f>
        <v>1.3669495467336767E-2</v>
      </c>
      <c r="F19" s="7">
        <v>780.81</v>
      </c>
      <c r="G19" s="8">
        <f>IFERROR(F19/F148, "NA")</f>
        <v>1.7194799520630629E-2</v>
      </c>
      <c r="H19" s="7">
        <v>752.33</v>
      </c>
      <c r="I19" s="8">
        <f>IFERROR(H19/H148, "NA")</f>
        <v>1.8578535695394298E-2</v>
      </c>
      <c r="J19" s="7">
        <v>423.57</v>
      </c>
      <c r="K19" s="8">
        <f>IFERROR(J19/J148, "NA")</f>
        <v>1.8299700859058129E-2</v>
      </c>
      <c r="L19" s="7">
        <v>417</v>
      </c>
      <c r="M19" s="8">
        <f>IFERROR(L19/L148, "NA")</f>
        <v>1.6403083150257357E-2</v>
      </c>
      <c r="N19" s="7">
        <v>469.09</v>
      </c>
      <c r="O19" s="8">
        <f>IFERROR(N19/N148, "NA")</f>
        <v>1.9141491321672456E-2</v>
      </c>
      <c r="P19" s="7">
        <v>454</v>
      </c>
      <c r="Q19" s="8">
        <f>IFERROR(P19/P148, "NA")</f>
        <v>1.7566396335046121E-2</v>
      </c>
      <c r="R19" s="7">
        <v>604.47</v>
      </c>
      <c r="S19" s="8">
        <f>IFERROR(R19/R148, "NA")</f>
        <v>2.1232427055353525E-2</v>
      </c>
      <c r="T19" s="7">
        <v>471.45</v>
      </c>
      <c r="U19" s="8">
        <f>IFERROR(T19/T148, "NA")</f>
        <v>1.9184848425658253E-2</v>
      </c>
      <c r="V19" s="7">
        <v>427.59</v>
      </c>
      <c r="W19" s="8">
        <f>IFERROR(V19/V148, "NA")</f>
        <v>1.9925747361151432E-2</v>
      </c>
      <c r="X19" s="7">
        <v>997.42</v>
      </c>
      <c r="Y19" s="8">
        <f>IFERROR(X19/X148, "NA")</f>
        <v>2.2431893221471481E-2</v>
      </c>
      <c r="Z19" s="7">
        <v>2500.9299999999998</v>
      </c>
      <c r="AA19" s="8">
        <f>IFERROR(Z19/Z148, "NA")</f>
        <v>2.1022081704973009E-2</v>
      </c>
      <c r="AB19" s="9">
        <f t="shared" si="0"/>
        <v>625.23249999999996</v>
      </c>
      <c r="AC19" s="8">
        <f>IFERROR(AB19/AB148, "NA")</f>
        <v>2.1022081704973009E-2</v>
      </c>
      <c r="AD19" s="10">
        <f t="shared" si="1"/>
        <v>372.1875</v>
      </c>
      <c r="AE19" s="11">
        <f>IFERROR(AD19/AD148, "NA")</f>
        <v>2.5279895779755941E-2</v>
      </c>
      <c r="AF19" s="10">
        <f t="shared" si="2"/>
        <v>0.59527855637702776</v>
      </c>
      <c r="AG19" s="9">
        <f t="shared" si="3"/>
        <v>533.07375000000002</v>
      </c>
      <c r="AH19" s="8">
        <f>IFERROR(AG19/AG148, "NA")</f>
        <v>1.957253961571441E-2</v>
      </c>
      <c r="AI19" s="10">
        <f t="shared" si="4"/>
        <v>464.34624999999994</v>
      </c>
      <c r="AJ19" s="11">
        <f>IFERROR(AI19/AI148, "NA")</f>
        <v>2.6952104342372551E-2</v>
      </c>
      <c r="AK19" s="10">
        <f t="shared" si="5"/>
        <v>0.87107318640244413</v>
      </c>
      <c r="AL19" s="11">
        <f>IFERROR(AK19/AK148, "NA")</f>
        <v>1.377036647851934</v>
      </c>
    </row>
    <row r="20" spans="1:38" ht="16.5" customHeight="1">
      <c r="A20" s="25" t="s">
        <v>35</v>
      </c>
      <c r="B20" s="7">
        <v>329.68</v>
      </c>
      <c r="C20" s="8">
        <f>IFERROR(B20/B148, "NA")</f>
        <v>1.1547913613423715E-2</v>
      </c>
      <c r="D20" s="7">
        <v>368.44</v>
      </c>
      <c r="E20" s="8">
        <f>IFERROR(D20/D148, "NA")</f>
        <v>1.0559352796849962E-2</v>
      </c>
      <c r="F20" s="7">
        <v>381.66</v>
      </c>
      <c r="G20" s="8">
        <f>IFERROR(F20/F148, "NA")</f>
        <v>8.4048195912499683E-3</v>
      </c>
      <c r="H20" s="7">
        <v>437.72</v>
      </c>
      <c r="I20" s="8">
        <f>IFERROR(H20/H148, "NA")</f>
        <v>1.0809347818893294E-2</v>
      </c>
      <c r="J20" s="7">
        <v>323.17</v>
      </c>
      <c r="K20" s="8">
        <f>IFERROR(J20/J148, "NA")</f>
        <v>1.3962070794961439E-2</v>
      </c>
      <c r="L20" s="7">
        <v>279.8</v>
      </c>
      <c r="M20" s="8">
        <f>IFERROR(L20/L148, "NA")</f>
        <v>1.1006193442306975E-2</v>
      </c>
      <c r="N20" s="7">
        <v>286.86</v>
      </c>
      <c r="O20" s="8">
        <f>IFERROR(N20/N148, "NA")</f>
        <v>1.1705489779221388E-2</v>
      </c>
      <c r="P20" s="7">
        <v>337.28</v>
      </c>
      <c r="Q20" s="8">
        <f>IFERROR(P20/P148, "NA")</f>
        <v>1.3050207391815762E-2</v>
      </c>
      <c r="R20" s="7">
        <v>336.91</v>
      </c>
      <c r="S20" s="8">
        <f>IFERROR(R20/R148, "NA")</f>
        <v>1.1834196898471648E-2</v>
      </c>
      <c r="T20" s="7">
        <v>252.24</v>
      </c>
      <c r="U20" s="8">
        <f>IFERROR(T20/T148, "NA")</f>
        <v>1.0264473787014609E-2</v>
      </c>
      <c r="V20" s="7">
        <v>291.58999999999997</v>
      </c>
      <c r="W20" s="8">
        <f>IFERROR(V20/V148, "NA")</f>
        <v>1.3588130389013181E-2</v>
      </c>
      <c r="X20" s="7">
        <v>411.28</v>
      </c>
      <c r="Y20" s="8">
        <f>IFERROR(X20/X148, "NA")</f>
        <v>9.2496531492518609E-3</v>
      </c>
      <c r="Z20" s="7">
        <v>1292.02</v>
      </c>
      <c r="AA20" s="8">
        <f>IFERROR(Z20/Z148, "NA")</f>
        <v>1.0860339955320311E-2</v>
      </c>
      <c r="AB20" s="9">
        <f t="shared" si="0"/>
        <v>323.005</v>
      </c>
      <c r="AC20" s="8">
        <f>IFERROR(AB20/AB148, "NA")</f>
        <v>1.0860339955320311E-2</v>
      </c>
      <c r="AD20" s="10">
        <f t="shared" si="1"/>
        <v>88.274999999999977</v>
      </c>
      <c r="AE20" s="11">
        <f>IFERROR(AD20/AD148, "NA")</f>
        <v>5.9958563894756131E-3</v>
      </c>
      <c r="AF20" s="10">
        <f t="shared" si="2"/>
        <v>0.27329298308075722</v>
      </c>
      <c r="AG20" s="9">
        <f t="shared" si="3"/>
        <v>314.89125000000001</v>
      </c>
      <c r="AH20" s="8">
        <f>IFERROR(AG20/AG148, "NA")</f>
        <v>1.1561667527742325E-2</v>
      </c>
      <c r="AI20" s="10">
        <f t="shared" si="4"/>
        <v>96.388749999999959</v>
      </c>
      <c r="AJ20" s="11">
        <f>IFERROR(AI20/AI148, "NA")</f>
        <v>5.5947036234940233E-3</v>
      </c>
      <c r="AK20" s="10">
        <f t="shared" si="5"/>
        <v>0.30610170971724349</v>
      </c>
      <c r="AL20" s="11">
        <f>IFERROR(AK20/AK148, "NA")</f>
        <v>0.48390109904730277</v>
      </c>
    </row>
    <row r="21" spans="1:38" ht="16.5" customHeight="1">
      <c r="A21" s="25" t="s">
        <v>36</v>
      </c>
      <c r="B21" s="7">
        <v>133.5</v>
      </c>
      <c r="C21" s="8">
        <f>IFERROR(B21/B148, "NA")</f>
        <v>4.6761904495027477E-3</v>
      </c>
      <c r="D21" s="7">
        <v>146.44999999999999</v>
      </c>
      <c r="E21" s="8">
        <f>IFERROR(D21/D148, "NA")</f>
        <v>4.1972023045778878E-3</v>
      </c>
      <c r="F21" s="7">
        <v>514.97</v>
      </c>
      <c r="G21" s="8">
        <f>IFERROR(F21/F148, "NA")</f>
        <v>1.1340538555012302E-2</v>
      </c>
      <c r="H21" s="7">
        <v>385.34</v>
      </c>
      <c r="I21" s="8">
        <f>IFERROR(H21/H148, "NA")</f>
        <v>9.5158413792660636E-3</v>
      </c>
      <c r="J21" s="7">
        <v>126.38</v>
      </c>
      <c r="K21" s="8">
        <f>IFERROR(J21/J148, "NA")</f>
        <v>5.4600566484117536E-3</v>
      </c>
      <c r="L21" s="7">
        <v>211.05</v>
      </c>
      <c r="M21" s="8">
        <f>IFERROR(L21/L148, "NA")</f>
        <v>8.301848198709388E-3</v>
      </c>
      <c r="N21" s="7">
        <v>149.55000000000001</v>
      </c>
      <c r="O21" s="8">
        <f>IFERROR(N21/N148, "NA")</f>
        <v>6.1024750626875787E-3</v>
      </c>
      <c r="P21" s="7">
        <v>112.44</v>
      </c>
      <c r="Q21" s="8">
        <f>IFERROR(P21/P148, "NA")</f>
        <v>4.3505850306444624E-3</v>
      </c>
      <c r="R21" s="7">
        <v>158.71</v>
      </c>
      <c r="S21" s="8">
        <f>IFERROR(R21/R148, "NA")</f>
        <v>5.5747985805005345E-3</v>
      </c>
      <c r="T21" s="7">
        <v>101.46</v>
      </c>
      <c r="U21" s="8">
        <f>IFERROR(T21/T148, "NA")</f>
        <v>4.1287405266036406E-3</v>
      </c>
      <c r="V21" s="7">
        <v>304.02</v>
      </c>
      <c r="W21" s="8">
        <f>IFERROR(V21/V148, "NA")</f>
        <v>1.41673699402167E-2</v>
      </c>
      <c r="X21" s="7">
        <v>694.01</v>
      </c>
      <c r="Y21" s="8">
        <f>IFERROR(X21/X148, "NA")</f>
        <v>1.5608227441432318E-2</v>
      </c>
      <c r="Z21" s="7">
        <v>1258.2</v>
      </c>
      <c r="AA21" s="8">
        <f>IFERROR(Z21/Z148, "NA")</f>
        <v>1.0576058986535825E-2</v>
      </c>
      <c r="AB21" s="9">
        <f t="shared" si="0"/>
        <v>314.55</v>
      </c>
      <c r="AC21" s="8">
        <f>IFERROR(AB21/AB148, "NA")</f>
        <v>1.0576058986535825E-2</v>
      </c>
      <c r="AD21" s="10">
        <f t="shared" si="1"/>
        <v>379.46</v>
      </c>
      <c r="AE21" s="11">
        <f>IFERROR(AD21/AD148, "NA")</f>
        <v>2.5773861971684131E-2</v>
      </c>
      <c r="AF21" s="10">
        <f t="shared" si="2"/>
        <v>1.2063582896200922</v>
      </c>
      <c r="AG21" s="9">
        <f t="shared" si="3"/>
        <v>232.20250000000001</v>
      </c>
      <c r="AH21" s="8">
        <f>IFERROR(AG21/AG148, "NA")</f>
        <v>8.5256357682551905E-3</v>
      </c>
      <c r="AI21" s="10">
        <f t="shared" si="4"/>
        <v>461.8075</v>
      </c>
      <c r="AJ21" s="11">
        <f>IFERROR(AI21/AI148, "NA")</f>
        <v>2.6804747375671095E-2</v>
      </c>
      <c r="AK21" s="10">
        <f t="shared" si="5"/>
        <v>1.9888136432639614</v>
      </c>
      <c r="AL21" s="11">
        <f>IFERROR(AK21/AK148, "NA")</f>
        <v>3.1440174204341842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158.16</v>
      </c>
      <c r="C23" s="8">
        <f>IFERROR(B23/B148, "NA")</f>
        <v>5.539972146017637E-3</v>
      </c>
      <c r="D23" s="7">
        <v>135.97</v>
      </c>
      <c r="E23" s="8">
        <f>IFERROR(D23/D148, "NA")</f>
        <v>3.8968494185964864E-3</v>
      </c>
      <c r="F23" s="7">
        <v>204.85</v>
      </c>
      <c r="G23" s="8">
        <f>IFERROR(F23/F148, "NA")</f>
        <v>4.5111546750184871E-3</v>
      </c>
      <c r="H23" s="7">
        <v>161.16</v>
      </c>
      <c r="I23" s="8">
        <f>IFERROR(H23/H148, "NA")</f>
        <v>3.9797918635037085E-3</v>
      </c>
      <c r="J23" s="7">
        <v>210.88</v>
      </c>
      <c r="K23" s="8">
        <f>IFERROR(J23/J148, "NA")</f>
        <v>9.1107512740708236E-3</v>
      </c>
      <c r="L23" s="7">
        <v>131.51</v>
      </c>
      <c r="M23" s="8">
        <f>IFERROR(L23/L148, "NA")</f>
        <v>5.1730682616075415E-3</v>
      </c>
      <c r="N23" s="7">
        <v>273.24</v>
      </c>
      <c r="O23" s="8">
        <f>IFERROR(N23/N148, "NA")</f>
        <v>1.1149717727373814E-2</v>
      </c>
      <c r="P23" s="7">
        <v>79.84</v>
      </c>
      <c r="Q23" s="8">
        <f>IFERROR(P23/P148, "NA")</f>
        <v>3.0892094347799172E-3</v>
      </c>
      <c r="R23" s="7">
        <v>-619.03</v>
      </c>
      <c r="S23" s="8">
        <f>IFERROR(R23/R148, "NA")</f>
        <v>-2.1743857131165306E-2</v>
      </c>
      <c r="T23" s="7">
        <v>960.83</v>
      </c>
      <c r="U23" s="8">
        <f>IFERROR(T23/T148, "NA")</f>
        <v>3.909932742141313E-2</v>
      </c>
      <c r="V23" s="7">
        <v>163.1</v>
      </c>
      <c r="W23" s="8">
        <f>IFERROR(V23/V148, "NA")</f>
        <v>7.6004803540863884E-3</v>
      </c>
      <c r="X23" s="7">
        <v>183.46</v>
      </c>
      <c r="Y23" s="8">
        <f>IFERROR(X23/X148, "NA")</f>
        <v>4.1260002109554236E-3</v>
      </c>
      <c r="Z23" s="7">
        <v>688.36</v>
      </c>
      <c r="AA23" s="8">
        <f>IFERROR(Z23/Z148, "NA")</f>
        <v>5.7861516165727232E-3</v>
      </c>
      <c r="AB23" s="9">
        <f t="shared" si="0"/>
        <v>172.09000000000003</v>
      </c>
      <c r="AC23" s="8">
        <f>IFERROR(AB23/AB148, "NA")</f>
        <v>5.7861516165727241E-3</v>
      </c>
      <c r="AD23" s="10">
        <f t="shared" si="1"/>
        <v>11.369999999999976</v>
      </c>
      <c r="AE23" s="11">
        <f>IFERROR(AD23/AD148, "NA")</f>
        <v>7.7227852900977169E-4</v>
      </c>
      <c r="AF23" s="10">
        <f t="shared" si="2"/>
        <v>6.6070079609506505E-2</v>
      </c>
      <c r="AG23" s="9">
        <f t="shared" si="3"/>
        <v>172.97874999999999</v>
      </c>
      <c r="AH23" s="8">
        <f>IFERROR(AG23/AG148, "NA")</f>
        <v>6.3511539201691293E-3</v>
      </c>
      <c r="AI23" s="10">
        <f t="shared" si="4"/>
        <v>10.481250000000017</v>
      </c>
      <c r="AJ23" s="11">
        <f>IFERROR(AI23/AI148, "NA")</f>
        <v>6.0836443416629896E-4</v>
      </c>
      <c r="AK23" s="10">
        <f t="shared" si="5"/>
        <v>6.0592702860900648E-2</v>
      </c>
      <c r="AL23" s="11">
        <f>IFERROR(AK23/AK148, "NA")</f>
        <v>9.5788016132680731E-2</v>
      </c>
    </row>
    <row r="24" spans="1:38" ht="16.5" customHeight="1">
      <c r="A24" s="25" t="s">
        <v>39</v>
      </c>
      <c r="B24" s="7">
        <v>1262.8</v>
      </c>
      <c r="C24" s="8">
        <f>IFERROR(B24/B148, "NA")</f>
        <v>4.4232908611476177E-2</v>
      </c>
      <c r="D24" s="7">
        <v>1996.09</v>
      </c>
      <c r="E24" s="8">
        <f>IFERROR(D24/D148, "NA")</f>
        <v>5.7207193910173273E-2</v>
      </c>
      <c r="F24" s="7">
        <v>2667.5</v>
      </c>
      <c r="G24" s="8">
        <f>IFERROR(F24/F148, "NA")</f>
        <v>5.8743007545090618E-2</v>
      </c>
      <c r="H24" s="7">
        <v>2122.83</v>
      </c>
      <c r="I24" s="8">
        <f>IFERROR(H24/H148, "NA")</f>
        <v>5.2422571119394246E-2</v>
      </c>
      <c r="J24" s="7">
        <v>1182.8399999999999</v>
      </c>
      <c r="K24" s="8">
        <f>IFERROR(J24/J148, "NA")</f>
        <v>5.1102812201355895E-2</v>
      </c>
      <c r="L24" s="7">
        <v>2097.35</v>
      </c>
      <c r="M24" s="8">
        <f>IFERROR(L24/L148, "NA")</f>
        <v>8.2501214496863942E-2</v>
      </c>
      <c r="N24" s="7">
        <v>1372.72</v>
      </c>
      <c r="O24" s="8">
        <f>IFERROR(N24/N148, "NA")</f>
        <v>5.601464104348039E-2</v>
      </c>
      <c r="P24" s="7">
        <v>1390.86</v>
      </c>
      <c r="Q24" s="8">
        <f>IFERROR(P24/P148, "NA")</f>
        <v>5.3815854640004948E-2</v>
      </c>
      <c r="R24" s="7">
        <v>1680.19</v>
      </c>
      <c r="S24" s="8">
        <f>IFERROR(R24/R148, "NA")</f>
        <v>5.901783647515086E-2</v>
      </c>
      <c r="T24" s="7">
        <v>1205.08</v>
      </c>
      <c r="U24" s="8">
        <f>IFERROR(T24/T148, "NA")</f>
        <v>4.9038661874625612E-2</v>
      </c>
      <c r="V24" s="7">
        <v>891.25</v>
      </c>
      <c r="W24" s="8">
        <f>IFERROR(V24/V148, "NA")</f>
        <v>4.1532361223663362E-2</v>
      </c>
      <c r="X24" s="7">
        <v>2749.89</v>
      </c>
      <c r="Y24" s="8">
        <f>IFERROR(X24/X148, "NA")</f>
        <v>6.1844798430743531E-2</v>
      </c>
      <c r="Z24" s="7">
        <v>6526.41</v>
      </c>
      <c r="AA24" s="8">
        <f>IFERROR(Z24/Z148, "NA")</f>
        <v>5.4859082125510467E-2</v>
      </c>
      <c r="AB24" s="9">
        <f t="shared" si="0"/>
        <v>1631.6025</v>
      </c>
      <c r="AC24" s="8">
        <f>IFERROR(AB24/AB148, "NA")</f>
        <v>5.4859082125510467E-2</v>
      </c>
      <c r="AD24" s="10">
        <f t="shared" si="1"/>
        <v>1118.2874999999999</v>
      </c>
      <c r="AE24" s="11">
        <f>IFERROR(AD24/AD148, "NA")</f>
        <v>7.5956853606861635E-2</v>
      </c>
      <c r="AF24" s="10">
        <f t="shared" si="2"/>
        <v>0.68539212216210743</v>
      </c>
      <c r="AG24" s="9">
        <f t="shared" si="3"/>
        <v>1571.2724999999998</v>
      </c>
      <c r="AH24" s="8">
        <f>IFERROR(AG24/AG148, "NA")</f>
        <v>5.7691441856464729E-2</v>
      </c>
      <c r="AI24" s="10">
        <f t="shared" si="4"/>
        <v>1178.6175000000001</v>
      </c>
      <c r="AJ24" s="11">
        <f>IFERROR(AI24/AI148, "NA")</f>
        <v>6.8410635037423659E-2</v>
      </c>
      <c r="AK24" s="10">
        <f t="shared" si="5"/>
        <v>0.75010381712911045</v>
      </c>
      <c r="AL24" s="11">
        <f>IFERROR(AK24/AK148, "NA")</f>
        <v>1.1858021369552194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5481.95</v>
      </c>
      <c r="C27" s="14">
        <f>IFERROR(B27/B148, "NA")</f>
        <v>0.19201979201986205</v>
      </c>
      <c r="D27" s="13">
        <f>IFERROR(D15+D16+D17+D18+D19+D20+D21+D22+D23+D24+D25+D26, "NA")</f>
        <v>6519.7</v>
      </c>
      <c r="E27" s="14">
        <f>IFERROR(D27/D148, "NA")</f>
        <v>0.18685216705467023</v>
      </c>
      <c r="F27" s="13">
        <f>IFERROR(F15+F16+F17+F18+F19+F20+F21+F22+F23+F24+F25+F26, "NA")</f>
        <v>9271.760000000002</v>
      </c>
      <c r="G27" s="14">
        <f>IFERROR(F27/F148, "NA")</f>
        <v>0.20418034400609916</v>
      </c>
      <c r="H27" s="13">
        <f>IFERROR(H15+H16+H17+H18+H19+H20+H21+H22+H23+H24+H25+H26, "NA")</f>
        <v>8198.2000000000007</v>
      </c>
      <c r="I27" s="14">
        <f>IFERROR(H27/H148, "NA")</f>
        <v>0.2024517849055355</v>
      </c>
      <c r="J27" s="13">
        <f>IFERROR(J15+J16+J17+J18+J19+J20+J21+J22+J23+J24+J25+J26, "NA")</f>
        <v>4259.46</v>
      </c>
      <c r="K27" s="14">
        <f>IFERROR(J27/J148, "NA")</f>
        <v>0.18402352343443526</v>
      </c>
      <c r="L27" s="13">
        <f>IFERROR(L15+L16+L17+L18+L19+L20+L21+L22+L23+L24+L25+L26, "NA")</f>
        <v>5528.0599999999995</v>
      </c>
      <c r="M27" s="14">
        <f>IFERROR(L27/L148, "NA")</f>
        <v>0.2174513857065028</v>
      </c>
      <c r="N27" s="13">
        <f>IFERROR(N15+N16+N17+N18+N19+N20+N21+N22+N23+N24+N25+N26, "NA")</f>
        <v>5242.5000000000009</v>
      </c>
      <c r="O27" s="14">
        <f>IFERROR(N27/N148, "NA")</f>
        <v>0.21392327326071303</v>
      </c>
      <c r="P27" s="13">
        <f>IFERROR(P15+P16+P17+P18+P19+P20+P21+P22+P23+P24+P25+P26, "NA")</f>
        <v>4540.5</v>
      </c>
      <c r="Q27" s="14">
        <f>IFERROR(P27/P148, "NA")</f>
        <v>0.17568330960193154</v>
      </c>
      <c r="R27" s="13">
        <f>IFERROR(R15+R16+R17+R18+R19+R20+R21+R22+R23+R24+R25+R26, "NA")</f>
        <v>4635.2700000000004</v>
      </c>
      <c r="S27" s="14">
        <f>IFERROR(R27/R148, "NA")</f>
        <v>0.1628170664497304</v>
      </c>
      <c r="T27" s="13">
        <f>IFERROR(T15+T16+T17+T18+T19+T20+T21+T22+T23+T24+T25+T26, "NA")</f>
        <v>5314.09</v>
      </c>
      <c r="U27" s="14">
        <f>IFERROR(T27/T148, "NA")</f>
        <v>0.21624777000807355</v>
      </c>
      <c r="V27" s="13">
        <f>IFERROR(V15+V16+V17+V18+V19+V20+V21+V22+V23+V24+V25+V26, "NA")</f>
        <v>4464</v>
      </c>
      <c r="W27" s="14">
        <f>IFERROR(V27/V148, "NA")</f>
        <v>0.2080229570854791</v>
      </c>
      <c r="X27" s="13">
        <f>IFERROR(X15+X16+X17+X18+X19+X20+X21+X22+X23+X24+X25+X26, "NA")</f>
        <v>8740.66</v>
      </c>
      <c r="Y27" s="14">
        <f>IFERROR(X27/X148, "NA")</f>
        <v>0.1965767197421216</v>
      </c>
      <c r="Z27" s="13">
        <f>IFERROR(Z15+Z16+Z17+Z18+Z19+Z20+Z21+Z22+Z23+Z24+Z25+Z26, "NA")</f>
        <v>23154.02</v>
      </c>
      <c r="AA27" s="14">
        <f>IFERROR(Z27/Z148, "NA")</f>
        <v>0.19462587926834385</v>
      </c>
      <c r="AB27" s="13">
        <f t="shared" si="0"/>
        <v>5788.5050000000001</v>
      </c>
      <c r="AC27" s="14">
        <f>IFERROR(AB27/AB148, "NA")</f>
        <v>0.19462587926834385</v>
      </c>
      <c r="AD27" s="15">
        <f t="shared" si="1"/>
        <v>2952.1549999999997</v>
      </c>
      <c r="AE27" s="16">
        <f>IFERROR(AD27/AD148, "NA")</f>
        <v>0.20051767113534277</v>
      </c>
      <c r="AF27" s="15">
        <f t="shared" si="2"/>
        <v>0.51000301459530561</v>
      </c>
      <c r="AG27" s="13">
        <f t="shared" si="3"/>
        <v>5340.567500000001</v>
      </c>
      <c r="AH27" s="14">
        <f>IFERROR(AG27/AG148, "NA")</f>
        <v>0.1960863181954596</v>
      </c>
      <c r="AI27" s="15">
        <f t="shared" si="4"/>
        <v>3400.0924999999988</v>
      </c>
      <c r="AJ27" s="16">
        <f>IFERROR(AI27/AI148, "NA")</f>
        <v>0.19735197136558835</v>
      </c>
      <c r="AK27" s="15">
        <f t="shared" si="5"/>
        <v>0.63665378258022176</v>
      </c>
      <c r="AL27" s="16">
        <f>IFERROR(AK27/AK148, "NA")</f>
        <v>1.0064545715467368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428.24</v>
      </c>
      <c r="C30" s="8">
        <f>IFERROR(B30/B148, "NA")</f>
        <v>1.5000238187977952E-2</v>
      </c>
      <c r="D30" s="7">
        <v>360.74</v>
      </c>
      <c r="E30" s="8">
        <f>IFERROR(D30/D148, "NA")</f>
        <v>1.0338673672607903E-2</v>
      </c>
      <c r="F30" s="7">
        <v>871.68</v>
      </c>
      <c r="G30" s="8">
        <f>IFERROR(F30/F148, "NA")</f>
        <v>1.919591558271962E-2</v>
      </c>
      <c r="H30" s="7">
        <v>-367.22</v>
      </c>
      <c r="I30" s="8">
        <f>IFERROR(H30/H148, "NA")</f>
        <v>-9.0683740885817311E-3</v>
      </c>
      <c r="J30" s="7">
        <v>180.23</v>
      </c>
      <c r="K30" s="8">
        <f>IFERROR(J30/J148, "NA")</f>
        <v>7.7865644068938937E-3</v>
      </c>
      <c r="L30" s="7">
        <v>229.29</v>
      </c>
      <c r="M30" s="8">
        <f>IFERROR(L30/L148, "NA")</f>
        <v>9.0193355767925875E-3</v>
      </c>
      <c r="N30" s="7">
        <v>250.72</v>
      </c>
      <c r="O30" s="8">
        <f>IFERROR(N30/N148, "NA")</f>
        <v>1.0230775979385019E-2</v>
      </c>
      <c r="P30" s="7">
        <v>436.78</v>
      </c>
      <c r="Q30" s="8">
        <f>IFERROR(P30/P148, "NA")</f>
        <v>1.690011143440847E-2</v>
      </c>
      <c r="R30" s="7">
        <v>322.70999999999998</v>
      </c>
      <c r="S30" s="8">
        <f>IFERROR(R30/R148, "NA")</f>
        <v>1.1335412071787079E-2</v>
      </c>
      <c r="T30" s="7">
        <v>-68.47</v>
      </c>
      <c r="U30" s="8">
        <f>IFERROR(T30/T148, "NA")</f>
        <v>-2.7862691095658513E-3</v>
      </c>
      <c r="V30" s="7">
        <v>218.86</v>
      </c>
      <c r="W30" s="8">
        <f>IFERROR(V30/V148, "NA")</f>
        <v>1.0198903312663073E-2</v>
      </c>
      <c r="X30" s="7">
        <v>331.45</v>
      </c>
      <c r="Y30" s="8">
        <f>IFERROR(X30/X148, "NA")</f>
        <v>7.4542830585477759E-3</v>
      </c>
      <c r="Z30" s="7">
        <v>804.55</v>
      </c>
      <c r="AA30" s="8">
        <f>IFERROR(Z30/Z148, "NA")</f>
        <v>6.7628105687628339E-3</v>
      </c>
      <c r="AB30" s="9">
        <f t="shared" si="6"/>
        <v>201.13749999999999</v>
      </c>
      <c r="AC30" s="8">
        <f>IFERROR(AB30/AB148, "NA")</f>
        <v>6.7628105687628339E-3</v>
      </c>
      <c r="AD30" s="10">
        <f t="shared" si="7"/>
        <v>130.3125</v>
      </c>
      <c r="AE30" s="11">
        <f>IFERROR(AD30/AD148, "NA")</f>
        <v>8.8511473888818019E-3</v>
      </c>
      <c r="AF30" s="10">
        <f t="shared" si="8"/>
        <v>0.64787769560623953</v>
      </c>
      <c r="AG30" s="9">
        <f t="shared" si="9"/>
        <v>237.69624999999999</v>
      </c>
      <c r="AH30" s="8">
        <f>IFERROR(AG30/AG148, "NA")</f>
        <v>8.7273463936870938E-3</v>
      </c>
      <c r="AI30" s="10">
        <f t="shared" si="10"/>
        <v>93.753749999999997</v>
      </c>
      <c r="AJ30" s="11">
        <f>IFERROR(AI30/AI148, "NA")</f>
        <v>5.4417600066517411E-3</v>
      </c>
      <c r="AK30" s="10">
        <f t="shared" si="11"/>
        <v>0.39442671056022127</v>
      </c>
      <c r="AL30" s="11">
        <f>IFERROR(AK30/AK148, "NA")</f>
        <v>0.62352973758300978</v>
      </c>
    </row>
    <row r="31" spans="1:38" ht="16.5" customHeight="1">
      <c r="A31" s="25" t="s">
        <v>46</v>
      </c>
      <c r="B31" s="7">
        <v>4.87</v>
      </c>
      <c r="C31" s="8">
        <f>IFERROR(B31/B148, "NA")</f>
        <v>1.7058462538635492E-4</v>
      </c>
      <c r="D31" s="7">
        <v>15.92</v>
      </c>
      <c r="E31" s="8">
        <f>IFERROR(D31/D148, "NA")</f>
        <v>4.5626125427709099E-4</v>
      </c>
      <c r="F31" s="7">
        <v>2.44</v>
      </c>
      <c r="G31" s="8">
        <f>IFERROR(F31/F148, "NA")</f>
        <v>5.3733060322407167E-5</v>
      </c>
      <c r="H31" s="7">
        <v>26.79</v>
      </c>
      <c r="I31" s="8">
        <f>IFERROR(H31/H148, "NA")</f>
        <v>6.6157001751839374E-4</v>
      </c>
      <c r="J31" s="7">
        <v>30.18</v>
      </c>
      <c r="K31" s="8">
        <f>IFERROR(J31/J148, "NA")</f>
        <v>1.3038812284306594E-3</v>
      </c>
      <c r="L31" s="7">
        <v>7.66</v>
      </c>
      <c r="M31" s="8">
        <f>IFERROR(L31/L148, "NA")</f>
        <v>3.0131323005029098E-4</v>
      </c>
      <c r="N31" s="7">
        <v>16.420000000000002</v>
      </c>
      <c r="O31" s="8">
        <f>IFERROR(N31/N148, "NA")</f>
        <v>6.7002768658863286E-4</v>
      </c>
      <c r="P31" s="7">
        <v>12.38</v>
      </c>
      <c r="Q31" s="8">
        <f>IFERROR(P31/P148, "NA")</f>
        <v>4.790131864050022E-4</v>
      </c>
      <c r="R31" s="7">
        <v>27.36</v>
      </c>
      <c r="S31" s="8">
        <f>IFERROR(R31/R148, "NA")</f>
        <v>9.6103893366829198E-4</v>
      </c>
      <c r="T31" s="7">
        <v>7.3</v>
      </c>
      <c r="U31" s="8">
        <f>IFERROR(T31/T148, "NA")</f>
        <v>2.9706096830481543E-4</v>
      </c>
      <c r="V31" s="7">
        <v>2.44</v>
      </c>
      <c r="W31" s="8">
        <f>IFERROR(V31/V148, "NA")</f>
        <v>1.1370430450012746E-4</v>
      </c>
      <c r="X31" s="7">
        <v>2.4300000000000002</v>
      </c>
      <c r="Y31" s="8">
        <f>IFERROR(X31/X148, "NA")</f>
        <v>5.4650498815118713E-5</v>
      </c>
      <c r="Z31" s="7">
        <v>39.53</v>
      </c>
      <c r="AA31" s="8">
        <f>IFERROR(Z31/Z148, "NA")</f>
        <v>3.3227754867092766E-4</v>
      </c>
      <c r="AB31" s="9">
        <f t="shared" si="6"/>
        <v>9.8824999999999985</v>
      </c>
      <c r="AC31" s="8">
        <f>IFERROR(AB31/AB148, "NA")</f>
        <v>3.3227754867092761E-4</v>
      </c>
      <c r="AD31" s="10">
        <f t="shared" si="7"/>
        <v>-7.4524999999999988</v>
      </c>
      <c r="AE31" s="11">
        <f>IFERROR(AD31/AD148, "NA")</f>
        <v>-5.0619223724233378E-4</v>
      </c>
      <c r="AF31" s="10">
        <f t="shared" si="8"/>
        <v>-0.75411080192259039</v>
      </c>
      <c r="AG31" s="9">
        <f t="shared" si="9"/>
        <v>13.27125</v>
      </c>
      <c r="AH31" s="8">
        <f>IFERROR(AG31/AG148, "NA")</f>
        <v>4.8727228901263633E-4</v>
      </c>
      <c r="AI31" s="10">
        <f t="shared" si="10"/>
        <v>-10.84125</v>
      </c>
      <c r="AJ31" s="11">
        <f>IFERROR(AI31/AI148, "NA")</f>
        <v>-6.2925995677093653E-4</v>
      </c>
      <c r="AK31" s="10">
        <f t="shared" si="11"/>
        <v>-0.81689742865216164</v>
      </c>
      <c r="AL31" s="11">
        <f>IFERROR(AK31/AK148, "NA")</f>
        <v>-1.2913928638257082</v>
      </c>
    </row>
    <row r="32" spans="1:38" ht="16.5" hidden="1" customHeight="1">
      <c r="A32" s="25" t="s">
        <v>47</v>
      </c>
      <c r="B32" s="7">
        <v>0</v>
      </c>
      <c r="C32" s="8">
        <f>IFERROR(B32/B148, "NA")</f>
        <v>0</v>
      </c>
      <c r="D32" s="7">
        <v>0</v>
      </c>
      <c r="E32" s="8">
        <f>IFERROR(D32/D148, "NA")</f>
        <v>0</v>
      </c>
      <c r="F32" s="7">
        <v>0</v>
      </c>
      <c r="G32" s="8">
        <f>IFERROR(F32/F148, "NA")</f>
        <v>0</v>
      </c>
      <c r="H32" s="7">
        <v>0</v>
      </c>
      <c r="I32" s="8">
        <f>IFERROR(H32/H148, "NA")</f>
        <v>0</v>
      </c>
      <c r="J32" s="7">
        <v>0</v>
      </c>
      <c r="K32" s="8">
        <f>IFERROR(J32/J148, "NA")</f>
        <v>0</v>
      </c>
      <c r="L32" s="7">
        <v>0</v>
      </c>
      <c r="M32" s="8">
        <f>IFERROR(L32/L148, "NA")</f>
        <v>0</v>
      </c>
      <c r="N32" s="7">
        <v>0</v>
      </c>
      <c r="O32" s="8">
        <f>IFERROR(N32/N148, "NA")</f>
        <v>0</v>
      </c>
      <c r="P32" s="7">
        <v>0</v>
      </c>
      <c r="Q32" s="8">
        <f>IFERROR(P32/P148, "NA")</f>
        <v>0</v>
      </c>
      <c r="R32" s="7">
        <v>0</v>
      </c>
      <c r="S32" s="8">
        <f>IFERROR(R32/R148, "NA")</f>
        <v>0</v>
      </c>
      <c r="T32" s="7">
        <v>0</v>
      </c>
      <c r="U32" s="8">
        <f>IFERROR(T32/T148, "NA")</f>
        <v>0</v>
      </c>
      <c r="V32" s="7">
        <v>0</v>
      </c>
      <c r="W32" s="8">
        <f>IFERROR(V32/V148, "NA")</f>
        <v>0</v>
      </c>
      <c r="X32" s="7">
        <v>0</v>
      </c>
      <c r="Y32" s="8">
        <f>IFERROR(X32/X148, "NA")</f>
        <v>0</v>
      </c>
      <c r="Z32" s="7">
        <v>0</v>
      </c>
      <c r="AA32" s="8">
        <f>IFERROR(Z32/Z148, "NA")</f>
        <v>0</v>
      </c>
      <c r="AB32" s="9">
        <f t="shared" si="6"/>
        <v>0</v>
      </c>
      <c r="AC32" s="8">
        <f>IFERROR(AB32/AB148, "NA")</f>
        <v>0</v>
      </c>
      <c r="AD32" s="10">
        <f t="shared" si="7"/>
        <v>0</v>
      </c>
      <c r="AE32" s="11">
        <f>IFERROR(AD32/AD148, "NA")</f>
        <v>0</v>
      </c>
      <c r="AF32" s="10" t="str">
        <f t="shared" si="8"/>
        <v>NA</v>
      </c>
      <c r="AG32" s="9">
        <f t="shared" si="9"/>
        <v>0</v>
      </c>
      <c r="AH32" s="8">
        <f>IFERROR(AG32/AG148, "NA")</f>
        <v>0</v>
      </c>
      <c r="AI32" s="10">
        <f t="shared" si="10"/>
        <v>0</v>
      </c>
      <c r="AJ32" s="11">
        <f>IFERROR(AI32/AI148, "NA")</f>
        <v>0</v>
      </c>
      <c r="AK32" s="10" t="str">
        <f t="shared" si="11"/>
        <v>NA</v>
      </c>
      <c r="AL32" s="11" t="str">
        <f>IFERROR(AK32/AK148, "NA")</f>
        <v>NA</v>
      </c>
    </row>
    <row r="33" spans="1:38" ht="16.5" hidden="1" customHeight="1">
      <c r="A33" s="25" t="s">
        <v>48</v>
      </c>
      <c r="B33" s="7">
        <v>0</v>
      </c>
      <c r="C33" s="8">
        <f>IFERROR(B33/B148, "NA")</f>
        <v>0</v>
      </c>
      <c r="D33" s="7">
        <v>0</v>
      </c>
      <c r="E33" s="8">
        <f>IFERROR(D33/D148, "NA")</f>
        <v>0</v>
      </c>
      <c r="F33" s="7">
        <v>0</v>
      </c>
      <c r="G33" s="8">
        <f>IFERROR(F33/F148, "NA")</f>
        <v>0</v>
      </c>
      <c r="H33" s="7">
        <v>0</v>
      </c>
      <c r="I33" s="8">
        <f>IFERROR(H33/H148, "NA")</f>
        <v>0</v>
      </c>
      <c r="J33" s="7">
        <v>0</v>
      </c>
      <c r="K33" s="8">
        <f>IFERROR(J33/J148, "NA")</f>
        <v>0</v>
      </c>
      <c r="L33" s="7">
        <v>0</v>
      </c>
      <c r="M33" s="8">
        <f>IFERROR(L33/L148, "NA")</f>
        <v>0</v>
      </c>
      <c r="N33" s="7">
        <v>0</v>
      </c>
      <c r="O33" s="8">
        <f>IFERROR(N33/N148, "NA")</f>
        <v>0</v>
      </c>
      <c r="P33" s="7">
        <v>0</v>
      </c>
      <c r="Q33" s="8">
        <f>IFERROR(P33/P148, "NA")</f>
        <v>0</v>
      </c>
      <c r="R33" s="7">
        <v>0</v>
      </c>
      <c r="S33" s="8">
        <f>IFERROR(R33/R148, "NA")</f>
        <v>0</v>
      </c>
      <c r="T33" s="7">
        <v>0</v>
      </c>
      <c r="U33" s="8">
        <f>IFERROR(T33/T148, "NA")</f>
        <v>0</v>
      </c>
      <c r="V33" s="7">
        <v>0</v>
      </c>
      <c r="W33" s="8">
        <f>IFERROR(V33/V148, "NA")</f>
        <v>0</v>
      </c>
      <c r="X33" s="7">
        <v>0</v>
      </c>
      <c r="Y33" s="8">
        <f>IFERROR(X33/X148, "NA")</f>
        <v>0</v>
      </c>
      <c r="Z33" s="7">
        <v>0</v>
      </c>
      <c r="AA33" s="8">
        <f>IFERROR(Z33/Z148, "NA")</f>
        <v>0</v>
      </c>
      <c r="AB33" s="9">
        <f t="shared" si="6"/>
        <v>0</v>
      </c>
      <c r="AC33" s="8">
        <f>IFERROR(AB33/AB148, "NA")</f>
        <v>0</v>
      </c>
      <c r="AD33" s="10">
        <f t="shared" si="7"/>
        <v>0</v>
      </c>
      <c r="AE33" s="11">
        <f>IFERROR(AD33/AD148, "NA")</f>
        <v>0</v>
      </c>
      <c r="AF33" s="10" t="str">
        <f t="shared" si="8"/>
        <v>NA</v>
      </c>
      <c r="AG33" s="9">
        <f t="shared" si="9"/>
        <v>0</v>
      </c>
      <c r="AH33" s="8">
        <f>IFERROR(AG33/AG148, "NA")</f>
        <v>0</v>
      </c>
      <c r="AI33" s="10">
        <f t="shared" si="10"/>
        <v>0</v>
      </c>
      <c r="AJ33" s="11">
        <f>IFERROR(AI33/AI148, "NA")</f>
        <v>0</v>
      </c>
      <c r="AK33" s="10" t="str">
        <f t="shared" si="11"/>
        <v>NA</v>
      </c>
      <c r="AL33" s="11" t="str">
        <f>IFERROR(AK33/AK148, "NA")</f>
        <v>NA</v>
      </c>
    </row>
    <row r="34" spans="1:38" ht="16.5" customHeight="1">
      <c r="A34" s="26" t="s">
        <v>49</v>
      </c>
      <c r="B34" s="13">
        <f>IFERROR(B29+B30+B31+B32+B33, "NA")</f>
        <v>433.11</v>
      </c>
      <c r="C34" s="14">
        <f>IFERROR(B34/B148, "NA")</f>
        <v>1.5170822813364307E-2</v>
      </c>
      <c r="D34" s="13">
        <f>IFERROR(D29+D30+D31+D32+D33, "NA")</f>
        <v>376.66</v>
      </c>
      <c r="E34" s="14">
        <f>IFERROR(D34/D148, "NA")</f>
        <v>1.0794934926884995E-2</v>
      </c>
      <c r="F34" s="13">
        <f>IFERROR(F29+F30+F31+F32+F33, "NA")</f>
        <v>874.12</v>
      </c>
      <c r="G34" s="14">
        <f>IFERROR(F34/F148, "NA")</f>
        <v>1.924964864304203E-2</v>
      </c>
      <c r="H34" s="13">
        <f>IFERROR(H29+H30+H31+H32+H33, "NA")</f>
        <v>-340.43</v>
      </c>
      <c r="I34" s="14">
        <f>IFERROR(H34/H148, "NA")</f>
        <v>-8.4068040710633379E-3</v>
      </c>
      <c r="J34" s="13">
        <f>IFERROR(J29+J30+J31+J32+J33, "NA")</f>
        <v>210.41</v>
      </c>
      <c r="K34" s="14">
        <f>IFERROR(J34/J148, "NA")</f>
        <v>9.0904456353245542E-3</v>
      </c>
      <c r="L34" s="13">
        <f>IFERROR(L29+L30+L31+L32+L33, "NA")</f>
        <v>236.95</v>
      </c>
      <c r="M34" s="14">
        <f>IFERROR(L34/L148, "NA")</f>
        <v>9.3206488068428781E-3</v>
      </c>
      <c r="N34" s="13">
        <f>IFERROR(N29+N30+N31+N32+N33, "NA")</f>
        <v>267.14</v>
      </c>
      <c r="O34" s="14">
        <f>IFERROR(N34/N148, "NA")</f>
        <v>1.0900803665973652E-2</v>
      </c>
      <c r="P34" s="13">
        <f>IFERROR(P29+P30+P31+P32+P33, "NA")</f>
        <v>449.15999999999997</v>
      </c>
      <c r="Q34" s="14">
        <f>IFERROR(P34/P148, "NA")</f>
        <v>1.7379124620813469E-2</v>
      </c>
      <c r="R34" s="13">
        <f>IFERROR(R29+R30+R31+R32+R33, "NA")</f>
        <v>350.07</v>
      </c>
      <c r="S34" s="14">
        <f>IFERROR(R34/R148, "NA")</f>
        <v>1.2296451005455372E-2</v>
      </c>
      <c r="T34" s="13">
        <f>IFERROR(T29+T30+T31+T32+T33, "NA")</f>
        <v>-61.17</v>
      </c>
      <c r="U34" s="14">
        <f>IFERROR(T34/T148, "NA")</f>
        <v>-2.489208141261036E-3</v>
      </c>
      <c r="V34" s="13">
        <f>IFERROR(V29+V30+V31+V32+V33, "NA")</f>
        <v>221.3</v>
      </c>
      <c r="W34" s="14">
        <f>IFERROR(V34/V148, "NA")</f>
        <v>1.03126076171632E-2</v>
      </c>
      <c r="X34" s="13">
        <f>IFERROR(X29+X30+X31+X32+X33, "NA")</f>
        <v>333.88</v>
      </c>
      <c r="Y34" s="14">
        <f>IFERROR(X34/X148, "NA")</f>
        <v>7.5089335573628943E-3</v>
      </c>
      <c r="Z34" s="13">
        <f>IFERROR(Z29+Z30+Z31+Z32+Z33, "NA")</f>
        <v>844.07999999999993</v>
      </c>
      <c r="AA34" s="14">
        <f>IFERROR(Z34/Z148, "NA")</f>
        <v>7.0950881174337609E-3</v>
      </c>
      <c r="AB34" s="13">
        <f t="shared" si="6"/>
        <v>211.01999999999998</v>
      </c>
      <c r="AC34" s="14">
        <f>IFERROR(AB34/AB148, "NA")</f>
        <v>7.0950881174337609E-3</v>
      </c>
      <c r="AD34" s="15">
        <f t="shared" si="7"/>
        <v>122.86000000000001</v>
      </c>
      <c r="AE34" s="16">
        <f>IFERROR(AD34/AD148, "NA")</f>
        <v>8.3449551516394695E-3</v>
      </c>
      <c r="AF34" s="15">
        <f t="shared" si="8"/>
        <v>0.58221969481565738</v>
      </c>
      <c r="AG34" s="13">
        <f t="shared" si="9"/>
        <v>250.96749999999997</v>
      </c>
      <c r="AH34" s="14">
        <f>IFERROR(AG34/AG148, "NA")</f>
        <v>9.2146186826997309E-3</v>
      </c>
      <c r="AI34" s="15">
        <f t="shared" si="10"/>
        <v>82.912500000000023</v>
      </c>
      <c r="AJ34" s="16">
        <f>IFERROR(AI34/AI148, "NA")</f>
        <v>4.812500049880806E-3</v>
      </c>
      <c r="AK34" s="15">
        <f t="shared" si="11"/>
        <v>0.33037146244035592</v>
      </c>
      <c r="AL34" s="16">
        <f>IFERROR(AK34/AK148, "NA")</f>
        <v>0.52226795438819207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5915.0599999999995</v>
      </c>
      <c r="C35" s="14">
        <f>IFERROR(B35/B148, "NA")</f>
        <v>0.20719061483322634</v>
      </c>
      <c r="D35" s="13">
        <f>IFERROR(D13+D15+D16+D17+D18+D19+D20+D21+D22+D23+D24+D25+D26+D29+D30+D31+D32+D33, "NA")</f>
        <v>6896.36</v>
      </c>
      <c r="E35" s="14">
        <f>IFERROR(D35/D148, "NA")</f>
        <v>0.19764710198155522</v>
      </c>
      <c r="F35" s="13">
        <f>IFERROR(F13+F15+F16+F17+F18+F19+F20+F21+F22+F23+F24+F25+F26+F29+F30+F31+F32+F33, "NA")</f>
        <v>10145.880000000003</v>
      </c>
      <c r="G35" s="14">
        <f>IFERROR(F35/F148, "NA")</f>
        <v>0.22342999264914121</v>
      </c>
      <c r="H35" s="13">
        <f>IFERROR(H13+H15+H16+H17+H18+H19+H20+H21+H22+H23+H24+H25+H26+H29+H30+H31+H32+H33, "NA")</f>
        <v>7857.77</v>
      </c>
      <c r="I35" s="14">
        <f>IFERROR(H35/H148, "NA")</f>
        <v>0.19404498083447216</v>
      </c>
      <c r="J35" s="13">
        <f>IFERROR(J13+J15+J16+J17+J18+J19+J20+J21+J22+J23+J24+J25+J26+J29+J30+J31+J32+J33, "NA")</f>
        <v>4469.87</v>
      </c>
      <c r="K35" s="14">
        <f>IFERROR(J35/J148, "NA")</f>
        <v>0.19311396906975981</v>
      </c>
      <c r="L35" s="13">
        <f>IFERROR(L13+L15+L16+L17+L18+L19+L20+L21+L22+L23+L24+L25+L26+L29+L30+L31+L32+L33, "NA")</f>
        <v>5765.0099999999993</v>
      </c>
      <c r="M35" s="14">
        <f>IFERROR(L35/L148, "NA")</f>
        <v>0.22677203451334568</v>
      </c>
      <c r="N35" s="13">
        <f>IFERROR(N13+N15+N16+N17+N18+N19+N20+N21+N22+N23+N24+N25+N26+N29+N30+N31+N32+N33, "NA")</f>
        <v>5509.6400000000012</v>
      </c>
      <c r="O35" s="14">
        <f>IFERROR(N35/N148, "NA")</f>
        <v>0.22482407692668668</v>
      </c>
      <c r="P35" s="13">
        <f>IFERROR(P13+P15+P16+P17+P18+P19+P20+P21+P22+P23+P24+P25+P26+P29+P30+P31+P32+P33, "NA")</f>
        <v>4989.66</v>
      </c>
      <c r="Q35" s="14">
        <f>IFERROR(P35/P148, "NA")</f>
        <v>0.19306243422274499</v>
      </c>
      <c r="R35" s="13">
        <f>IFERROR(R13+R15+R16+R17+R18+R19+R20+R21+R22+R23+R24+R25+R26+R29+R30+R31+R32+R33, "NA")</f>
        <v>4985.34</v>
      </c>
      <c r="S35" s="14">
        <f>IFERROR(R35/R148, "NA")</f>
        <v>0.17511351745518577</v>
      </c>
      <c r="T35" s="13">
        <f>IFERROR(T13+T15+T16+T17+T18+T19+T20+T21+T22+T23+T24+T25+T26+T29+T30+T31+T32+T33, "NA")</f>
        <v>5252.92</v>
      </c>
      <c r="U35" s="14">
        <f>IFERROR(T35/T148, "NA")</f>
        <v>0.2137585618668125</v>
      </c>
      <c r="V35" s="13">
        <f>IFERROR(V13+V15+V16+V17+V18+V19+V20+V21+V22+V23+V24+V25+V26+V29+V30+V31+V32+V33, "NA")</f>
        <v>4685.2999999999993</v>
      </c>
      <c r="W35" s="14">
        <f>IFERROR(V35/V148, "NA")</f>
        <v>0.21833556470264226</v>
      </c>
      <c r="X35" s="13">
        <f>IFERROR(X13+X15+X16+X17+X18+X19+X20+X21+X22+X23+X24+X25+X26+X29+X30+X31+X32+X33, "NA")</f>
        <v>9074.5400000000009</v>
      </c>
      <c r="Y35" s="14">
        <f>IFERROR(X35/X148, "NA")</f>
        <v>0.20408565329948453</v>
      </c>
      <c r="Z35" s="13">
        <f>IFERROR(Z13+Z15+Z16+Z17+Z18+Z19+Z20+Z21+Z22+Z23+Z24+Z25+Z26+Z29+Z30+Z31+Z32+Z33, "NA")</f>
        <v>23998.1</v>
      </c>
      <c r="AA35" s="14">
        <f>IFERROR(Z35/Z148, "NA")</f>
        <v>0.20172096738577758</v>
      </c>
      <c r="AB35" s="13">
        <f t="shared" si="6"/>
        <v>5999.5249999999996</v>
      </c>
      <c r="AC35" s="14">
        <f>IFERROR(AB35/AB148, "NA")</f>
        <v>0.20172096738577758</v>
      </c>
      <c r="AD35" s="15">
        <f t="shared" si="7"/>
        <v>3075.0150000000012</v>
      </c>
      <c r="AE35" s="16">
        <f>IFERROR(AD35/AD148, "NA")</f>
        <v>0.20886262628698235</v>
      </c>
      <c r="AF35" s="15">
        <f t="shared" si="8"/>
        <v>0.51254307632687612</v>
      </c>
      <c r="AG35" s="13">
        <f t="shared" si="9"/>
        <v>5591.5350000000008</v>
      </c>
      <c r="AH35" s="14">
        <f>IFERROR(AG35/AG148, "NA")</f>
        <v>0.20530093687815931</v>
      </c>
      <c r="AI35" s="15">
        <f t="shared" si="10"/>
        <v>3483.0050000000001</v>
      </c>
      <c r="AJ35" s="16">
        <f>IFERROR(AI35/AI148, "NA")</f>
        <v>0.20216447141546923</v>
      </c>
      <c r="AK35" s="15">
        <f t="shared" si="11"/>
        <v>0.62290676889262064</v>
      </c>
      <c r="AL35" s="16">
        <f>IFERROR(AK35/AK148, "NA")</f>
        <v>0.98472259547187801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1046.6300000000001</v>
      </c>
      <c r="C40" s="8">
        <f>IFERROR(B40/B148, "NA")</f>
        <v>3.6660982847663379E-2</v>
      </c>
      <c r="D40" s="7">
        <v>967.25</v>
      </c>
      <c r="E40" s="8">
        <f>IFERROR(D40/D148, "NA")</f>
        <v>2.7721023756251021E-2</v>
      </c>
      <c r="F40" s="7">
        <v>972.87</v>
      </c>
      <c r="G40" s="8">
        <f>IFERROR(F40/F148, "NA")</f>
        <v>2.1424296063877156E-2</v>
      </c>
      <c r="H40" s="7">
        <v>969.56</v>
      </c>
      <c r="I40" s="8">
        <f>IFERROR(H40/H148, "NA")</f>
        <v>2.3942957304409623E-2</v>
      </c>
      <c r="J40" s="7">
        <v>734.82</v>
      </c>
      <c r="K40" s="8">
        <f>IFERROR(J40/J148, "NA")</f>
        <v>3.1746786092624824E-2</v>
      </c>
      <c r="L40" s="7">
        <v>881.41</v>
      </c>
      <c r="M40" s="8">
        <f>IFERROR(L40/L148, "NA")</f>
        <v>3.4671082780499608E-2</v>
      </c>
      <c r="N40" s="7">
        <v>571.04999999999995</v>
      </c>
      <c r="O40" s="8">
        <f>IFERROR(N40/N148, "NA")</f>
        <v>2.3302028649600407E-2</v>
      </c>
      <c r="P40" s="7">
        <v>677.31</v>
      </c>
      <c r="Q40" s="8">
        <f>IFERROR(P40/P148, "NA")</f>
        <v>2.6206819166718257E-2</v>
      </c>
      <c r="R40" s="7">
        <v>782.3</v>
      </c>
      <c r="S40" s="8">
        <f>IFERROR(R40/R148, "NA")</f>
        <v>2.7478828867277223E-2</v>
      </c>
      <c r="T40" s="7">
        <v>734.01</v>
      </c>
      <c r="U40" s="8">
        <f>IFERROR(T40/T148, "NA")</f>
        <v>2.9869276896632546E-2</v>
      </c>
      <c r="V40" s="7">
        <v>764.65</v>
      </c>
      <c r="W40" s="8">
        <f>IFERROR(V40/V148, "NA")</f>
        <v>3.563278542459937E-2</v>
      </c>
      <c r="X40" s="7">
        <v>757.66</v>
      </c>
      <c r="Y40" s="8">
        <f>IFERROR(X40/X148, "NA")</f>
        <v>1.7039710671713101E-2</v>
      </c>
      <c r="Z40" s="7">
        <v>3038.62</v>
      </c>
      <c r="AA40" s="8">
        <f>IFERROR(Z40/Z148, "NA")</f>
        <v>2.5541745634769897E-2</v>
      </c>
      <c r="AB40" s="9">
        <f t="shared" si="12"/>
        <v>759.65499999999997</v>
      </c>
      <c r="AC40" s="8">
        <f>IFERROR(AB40/AB148, "NA")</f>
        <v>2.5541745634769897E-2</v>
      </c>
      <c r="AD40" s="10">
        <f t="shared" si="13"/>
        <v>-1.9950000000000045</v>
      </c>
      <c r="AE40" s="11">
        <f>IFERROR(AD40/AD148, "NA")</f>
        <v>-1.3550533556503969E-4</v>
      </c>
      <c r="AF40" s="10">
        <f t="shared" si="14"/>
        <v>-2.626192153016836E-3</v>
      </c>
      <c r="AG40" s="9">
        <f t="shared" si="15"/>
        <v>737.90124999999989</v>
      </c>
      <c r="AH40" s="8">
        <f>IFERROR(AG40/AG148, "NA")</f>
        <v>2.7093064417653617E-2</v>
      </c>
      <c r="AI40" s="10">
        <f t="shared" si="16"/>
        <v>19.758750000000077</v>
      </c>
      <c r="AJ40" s="11">
        <f>IFERROR(AI40/AI148, "NA")</f>
        <v>1.1468594646233405E-3</v>
      </c>
      <c r="AK40" s="10">
        <f t="shared" si="17"/>
        <v>2.6776956943764602E-2</v>
      </c>
      <c r="AL40" s="11">
        <f>IFERROR(AK40/AK148, "NA")</f>
        <v>4.2330370863329005E-2</v>
      </c>
    </row>
    <row r="41" spans="1:38" ht="16.5" customHeight="1">
      <c r="A41" s="25" t="s">
        <v>56</v>
      </c>
      <c r="B41" s="7">
        <v>471.73</v>
      </c>
      <c r="C41" s="8">
        <f>IFERROR(B41/B148, "NA")</f>
        <v>1.6523590417557535E-2</v>
      </c>
      <c r="D41" s="7">
        <v>129.26</v>
      </c>
      <c r="E41" s="8">
        <f>IFERROR(D41/D148, "NA")</f>
        <v>3.7045433246141193E-3</v>
      </c>
      <c r="F41" s="7">
        <v>158.44999999999999</v>
      </c>
      <c r="G41" s="8">
        <f>IFERROR(F41/F148, "NA")</f>
        <v>3.4893456590513994E-3</v>
      </c>
      <c r="H41" s="7">
        <v>1134.42</v>
      </c>
      <c r="I41" s="8">
        <f>IFERROR(H41/H148, "NA")</f>
        <v>2.8014119420426142E-2</v>
      </c>
      <c r="J41" s="7">
        <v>253.91</v>
      </c>
      <c r="K41" s="8">
        <f>IFERROR(J41/J148, "NA")</f>
        <v>1.0969797306521825E-2</v>
      </c>
      <c r="L41" s="7">
        <v>13.55</v>
      </c>
      <c r="M41" s="8">
        <f>IFERROR(L41/L148, "NA")</f>
        <v>5.3300186255632418E-4</v>
      </c>
      <c r="N41" s="7">
        <v>369.73</v>
      </c>
      <c r="O41" s="8">
        <f>IFERROR(N41/N148, "NA")</f>
        <v>1.5087048511718344E-2</v>
      </c>
      <c r="P41" s="7">
        <v>358.32</v>
      </c>
      <c r="Q41" s="8">
        <f>IFERROR(P41/P148, "NA")</f>
        <v>1.3864297653686622E-2</v>
      </c>
      <c r="R41" s="7">
        <v>432.75</v>
      </c>
      <c r="S41" s="8">
        <f>IFERROR(R41/R148, "NA")</f>
        <v>1.5200643221672272E-2</v>
      </c>
      <c r="T41" s="7">
        <v>-26.63</v>
      </c>
      <c r="U41" s="8">
        <f>IFERROR(T41/T148, "NA")</f>
        <v>-1.0836621350626349E-3</v>
      </c>
      <c r="V41" s="7">
        <v>445.11</v>
      </c>
      <c r="W41" s="8">
        <f>IFERROR(V41/V148, "NA")</f>
        <v>2.0742181547562185E-2</v>
      </c>
      <c r="X41" s="7">
        <v>839.31</v>
      </c>
      <c r="Y41" s="8">
        <f>IFERROR(X41/X148, "NA")</f>
        <v>1.8876012411735508E-2</v>
      </c>
      <c r="Z41" s="7">
        <v>1690.54</v>
      </c>
      <c r="AA41" s="8">
        <f>IFERROR(Z41/Z148, "NA")</f>
        <v>1.4210181814575007E-2</v>
      </c>
      <c r="AB41" s="9">
        <f t="shared" si="12"/>
        <v>422.63499999999999</v>
      </c>
      <c r="AC41" s="8">
        <f>IFERROR(AB41/AB148, "NA")</f>
        <v>1.4210181814575007E-2</v>
      </c>
      <c r="AD41" s="10">
        <f t="shared" si="13"/>
        <v>416.67499999999995</v>
      </c>
      <c r="AE41" s="11">
        <f>IFERROR(AD41/AD148, "NA")</f>
        <v>2.8301596840382345E-2</v>
      </c>
      <c r="AF41" s="10">
        <f t="shared" si="14"/>
        <v>0.98589799708968728</v>
      </c>
      <c r="AG41" s="9">
        <f t="shared" si="15"/>
        <v>335.75624999999997</v>
      </c>
      <c r="AH41" s="8">
        <f>IFERROR(AG41/AG148, "NA")</f>
        <v>1.2327754845082337E-2</v>
      </c>
      <c r="AI41" s="10">
        <f t="shared" si="16"/>
        <v>503.55374999999998</v>
      </c>
      <c r="AJ41" s="11">
        <f>IFERROR(AI41/AI148, "NA")</f>
        <v>2.9227829904931901E-2</v>
      </c>
      <c r="AK41" s="10">
        <f t="shared" si="17"/>
        <v>1.4997598704417268</v>
      </c>
      <c r="AL41" s="11">
        <f>IFERROR(AK41/AK148, "NA")</f>
        <v>2.3708964261721324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1518.3600000000001</v>
      </c>
      <c r="C44" s="14">
        <f>IFERROR(B44/B148, "NA")</f>
        <v>5.3184573265220914E-2</v>
      </c>
      <c r="D44" s="13">
        <f>IFERROR(D39+D40+D41+D42+D43, "NA")</f>
        <v>1096.51</v>
      </c>
      <c r="E44" s="14">
        <f>IFERROR(D44/D148, "NA")</f>
        <v>3.1425567080865142E-2</v>
      </c>
      <c r="F44" s="13">
        <f>IFERROR(F39+F40+F41+F42+F43, "NA")</f>
        <v>1131.32</v>
      </c>
      <c r="G44" s="14">
        <f>IFERROR(F44/F148, "NA")</f>
        <v>2.4913641722928554E-2</v>
      </c>
      <c r="H44" s="13">
        <f>IFERROR(H39+H40+H41+H42+H43, "NA")</f>
        <v>2103.98</v>
      </c>
      <c r="I44" s="14">
        <f>IFERROR(H44/H148, "NA")</f>
        <v>5.1957076724835766E-2</v>
      </c>
      <c r="J44" s="13">
        <f>IFERROR(J39+J40+J41+J42+J43, "NA")</f>
        <v>988.73</v>
      </c>
      <c r="K44" s="14">
        <f>IFERROR(J44/J148, "NA")</f>
        <v>4.2716583399146649E-2</v>
      </c>
      <c r="L44" s="13">
        <f>IFERROR(L39+L40+L41+L42+L43, "NA")</f>
        <v>894.95999999999992</v>
      </c>
      <c r="M44" s="14">
        <f>IFERROR(L44/L148, "NA")</f>
        <v>3.5204084643055925E-2</v>
      </c>
      <c r="N44" s="13">
        <f>IFERROR(N39+N40+N41+N42+N43, "NA")</f>
        <v>940.78</v>
      </c>
      <c r="O44" s="14">
        <f>IFERROR(N44/N148, "NA")</f>
        <v>3.8389077161318751E-2</v>
      </c>
      <c r="P44" s="13">
        <f>IFERROR(P39+P40+P41+P42+P43, "NA")</f>
        <v>1035.6299999999999</v>
      </c>
      <c r="Q44" s="14">
        <f>IFERROR(P44/P148, "NA")</f>
        <v>4.0071116820404873E-2</v>
      </c>
      <c r="R44" s="13">
        <f>IFERROR(R39+R40+R41+R42+R43, "NA")</f>
        <v>1215.05</v>
      </c>
      <c r="S44" s="14">
        <f>IFERROR(R44/R148, "NA")</f>
        <v>4.267947208894949E-2</v>
      </c>
      <c r="T44" s="13">
        <f>IFERROR(T39+T40+T41+T42+T43, "NA")</f>
        <v>707.38</v>
      </c>
      <c r="U44" s="14">
        <f>IFERROR(T44/T148, "NA")</f>
        <v>2.8785614761569912E-2</v>
      </c>
      <c r="V44" s="13">
        <f>IFERROR(V39+V40+V41+V42+V43, "NA")</f>
        <v>1209.76</v>
      </c>
      <c r="W44" s="14">
        <f>IFERROR(V44/V148, "NA")</f>
        <v>5.6374966972161558E-2</v>
      </c>
      <c r="X44" s="13">
        <f>IFERROR(X39+X40+X41+X42+X43, "NA")</f>
        <v>1596.9699999999998</v>
      </c>
      <c r="Y44" s="14">
        <f>IFERROR(X44/X148, "NA")</f>
        <v>3.5915723083448606E-2</v>
      </c>
      <c r="Z44" s="13">
        <f>IFERROR(Z39+Z40+Z41+Z42+Z43, "NA")</f>
        <v>4729.16</v>
      </c>
      <c r="AA44" s="14">
        <f>IFERROR(Z44/Z148, "NA")</f>
        <v>3.9751927449344908E-2</v>
      </c>
      <c r="AB44" s="13">
        <f t="shared" si="12"/>
        <v>1182.29</v>
      </c>
      <c r="AC44" s="14">
        <f>IFERROR(AB44/AB148, "NA")</f>
        <v>3.9751927449344908E-2</v>
      </c>
      <c r="AD44" s="15">
        <f t="shared" si="13"/>
        <v>414.67999999999984</v>
      </c>
      <c r="AE44" s="16">
        <f>IFERROR(AD44/AD148, "NA")</f>
        <v>2.81660915048173E-2</v>
      </c>
      <c r="AF44" s="15">
        <f t="shared" si="14"/>
        <v>0.3507430495056203</v>
      </c>
      <c r="AG44" s="13">
        <f t="shared" si="15"/>
        <v>1073.6575</v>
      </c>
      <c r="AH44" s="14">
        <f>IFERROR(AG44/AG148, "NA")</f>
        <v>3.9420819262735961E-2</v>
      </c>
      <c r="AI44" s="15">
        <f t="shared" si="16"/>
        <v>523.31249999999977</v>
      </c>
      <c r="AJ44" s="16">
        <f>IFERROR(AI44/AI148, "NA")</f>
        <v>3.0374689369555223E-2</v>
      </c>
      <c r="AK44" s="15">
        <f t="shared" si="17"/>
        <v>0.48741102260264541</v>
      </c>
      <c r="AL44" s="16">
        <f>IFERROR(AK44/AK148, "NA")</f>
        <v>0.77052405144375236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66.09</v>
      </c>
      <c r="C47" s="8">
        <f>IFERROR(B47/B148, "NA")</f>
        <v>2.3149769798324837E-3</v>
      </c>
      <c r="D47" s="7">
        <v>70.430000000000007</v>
      </c>
      <c r="E47" s="8">
        <f>IFERROR(D47/D148, "NA")</f>
        <v>2.0184974961517288E-3</v>
      </c>
      <c r="F47" s="7">
        <v>74.510000000000005</v>
      </c>
      <c r="G47" s="8">
        <f>IFERROR(F47/F148, "NA")</f>
        <v>1.6408402969764584E-3</v>
      </c>
      <c r="H47" s="7">
        <v>56.35</v>
      </c>
      <c r="I47" s="8">
        <f>IFERROR(H47/H148, "NA")</f>
        <v>1.3915442511071852E-3</v>
      </c>
      <c r="J47" s="7">
        <v>86.97</v>
      </c>
      <c r="K47" s="8">
        <f>IFERROR(J47/J148, "NA")</f>
        <v>3.7574072377937191E-3</v>
      </c>
      <c r="L47" s="7">
        <v>81.34</v>
      </c>
      <c r="M47" s="8">
        <f>IFERROR(L47/L148, "NA")</f>
        <v>3.1995846125705838E-3</v>
      </c>
      <c r="N47" s="7">
        <v>62.41</v>
      </c>
      <c r="O47" s="8">
        <f>IFERROR(N47/N148, "NA")</f>
        <v>2.5466764872105097E-3</v>
      </c>
      <c r="P47" s="7">
        <v>50.71</v>
      </c>
      <c r="Q47" s="8">
        <f>IFERROR(P47/P148, "NA")</f>
        <v>1.9620968241193587E-3</v>
      </c>
      <c r="R47" s="7">
        <v>46.74</v>
      </c>
      <c r="S47" s="8">
        <f>IFERROR(R47/R148, "NA")</f>
        <v>1.6417748450166655E-3</v>
      </c>
      <c r="T47" s="7">
        <v>55.01</v>
      </c>
      <c r="U47" s="8">
        <f>IFERROR(T47/T148, "NA")</f>
        <v>2.2385375159517666E-3</v>
      </c>
      <c r="V47" s="7">
        <v>56.3</v>
      </c>
      <c r="W47" s="8">
        <f>IFERROR(V47/V148, "NA")</f>
        <v>2.6235870259660554E-3</v>
      </c>
      <c r="X47" s="7">
        <v>60.39</v>
      </c>
      <c r="Y47" s="8">
        <f>IFERROR(X47/X148, "NA")</f>
        <v>1.3581661001831353E-3</v>
      </c>
      <c r="Z47" s="7">
        <v>218.44</v>
      </c>
      <c r="AA47" s="8">
        <f>IFERROR(Z47/Z148, "NA")</f>
        <v>1.8361423660935349E-3</v>
      </c>
      <c r="AB47" s="9">
        <f t="shared" si="18"/>
        <v>54.61</v>
      </c>
      <c r="AC47" s="8">
        <f>IFERROR(AB47/AB148, "NA")</f>
        <v>1.8361423660935349E-3</v>
      </c>
      <c r="AD47" s="10">
        <f t="shared" si="19"/>
        <v>5.7800000000000011</v>
      </c>
      <c r="AE47" s="11">
        <f>IFERROR(AD47/AD148, "NA")</f>
        <v>3.9259189953179342E-4</v>
      </c>
      <c r="AF47" s="10">
        <f t="shared" si="20"/>
        <v>0.10584142098516758</v>
      </c>
      <c r="AG47" s="9">
        <f t="shared" si="21"/>
        <v>62.483750000000001</v>
      </c>
      <c r="AH47" s="8">
        <f>IFERROR(AG47/AG148, "NA")</f>
        <v>2.2941772544856978E-3</v>
      </c>
      <c r="AI47" s="10">
        <f t="shared" si="22"/>
        <v>-2.09375</v>
      </c>
      <c r="AJ47" s="11">
        <f>IFERROR(AI47/AI148, "NA")</f>
        <v>-1.2152777903739406E-4</v>
      </c>
      <c r="AK47" s="10">
        <f t="shared" si="23"/>
        <v>-3.350871226518895E-2</v>
      </c>
      <c r="AL47" s="11">
        <f>IFERROR(AK47/AK148, "NA")</f>
        <v>-5.2972270908787221E-2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66.09</v>
      </c>
      <c r="C52" s="14">
        <f>IFERROR(B52/B148, "NA")</f>
        <v>2.3149769798324837E-3</v>
      </c>
      <c r="D52" s="13">
        <f>IFERROR(D46+D47+D48+D49+D50+D51, "NA")</f>
        <v>70.430000000000007</v>
      </c>
      <c r="E52" s="14">
        <f>IFERROR(D52/D148, "NA")</f>
        <v>2.0184974961517288E-3</v>
      </c>
      <c r="F52" s="13">
        <f>IFERROR(F46+F47+F48+F49+F50+F51, "NA")</f>
        <v>74.510000000000005</v>
      </c>
      <c r="G52" s="14">
        <f>IFERROR(F52/F148, "NA")</f>
        <v>1.6408402969764584E-3</v>
      </c>
      <c r="H52" s="13">
        <f>IFERROR(H46+H47+H48+H49+H50+H51, "NA")</f>
        <v>56.35</v>
      </c>
      <c r="I52" s="14">
        <f>IFERROR(H52/H148, "NA")</f>
        <v>1.3915442511071852E-3</v>
      </c>
      <c r="J52" s="13">
        <f>IFERROR(J46+J47+J48+J49+J50+J51, "NA")</f>
        <v>86.97</v>
      </c>
      <c r="K52" s="14">
        <f>IFERROR(J52/J148, "NA")</f>
        <v>3.7574072377937191E-3</v>
      </c>
      <c r="L52" s="13">
        <f>IFERROR(L46+L47+L48+L49+L50+L51, "NA")</f>
        <v>81.34</v>
      </c>
      <c r="M52" s="14">
        <f>IFERROR(L52/L148, "NA")</f>
        <v>3.1995846125705838E-3</v>
      </c>
      <c r="N52" s="13">
        <f>IFERROR(N46+N47+N48+N49+N50+N51, "NA")</f>
        <v>62.41</v>
      </c>
      <c r="O52" s="14">
        <f>IFERROR(N52/N148, "NA")</f>
        <v>2.5466764872105097E-3</v>
      </c>
      <c r="P52" s="13">
        <f>IFERROR(P46+P47+P48+P49+P50+P51, "NA")</f>
        <v>50.71</v>
      </c>
      <c r="Q52" s="14">
        <f>IFERROR(P52/P148, "NA")</f>
        <v>1.9620968241193587E-3</v>
      </c>
      <c r="R52" s="13">
        <f>IFERROR(R46+R47+R48+R49+R50+R51, "NA")</f>
        <v>46.74</v>
      </c>
      <c r="S52" s="14">
        <f>IFERROR(R52/R148, "NA")</f>
        <v>1.6417748450166655E-3</v>
      </c>
      <c r="T52" s="13">
        <f>IFERROR(T46+T47+T48+T49+T50+T51, "NA")</f>
        <v>55.01</v>
      </c>
      <c r="U52" s="14">
        <f>IFERROR(T52/T148, "NA")</f>
        <v>2.2385375159517666E-3</v>
      </c>
      <c r="V52" s="13">
        <f>IFERROR(V46+V47+V48+V49+V50+V51, "NA")</f>
        <v>56.3</v>
      </c>
      <c r="W52" s="14">
        <f>IFERROR(V52/V148, "NA")</f>
        <v>2.6235870259660554E-3</v>
      </c>
      <c r="X52" s="13">
        <f>IFERROR(X46+X47+X48+X49+X50+X51, "NA")</f>
        <v>60.39</v>
      </c>
      <c r="Y52" s="14">
        <f>IFERROR(X52/X148, "NA")</f>
        <v>1.3581661001831353E-3</v>
      </c>
      <c r="Z52" s="13">
        <f>IFERROR(Z46+Z47+Z48+Z49+Z50+Z51, "NA")</f>
        <v>218.44</v>
      </c>
      <c r="AA52" s="14">
        <f>IFERROR(Z52/Z148, "NA")</f>
        <v>1.8361423660935349E-3</v>
      </c>
      <c r="AB52" s="13">
        <f t="shared" si="18"/>
        <v>54.61</v>
      </c>
      <c r="AC52" s="14">
        <f>IFERROR(AB52/AB148, "NA")</f>
        <v>1.8361423660935349E-3</v>
      </c>
      <c r="AD52" s="15">
        <f t="shared" si="19"/>
        <v>5.7800000000000011</v>
      </c>
      <c r="AE52" s="16">
        <f>IFERROR(AD52/AD148, "NA")</f>
        <v>3.9259189953179342E-4</v>
      </c>
      <c r="AF52" s="15">
        <f t="shared" si="20"/>
        <v>0.10584142098516758</v>
      </c>
      <c r="AG52" s="13">
        <f t="shared" si="21"/>
        <v>62.483750000000001</v>
      </c>
      <c r="AH52" s="14">
        <f>IFERROR(AG52/AG148, "NA")</f>
        <v>2.2941772544856978E-3</v>
      </c>
      <c r="AI52" s="15">
        <f t="shared" si="22"/>
        <v>-2.09375</v>
      </c>
      <c r="AJ52" s="16">
        <f>IFERROR(AI52/AI148, "NA")</f>
        <v>-1.2152777903739406E-4</v>
      </c>
      <c r="AK52" s="15">
        <f t="shared" si="23"/>
        <v>-3.350871226518895E-2</v>
      </c>
      <c r="AL52" s="16">
        <f>IFERROR(AK52/AK148, "NA")</f>
        <v>-5.2972270908787221E-2</v>
      </c>
    </row>
    <row r="53" spans="1:38" ht="16.5" customHeight="1">
      <c r="A53" s="23" t="s">
        <v>68</v>
      </c>
      <c r="B53" s="7">
        <v>79.959999999999994</v>
      </c>
      <c r="C53" s="8">
        <f>IFERROR(B53/B148, "NA")</f>
        <v>2.8008103995673383E-3</v>
      </c>
      <c r="D53" s="7">
        <v>95.84</v>
      </c>
      <c r="E53" s="8">
        <f>IFERROR(D53/D148, "NA")</f>
        <v>2.7467386061505276E-3</v>
      </c>
      <c r="F53" s="7">
        <v>121.48</v>
      </c>
      <c r="G53" s="8">
        <f>IFERROR(F53/F148, "NA")</f>
        <v>2.6752017081827961E-3</v>
      </c>
      <c r="H53" s="7">
        <v>152.5</v>
      </c>
      <c r="I53" s="8">
        <f>IFERROR(H53/H148, "NA")</f>
        <v>3.7659360832980608E-3</v>
      </c>
      <c r="J53" s="7">
        <v>77.37</v>
      </c>
      <c r="K53" s="8">
        <f>IFERROR(J53/J148, "NA")</f>
        <v>3.3426537655294936E-3</v>
      </c>
      <c r="L53" s="7">
        <v>126.33</v>
      </c>
      <c r="M53" s="8">
        <f>IFERROR(L53/L148, "NA")</f>
        <v>4.9693081399808433E-3</v>
      </c>
      <c r="N53" s="7">
        <v>69.64</v>
      </c>
      <c r="O53" s="8">
        <f>IFERROR(N53/N148, "NA")</f>
        <v>2.8417008583454559E-3</v>
      </c>
      <c r="P53" s="7">
        <v>58.31</v>
      </c>
      <c r="Q53" s="8">
        <f>IFERROR(P53/P148, "NA")</f>
        <v>2.2561598464681484E-3</v>
      </c>
      <c r="R53" s="7">
        <v>134.18</v>
      </c>
      <c r="S53" s="8">
        <f>IFERROR(R53/R148, "NA")</f>
        <v>4.7131653552489553E-3</v>
      </c>
      <c r="T53" s="7">
        <v>67.97</v>
      </c>
      <c r="U53" s="8">
        <f>IFERROR(T53/T148, "NA")</f>
        <v>2.7659224679011381E-3</v>
      </c>
      <c r="V53" s="7">
        <v>84.04</v>
      </c>
      <c r="W53" s="8">
        <f>IFERROR(V53/V148, "NA")</f>
        <v>3.9162744877830787E-3</v>
      </c>
      <c r="X53" s="7">
        <v>93.85</v>
      </c>
      <c r="Y53" s="8">
        <f>IFERROR(X53/X148, "NA")</f>
        <v>2.110678729958391E-3</v>
      </c>
      <c r="Z53" s="7">
        <v>380.04</v>
      </c>
      <c r="AA53" s="8">
        <f>IFERROR(Z53/Z148, "NA")</f>
        <v>3.19450441682012E-3</v>
      </c>
      <c r="AB53" s="9">
        <f t="shared" si="18"/>
        <v>95.009999999999991</v>
      </c>
      <c r="AC53" s="8">
        <f>IFERROR(AB53/AB148, "NA")</f>
        <v>3.1945044168201196E-3</v>
      </c>
      <c r="AD53" s="10">
        <f t="shared" si="19"/>
        <v>-1.1599999999999966</v>
      </c>
      <c r="AE53" s="11">
        <f>IFERROR(AD53/AD148, "NA")</f>
        <v>-7.8790069802228189E-5</v>
      </c>
      <c r="AF53" s="10">
        <f t="shared" si="20"/>
        <v>-1.2209241132512332E-2</v>
      </c>
      <c r="AG53" s="9">
        <f t="shared" si="21"/>
        <v>88.961249999999993</v>
      </c>
      <c r="AH53" s="8">
        <f>IFERROR(AG53/AG148, "NA")</f>
        <v>3.2663352676594436E-3</v>
      </c>
      <c r="AI53" s="10">
        <f t="shared" si="22"/>
        <v>4.8887500000000017</v>
      </c>
      <c r="AJ53" s="11">
        <f>IFERROR(AI53/AI148, "NA")</f>
        <v>2.8375829481507362E-4</v>
      </c>
      <c r="AK53" s="10">
        <f t="shared" si="23"/>
        <v>5.4953701752167398E-2</v>
      </c>
      <c r="AL53" s="11">
        <f>IFERROR(AK53/AK148, "NA")</f>
        <v>8.6873597338464947E-2</v>
      </c>
    </row>
    <row r="54" spans="1:38" ht="16.5" customHeight="1">
      <c r="A54" s="23" t="s">
        <v>69</v>
      </c>
      <c r="B54" s="7">
        <v>40</v>
      </c>
      <c r="C54" s="8">
        <f>IFERROR(B54/B148, "NA")</f>
        <v>1.4011057526599991E-3</v>
      </c>
      <c r="D54" s="7">
        <v>29.56</v>
      </c>
      <c r="E54" s="8">
        <f>IFERROR(D54/D148, "NA")</f>
        <v>8.4717856007731219E-4</v>
      </c>
      <c r="F54" s="7">
        <v>24.5</v>
      </c>
      <c r="G54" s="8">
        <f>IFERROR(F54/F148, "NA")</f>
        <v>5.3953277782744905E-4</v>
      </c>
      <c r="H54" s="7">
        <v>26.25</v>
      </c>
      <c r="I54" s="8">
        <f>IFERROR(H54/H148, "NA")</f>
        <v>6.4823489958409247E-4</v>
      </c>
      <c r="J54" s="7">
        <v>25</v>
      </c>
      <c r="K54" s="8">
        <f>IFERROR(J54/J148, "NA")</f>
        <v>1.0800871673547542E-3</v>
      </c>
      <c r="L54" s="7">
        <v>27</v>
      </c>
      <c r="M54" s="8">
        <f>IFERROR(L54/L148, "NA")</f>
        <v>1.0620701320310519E-3</v>
      </c>
      <c r="N54" s="7">
        <v>21</v>
      </c>
      <c r="O54" s="8">
        <f>IFERROR(N54/N148, "NA")</f>
        <v>8.5691726055793472E-4</v>
      </c>
      <c r="P54" s="7">
        <v>37</v>
      </c>
      <c r="Q54" s="8">
        <f>IFERROR(P54/P148, "NA")</f>
        <v>1.4316226088033183E-3</v>
      </c>
      <c r="R54" s="7">
        <v>24</v>
      </c>
      <c r="S54" s="8">
        <f>IFERROR(R54/R148, "NA")</f>
        <v>8.4301660848095782E-4</v>
      </c>
      <c r="T54" s="7">
        <v>24.75</v>
      </c>
      <c r="U54" s="8">
        <f>IFERROR(T54/T148, "NA")</f>
        <v>1.0071587624033128E-3</v>
      </c>
      <c r="V54" s="7">
        <v>31</v>
      </c>
      <c r="W54" s="8">
        <f>IFERROR(V54/V148, "NA")</f>
        <v>1.4446038686491604E-3</v>
      </c>
      <c r="X54" s="7">
        <v>30.5</v>
      </c>
      <c r="Y54" s="8">
        <f>IFERROR(X54/X148, "NA")</f>
        <v>6.859424748399673E-4</v>
      </c>
      <c r="Z54" s="7">
        <v>110.25</v>
      </c>
      <c r="AA54" s="8">
        <f>IFERROR(Z54/Z148, "NA")</f>
        <v>9.2672905997899751E-4</v>
      </c>
      <c r="AB54" s="9">
        <f t="shared" si="18"/>
        <v>27.5625</v>
      </c>
      <c r="AC54" s="8">
        <f>IFERROR(AB54/AB148, "NA")</f>
        <v>9.2672905997899751E-4</v>
      </c>
      <c r="AD54" s="10">
        <f t="shared" si="19"/>
        <v>2.9375</v>
      </c>
      <c r="AE54" s="11">
        <f>IFERROR(AD54/AD148, "NA")</f>
        <v>1.9952226727934998E-4</v>
      </c>
      <c r="AF54" s="10">
        <f t="shared" si="20"/>
        <v>0.10657596371882086</v>
      </c>
      <c r="AG54" s="9">
        <f t="shared" si="21"/>
        <v>27.53125</v>
      </c>
      <c r="AH54" s="8">
        <f>IFERROR(AG54/AG148, "NA")</f>
        <v>1.0108479010552242E-3</v>
      </c>
      <c r="AI54" s="10">
        <f t="shared" si="22"/>
        <v>2.96875</v>
      </c>
      <c r="AJ54" s="11">
        <f>IFERROR(AI54/AI148, "NA")</f>
        <v>1.7231550759033484E-4</v>
      </c>
      <c r="AK54" s="10">
        <f t="shared" si="23"/>
        <v>0.10783200908059024</v>
      </c>
      <c r="AL54" s="11">
        <f>IFERROR(AK54/AK148, "NA")</f>
        <v>0.17046630596992354</v>
      </c>
    </row>
    <row r="55" spans="1:38" ht="16.5" customHeight="1">
      <c r="A55" s="23" t="s">
        <v>70</v>
      </c>
      <c r="B55" s="7">
        <v>-259.64</v>
      </c>
      <c r="C55" s="8">
        <f>IFERROR(B55/B148, "NA")</f>
        <v>-9.0945774405160537E-3</v>
      </c>
      <c r="D55" s="7">
        <v>-273.58</v>
      </c>
      <c r="E55" s="8">
        <f>IFERROR(D55/D148, "NA")</f>
        <v>-7.840700624693879E-3</v>
      </c>
      <c r="F55" s="7">
        <v>-264.70999999999998</v>
      </c>
      <c r="G55" s="8">
        <f>IFERROR(F55/F148, "NA")</f>
        <v>-5.829376392600164E-3</v>
      </c>
      <c r="H55" s="7">
        <v>-307.77999999999997</v>
      </c>
      <c r="I55" s="8">
        <f>IFERROR(H55/H148, "NA")</f>
        <v>-7.6005233292949321E-3</v>
      </c>
      <c r="J55" s="7">
        <v>-226.58</v>
      </c>
      <c r="K55" s="8">
        <f>IFERROR(J55/J148, "NA")</f>
        <v>-9.7890460151696095E-3</v>
      </c>
      <c r="L55" s="7">
        <v>-276.54000000000002</v>
      </c>
      <c r="M55" s="8">
        <f>IFERROR(L55/L148, "NA")</f>
        <v>-1.0877958307846929E-2</v>
      </c>
      <c r="N55" s="7">
        <v>-465.05</v>
      </c>
      <c r="O55" s="8">
        <f>IFERROR(N55/N148, "NA")</f>
        <v>-1.8976636762974647E-2</v>
      </c>
      <c r="P55" s="7">
        <v>-310.23</v>
      </c>
      <c r="Q55" s="8">
        <f>IFERROR(P55/P148, "NA")</f>
        <v>-1.2003575187271714E-2</v>
      </c>
      <c r="R55" s="7">
        <v>-342.19</v>
      </c>
      <c r="S55" s="8">
        <f>IFERROR(R55/R148, "NA")</f>
        <v>-1.2019660552337457E-2</v>
      </c>
      <c r="T55" s="7">
        <v>-374.35</v>
      </c>
      <c r="U55" s="8">
        <f>IFERROR(T55/T148, "NA")</f>
        <v>-1.5233530614370914E-2</v>
      </c>
      <c r="V55" s="7">
        <v>-355.21</v>
      </c>
      <c r="W55" s="8">
        <f>IFERROR(V55/V148, "NA")</f>
        <v>-1.655283032847962E-2</v>
      </c>
      <c r="X55" s="7">
        <v>-321.97000000000003</v>
      </c>
      <c r="Y55" s="8">
        <f>IFERROR(X55/X148, "NA")</f>
        <v>-7.2410786434171899E-3</v>
      </c>
      <c r="Z55" s="7">
        <v>-1393.72</v>
      </c>
      <c r="AA55" s="8">
        <f>IFERROR(Z55/Z148, "NA")</f>
        <v>-1.1715200231056041E-2</v>
      </c>
      <c r="AB55" s="9">
        <f t="shared" si="18"/>
        <v>-348.43</v>
      </c>
      <c r="AC55" s="8">
        <f>IFERROR(AB55/AB148, "NA")</f>
        <v>-1.1715200231056041E-2</v>
      </c>
      <c r="AD55" s="10">
        <f t="shared" si="19"/>
        <v>26.45999999999998</v>
      </c>
      <c r="AE55" s="11">
        <f>IFERROR(AD55/AD148, "NA")</f>
        <v>1.7972286611784157E-3</v>
      </c>
      <c r="AF55" s="10">
        <f t="shared" si="20"/>
        <v>-7.5940648049823437E-2</v>
      </c>
      <c r="AG55" s="9">
        <f t="shared" si="21"/>
        <v>-334.01499999999999</v>
      </c>
      <c r="AH55" s="8">
        <f>IFERROR(AG55/AG148, "NA")</f>
        <v>-1.2263822444348175E-2</v>
      </c>
      <c r="AI55" s="10">
        <f t="shared" si="22"/>
        <v>12.044999999999959</v>
      </c>
      <c r="AJ55" s="11">
        <f>IFERROR(AI55/AI148, "NA")</f>
        <v>6.9912936048019414E-4</v>
      </c>
      <c r="AK55" s="10">
        <f t="shared" si="23"/>
        <v>-3.606125473406871E-2</v>
      </c>
      <c r="AL55" s="11">
        <f>IFERROR(AK55/AK148, "NA")</f>
        <v>-5.7007459432225419E-2</v>
      </c>
    </row>
    <row r="56" spans="1:38" ht="16.5" customHeight="1">
      <c r="A56" s="27" t="s">
        <v>71</v>
      </c>
      <c r="B56" s="13">
        <f>IFERROR(B37+B39+B40+B41+B42+B43+B46+B47+B48+B49+B50+B51+B53+B54+B55, "NA")</f>
        <v>1444.77</v>
      </c>
      <c r="C56" s="14">
        <f>IFERROR(B56/B148, "NA")</f>
        <v>5.0606888956764677E-2</v>
      </c>
      <c r="D56" s="13">
        <f>IFERROR(D37+D39+D40+D41+D42+D43+D46+D47+D48+D49+D50+D51+D53+D54+D55, "NA")</f>
        <v>1018.76</v>
      </c>
      <c r="E56" s="14">
        <f>IFERROR(D56/D148, "NA")</f>
        <v>2.9197281118550831E-2</v>
      </c>
      <c r="F56" s="13">
        <f>IFERROR(F37+F39+F40+F41+F42+F43+F46+F47+F48+F49+F50+F51+F53+F54+F55, "NA")</f>
        <v>1087.0999999999999</v>
      </c>
      <c r="G56" s="14">
        <f>IFERROR(F56/F148, "NA")</f>
        <v>2.3939840113315094E-2</v>
      </c>
      <c r="H56" s="13">
        <f>IFERROR(H37+H39+H40+H41+H42+H43+H46+H47+H48+H49+H50+H51+H53+H54+H55, "NA")</f>
        <v>2031.3</v>
      </c>
      <c r="I56" s="14">
        <f>IFERROR(H56/H148, "NA")</f>
        <v>5.0162268629530174E-2</v>
      </c>
      <c r="J56" s="13">
        <f>IFERROR(J37+J39+J40+J41+J42+J43+J46+J47+J48+J49+J50+J51+J53+J54+J55, "NA")</f>
        <v>951.49000000000012</v>
      </c>
      <c r="K56" s="14">
        <f>IFERROR(J56/J148, "NA")</f>
        <v>4.1107685554655007E-2</v>
      </c>
      <c r="L56" s="13">
        <f>IFERROR(L37+L39+L40+L41+L42+L43+L46+L47+L48+L49+L50+L51+L53+L54+L55, "NA")</f>
        <v>853.08999999999992</v>
      </c>
      <c r="M56" s="14">
        <f>IFERROR(L56/L148, "NA")</f>
        <v>3.3557089219791475E-2</v>
      </c>
      <c r="N56" s="13">
        <f>IFERROR(N37+N39+N40+N41+N42+N43+N46+N47+N48+N49+N50+N51+N53+N54+N55, "NA")</f>
        <v>628.78</v>
      </c>
      <c r="O56" s="14">
        <f>IFERROR(N56/N148, "NA")</f>
        <v>2.5657735004458008E-2</v>
      </c>
      <c r="P56" s="13">
        <f>IFERROR(P37+P39+P40+P41+P42+P43+P46+P47+P48+P49+P50+P51+P53+P54+P55, "NA")</f>
        <v>871.41999999999985</v>
      </c>
      <c r="Q56" s="14">
        <f>IFERROR(P56/P148, "NA")</f>
        <v>3.3717420912523985E-2</v>
      </c>
      <c r="R56" s="13">
        <f>IFERROR(R37+R39+R40+R41+R42+R43+R46+R47+R48+R49+R50+R51+R53+R54+R55, "NA")</f>
        <v>1077.78</v>
      </c>
      <c r="S56" s="14">
        <f>IFERROR(R56/R148, "NA")</f>
        <v>3.7857768345358617E-2</v>
      </c>
      <c r="T56" s="13">
        <f>IFERROR(T37+T39+T40+T41+T42+T43+T46+T47+T48+T49+T50+T51+T53+T54+T55, "NA")</f>
        <v>480.76</v>
      </c>
      <c r="U56" s="14">
        <f>IFERROR(T56/T148, "NA")</f>
        <v>1.9563702893455215E-2</v>
      </c>
      <c r="V56" s="13">
        <f>IFERROR(V37+V39+V40+V41+V42+V43+V46+V47+V48+V49+V50+V51+V53+V54+V55, "NA")</f>
        <v>1025.8899999999999</v>
      </c>
      <c r="W56" s="14">
        <f>IFERROR(V56/V148, "NA")</f>
        <v>4.7806602026080225E-2</v>
      </c>
      <c r="X56" s="13">
        <f>IFERROR(X37+X39+X40+X41+X42+X43+X46+X47+X48+X49+X50+X51+X53+X54+X55, "NA")</f>
        <v>1459.7399999999998</v>
      </c>
      <c r="Y56" s="14">
        <f>IFERROR(X56/X148, "NA")</f>
        <v>3.2829431745012912E-2</v>
      </c>
      <c r="Z56" s="13">
        <f>IFERROR(Z37+Z39+Z40+Z41+Z42+Z43+Z46+Z47+Z48+Z49+Z50+Z51+Z53+Z54+Z55, "NA")</f>
        <v>4044.1699999999992</v>
      </c>
      <c r="AA56" s="14">
        <f>IFERROR(Z56/Z148, "NA")</f>
        <v>3.3994103061181509E-2</v>
      </c>
      <c r="AB56" s="13">
        <f t="shared" si="18"/>
        <v>1011.0424999999999</v>
      </c>
      <c r="AC56" s="14">
        <f>IFERROR(AB56/AB148, "NA")</f>
        <v>3.3994103061181516E-2</v>
      </c>
      <c r="AD56" s="15">
        <f t="shared" si="19"/>
        <v>448.69749999999988</v>
      </c>
      <c r="AE56" s="16">
        <f>IFERROR(AD56/AD148, "NA")</f>
        <v>3.0476644263004633E-2</v>
      </c>
      <c r="AF56" s="15">
        <f t="shared" si="20"/>
        <v>0.44379687302957088</v>
      </c>
      <c r="AG56" s="13">
        <f t="shared" si="21"/>
        <v>918.61874999999986</v>
      </c>
      <c r="AH56" s="14">
        <f>IFERROR(AG56/AG148, "NA")</f>
        <v>3.3728357241588146E-2</v>
      </c>
      <c r="AI56" s="15">
        <f t="shared" si="22"/>
        <v>541.12124999999992</v>
      </c>
      <c r="AJ56" s="16">
        <f>IFERROR(AI56/AI148, "NA")</f>
        <v>3.1408364753403445E-2</v>
      </c>
      <c r="AK56" s="15">
        <f t="shared" si="23"/>
        <v>0.589059661584308</v>
      </c>
      <c r="AL56" s="16">
        <f>IFERROR(AK56/AK148, "NA")</f>
        <v>0.93121537252564224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7359.83</v>
      </c>
      <c r="C57" s="29">
        <f>IFERROR(B57/B148, "NA")</f>
        <v>0.25779750378999106</v>
      </c>
      <c r="D57" s="28">
        <f>IFERROR(D13+D15+D16+D17+D18+D19+D20+D21+D22+D23+D24+D25+D26+D29+D30+D31+D32+D33+D37+D39+D40+D41+D42+D43+D46+D47+D48+D49+D50+D51+D53+D54+D55, "NA")</f>
        <v>7915.1200000000008</v>
      </c>
      <c r="E57" s="29">
        <f>IFERROR(D57/D148, "NA")</f>
        <v>0.22684438310010607</v>
      </c>
      <c r="F57" s="28">
        <f>IFERROR(F13+F15+F16+F17+F18+F19+F20+F21+F22+F23+F24+F25+F26+F29+F30+F31+F32+F33+F37+F39+F40+F41+F42+F43+F46+F47+F48+F49+F50+F51+F53+F54+F55, "NA")</f>
        <v>11232.980000000005</v>
      </c>
      <c r="G57" s="29">
        <f>IFERROR(F57/F148, "NA")</f>
        <v>0.24736983276245636</v>
      </c>
      <c r="H57" s="28">
        <f>IFERROR(H13+H15+H16+H17+H18+H19+H20+H21+H22+H23+H24+H25+H26+H29+H30+H31+H32+H33+H37+H39+H40+H41+H42+H43+H46+H47+H48+H49+H50+H51+H53+H54+H55, "NA")</f>
        <v>9889.07</v>
      </c>
      <c r="I57" s="29">
        <f>IFERROR(H57/H148, "NA")</f>
        <v>0.24420724946400232</v>
      </c>
      <c r="J57" s="28">
        <f>IFERROR(J13+J15+J16+J17+J18+J19+J20+J21+J22+J23+J24+J25+J26+J29+J30+J31+J32+J33+J37+J39+J40+J41+J42+J43+J46+J47+J48+J49+J50+J51+J53+J54+J55, "NA")</f>
        <v>5421.36</v>
      </c>
      <c r="K57" s="29">
        <f>IFERROR(J57/J148, "NA")</f>
        <v>0.2342216546244148</v>
      </c>
      <c r="L57" s="28">
        <f>IFERROR(L13+L15+L16+L17+L18+L19+L20+L21+L22+L23+L24+L25+L26+L29+L30+L31+L32+L33+L37+L39+L40+L41+L42+L43+L46+L47+L48+L49+L50+L51+L53+L54+L55, "NA")</f>
        <v>6618.0999999999995</v>
      </c>
      <c r="M57" s="29">
        <f>IFERROR(L57/L148, "NA")</f>
        <v>0.26032912373313716</v>
      </c>
      <c r="N57" s="28">
        <f>IFERROR(N13+N15+N16+N17+N18+N19+N20+N21+N22+N23+N24+N25+N26+N29+N30+N31+N32+N33+N37+N39+N40+N41+N42+N43+N46+N47+N48+N49+N50+N51+N53+N54+N55, "NA")</f>
        <v>6138.4200000000019</v>
      </c>
      <c r="O57" s="29">
        <f>IFERROR(N57/N148, "NA")</f>
        <v>0.25048181193114472</v>
      </c>
      <c r="P57" s="28">
        <f>IFERROR(P13+P15+P16+P17+P18+P19+P20+P21+P22+P23+P24+P25+P26+P29+P30+P31+P32+P33+P37+P39+P40+P41+P42+P43+P46+P47+P48+P49+P50+P51+P53+P54+P55, "NA")</f>
        <v>5861.08</v>
      </c>
      <c r="Q57" s="29">
        <f>IFERROR(P57/P148, "NA")</f>
        <v>0.22677985513526899</v>
      </c>
      <c r="R57" s="28">
        <f>IFERROR(R13+R15+R16+R17+R18+R19+R20+R21+R22+R23+R24+R25+R26+R29+R30+R31+R32+R33+R37+R39+R40+R41+R42+R43+R46+R47+R48+R49+R50+R51+R53+R54+R55, "NA")</f>
        <v>6063.1200000000008</v>
      </c>
      <c r="S57" s="29">
        <f>IFERROR(R57/R148, "NA")</f>
        <v>0.21297128580054442</v>
      </c>
      <c r="T57" s="28">
        <f>IFERROR(T13+T15+T16+T17+T18+T19+T20+T21+T22+T23+T24+T25+T26+T29+T30+T31+T32+T33+T37+T39+T40+T41+T42+T43+T46+T47+T48+T49+T50+T51+T53+T54+T55, "NA")</f>
        <v>5733.68</v>
      </c>
      <c r="U57" s="29">
        <f>IFERROR(T57/T148, "NA")</f>
        <v>0.23332226476026771</v>
      </c>
      <c r="V57" s="28">
        <f>IFERROR(V13+V15+V16+V17+V18+V19+V20+V21+V22+V23+V24+V25+V26+V29+V30+V31+V32+V33+V37+V39+V40+V41+V42+V43+V46+V47+V48+V49+V50+V51+V53+V54+V55, "NA")</f>
        <v>5711.1899999999987</v>
      </c>
      <c r="W57" s="29">
        <f>IFERROR(V57/V148, "NA")</f>
        <v>0.26614216672872248</v>
      </c>
      <c r="X57" s="28">
        <f>IFERROR(X13+X15+X16+X17+X18+X19+X20+X21+X22+X23+X24+X25+X26+X29+X30+X31+X32+X33+X37+X39+X40+X41+X42+X43+X46+X47+X48+X49+X50+X51+X53+X54+X55, "NA")</f>
        <v>10534.28</v>
      </c>
      <c r="Y57" s="29">
        <f>IFERROR(X57/X148, "NA")</f>
        <v>0.23691508504449743</v>
      </c>
      <c r="Z57" s="28">
        <f>IFERROR(Z13+Z15+Z16+Z17+Z18+Z19+Z20+Z21+Z22+Z23+Z24+Z25+Z26+Z29+Z30+Z31+Z32+Z33+Z37+Z39+Z40+Z41+Z42+Z43+Z46+Z47+Z48+Z49+Z50+Z51+Z53+Z54+Z55, "NA")</f>
        <v>28042.269999999997</v>
      </c>
      <c r="AA57" s="29">
        <f>IFERROR(Z57/Z148, "NA")</f>
        <v>0.23571507044695908</v>
      </c>
      <c r="AB57" s="28">
        <f t="shared" si="18"/>
        <v>7010.5674999999992</v>
      </c>
      <c r="AC57" s="29">
        <f>IFERROR(AB57/AB148, "NA")</f>
        <v>0.23571507044695908</v>
      </c>
      <c r="AD57" s="30">
        <f t="shared" si="19"/>
        <v>3523.7125000000015</v>
      </c>
      <c r="AE57" s="31">
        <f>IFERROR(AD57/AD148, "NA")</f>
        <v>0.23933927054998699</v>
      </c>
      <c r="AF57" s="30">
        <f t="shared" si="20"/>
        <v>0.50262871015791544</v>
      </c>
      <c r="AG57" s="28">
        <f t="shared" si="21"/>
        <v>6510.1537499999995</v>
      </c>
      <c r="AH57" s="29">
        <f>IFERROR(AG57/AG148, "NA")</f>
        <v>0.23902929411974741</v>
      </c>
      <c r="AI57" s="30">
        <f t="shared" si="22"/>
        <v>4024.1262500000012</v>
      </c>
      <c r="AJ57" s="31">
        <f>IFERROR(AI57/AI148, "NA")</f>
        <v>0.23357283616887273</v>
      </c>
      <c r="AK57" s="30">
        <f t="shared" si="23"/>
        <v>0.61813075459239364</v>
      </c>
      <c r="AL57" s="31">
        <f>IFERROR(AK57/AK148, "NA")</f>
        <v>0.97717242996943654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21189.050000000003</v>
      </c>
      <c r="C59" s="34">
        <f>IFERROR(B59/B148, "NA")</f>
        <v>0.742202496210009</v>
      </c>
      <c r="D59" s="33">
        <f>IFERROR(D9-D57, "NA")</f>
        <v>26977.169999999991</v>
      </c>
      <c r="E59" s="34">
        <f>IFERROR(D59/D148, "NA")</f>
        <v>0.77315561689989365</v>
      </c>
      <c r="F59" s="33">
        <f>IFERROR(F9-F57, "NA")</f>
        <v>34176.679999999993</v>
      </c>
      <c r="G59" s="34">
        <f>IFERROR(F59/F148, "NA")</f>
        <v>0.7526301672375435</v>
      </c>
      <c r="H59" s="33">
        <f>IFERROR(H9-H57, "NA")</f>
        <v>30605.509999999995</v>
      </c>
      <c r="I59" s="34">
        <f>IFERROR(H59/H148, "NA")</f>
        <v>0.75579275053599748</v>
      </c>
      <c r="J59" s="33">
        <f>IFERROR(J9-J57, "NA")</f>
        <v>17724.919999999998</v>
      </c>
      <c r="K59" s="34">
        <f>IFERROR(J59/J148, "NA")</f>
        <v>0.7657783453755852</v>
      </c>
      <c r="L59" s="33">
        <f>IFERROR(L9-L57, "NA")</f>
        <v>18803.950000000008</v>
      </c>
      <c r="M59" s="34">
        <f>IFERROR(L59/L148, "NA")</f>
        <v>0.73967087626686312</v>
      </c>
      <c r="N59" s="33">
        <f>IFERROR(N9-N57, "NA")</f>
        <v>18368.030000000002</v>
      </c>
      <c r="O59" s="34">
        <f>IFERROR(N59/N148, "NA")</f>
        <v>0.7495181880688554</v>
      </c>
      <c r="P59" s="33">
        <f>IFERROR(P9-P57, "NA")</f>
        <v>19983.719999999994</v>
      </c>
      <c r="Q59" s="34">
        <f>IFERROR(P59/P148, "NA")</f>
        <v>0.77322014486473079</v>
      </c>
      <c r="R59" s="33">
        <f>IFERROR(R9-R57, "NA")</f>
        <v>22406.07</v>
      </c>
      <c r="S59" s="34">
        <f>IFERROR(R59/R148, "NA")</f>
        <v>0.78702871419945564</v>
      </c>
      <c r="T59" s="33">
        <f>IFERROR(T9-T57, "NA")</f>
        <v>18840.400000000001</v>
      </c>
      <c r="U59" s="34">
        <f>IFERROR(T59/T148, "NA")</f>
        <v>0.76667773523973226</v>
      </c>
      <c r="V59" s="33">
        <f>IFERROR(V9-V57, "NA")</f>
        <v>15747.98</v>
      </c>
      <c r="W59" s="34">
        <f>IFERROR(V59/V148, "NA")</f>
        <v>0.73385783327127752</v>
      </c>
      <c r="X59" s="33">
        <f>IFERROR(X9-X57, "NA")</f>
        <v>33930.089999999997</v>
      </c>
      <c r="Y59" s="34">
        <f>IFERROR(X59/X148, "NA")</f>
        <v>0.76308491495550246</v>
      </c>
      <c r="Z59" s="33">
        <f>IFERROR(Z9-Z57, "NA")</f>
        <v>90924.539999999979</v>
      </c>
      <c r="AA59" s="34">
        <f>IFERROR(Z59/Z148, "NA")</f>
        <v>0.76428492955304073</v>
      </c>
      <c r="AB59" s="33">
        <f>IFERROR((R59+T59+V59+X59)/4, "NA")</f>
        <v>22731.134999999998</v>
      </c>
      <c r="AC59" s="34">
        <f>IFERROR(AB59/AB148, "NA")</f>
        <v>0.76428492955304084</v>
      </c>
      <c r="AD59" s="15">
        <f>IFERROR(X59-AB59, "NA")</f>
        <v>11198.954999999998</v>
      </c>
      <c r="AE59" s="16">
        <f>IFERROR(AD59/AD148, "NA")</f>
        <v>0.76066072945001273</v>
      </c>
      <c r="AF59" s="15">
        <f>IFERROR((X59-AB59)/AB59, "NA")</f>
        <v>0.492670295609964</v>
      </c>
      <c r="AG59" s="33">
        <f>IFERROR((J59+L59+N59+P59+R59+T59+V59+X59)/8, "NA")</f>
        <v>20725.645</v>
      </c>
      <c r="AH59" s="34">
        <f>IFERROR(AG59/AG148, "NA")</f>
        <v>0.76097070588025251</v>
      </c>
      <c r="AI59" s="15">
        <f>IFERROR(X59-AG59, "NA")</f>
        <v>13204.444999999996</v>
      </c>
      <c r="AJ59" s="16">
        <f>IFERROR(AI59/AI148, "NA")</f>
        <v>0.76642716383112708</v>
      </c>
      <c r="AK59" s="15">
        <f>IFERROR((X59-AG59)/AG59, "NA")</f>
        <v>0.63710658944510512</v>
      </c>
      <c r="AL59" s="16">
        <f>IFERROR(AK59/AK148, "NA")</f>
        <v>1.0071703915915695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1410</v>
      </c>
      <c r="C66" s="8">
        <f>IFERROR(B66/B148, "NA")</f>
        <v>4.938897778126497E-2</v>
      </c>
      <c r="D66" s="7">
        <v>1410</v>
      </c>
      <c r="E66" s="8">
        <f>IFERROR(D66/D148, "NA")</f>
        <v>4.0410073400169493E-2</v>
      </c>
      <c r="F66" s="7">
        <v>1410</v>
      </c>
      <c r="G66" s="8">
        <f>IFERROR(F66/F148, "NA")</f>
        <v>3.1050661907620535E-2</v>
      </c>
      <c r="H66" s="7">
        <v>1410</v>
      </c>
      <c r="I66" s="8">
        <f>IFERROR(H66/H148, "NA")</f>
        <v>3.4819474606231249E-2</v>
      </c>
      <c r="J66" s="7">
        <v>1410</v>
      </c>
      <c r="K66" s="8">
        <f>IFERROR(J66/J148, "NA")</f>
        <v>6.0916916238808141E-2</v>
      </c>
      <c r="L66" s="7">
        <v>1410</v>
      </c>
      <c r="M66" s="8">
        <f>IFERROR(L66/L148, "NA")</f>
        <v>5.5463662450510487E-2</v>
      </c>
      <c r="N66" s="7">
        <v>1410</v>
      </c>
      <c r="O66" s="8">
        <f>IFERROR(N66/N148, "NA")</f>
        <v>5.75358732088899E-2</v>
      </c>
      <c r="P66" s="7">
        <v>1410</v>
      </c>
      <c r="Q66" s="8">
        <f>IFERROR(P66/P148, "NA")</f>
        <v>5.4556429146288617E-2</v>
      </c>
      <c r="R66" s="7">
        <v>1410</v>
      </c>
      <c r="S66" s="8">
        <f>IFERROR(R66/R148, "NA")</f>
        <v>4.9527225748256277E-2</v>
      </c>
      <c r="T66" s="7">
        <v>1410</v>
      </c>
      <c r="U66" s="8">
        <f>IFERROR(T66/T148, "NA")</f>
        <v>5.737752949449175E-2</v>
      </c>
      <c r="V66" s="7">
        <v>1410</v>
      </c>
      <c r="W66" s="8">
        <f>IFERROR(V66/V148, "NA")</f>
        <v>6.5706175961139229E-2</v>
      </c>
      <c r="X66" s="7">
        <v>1410</v>
      </c>
      <c r="Y66" s="8">
        <f>IFERROR(X66/X148, "NA")</f>
        <v>3.1710783263093574E-2</v>
      </c>
      <c r="Z66" s="7">
        <v>5640</v>
      </c>
      <c r="AA66" s="8">
        <f>IFERROR(Z66/Z148, "NA")</f>
        <v>4.7408180483279327E-2</v>
      </c>
      <c r="AB66" s="9">
        <f t="shared" si="24"/>
        <v>1410</v>
      </c>
      <c r="AC66" s="8">
        <f>IFERROR(AB66/AB148, "NA")</f>
        <v>4.7408180483279327E-2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1410</v>
      </c>
      <c r="AH66" s="8">
        <f>IFERROR(AG66/AG148, "NA")</f>
        <v>5.1770099086959946E-2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5271.86</v>
      </c>
      <c r="C68" s="8">
        <f>IFERROR(B68/B148, "NA")</f>
        <v>0.18466083433045358</v>
      </c>
      <c r="D68" s="7">
        <v>6400.76</v>
      </c>
      <c r="E68" s="8">
        <f>IFERROR(D68/D148, "NA")</f>
        <v>0.18344339107579355</v>
      </c>
      <c r="F68" s="7">
        <v>8227.84</v>
      </c>
      <c r="G68" s="8">
        <f>IFERROR(F68/F148, "NA")</f>
        <v>0.18119140288652238</v>
      </c>
      <c r="H68" s="7">
        <v>7870.29</v>
      </c>
      <c r="I68" s="8">
        <f>IFERROR(H68/H148, "NA")</f>
        <v>0.19435415801324521</v>
      </c>
      <c r="J68" s="7">
        <v>4972.3999999999996</v>
      </c>
      <c r="K68" s="8">
        <f>IFERROR(J68/J148, "NA")</f>
        <v>0.2148250172381912</v>
      </c>
      <c r="L68" s="7">
        <v>5985.88</v>
      </c>
      <c r="M68" s="8">
        <f>IFERROR(L68/L148, "NA")</f>
        <v>0.23546016155266788</v>
      </c>
      <c r="N68" s="7">
        <v>5854.73</v>
      </c>
      <c r="O68" s="8">
        <f>IFERROR(N68/N148, "NA")</f>
        <v>0.23890567585268366</v>
      </c>
      <c r="P68" s="7">
        <v>5414.05</v>
      </c>
      <c r="Q68" s="8">
        <f>IFERROR(P68/P148, "NA")</f>
        <v>0.20948314554571906</v>
      </c>
      <c r="R68" s="7">
        <v>5049.22</v>
      </c>
      <c r="S68" s="8">
        <f>IFERROR(R68/R148, "NA")</f>
        <v>0.17735734666142594</v>
      </c>
      <c r="T68" s="7">
        <v>5517.43</v>
      </c>
      <c r="U68" s="8">
        <f>IFERROR(T68/T148, "NA")</f>
        <v>0.22452234224027917</v>
      </c>
      <c r="V68" s="7">
        <v>4474.8599999999997</v>
      </c>
      <c r="W68" s="8">
        <f>IFERROR(V68/V148, "NA")</f>
        <v>0.20852903444075424</v>
      </c>
      <c r="X68" s="7">
        <v>6865.76</v>
      </c>
      <c r="Y68" s="8">
        <f>IFERROR(X68/X148, "NA")</f>
        <v>0.1544103739690903</v>
      </c>
      <c r="Z68" s="7">
        <v>21907.27</v>
      </c>
      <c r="AA68" s="8">
        <f>IFERROR(Z68/Z148, "NA")</f>
        <v>0.18414606561275368</v>
      </c>
      <c r="AB68" s="9">
        <f t="shared" si="24"/>
        <v>5476.817500000001</v>
      </c>
      <c r="AC68" s="8">
        <f>IFERROR(AB68/AB148, "NA")</f>
        <v>0.18414606561275371</v>
      </c>
      <c r="AD68" s="10">
        <f t="shared" si="25"/>
        <v>1388.9424999999992</v>
      </c>
      <c r="AE68" s="11">
        <f>IFERROR(AD68/AD148, "NA")</f>
        <v>9.4340410798518598E-2</v>
      </c>
      <c r="AF68" s="10">
        <f t="shared" si="26"/>
        <v>0.25360394060966956</v>
      </c>
      <c r="AG68" s="9">
        <f t="shared" si="27"/>
        <v>5516.7912500000002</v>
      </c>
      <c r="AH68" s="8">
        <f>IFERROR(AG68/AG148, "NA")</f>
        <v>0.20255661677629336</v>
      </c>
      <c r="AI68" s="10">
        <f t="shared" si="28"/>
        <v>1348.96875</v>
      </c>
      <c r="AJ68" s="11">
        <f>IFERROR(AI68/AI148, "NA")</f>
        <v>7.8298352801599844E-2</v>
      </c>
      <c r="AK68" s="10">
        <f t="shared" si="29"/>
        <v>0.24452053537461654</v>
      </c>
      <c r="AL68" s="11">
        <f>IFERROR(AK68/AK148, "NA")</f>
        <v>0.38655045709059088</v>
      </c>
    </row>
    <row r="69" spans="1:38" ht="16.5" customHeight="1">
      <c r="A69" s="25" t="s">
        <v>81</v>
      </c>
      <c r="B69" s="7">
        <v>74.040000000000006</v>
      </c>
      <c r="C69" s="8">
        <f>IFERROR(B69/B148, "NA")</f>
        <v>2.5934467481736586E-3</v>
      </c>
      <c r="D69" s="7">
        <v>0</v>
      </c>
      <c r="E69" s="8">
        <f>IFERROR(D69/D148, "NA")</f>
        <v>0</v>
      </c>
      <c r="F69" s="7">
        <v>211.99</v>
      </c>
      <c r="G69" s="8">
        <f>IFERROR(F69/F148, "NA")</f>
        <v>4.6683899416996291E-3</v>
      </c>
      <c r="H69" s="7">
        <v>154.74</v>
      </c>
      <c r="I69" s="8">
        <f>IFERROR(H69/H148, "NA")</f>
        <v>3.8212521280625703E-3</v>
      </c>
      <c r="J69" s="7">
        <v>0</v>
      </c>
      <c r="K69" s="8">
        <f>IFERROR(J69/J148, "NA")</f>
        <v>0</v>
      </c>
      <c r="L69" s="7">
        <v>0</v>
      </c>
      <c r="M69" s="8">
        <f>IFERROR(L69/L148, "NA")</f>
        <v>0</v>
      </c>
      <c r="N69" s="7">
        <v>0</v>
      </c>
      <c r="O69" s="8">
        <f>IFERROR(N69/N148, "NA")</f>
        <v>0</v>
      </c>
      <c r="P69" s="7">
        <v>0</v>
      </c>
      <c r="Q69" s="8">
        <f>IFERROR(P69/P148, "NA")</f>
        <v>0</v>
      </c>
      <c r="R69" s="7">
        <v>0</v>
      </c>
      <c r="S69" s="8">
        <f>IFERROR(R69/R148, "NA")</f>
        <v>0</v>
      </c>
      <c r="T69" s="7">
        <v>0</v>
      </c>
      <c r="U69" s="8">
        <f>IFERROR(T69/T148, "NA")</f>
        <v>0</v>
      </c>
      <c r="V69" s="7">
        <v>0</v>
      </c>
      <c r="W69" s="8">
        <f>IFERROR(V69/V148, "NA")</f>
        <v>0</v>
      </c>
      <c r="X69" s="7">
        <v>189.97</v>
      </c>
      <c r="Y69" s="8">
        <f>IFERROR(X69/X148, "NA")</f>
        <v>4.272409571978642E-3</v>
      </c>
      <c r="Z69" s="7">
        <v>189.97</v>
      </c>
      <c r="AA69" s="8">
        <f>IFERROR(Z69/Z148, "NA")</f>
        <v>1.5968319231220876E-3</v>
      </c>
      <c r="AB69" s="9">
        <f t="shared" si="24"/>
        <v>47.4925</v>
      </c>
      <c r="AC69" s="8">
        <f>IFERROR(AB69/AB148, "NA")</f>
        <v>1.5968319231220876E-3</v>
      </c>
      <c r="AD69" s="10">
        <f t="shared" si="25"/>
        <v>142.47749999999999</v>
      </c>
      <c r="AE69" s="11">
        <f>IFERROR(AD69/AD148, "NA")</f>
        <v>9.6774242846956893E-3</v>
      </c>
      <c r="AF69" s="10">
        <f t="shared" si="26"/>
        <v>3</v>
      </c>
      <c r="AG69" s="9">
        <f t="shared" si="27"/>
        <v>23.74625</v>
      </c>
      <c r="AH69" s="8">
        <f>IFERROR(AG69/AG148, "NA")</f>
        <v>8.7187639393171824E-4</v>
      </c>
      <c r="AI69" s="10">
        <f t="shared" si="28"/>
        <v>166.22375</v>
      </c>
      <c r="AJ69" s="11">
        <f>IFERROR(AI69/AI148, "NA")</f>
        <v>9.6481447932021628E-3</v>
      </c>
      <c r="AK69" s="10">
        <f t="shared" si="29"/>
        <v>7</v>
      </c>
      <c r="AL69" s="11">
        <f>IFERROR(AK69/AK148, "NA")</f>
        <v>11.065954830700196</v>
      </c>
    </row>
    <row r="70" spans="1:38" ht="16.5" customHeight="1">
      <c r="A70" s="26" t="s">
        <v>82</v>
      </c>
      <c r="B70" s="13">
        <f>IFERROR(B65+B66+B67+B68+B69, "NA")</f>
        <v>6755.9</v>
      </c>
      <c r="C70" s="14">
        <f>IFERROR(B70/B148, "NA")</f>
        <v>0.23664325885989221</v>
      </c>
      <c r="D70" s="13">
        <f>IFERROR(D65+D66+D67+D68+D69, "NA")</f>
        <v>7810.76</v>
      </c>
      <c r="E70" s="14">
        <f>IFERROR(D70/D148, "NA")</f>
        <v>0.22385346447596302</v>
      </c>
      <c r="F70" s="13">
        <f>IFERROR(F65+F66+F67+F68+F69, "NA")</f>
        <v>9849.83</v>
      </c>
      <c r="G70" s="14">
        <f>IFERROR(F70/F148, "NA")</f>
        <v>0.21691045473584253</v>
      </c>
      <c r="H70" s="13">
        <f>IFERROR(H65+H66+H67+H68+H69, "NA")</f>
        <v>9435.0300000000007</v>
      </c>
      <c r="I70" s="14">
        <f>IFERROR(H70/H148, "NA")</f>
        <v>0.23299488474753907</v>
      </c>
      <c r="J70" s="13">
        <f>IFERROR(J65+J66+J67+J68+J69, "NA")</f>
        <v>6382.4</v>
      </c>
      <c r="K70" s="14">
        <f>IFERROR(J70/J148, "NA")</f>
        <v>0.27574193347699932</v>
      </c>
      <c r="L70" s="13">
        <f>IFERROR(L65+L66+L67+L68+L69, "NA")</f>
        <v>7395.88</v>
      </c>
      <c r="M70" s="14">
        <f>IFERROR(L70/L148, "NA")</f>
        <v>0.29092382400317834</v>
      </c>
      <c r="N70" s="13">
        <f>IFERROR(N65+N66+N67+N68+N69, "NA")</f>
        <v>7264.73</v>
      </c>
      <c r="O70" s="14">
        <f>IFERROR(N70/N148, "NA")</f>
        <v>0.29644154906157355</v>
      </c>
      <c r="P70" s="13">
        <f>IFERROR(P65+P66+P67+P68+P69, "NA")</f>
        <v>6824.05</v>
      </c>
      <c r="Q70" s="14">
        <f>IFERROR(P70/P148, "NA")</f>
        <v>0.26403957469200767</v>
      </c>
      <c r="R70" s="13">
        <f>IFERROR(R65+R66+R67+R68+R69, "NA")</f>
        <v>6459.22</v>
      </c>
      <c r="S70" s="14">
        <f>IFERROR(R70/R148, "NA")</f>
        <v>0.22688457240968221</v>
      </c>
      <c r="T70" s="13">
        <f>IFERROR(T65+T66+T67+T68+T69, "NA")</f>
        <v>6927.43</v>
      </c>
      <c r="U70" s="14">
        <f>IFERROR(T70/T148, "NA")</f>
        <v>0.28189987173477093</v>
      </c>
      <c r="V70" s="13">
        <f>IFERROR(V65+V66+V67+V68+V69, "NA")</f>
        <v>5884.86</v>
      </c>
      <c r="W70" s="14">
        <f>IFERROR(V70/V148, "NA")</f>
        <v>0.27423521040189347</v>
      </c>
      <c r="X70" s="13">
        <f>IFERROR(X65+X66+X67+X68+X69, "NA")</f>
        <v>8465.73</v>
      </c>
      <c r="Y70" s="14">
        <f>IFERROR(X70/X148, "NA")</f>
        <v>0.1903935668041625</v>
      </c>
      <c r="Z70" s="13">
        <f>IFERROR(Z65+Z66+Z67+Z68+Z69, "NA")</f>
        <v>27737.24</v>
      </c>
      <c r="AA70" s="14">
        <f>IFERROR(Z70/Z148, "NA")</f>
        <v>0.23315107801915511</v>
      </c>
      <c r="AB70" s="13">
        <f t="shared" si="24"/>
        <v>6934.31</v>
      </c>
      <c r="AC70" s="14">
        <f>IFERROR(AB70/AB148, "NA")</f>
        <v>0.23315107801915511</v>
      </c>
      <c r="AD70" s="15">
        <f t="shared" si="25"/>
        <v>1531.4199999999992</v>
      </c>
      <c r="AE70" s="16">
        <f>IFERROR(AD70/AD148, "NA")</f>
        <v>0.10401783508321429</v>
      </c>
      <c r="AF70" s="15">
        <f t="shared" si="26"/>
        <v>0.22084677494949015</v>
      </c>
      <c r="AG70" s="13">
        <f t="shared" si="27"/>
        <v>6950.5375000000004</v>
      </c>
      <c r="AH70" s="14">
        <f>IFERROR(AG70/AG148, "NA")</f>
        <v>0.25519859225718505</v>
      </c>
      <c r="AI70" s="15">
        <f t="shared" si="28"/>
        <v>1515.1924999999992</v>
      </c>
      <c r="AJ70" s="16">
        <f>IFERROR(AI70/AI148, "NA")</f>
        <v>8.7946497594801956E-2</v>
      </c>
      <c r="AK70" s="15">
        <f t="shared" si="29"/>
        <v>0.2179964499148446</v>
      </c>
      <c r="AL70" s="16">
        <f>IFERROR(AK70/AK148, "NA")</f>
        <v>0.34461983828723824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1159</v>
      </c>
      <c r="I72" s="8">
        <f>IFERROR(H72/H148, "NA")</f>
        <v>2.8621114233065265E-2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293</v>
      </c>
      <c r="Q72" s="8">
        <f>IFERROR(P72/P148, "NA")</f>
        <v>1.1336903361604657E-2</v>
      </c>
      <c r="R72" s="7">
        <v>0</v>
      </c>
      <c r="S72" s="8">
        <f>IFERROR(R72/R148, "NA")</f>
        <v>0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0</v>
      </c>
      <c r="AC72" s="8">
        <f>IFERROR(AB72/AB148, "NA")</f>
        <v>0</v>
      </c>
      <c r="AD72" s="10">
        <f t="shared" si="25"/>
        <v>0</v>
      </c>
      <c r="AE72" s="11">
        <f>IFERROR(AD72/AD148, "NA")</f>
        <v>0</v>
      </c>
      <c r="AF72" s="10" t="str">
        <f t="shared" si="26"/>
        <v>NA</v>
      </c>
      <c r="AG72" s="9">
        <f t="shared" si="27"/>
        <v>36.625</v>
      </c>
      <c r="AH72" s="8">
        <f>IFERROR(AG72/AG148, "NA")</f>
        <v>1.3447375028793674E-3</v>
      </c>
      <c r="AI72" s="10">
        <f t="shared" si="28"/>
        <v>-36.625</v>
      </c>
      <c r="AJ72" s="11">
        <f>IFERROR(AI72/AI148, "NA")</f>
        <v>-2.1258292094302363E-3</v>
      </c>
      <c r="AK72" s="10">
        <f t="shared" si="29"/>
        <v>-1</v>
      </c>
      <c r="AL72" s="11">
        <f>IFERROR(AK72/AK148, "NA")</f>
        <v>-1.5808506901000279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576.63</v>
      </c>
      <c r="C74" s="8">
        <f>IFERROR(B74/B148, "NA")</f>
        <v>2.0197990253908383E-2</v>
      </c>
      <c r="D74" s="7">
        <v>689.01</v>
      </c>
      <c r="E74" s="8">
        <f>IFERROR(D74/D148, "NA")</f>
        <v>1.9746769271950907E-2</v>
      </c>
      <c r="F74" s="7">
        <v>847.37</v>
      </c>
      <c r="G74" s="8">
        <f>IFERROR(F74/F148, "NA")</f>
        <v>1.866056693663859E-2</v>
      </c>
      <c r="H74" s="7">
        <v>960.79</v>
      </c>
      <c r="I74" s="8">
        <f>IFERROR(H74/H148, "NA")</f>
        <v>2.3726385111291434E-2</v>
      </c>
      <c r="J74" s="7">
        <v>558.29</v>
      </c>
      <c r="K74" s="8">
        <f>IFERROR(J74/J148, "NA")</f>
        <v>2.4120074586499427E-2</v>
      </c>
      <c r="L74" s="7">
        <v>656.84</v>
      </c>
      <c r="M74" s="8">
        <f>IFERROR(L74/L148, "NA")</f>
        <v>2.5837412797158375E-2</v>
      </c>
      <c r="N74" s="7">
        <v>625.05999999999995</v>
      </c>
      <c r="O74" s="8">
        <f>IFERROR(N74/N148, "NA")</f>
        <v>2.5505938232587743E-2</v>
      </c>
      <c r="P74" s="7">
        <v>599.94000000000005</v>
      </c>
      <c r="Q74" s="8">
        <f>IFERROR(P74/P148, "NA")</f>
        <v>2.3213180214201698E-2</v>
      </c>
      <c r="R74" s="7">
        <v>539.61</v>
      </c>
      <c r="S74" s="8">
        <f>IFERROR(R74/R148, "NA")</f>
        <v>1.8954174670933736E-2</v>
      </c>
      <c r="T74" s="7">
        <v>589.16</v>
      </c>
      <c r="U74" s="8">
        <f>IFERROR(T74/T148, "NA")</f>
        <v>2.3974854806365079E-2</v>
      </c>
      <c r="V74" s="7">
        <v>482.91</v>
      </c>
      <c r="W74" s="8">
        <f>IFERROR(V74/V148, "NA")</f>
        <v>2.250366626481826E-2</v>
      </c>
      <c r="X74" s="7">
        <v>780.24</v>
      </c>
      <c r="Y74" s="8">
        <f>IFERROR(X74/X148, "NA")</f>
        <v>1.7547533002266757E-2</v>
      </c>
      <c r="Z74" s="7">
        <v>2391.92</v>
      </c>
      <c r="AA74" s="8">
        <f>IFERROR(Z74/Z148, "NA")</f>
        <v>2.0105775720135725E-2</v>
      </c>
      <c r="AB74" s="9">
        <f t="shared" ref="AB74:AB85" si="30">IFERROR((R74+T74+V74+X74)/4, "NA")</f>
        <v>597.98</v>
      </c>
      <c r="AC74" s="8">
        <f>IFERROR(AB74/AB148, "NA")</f>
        <v>2.0105775720135725E-2</v>
      </c>
      <c r="AD74" s="10">
        <f t="shared" ref="AD74:AD85" si="31">IFERROR(X74-AB74, "NA")</f>
        <v>182.26</v>
      </c>
      <c r="AE74" s="11">
        <f>IFERROR(AD74/AD148, "NA")</f>
        <v>1.2379550105305302E-2</v>
      </c>
      <c r="AF74" s="10">
        <f t="shared" ref="AF74:AF85" si="32">IFERROR((X74-AB74)/AB74, "NA")</f>
        <v>0.30479280243486401</v>
      </c>
      <c r="AG74" s="9">
        <f t="shared" ref="AG74:AG85" si="33">IFERROR((J74+L74+N74+P74+R74+T74+V74+X74)/8, "NA")</f>
        <v>604.00625000000002</v>
      </c>
      <c r="AH74" s="8">
        <f>IFERROR(AG74/AG148, "NA")</f>
        <v>2.2176924405420642E-2</v>
      </c>
      <c r="AI74" s="10">
        <f t="shared" ref="AI74:AI85" si="34">IFERROR(X74-AG74, "NA")</f>
        <v>176.23374999999999</v>
      </c>
      <c r="AJ74" s="11">
        <f>IFERROR(AI74/AI148, "NA")</f>
        <v>1.0229156407847806E-2</v>
      </c>
      <c r="AK74" s="10">
        <f t="shared" ref="AK74:AK85" si="35">IFERROR((X74-AG74)/AG74, "NA")</f>
        <v>0.29177471259610305</v>
      </c>
      <c r="AL74" s="11">
        <f>IFERROR(AK74/AK148, "NA")</f>
        <v>0.46125225576128681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576.63</v>
      </c>
      <c r="C81" s="14">
        <f>IFERROR(B81/B148, "NA")</f>
        <v>2.0197990253908383E-2</v>
      </c>
      <c r="D81" s="13">
        <f>IFERROR(D74+D75+D76+D77+D78+D79+D80, "NA")</f>
        <v>689.01</v>
      </c>
      <c r="E81" s="14">
        <f>IFERROR(D81/D148, "NA")</f>
        <v>1.9746769271950907E-2</v>
      </c>
      <c r="F81" s="13">
        <f>IFERROR(F74+F75+F76+F77+F78+F79+F80, "NA")</f>
        <v>847.37</v>
      </c>
      <c r="G81" s="14">
        <f>IFERROR(F81/F148, "NA")</f>
        <v>1.866056693663859E-2</v>
      </c>
      <c r="H81" s="13">
        <f>IFERROR(H74+H75+H76+H77+H78+H79+H80, "NA")</f>
        <v>960.79</v>
      </c>
      <c r="I81" s="14">
        <f>IFERROR(H81/H148, "NA")</f>
        <v>2.3726385111291434E-2</v>
      </c>
      <c r="J81" s="13">
        <f>IFERROR(J74+J75+J76+J77+J78+J79+J80, "NA")</f>
        <v>558.29</v>
      </c>
      <c r="K81" s="14">
        <f>IFERROR(J81/J148, "NA")</f>
        <v>2.4120074586499427E-2</v>
      </c>
      <c r="L81" s="13">
        <f>IFERROR(L74+L75+L76+L77+L78+L79+L80, "NA")</f>
        <v>656.84</v>
      </c>
      <c r="M81" s="14">
        <f>IFERROR(L81/L148, "NA")</f>
        <v>2.5837412797158375E-2</v>
      </c>
      <c r="N81" s="13">
        <f>IFERROR(N74+N75+N76+N77+N78+N79+N80, "NA")</f>
        <v>625.05999999999995</v>
      </c>
      <c r="O81" s="14">
        <f>IFERROR(N81/N148, "NA")</f>
        <v>2.5505938232587743E-2</v>
      </c>
      <c r="P81" s="13">
        <f>IFERROR(P74+P75+P76+P77+P78+P79+P80, "NA")</f>
        <v>599.94000000000005</v>
      </c>
      <c r="Q81" s="14">
        <f>IFERROR(P81/P148, "NA")</f>
        <v>2.3213180214201698E-2</v>
      </c>
      <c r="R81" s="13">
        <f>IFERROR(R74+R75+R76+R77+R78+R79+R80, "NA")</f>
        <v>539.61</v>
      </c>
      <c r="S81" s="14">
        <f>IFERROR(R81/R148, "NA")</f>
        <v>1.8954174670933736E-2</v>
      </c>
      <c r="T81" s="13">
        <f>IFERROR(T74+T75+T76+T77+T78+T79+T80, "NA")</f>
        <v>589.16</v>
      </c>
      <c r="U81" s="14">
        <f>IFERROR(T81/T148, "NA")</f>
        <v>2.3974854806365079E-2</v>
      </c>
      <c r="V81" s="13">
        <f>IFERROR(V74+V75+V76+V77+V78+V79+V80, "NA")</f>
        <v>482.91</v>
      </c>
      <c r="W81" s="14">
        <f>IFERROR(V81/V148, "NA")</f>
        <v>2.250366626481826E-2</v>
      </c>
      <c r="X81" s="13">
        <f>IFERROR(X74+X75+X76+X77+X78+X79+X80, "NA")</f>
        <v>780.24</v>
      </c>
      <c r="Y81" s="14">
        <f>IFERROR(X81/X148, "NA")</f>
        <v>1.7547533002266757E-2</v>
      </c>
      <c r="Z81" s="13">
        <f>IFERROR(Z74+Z75+Z76+Z77+Z78+Z79+Z80, "NA")</f>
        <v>2391.92</v>
      </c>
      <c r="AA81" s="14">
        <f>IFERROR(Z81/Z148, "NA")</f>
        <v>2.0105775720135725E-2</v>
      </c>
      <c r="AB81" s="13">
        <f t="shared" si="30"/>
        <v>597.98</v>
      </c>
      <c r="AC81" s="14">
        <f>IFERROR(AB81/AB148, "NA")</f>
        <v>2.0105775720135725E-2</v>
      </c>
      <c r="AD81" s="15">
        <f t="shared" si="31"/>
        <v>182.26</v>
      </c>
      <c r="AE81" s="16">
        <f>IFERROR(AD81/AD148, "NA")</f>
        <v>1.2379550105305302E-2</v>
      </c>
      <c r="AF81" s="15">
        <f t="shared" si="32"/>
        <v>0.30479280243486401</v>
      </c>
      <c r="AG81" s="13">
        <f t="shared" si="33"/>
        <v>604.00625000000002</v>
      </c>
      <c r="AH81" s="14">
        <f>IFERROR(AG81/AG148, "NA")</f>
        <v>2.2176924405420642E-2</v>
      </c>
      <c r="AI81" s="15">
        <f t="shared" si="34"/>
        <v>176.23374999999999</v>
      </c>
      <c r="AJ81" s="16">
        <f>IFERROR(AI81/AI148, "NA")</f>
        <v>1.0229156407847806E-2</v>
      </c>
      <c r="AK81" s="15">
        <f t="shared" si="35"/>
        <v>0.29177471259610305</v>
      </c>
      <c r="AL81" s="16">
        <f>IFERROR(AK81/AK148, "NA")</f>
        <v>0.46125225576128681</v>
      </c>
    </row>
    <row r="82" spans="1:38" ht="16.5" customHeight="1">
      <c r="A82" s="23" t="s">
        <v>94</v>
      </c>
      <c r="B82" s="7">
        <v>260</v>
      </c>
      <c r="C82" s="8">
        <f>IFERROR(B82/B148, "NA")</f>
        <v>9.1071873922899949E-3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308</v>
      </c>
      <c r="K82" s="8">
        <f>IFERROR(J82/J148, "NA")</f>
        <v>1.3306673901810572E-2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308</v>
      </c>
      <c r="U82" s="8">
        <f>IFERROR(T82/T148, "NA")</f>
        <v>1.2533531265463447E-2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308</v>
      </c>
      <c r="AA82" s="8">
        <f>IFERROR(Z82/Z148, "NA")</f>
        <v>2.5889573739095802E-3</v>
      </c>
      <c r="AB82" s="9">
        <f t="shared" si="30"/>
        <v>77</v>
      </c>
      <c r="AC82" s="8">
        <f>IFERROR(AB82/AB148, "NA")</f>
        <v>2.5889573739095802E-3</v>
      </c>
      <c r="AD82" s="10">
        <f t="shared" si="31"/>
        <v>-77</v>
      </c>
      <c r="AE82" s="11">
        <f>IFERROR(AD82/AD148, "NA")</f>
        <v>-5.2300304954927485E-3</v>
      </c>
      <c r="AF82" s="10">
        <f t="shared" si="32"/>
        <v>-1</v>
      </c>
      <c r="AG82" s="9">
        <f t="shared" si="33"/>
        <v>77</v>
      </c>
      <c r="AH82" s="8">
        <f>IFERROR(AG82/AG148, "NA")</f>
        <v>2.8271614395006498E-3</v>
      </c>
      <c r="AI82" s="10">
        <f t="shared" si="34"/>
        <v>-77</v>
      </c>
      <c r="AJ82" s="11">
        <f>IFERROR(AI82/AI148, "NA")</f>
        <v>-4.46932011265879E-3</v>
      </c>
      <c r="AK82" s="10">
        <f t="shared" si="35"/>
        <v>-1</v>
      </c>
      <c r="AL82" s="11">
        <f>IFERROR(AK82/AK148, "NA")</f>
        <v>-1.5808506901000279</v>
      </c>
    </row>
    <row r="83" spans="1:38" ht="16.5" customHeight="1">
      <c r="A83" s="23" t="s">
        <v>95</v>
      </c>
      <c r="B83" s="7">
        <v>0</v>
      </c>
      <c r="C83" s="8">
        <f>IFERROR(B83/B148, "NA")</f>
        <v>0</v>
      </c>
      <c r="D83" s="7">
        <v>0</v>
      </c>
      <c r="E83" s="8">
        <f>IFERROR(D83/D148, "NA")</f>
        <v>0</v>
      </c>
      <c r="F83" s="7">
        <v>7.2</v>
      </c>
      <c r="G83" s="8">
        <f>IFERROR(F83/F148, "NA")</f>
        <v>1.5855657144316868E-4</v>
      </c>
      <c r="H83" s="7">
        <v>0</v>
      </c>
      <c r="I83" s="8">
        <f>IFERROR(H83/H148, "NA")</f>
        <v>0</v>
      </c>
      <c r="J83" s="7">
        <v>-6.64</v>
      </c>
      <c r="K83" s="8">
        <f>IFERROR(J83/J148, "NA")</f>
        <v>-2.8687115164942274E-4</v>
      </c>
      <c r="L83" s="7">
        <v>-1.66</v>
      </c>
      <c r="M83" s="8">
        <f>IFERROR(L83/L148, "NA")</f>
        <v>-6.5297645154501703E-5</v>
      </c>
      <c r="N83" s="7">
        <v>5.54</v>
      </c>
      <c r="O83" s="8">
        <f>IFERROR(N83/N148, "NA")</f>
        <v>2.2606293445195041E-4</v>
      </c>
      <c r="P83" s="7">
        <v>-1.66</v>
      </c>
      <c r="Q83" s="8">
        <f>IFERROR(P83/P148, "NA")</f>
        <v>-6.4229554881446168E-5</v>
      </c>
      <c r="R83" s="7">
        <v>-1.66</v>
      </c>
      <c r="S83" s="8">
        <f>IFERROR(R83/R148, "NA")</f>
        <v>-5.8308648753266248E-5</v>
      </c>
      <c r="T83" s="7">
        <v>-1.66</v>
      </c>
      <c r="U83" s="8">
        <f>IFERROR(T83/T148, "NA")</f>
        <v>-6.7550850326848446E-5</v>
      </c>
      <c r="V83" s="7">
        <v>-1.66</v>
      </c>
      <c r="W83" s="8">
        <f>IFERROR(V83/V148, "NA")</f>
        <v>-7.735620715992277E-5</v>
      </c>
      <c r="X83" s="7">
        <v>5.54</v>
      </c>
      <c r="Y83" s="8">
        <f>IFERROR(X83/X148, "NA")</f>
        <v>1.245941413315875E-4</v>
      </c>
      <c r="Z83" s="7">
        <v>0.56000000000000005</v>
      </c>
      <c r="AA83" s="8">
        <f>IFERROR(Z83/Z148, "NA")</f>
        <v>4.7071952252901464E-6</v>
      </c>
      <c r="AB83" s="9">
        <f t="shared" si="30"/>
        <v>0.14000000000000012</v>
      </c>
      <c r="AC83" s="8">
        <f>IFERROR(AB83/AB148, "NA")</f>
        <v>4.7071952252901507E-6</v>
      </c>
      <c r="AD83" s="10">
        <f t="shared" si="31"/>
        <v>5.4</v>
      </c>
      <c r="AE83" s="11">
        <f>IFERROR(AD83/AD148, "NA")</f>
        <v>3.667813594241668E-4</v>
      </c>
      <c r="AF83" s="10">
        <f t="shared" si="32"/>
        <v>38.571428571428541</v>
      </c>
      <c r="AG83" s="9">
        <f t="shared" si="33"/>
        <v>-0.48249999999999982</v>
      </c>
      <c r="AH83" s="8">
        <f>IFERROR(AG83/AG148, "NA")</f>
        <v>-1.7715654474793024E-5</v>
      </c>
      <c r="AI83" s="10">
        <f t="shared" si="34"/>
        <v>6.0225</v>
      </c>
      <c r="AJ83" s="11">
        <f>IFERROR(AI83/AI148, "NA")</f>
        <v>3.4956468024009826E-4</v>
      </c>
      <c r="AK83" s="10">
        <f t="shared" si="35"/>
        <v>-12.481865284974099</v>
      </c>
      <c r="AL83" s="11">
        <f>IFERROR(AK83/AK148, "NA")</f>
        <v>-19.731965349486885</v>
      </c>
    </row>
    <row r="84" spans="1:38" ht="16.5" customHeight="1">
      <c r="A84" s="27" t="s">
        <v>96</v>
      </c>
      <c r="B84" s="13">
        <f>IFERROR(B63+B65+B66+B67+B68+B69+B71+B72+B74+B75+B76+B77+B78+B79+B80+B82+B83, "NA")</f>
        <v>7592.53</v>
      </c>
      <c r="C84" s="14">
        <f>IFERROR(B84/B148, "NA")</f>
        <v>0.26594843650609057</v>
      </c>
      <c r="D84" s="13">
        <f>IFERROR(D63+D65+D66+D67+D68+D69+D71+D72+D74+D75+D76+D77+D78+D79+D80+D82+D83, "NA")</f>
        <v>8499.77</v>
      </c>
      <c r="E84" s="14">
        <f>IFERROR(D84/D148, "NA")</f>
        <v>0.24360023374791395</v>
      </c>
      <c r="F84" s="13">
        <f>IFERROR(F63+F65+F66+F67+F68+F69+F71+F72+F74+F75+F76+F77+F78+F79+F80+F82+F83, "NA")</f>
        <v>10704.400000000001</v>
      </c>
      <c r="G84" s="14">
        <f>IFERROR(F84/F148, "NA")</f>
        <v>0.23572957824392432</v>
      </c>
      <c r="H84" s="13">
        <f>IFERROR(H63+H65+H66+H67+H68+H69+H71+H72+H74+H75+H76+H77+H78+H79+H80+H82+H83, "NA")</f>
        <v>11554.82</v>
      </c>
      <c r="I84" s="14">
        <f>IFERROR(H84/H148, "NA")</f>
        <v>0.28534238409189572</v>
      </c>
      <c r="J84" s="13">
        <f>IFERROR(J63+J65+J66+J67+J68+J69+J71+J72+J74+J75+J76+J77+J78+J79+J80+J82+J83, "NA")</f>
        <v>7242.0499999999993</v>
      </c>
      <c r="K84" s="14">
        <f>IFERROR(J84/J148, "NA")</f>
        <v>0.3128818108136599</v>
      </c>
      <c r="L84" s="13">
        <f>IFERROR(L63+L65+L66+L67+L68+L69+L71+L72+L74+L75+L76+L77+L78+L79+L80+L82+L83, "NA")</f>
        <v>8051.06</v>
      </c>
      <c r="M84" s="14">
        <f>IFERROR(L84/L148, "NA")</f>
        <v>0.31669593915518224</v>
      </c>
      <c r="N84" s="13">
        <f>IFERROR(N63+N65+N66+N67+N68+N69+N71+N72+N74+N75+N76+N77+N78+N79+N80+N82+N83, "NA")</f>
        <v>7895.329999999999</v>
      </c>
      <c r="O84" s="14">
        <f>IFERROR(N84/N148, "NA")</f>
        <v>0.32217355022861321</v>
      </c>
      <c r="P84" s="13">
        <f>IFERROR(P63+P65+P66+P67+P68+P69+P71+P72+P74+P75+P76+P77+P78+P79+P80+P82+P83, "NA")</f>
        <v>7715.33</v>
      </c>
      <c r="Q84" s="14">
        <f>IFERROR(P84/P148, "NA")</f>
        <v>0.29852542871293258</v>
      </c>
      <c r="R84" s="13">
        <f>IFERROR(R63+R65+R66+R67+R68+R69+R71+R72+R74+R75+R76+R77+R78+R79+R80+R82+R83, "NA")</f>
        <v>6997.17</v>
      </c>
      <c r="S84" s="14">
        <f>IFERROR(R84/R148, "NA")</f>
        <v>0.24578043843186267</v>
      </c>
      <c r="T84" s="13">
        <f>IFERROR(T63+T65+T66+T67+T68+T69+T71+T72+T74+T75+T76+T77+T78+T79+T80+T82+T83, "NA")</f>
        <v>7822.93</v>
      </c>
      <c r="U84" s="14">
        <f>IFERROR(T84/T148, "NA")</f>
        <v>0.31834070695627259</v>
      </c>
      <c r="V84" s="13">
        <f>IFERROR(V63+V65+V66+V67+V68+V69+V71+V72+V74+V75+V76+V77+V78+V79+V80+V82+V83, "NA")</f>
        <v>6366.11</v>
      </c>
      <c r="W84" s="14">
        <f>IFERROR(V84/V148, "NA")</f>
        <v>0.2966615204595518</v>
      </c>
      <c r="X84" s="13">
        <f>IFERROR(X63+X65+X66+X67+X68+X69+X71+X72+X74+X75+X76+X77+X78+X79+X80+X82+X83, "NA")</f>
        <v>9251.51</v>
      </c>
      <c r="Y84" s="14">
        <f>IFERROR(X84/X148, "NA")</f>
        <v>0.20806569394776087</v>
      </c>
      <c r="Z84" s="13">
        <f>IFERROR(Z63+Z65+Z66+Z67+Z68+Z69+Z71+Z72+Z74+Z75+Z76+Z77+Z78+Z79+Z80+Z82+Z83, "NA")</f>
        <v>30437.720000000005</v>
      </c>
      <c r="AA84" s="14">
        <f>IFERROR(Z84/Z148, "NA")</f>
        <v>0.25585051830842576</v>
      </c>
      <c r="AB84" s="13">
        <f t="shared" si="30"/>
        <v>7609.43</v>
      </c>
      <c r="AC84" s="14">
        <f>IFERROR(AB84/AB148, "NA")</f>
        <v>0.2558505183084257</v>
      </c>
      <c r="AD84" s="15">
        <f t="shared" si="31"/>
        <v>1642.08</v>
      </c>
      <c r="AE84" s="16">
        <f>IFERROR(AD84/AD148, "NA")</f>
        <v>0.11153413605245106</v>
      </c>
      <c r="AF84" s="15">
        <f t="shared" si="32"/>
        <v>0.21579540123241817</v>
      </c>
      <c r="AG84" s="13">
        <f t="shared" si="33"/>
        <v>7667.6862499999997</v>
      </c>
      <c r="AH84" s="14">
        <f>IFERROR(AG84/AG148, "NA")</f>
        <v>0.28152969995051086</v>
      </c>
      <c r="AI84" s="15">
        <f t="shared" si="34"/>
        <v>1583.8237500000005</v>
      </c>
      <c r="AJ84" s="16">
        <f>IFERROR(AI84/AI148, "NA")</f>
        <v>9.1930069360800906E-2</v>
      </c>
      <c r="AK84" s="15">
        <f t="shared" si="35"/>
        <v>0.20655823652148006</v>
      </c>
      <c r="AL84" s="16">
        <f>IFERROR(AK84/AK148, "NA")</f>
        <v>0.32653773075082654</v>
      </c>
    </row>
    <row r="85" spans="1:38" ht="16.5" customHeight="1">
      <c r="A85" s="12" t="s">
        <v>96</v>
      </c>
      <c r="B85" s="28">
        <f>IFERROR(B63+B65+B66+B67+B68+B69+B71+B72+B74+B75+B76+B77+B78+B79+B80+B82+B83, "NA")</f>
        <v>7592.53</v>
      </c>
      <c r="C85" s="29">
        <f>IFERROR(B85/B148, "NA")</f>
        <v>0.26594843650609057</v>
      </c>
      <c r="D85" s="28">
        <f>IFERROR(D63+D65+D66+D67+D68+D69+D71+D72+D74+D75+D76+D77+D78+D79+D80+D82+D83, "NA")</f>
        <v>8499.77</v>
      </c>
      <c r="E85" s="29">
        <f>IFERROR(D85/D148, "NA")</f>
        <v>0.24360023374791395</v>
      </c>
      <c r="F85" s="28">
        <f>IFERROR(F63+F65+F66+F67+F68+F69+F71+F72+F74+F75+F76+F77+F78+F79+F80+F82+F83, "NA")</f>
        <v>10704.400000000001</v>
      </c>
      <c r="G85" s="29">
        <f>IFERROR(F85/F148, "NA")</f>
        <v>0.23572957824392432</v>
      </c>
      <c r="H85" s="28">
        <f>IFERROR(H63+H65+H66+H67+H68+H69+H71+H72+H74+H75+H76+H77+H78+H79+H80+H82+H83, "NA")</f>
        <v>11554.82</v>
      </c>
      <c r="I85" s="29">
        <f>IFERROR(H85/H148, "NA")</f>
        <v>0.28534238409189572</v>
      </c>
      <c r="J85" s="28">
        <f>IFERROR(J63+J65+J66+J67+J68+J69+J71+J72+J74+J75+J76+J77+J78+J79+J80+J82+J83, "NA")</f>
        <v>7242.0499999999993</v>
      </c>
      <c r="K85" s="29">
        <f>IFERROR(J85/J148, "NA")</f>
        <v>0.3128818108136599</v>
      </c>
      <c r="L85" s="28">
        <f>IFERROR(L63+L65+L66+L67+L68+L69+L71+L72+L74+L75+L76+L77+L78+L79+L80+L82+L83, "NA")</f>
        <v>8051.06</v>
      </c>
      <c r="M85" s="29">
        <f>IFERROR(L85/L148, "NA")</f>
        <v>0.31669593915518224</v>
      </c>
      <c r="N85" s="28">
        <f>IFERROR(N63+N65+N66+N67+N68+N69+N71+N72+N74+N75+N76+N77+N78+N79+N80+N82+N83, "NA")</f>
        <v>7895.329999999999</v>
      </c>
      <c r="O85" s="29">
        <f>IFERROR(N85/N148, "NA")</f>
        <v>0.32217355022861321</v>
      </c>
      <c r="P85" s="28">
        <f>IFERROR(P63+P65+P66+P67+P68+P69+P71+P72+P74+P75+P76+P77+P78+P79+P80+P82+P83, "NA")</f>
        <v>7715.33</v>
      </c>
      <c r="Q85" s="29">
        <f>IFERROR(P85/P148, "NA")</f>
        <v>0.29852542871293258</v>
      </c>
      <c r="R85" s="28">
        <f>IFERROR(R63+R65+R66+R67+R68+R69+R71+R72+R74+R75+R76+R77+R78+R79+R80+R82+R83, "NA")</f>
        <v>6997.17</v>
      </c>
      <c r="S85" s="29">
        <f>IFERROR(R85/R148, "NA")</f>
        <v>0.24578043843186267</v>
      </c>
      <c r="T85" s="28">
        <f>IFERROR(T63+T65+T66+T67+T68+T69+T71+T72+T74+T75+T76+T77+T78+T79+T80+T82+T83, "NA")</f>
        <v>7822.93</v>
      </c>
      <c r="U85" s="29">
        <f>IFERROR(T85/T148, "NA")</f>
        <v>0.31834070695627259</v>
      </c>
      <c r="V85" s="28">
        <f>IFERROR(V63+V65+V66+V67+V68+V69+V71+V72+V74+V75+V76+V77+V78+V79+V80+V82+V83, "NA")</f>
        <v>6366.11</v>
      </c>
      <c r="W85" s="29">
        <f>IFERROR(V85/V148, "NA")</f>
        <v>0.2966615204595518</v>
      </c>
      <c r="X85" s="28">
        <f>IFERROR(X63+X65+X66+X67+X68+X69+X71+X72+X74+X75+X76+X77+X78+X79+X80+X82+X83, "NA")</f>
        <v>9251.51</v>
      </c>
      <c r="Y85" s="29">
        <f>IFERROR(X85/X148, "NA")</f>
        <v>0.20806569394776087</v>
      </c>
      <c r="Z85" s="28">
        <f>IFERROR(Z63+Z65+Z66+Z67+Z68+Z69+Z71+Z72+Z74+Z75+Z76+Z77+Z78+Z79+Z80+Z82+Z83, "NA")</f>
        <v>30437.720000000005</v>
      </c>
      <c r="AA85" s="29">
        <f>IFERROR(Z85/Z148, "NA")</f>
        <v>0.25585051830842576</v>
      </c>
      <c r="AB85" s="28">
        <f t="shared" si="30"/>
        <v>7609.43</v>
      </c>
      <c r="AC85" s="29">
        <f>IFERROR(AB85/AB148, "NA")</f>
        <v>0.2558505183084257</v>
      </c>
      <c r="AD85" s="30">
        <f t="shared" si="31"/>
        <v>1642.08</v>
      </c>
      <c r="AE85" s="31">
        <f>IFERROR(AD85/AD148, "NA")</f>
        <v>0.11153413605245106</v>
      </c>
      <c r="AF85" s="30">
        <f t="shared" si="32"/>
        <v>0.21579540123241817</v>
      </c>
      <c r="AG85" s="28">
        <f t="shared" si="33"/>
        <v>7667.6862499999997</v>
      </c>
      <c r="AH85" s="29">
        <f>IFERROR(AG85/AG148, "NA")</f>
        <v>0.28152969995051086</v>
      </c>
      <c r="AI85" s="30">
        <f t="shared" si="34"/>
        <v>1583.8237500000005</v>
      </c>
      <c r="AJ85" s="31">
        <f>IFERROR(AI85/AI148, "NA")</f>
        <v>9.1930069360800906E-2</v>
      </c>
      <c r="AK85" s="30">
        <f t="shared" si="35"/>
        <v>0.20655823652148006</v>
      </c>
      <c r="AL85" s="31">
        <f>IFERROR(AK85/AK148, "NA")</f>
        <v>0.32653773075082654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13596.520000000004</v>
      </c>
      <c r="C87" s="34">
        <f>IFERROR(B87/B148, "NA")</f>
        <v>0.47625405970391843</v>
      </c>
      <c r="D87" s="33">
        <f>IFERROR(D59-D85, "NA")</f>
        <v>18477.399999999991</v>
      </c>
      <c r="E87" s="34">
        <f>IFERROR(D87/D148, "NA")</f>
        <v>0.5295553831519797</v>
      </c>
      <c r="F87" s="33">
        <f>IFERROR(F59-F85, "NA")</f>
        <v>23472.279999999992</v>
      </c>
      <c r="G87" s="34">
        <f>IFERROR(F87/F148, "NA")</f>
        <v>0.51690058899361924</v>
      </c>
      <c r="H87" s="33">
        <f>IFERROR(H59-H85, "NA")</f>
        <v>19050.689999999995</v>
      </c>
      <c r="I87" s="34">
        <f>IFERROR(H87/H148, "NA")</f>
        <v>0.47045036644410176</v>
      </c>
      <c r="J87" s="33">
        <f>IFERROR(J59-J85, "NA")</f>
        <v>10482.869999999999</v>
      </c>
      <c r="K87" s="34">
        <f>IFERROR(J87/J148, "NA")</f>
        <v>0.45289653456192525</v>
      </c>
      <c r="L87" s="33">
        <f>IFERROR(L59-L85, "NA")</f>
        <v>10752.890000000007</v>
      </c>
      <c r="M87" s="34">
        <f>IFERROR(L87/L148, "NA")</f>
        <v>0.42297493711168088</v>
      </c>
      <c r="N87" s="33">
        <f>IFERROR(N59-N85, "NA")</f>
        <v>10472.700000000004</v>
      </c>
      <c r="O87" s="34">
        <f>IFERROR(N87/N148, "NA")</f>
        <v>0.42734463784024224</v>
      </c>
      <c r="P87" s="33">
        <f>IFERROR(P59-P85, "NA")</f>
        <v>12268.389999999994</v>
      </c>
      <c r="Q87" s="34">
        <f>IFERROR(P87/P148, "NA")</f>
        <v>0.4746947161517982</v>
      </c>
      <c r="R87" s="33">
        <f>IFERROR(R59-R85, "NA")</f>
        <v>15408.9</v>
      </c>
      <c r="S87" s="34">
        <f>IFERROR(R87/R148, "NA")</f>
        <v>0.54124827576759293</v>
      </c>
      <c r="T87" s="33">
        <f>IFERROR(T59-T85, "NA")</f>
        <v>11017.470000000001</v>
      </c>
      <c r="U87" s="34">
        <f>IFERROR(T87/T148, "NA")</f>
        <v>0.44833702828345967</v>
      </c>
      <c r="V87" s="33">
        <f>IFERROR(V59-V85, "NA")</f>
        <v>9381.869999999999</v>
      </c>
      <c r="W87" s="34">
        <f>IFERROR(V87/V148, "NA")</f>
        <v>0.43719631281172572</v>
      </c>
      <c r="X87" s="33">
        <f>IFERROR(X59-X85, "NA")</f>
        <v>24678.579999999994</v>
      </c>
      <c r="Y87" s="34">
        <f>IFERROR(X87/X148, "NA")</f>
        <v>0.55501922100774159</v>
      </c>
      <c r="Z87" s="33">
        <f>IFERROR(Z59-Z85, "NA")</f>
        <v>60486.819999999978</v>
      </c>
      <c r="AA87" s="34">
        <f>IFERROR(Z87/Z148, "NA")</f>
        <v>0.50843441124461497</v>
      </c>
      <c r="AB87" s="33">
        <f>IFERROR((R87+T87+V87+X87)/4, "NA")</f>
        <v>15121.705</v>
      </c>
      <c r="AC87" s="34">
        <f>IFERROR(AB87/AB148, "NA")</f>
        <v>0.50843441124461519</v>
      </c>
      <c r="AD87" s="15">
        <f>IFERROR(X87-AB87, "NA")</f>
        <v>9556.8749999999945</v>
      </c>
      <c r="AE87" s="16">
        <f>IFERROR(AD87/AD148, "NA")</f>
        <v>0.6491265933975614</v>
      </c>
      <c r="AF87" s="15">
        <f>IFERROR((X87-AB87)/AB87, "NA")</f>
        <v>0.63199718550256034</v>
      </c>
      <c r="AG87" s="33">
        <f>IFERROR((J87+L87+N87+P87+R87+T87+V87+X87)/8, "NA")</f>
        <v>13057.958749999998</v>
      </c>
      <c r="AH87" s="34">
        <f>IFERROR(AG87/AG148, "NA")</f>
        <v>0.47944100592974154</v>
      </c>
      <c r="AI87" s="15">
        <f>IFERROR(X87-AG87, "NA")</f>
        <v>11620.621249999997</v>
      </c>
      <c r="AJ87" s="16">
        <f>IFERROR(AI87/AI148, "NA")</f>
        <v>0.67449709447032624</v>
      </c>
      <c r="AK87" s="15">
        <f>IFERROR((X87-AG87)/AG87, "NA")</f>
        <v>0.88992632558285556</v>
      </c>
      <c r="AL87" s="16">
        <f>IFERROR(AK87/AK148, "NA")</f>
        <v>1.4068406459358394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881.83</v>
      </c>
      <c r="C90" s="8">
        <f>IFERROR(B90/B148, "NA")</f>
        <v>3.088842714670418E-2</v>
      </c>
      <c r="D90" s="7">
        <v>995.46</v>
      </c>
      <c r="E90" s="8">
        <f>IFERROR(D90/D148, "NA")</f>
        <v>2.8529511820519663E-2</v>
      </c>
      <c r="F90" s="7">
        <v>329.59000000000003</v>
      </c>
      <c r="G90" s="8">
        <f>IFERROR(F90/F148, "NA")</f>
        <v>7.2581472752713851E-3</v>
      </c>
      <c r="H90" s="7">
        <v>885.85</v>
      </c>
      <c r="I90" s="8">
        <f>IFERROR(H90/H148, "NA")</f>
        <v>2.1875767077964507E-2</v>
      </c>
      <c r="J90" s="7">
        <v>544.99</v>
      </c>
      <c r="K90" s="8">
        <f>IFERROR(J90/J148, "NA")</f>
        <v>2.3545468213466703E-2</v>
      </c>
      <c r="L90" s="7">
        <v>797.51</v>
      </c>
      <c r="M90" s="8">
        <f>IFERROR(L90/L148, "NA")</f>
        <v>3.1370798185040155E-2</v>
      </c>
      <c r="N90" s="7">
        <v>548.75</v>
      </c>
      <c r="O90" s="8">
        <f>IFERROR(N90/N148, "NA")</f>
        <v>2.2392064130055556E-2</v>
      </c>
      <c r="P90" s="7">
        <v>396.12</v>
      </c>
      <c r="Q90" s="8">
        <f>IFERROR(P90/P148, "NA")</f>
        <v>1.5326874264842446E-2</v>
      </c>
      <c r="R90" s="7">
        <v>559.89</v>
      </c>
      <c r="S90" s="8">
        <f>IFERROR(R90/R148, "NA")</f>
        <v>1.9666523705100147E-2</v>
      </c>
      <c r="T90" s="7">
        <v>622.83000000000004</v>
      </c>
      <c r="U90" s="8">
        <f>IFERROR(T90/T148, "NA")</f>
        <v>2.5344997656066879E-2</v>
      </c>
      <c r="V90" s="7">
        <v>619.07000000000005</v>
      </c>
      <c r="W90" s="8">
        <f>IFERROR(V90/V148, "NA")</f>
        <v>2.8848739256923734E-2</v>
      </c>
      <c r="X90" s="7">
        <v>543.6099999999999</v>
      </c>
      <c r="Y90" s="8">
        <f>IFERROR(X90/X148, "NA")</f>
        <v>1.2225743893369003E-2</v>
      </c>
      <c r="Z90" s="7">
        <v>2345.4</v>
      </c>
      <c r="AA90" s="8">
        <f>IFERROR(Z90/Z148, "NA")</f>
        <v>1.9714742288206265E-2</v>
      </c>
      <c r="AB90" s="9">
        <f t="shared" ref="AB90:AB99" si="36">IFERROR((R90+T90+V90+X90)/4, "NA")</f>
        <v>586.34999999999991</v>
      </c>
      <c r="AC90" s="8">
        <f>IFERROR(AB90/AB148, "NA")</f>
        <v>1.9714742288206261E-2</v>
      </c>
      <c r="AD90" s="10">
        <f t="shared" ref="AD90:AD99" si="37">IFERROR(X90-AB90, "NA")</f>
        <v>-42.740000000000009</v>
      </c>
      <c r="AE90" s="11">
        <f>IFERROR(AD90/AD148, "NA")</f>
        <v>-2.9030065373683131E-3</v>
      </c>
      <c r="AF90" s="10">
        <f t="shared" ref="AF90:AF99" si="38">IFERROR((X90-AB90)/AB90, "NA")</f>
        <v>-7.2891617634518666E-2</v>
      </c>
      <c r="AG90" s="9">
        <f t="shared" ref="AG90:AG99" si="39">IFERROR((J90+L90+N90+P90+R90+T90+V90+X90)/8, "NA")</f>
        <v>579.09624999999994</v>
      </c>
      <c r="AH90" s="8">
        <f>IFERROR(AG90/AG148, "NA")</f>
        <v>2.1262319321551013E-2</v>
      </c>
      <c r="AI90" s="10">
        <f t="shared" ref="AI90:AI99" si="40">IFERROR(X90-AG90, "NA")</f>
        <v>-35.486250000000041</v>
      </c>
      <c r="AJ90" s="11">
        <f>IFERROR(AI90/AI148, "NA")</f>
        <v>-2.0597326084134827E-3</v>
      </c>
      <c r="AK90" s="10">
        <f t="shared" ref="AK90:AK99" si="41">IFERROR((X90-AG90)/AG90, "NA")</f>
        <v>-6.1278673450225321E-2</v>
      </c>
      <c r="AL90" s="11">
        <f>IFERROR(AK90/AK148, "NA")</f>
        <v>-9.6872433212202957E-2</v>
      </c>
    </row>
    <row r="91" spans="1:38" ht="16.5" hidden="1" customHeight="1">
      <c r="A91" s="6" t="s">
        <v>100</v>
      </c>
      <c r="B91" s="7">
        <v>2161.8200000000002</v>
      </c>
      <c r="C91" s="8">
        <f>IFERROR(B91/B148, "NA")</f>
        <v>7.5723460955385999E-2</v>
      </c>
      <c r="D91" s="7">
        <v>3074.11</v>
      </c>
      <c r="E91" s="8">
        <f>IFERROR(D91/D148, "NA")</f>
        <v>8.8102844496592225E-2</v>
      </c>
      <c r="F91" s="7">
        <v>3228.94</v>
      </c>
      <c r="G91" s="8">
        <f>IFERROR(F91/F148, "NA")</f>
        <v>7.110689663829238E-2</v>
      </c>
      <c r="H91" s="7">
        <v>770.46</v>
      </c>
      <c r="I91" s="8">
        <f>IFERROR(H91/H148, "NA")</f>
        <v>1.9026249932707046E-2</v>
      </c>
      <c r="J91" s="7">
        <v>725.99</v>
      </c>
      <c r="K91" s="8">
        <f>IFERROR(J91/J148, "NA")</f>
        <v>3.136529930511512E-2</v>
      </c>
      <c r="L91" s="7">
        <v>330.69</v>
      </c>
      <c r="M91" s="8">
        <f>IFERROR(L91/L148, "NA")</f>
        <v>1.3007998961531427E-2</v>
      </c>
      <c r="N91" s="7">
        <v>1771.0700000000002</v>
      </c>
      <c r="O91" s="8">
        <f>IFERROR(N91/N148, "NA")</f>
        <v>7.2269545364587698E-2</v>
      </c>
      <c r="P91" s="7">
        <v>1499.21</v>
      </c>
      <c r="Q91" s="8">
        <f>IFERROR(P91/P148, "NA")</f>
        <v>5.8008187333622244E-2</v>
      </c>
      <c r="R91" s="7">
        <v>1259.99</v>
      </c>
      <c r="S91" s="8">
        <f>IFERROR(R91/R148, "NA")</f>
        <v>4.4258020688330089E-2</v>
      </c>
      <c r="T91" s="7">
        <v>615.48</v>
      </c>
      <c r="U91" s="8">
        <f>IFERROR(T91/T148, "NA")</f>
        <v>2.5045902023595593E-2</v>
      </c>
      <c r="V91" s="7">
        <v>315.45999999999998</v>
      </c>
      <c r="W91" s="8">
        <f>IFERROR(V91/V148, "NA")</f>
        <v>1.4700475367873035E-2</v>
      </c>
      <c r="X91" s="7">
        <v>272.12</v>
      </c>
      <c r="Y91" s="8">
        <f>IFERROR(X91/X148, "NA")</f>
        <v>6.1199562706049804E-3</v>
      </c>
      <c r="Z91" s="7">
        <v>2463.0500000000002</v>
      </c>
      <c r="AA91" s="8">
        <f>IFERROR(Z91/Z148, "NA")</f>
        <v>2.0703673570805169E-2</v>
      </c>
      <c r="AB91" s="9">
        <f t="shared" si="36"/>
        <v>615.76249999999993</v>
      </c>
      <c r="AC91" s="8">
        <f>IFERROR(AB91/AB148, "NA")</f>
        <v>2.0703673570805166E-2</v>
      </c>
      <c r="AD91" s="10">
        <f t="shared" si="37"/>
        <v>-343.64249999999993</v>
      </c>
      <c r="AE91" s="11">
        <f>IFERROR(AD91/AD148, "NA")</f>
        <v>-2.3341048760355407E-2</v>
      </c>
      <c r="AF91" s="10">
        <f t="shared" si="38"/>
        <v>-0.5580763687298268</v>
      </c>
      <c r="AG91" s="9">
        <f t="shared" si="39"/>
        <v>848.75125000000003</v>
      </c>
      <c r="AH91" s="8">
        <f>IFERROR(AG91/AG148, "NA")</f>
        <v>3.116307539906462E-2</v>
      </c>
      <c r="AI91" s="10">
        <f t="shared" si="40"/>
        <v>-576.63125000000002</v>
      </c>
      <c r="AJ91" s="11">
        <f>IFERROR(AI91/AI148, "NA")</f>
        <v>-3.3469475885877654E-2</v>
      </c>
      <c r="AK91" s="10">
        <f t="shared" si="41"/>
        <v>-0.67938780649807584</v>
      </c>
      <c r="AL91" s="11">
        <f>IFERROR(AK91/AK148, "NA")</f>
        <v>-1.0740106827480274</v>
      </c>
    </row>
    <row r="92" spans="1:38" ht="16.5" hidden="1" customHeight="1">
      <c r="A92" s="6" t="s">
        <v>101</v>
      </c>
      <c r="B92" s="7">
        <v>461.26</v>
      </c>
      <c r="C92" s="8">
        <f>IFERROR(B92/B148, "NA")</f>
        <v>1.6156850986798782E-2</v>
      </c>
      <c r="D92" s="7">
        <v>347.34</v>
      </c>
      <c r="E92" s="8">
        <f>IFERROR(D92/D148, "NA")</f>
        <v>9.9546346771736665E-3</v>
      </c>
      <c r="F92" s="7">
        <v>523.06000000000006</v>
      </c>
      <c r="G92" s="8">
        <f>IFERROR(F92/F148, "NA")</f>
        <v>1.151869448042553E-2</v>
      </c>
      <c r="H92" s="7">
        <v>513.18999999999994</v>
      </c>
      <c r="I92" s="8">
        <f>IFERROR(H92/H148, "NA")</f>
        <v>1.2673054023526109E-2</v>
      </c>
      <c r="J92" s="7">
        <v>401.33</v>
      </c>
      <c r="K92" s="8">
        <f>IFERROR(J92/J148, "NA")</f>
        <v>1.7338855314979341E-2</v>
      </c>
      <c r="L92" s="7">
        <v>380.75</v>
      </c>
      <c r="M92" s="8">
        <f>IFERROR(L92/L148, "NA")</f>
        <v>1.4977155658178629E-2</v>
      </c>
      <c r="N92" s="7">
        <v>341.36</v>
      </c>
      <c r="O92" s="8">
        <f>IFERROR(N92/N148, "NA")</f>
        <v>1.392939409828841E-2</v>
      </c>
      <c r="P92" s="7">
        <v>276.73</v>
      </c>
      <c r="Q92" s="8">
        <f>IFERROR(P92/P148, "NA")</f>
        <v>1.0707376338760602E-2</v>
      </c>
      <c r="R92" s="7">
        <v>498.69</v>
      </c>
      <c r="S92" s="8">
        <f>IFERROR(R92/R148, "NA")</f>
        <v>1.7516831353473702E-2</v>
      </c>
      <c r="T92" s="7">
        <v>140.03</v>
      </c>
      <c r="U92" s="8">
        <f>IFERROR(T92/T148, "NA")</f>
        <v>5.698280464619631E-3</v>
      </c>
      <c r="V92" s="7">
        <v>215.72</v>
      </c>
      <c r="W92" s="8">
        <f>IFERROR(V92/V148, "NA")</f>
        <v>1.0052578920806351E-2</v>
      </c>
      <c r="X92" s="7">
        <v>514.02</v>
      </c>
      <c r="Y92" s="8">
        <f>IFERROR(X92/X148, "NA")</f>
        <v>1.1560267243188196E-2</v>
      </c>
      <c r="Z92" s="7">
        <v>1368.46</v>
      </c>
      <c r="AA92" s="8">
        <f>IFERROR(Z92/Z148, "NA")</f>
        <v>1.1502872103572417E-2</v>
      </c>
      <c r="AB92" s="9">
        <f t="shared" si="36"/>
        <v>342.11500000000001</v>
      </c>
      <c r="AC92" s="8">
        <f>IFERROR(AB92/AB148, "NA")</f>
        <v>1.1502872103572417E-2</v>
      </c>
      <c r="AD92" s="10">
        <f t="shared" si="37"/>
        <v>171.90499999999997</v>
      </c>
      <c r="AE92" s="11">
        <f>IFERROR(AD92/AD148, "NA")</f>
        <v>1.1676212887372478E-2</v>
      </c>
      <c r="AF92" s="10">
        <f t="shared" si="38"/>
        <v>0.5024772371863262</v>
      </c>
      <c r="AG92" s="9">
        <f t="shared" si="39"/>
        <v>346.07875000000001</v>
      </c>
      <c r="AH92" s="8">
        <f>IFERROR(AG92/AG148, "NA")</f>
        <v>1.2706759701695916E-2</v>
      </c>
      <c r="AI92" s="10">
        <f t="shared" si="40"/>
        <v>167.94124999999997</v>
      </c>
      <c r="AJ92" s="11">
        <f>IFERROR(AI92/AI148, "NA")</f>
        <v>9.7478338489617906E-3</v>
      </c>
      <c r="AK92" s="10">
        <f t="shared" si="41"/>
        <v>0.48526888750031594</v>
      </c>
      <c r="AL92" s="11">
        <f>IFERROR(AK92/AK148, "NA")</f>
        <v>0.76713765568894732</v>
      </c>
    </row>
    <row r="93" spans="1:38" ht="16.5" hidden="1" customHeight="1">
      <c r="A93" s="6" t="s">
        <v>102</v>
      </c>
      <c r="B93" s="7">
        <v>2893.3500000000004</v>
      </c>
      <c r="C93" s="8">
        <f>IFERROR(B93/B148, "NA")</f>
        <v>0.10134723323647023</v>
      </c>
      <c r="D93" s="7">
        <v>3331.5899999999997</v>
      </c>
      <c r="E93" s="8">
        <f>IFERROR(D93/D148, "NA")</f>
        <v>9.5482125134234513E-2</v>
      </c>
      <c r="F93" s="7">
        <v>5248.54</v>
      </c>
      <c r="G93" s="8">
        <f>IFERROR(F93/F148, "NA")</f>
        <v>0.11558201492810119</v>
      </c>
      <c r="H93" s="7">
        <v>3413.8999999999996</v>
      </c>
      <c r="I93" s="8">
        <f>IFERROR(H93/H148, "NA")</f>
        <v>8.4305109473909831E-2</v>
      </c>
      <c r="J93" s="7">
        <v>2166.89</v>
      </c>
      <c r="K93" s="8">
        <f>IFERROR(J93/J148, "NA")</f>
        <v>9.3617203282773731E-2</v>
      </c>
      <c r="L93" s="7">
        <v>1797.3700000000003</v>
      </c>
      <c r="M93" s="8">
        <f>IFERROR(L93/L148, "NA")</f>
        <v>7.0701221970690814E-2</v>
      </c>
      <c r="N93" s="7">
        <v>3280.2299999999996</v>
      </c>
      <c r="O93" s="8">
        <f>IFERROR(N93/N148, "NA")</f>
        <v>0.13385170026666446</v>
      </c>
      <c r="P93" s="7">
        <v>2470.8999999999996</v>
      </c>
      <c r="Q93" s="8">
        <f>IFERROR(P93/P148, "NA")</f>
        <v>9.5605305516003214E-2</v>
      </c>
      <c r="R93" s="7">
        <v>3291.93</v>
      </c>
      <c r="S93" s="8">
        <f>IFERROR(R93/R148, "NA")</f>
        <v>0.11563131933152998</v>
      </c>
      <c r="T93" s="7">
        <v>3366.4300000000003</v>
      </c>
      <c r="U93" s="8">
        <f>IFERROR(T93/T148, "NA")</f>
        <v>0.13699108979868219</v>
      </c>
      <c r="V93" s="7">
        <v>2021.12</v>
      </c>
      <c r="W93" s="8">
        <f>IFERROR(V93/V148, "NA")</f>
        <v>9.4184444225941646E-2</v>
      </c>
      <c r="X93" s="7">
        <v>3826.1</v>
      </c>
      <c r="Y93" s="8">
        <f>IFERROR(X93/X148, "NA")</f>
        <v>8.6048672229022918E-2</v>
      </c>
      <c r="Z93" s="7">
        <v>12505.580000000002</v>
      </c>
      <c r="AA93" s="8">
        <f>IFERROR(Z93/Z148, "NA")</f>
        <v>0.10511822583122135</v>
      </c>
      <c r="AB93" s="9">
        <f t="shared" si="36"/>
        <v>3126.395</v>
      </c>
      <c r="AC93" s="8">
        <f>IFERROR(AB93/AB148, "NA")</f>
        <v>0.10511822583122134</v>
      </c>
      <c r="AD93" s="10">
        <f t="shared" si="37"/>
        <v>699.70499999999993</v>
      </c>
      <c r="AE93" s="11">
        <f>IFERROR(AD93/AD148, "NA")</f>
        <v>4.7525694647386402E-2</v>
      </c>
      <c r="AF93" s="10">
        <f t="shared" si="38"/>
        <v>0.22380569313858292</v>
      </c>
      <c r="AG93" s="9">
        <f t="shared" si="39"/>
        <v>2777.6212499999997</v>
      </c>
      <c r="AH93" s="8">
        <f>IFERROR(AG93/AG148, "NA")</f>
        <v>0.1019842037862025</v>
      </c>
      <c r="AI93" s="10">
        <f t="shared" si="40"/>
        <v>1048.4787500000002</v>
      </c>
      <c r="AJ93" s="11">
        <f>IFERROR(AI93/AI148, "NA")</f>
        <v>6.0856976169744788E-2</v>
      </c>
      <c r="AK93" s="10">
        <f t="shared" si="41"/>
        <v>0.37747362063852308</v>
      </c>
      <c r="AL93" s="11">
        <f>IFERROR(AK93/AK148, "NA")</f>
        <v>0.59672943368096532</v>
      </c>
    </row>
    <row r="94" spans="1:38" ht="16.5" hidden="1" customHeight="1">
      <c r="A94" s="6" t="s">
        <v>103</v>
      </c>
      <c r="B94" s="7">
        <v>678.52</v>
      </c>
      <c r="C94" s="8">
        <f>IFERROR(B94/B148, "NA")</f>
        <v>2.3766956882371567E-2</v>
      </c>
      <c r="D94" s="7">
        <v>903.7</v>
      </c>
      <c r="E94" s="8">
        <f>IFERROR(D94/D148, "NA")</f>
        <v>2.58997044905909E-2</v>
      </c>
      <c r="F94" s="7">
        <v>1148.0899999999999</v>
      </c>
      <c r="G94" s="8">
        <f>IFERROR(F94/F148, "NA")</f>
        <v>2.5282946403914933E-2</v>
      </c>
      <c r="H94" s="7">
        <v>919.74</v>
      </c>
      <c r="I94" s="8">
        <f>IFERROR(H94/H148, "NA")</f>
        <v>2.2712669201656124E-2</v>
      </c>
      <c r="J94" s="7">
        <v>687</v>
      </c>
      <c r="K94" s="8">
        <f>IFERROR(J94/J148, "NA")</f>
        <v>2.9680795358908645E-2</v>
      </c>
      <c r="L94" s="7">
        <v>611.67999999999995</v>
      </c>
      <c r="M94" s="8">
        <f>IFERROR(L94/L148, "NA")</f>
        <v>2.4061002161509398E-2</v>
      </c>
      <c r="N94" s="7">
        <v>674.1</v>
      </c>
      <c r="O94" s="8">
        <f>IFERROR(N94/N148, "NA")</f>
        <v>2.7507044063909705E-2</v>
      </c>
      <c r="P94" s="7">
        <v>713.69</v>
      </c>
      <c r="Q94" s="8">
        <f>IFERROR(P94/P148, "NA")</f>
        <v>2.7614452423698387E-2</v>
      </c>
      <c r="R94" s="7">
        <v>754.3</v>
      </c>
      <c r="S94" s="8">
        <f>IFERROR(R94/R148, "NA")</f>
        <v>2.6495309490716105E-2</v>
      </c>
      <c r="T94" s="7">
        <v>586.76</v>
      </c>
      <c r="U94" s="8">
        <f>IFERROR(T94/T148, "NA")</f>
        <v>2.3877190926374456E-2</v>
      </c>
      <c r="V94" s="7">
        <v>606.69000000000005</v>
      </c>
      <c r="W94" s="8">
        <f>IFERROR(V94/V148, "NA")</f>
        <v>2.8271829711959972E-2</v>
      </c>
      <c r="X94" s="7">
        <v>868.92</v>
      </c>
      <c r="Y94" s="8">
        <f>IFERROR(X94/X148, "NA")</f>
        <v>1.9541938860260472E-2</v>
      </c>
      <c r="Z94" s="7">
        <v>2816.67</v>
      </c>
      <c r="AA94" s="8">
        <f>IFERROR(Z94/Z148, "NA")</f>
        <v>2.3676099241460708E-2</v>
      </c>
      <c r="AB94" s="9">
        <f t="shared" si="36"/>
        <v>704.16750000000002</v>
      </c>
      <c r="AC94" s="8">
        <f>IFERROR(AB94/AB148, "NA")</f>
        <v>2.3676099241460708E-2</v>
      </c>
      <c r="AD94" s="10">
        <f t="shared" si="37"/>
        <v>164.75249999999994</v>
      </c>
      <c r="AE94" s="11">
        <f>IFERROR(AD94/AD148, "NA")</f>
        <v>1.1190397392320374E-2</v>
      </c>
      <c r="AF94" s="10">
        <f t="shared" si="38"/>
        <v>0.23396777045234257</v>
      </c>
      <c r="AG94" s="9">
        <f t="shared" si="39"/>
        <v>687.89249999999993</v>
      </c>
      <c r="AH94" s="8">
        <f>IFERROR(AG94/AG148, "NA")</f>
        <v>2.5256924032749355E-2</v>
      </c>
      <c r="AI94" s="10">
        <f t="shared" si="40"/>
        <v>181.02750000000003</v>
      </c>
      <c r="AJ94" s="11">
        <f>IFERROR(AI94/AI148, "NA")</f>
        <v>1.0507400606419991E-2</v>
      </c>
      <c r="AK94" s="10">
        <f t="shared" si="41"/>
        <v>0.26316248541741633</v>
      </c>
      <c r="AL94" s="11">
        <f>IFERROR(AK94/AK148, "NA")</f>
        <v>0.41602059668056113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0</v>
      </c>
      <c r="G95" s="8">
        <f>IFERROR(F95/F148, "NA")</f>
        <v>0</v>
      </c>
      <c r="H95" s="7">
        <v>1377.92</v>
      </c>
      <c r="I95" s="8">
        <f>IFERROR(H95/H148, "NA")</f>
        <v>3.4027269822282387E-2</v>
      </c>
      <c r="J95" s="7">
        <v>0</v>
      </c>
      <c r="K95" s="8">
        <f>IFERROR(J95/J148, "NA")</f>
        <v>0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1524.04</v>
      </c>
      <c r="Q95" s="8">
        <f>IFERROR(P95/P148, "NA")</f>
        <v>5.8968922181638087E-2</v>
      </c>
      <c r="R95" s="7">
        <v>0</v>
      </c>
      <c r="S95" s="8">
        <f>IFERROR(R95/R148, "NA")</f>
        <v>0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-41</v>
      </c>
      <c r="Y95" s="8">
        <f>IFERROR(X95/X148, "NA")</f>
        <v>-9.2208660552257904E-4</v>
      </c>
      <c r="Z95" s="7">
        <v>-41</v>
      </c>
      <c r="AA95" s="8">
        <f>IFERROR(Z95/Z148, "NA")</f>
        <v>-3.4463393613731427E-4</v>
      </c>
      <c r="AB95" s="9">
        <f t="shared" si="36"/>
        <v>-10.25</v>
      </c>
      <c r="AC95" s="8">
        <f>IFERROR(AB95/AB148, "NA")</f>
        <v>-3.4463393613731427E-4</v>
      </c>
      <c r="AD95" s="10">
        <f t="shared" si="37"/>
        <v>-30.75</v>
      </c>
      <c r="AE95" s="11">
        <f>IFERROR(AD95/AD148, "NA")</f>
        <v>-2.0886160744987272E-3</v>
      </c>
      <c r="AF95" s="10">
        <f t="shared" si="38"/>
        <v>3</v>
      </c>
      <c r="AG95" s="9">
        <f t="shared" si="39"/>
        <v>185.38</v>
      </c>
      <c r="AH95" s="8">
        <f>IFERROR(AG95/AG148, "NA")</f>
        <v>6.8064829565536418E-3</v>
      </c>
      <c r="AI95" s="10">
        <f t="shared" si="40"/>
        <v>-226.38</v>
      </c>
      <c r="AJ95" s="11">
        <f>IFERROR(AI95/AI148, "NA")</f>
        <v>-1.3139801131216843E-2</v>
      </c>
      <c r="AK95" s="10">
        <f t="shared" si="41"/>
        <v>-1.2211673319667709</v>
      </c>
      <c r="AL95" s="11">
        <f>IFERROR(AK95/AK148, "NA")</f>
        <v>-1.9304832194672796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600.36</v>
      </c>
      <c r="C97" s="8">
        <f>IFERROR(B97/B148, "NA")</f>
        <v>2.1029196241673927E-2</v>
      </c>
      <c r="D97" s="7">
        <v>409.58</v>
      </c>
      <c r="E97" s="8">
        <f>IFERROR(D97/D148, "NA")</f>
        <v>1.1738409832086114E-2</v>
      </c>
      <c r="F97" s="7">
        <v>650.42000000000007</v>
      </c>
      <c r="G97" s="8">
        <f>IFERROR(F97/F148, "NA")</f>
        <v>1.4323384055286915E-2</v>
      </c>
      <c r="H97" s="7">
        <v>584.99</v>
      </c>
      <c r="I97" s="8">
        <f>IFERROR(H97/H148, "NA")</f>
        <v>1.4446130815531363E-2</v>
      </c>
      <c r="J97" s="7">
        <v>31.62</v>
      </c>
      <c r="K97" s="8">
        <f>IFERROR(J97/J148, "NA")</f>
        <v>1.3660942492702932E-3</v>
      </c>
      <c r="L97" s="7">
        <v>0</v>
      </c>
      <c r="M97" s="8">
        <f>IFERROR(L97/L148, "NA")</f>
        <v>0</v>
      </c>
      <c r="N97" s="7">
        <v>661.26</v>
      </c>
      <c r="O97" s="8">
        <f>IFERROR(N97/N148, "NA")</f>
        <v>2.6983100367454282E-2</v>
      </c>
      <c r="P97" s="7">
        <v>700.49</v>
      </c>
      <c r="Q97" s="8">
        <f>IFERROR(P97/P148, "NA")</f>
        <v>2.7103711384882066E-2</v>
      </c>
      <c r="R97" s="7">
        <v>200</v>
      </c>
      <c r="S97" s="8">
        <f>IFERROR(R97/R148, "NA")</f>
        <v>7.0251384040079827E-3</v>
      </c>
      <c r="T97" s="7">
        <v>2343.3599999999997</v>
      </c>
      <c r="U97" s="8">
        <f>IFERROR(T97/T148, "NA")</f>
        <v>9.5359012422845515E-2</v>
      </c>
      <c r="V97" s="7">
        <v>177.07</v>
      </c>
      <c r="W97" s="8">
        <f>IFERROR(V97/V148, "NA")</f>
        <v>8.2514840974744139E-3</v>
      </c>
      <c r="X97" s="7">
        <v>251.81</v>
      </c>
      <c r="Y97" s="8">
        <f>IFERROR(X97/X148, "NA")</f>
        <v>5.6631860521131859E-3</v>
      </c>
      <c r="Z97" s="7">
        <v>2972.2400000000002</v>
      </c>
      <c r="AA97" s="8">
        <f>IFERROR(Z97/Z148, "NA")</f>
        <v>2.4983774886457831E-2</v>
      </c>
      <c r="AB97" s="9">
        <f t="shared" si="36"/>
        <v>743.06</v>
      </c>
      <c r="AC97" s="8">
        <f>IFERROR(AB97/AB148, "NA")</f>
        <v>2.4983774886457828E-2</v>
      </c>
      <c r="AD97" s="10">
        <f t="shared" si="37"/>
        <v>-491.24999999999994</v>
      </c>
      <c r="AE97" s="11">
        <f>IFERROR(AD97/AD148, "NA")</f>
        <v>-3.3366915336504058E-2</v>
      </c>
      <c r="AF97" s="10">
        <f t="shared" si="38"/>
        <v>-0.66111754097919406</v>
      </c>
      <c r="AG97" s="9">
        <f t="shared" si="39"/>
        <v>545.70124999999996</v>
      </c>
      <c r="AH97" s="8">
        <f>IFERROR(AG97/AG148, "NA")</f>
        <v>2.003617573360135E-2</v>
      </c>
      <c r="AI97" s="10">
        <f t="shared" si="40"/>
        <v>-293.89124999999996</v>
      </c>
      <c r="AJ97" s="11">
        <f>IFERROR(AI97/AI148, "NA")</f>
        <v>-1.7058364604667954E-2</v>
      </c>
      <c r="AK97" s="10">
        <f t="shared" si="41"/>
        <v>-0.53855704013872052</v>
      </c>
      <c r="AL97" s="11">
        <f>IFERROR(AK97/AK148, "NA")</f>
        <v>-0.85137826856152476</v>
      </c>
    </row>
    <row r="98" spans="1:38" ht="16.5" hidden="1" customHeight="1">
      <c r="A98" s="6" t="s">
        <v>107</v>
      </c>
      <c r="B98" s="7">
        <v>576.43000000000006</v>
      </c>
      <c r="C98" s="8">
        <f>IFERROR(B98/B148, "NA")</f>
        <v>2.0190984725145085E-2</v>
      </c>
      <c r="D98" s="7">
        <v>591.63</v>
      </c>
      <c r="E98" s="8">
        <f>IFERROR(D98/D148, "NA")</f>
        <v>1.695589484095197E-2</v>
      </c>
      <c r="F98" s="7">
        <v>1951.44</v>
      </c>
      <c r="G98" s="8">
        <f>IFERROR(F98/F148, "NA")</f>
        <v>4.2974116080146819E-2</v>
      </c>
      <c r="H98" s="7">
        <v>1270.0700000000002</v>
      </c>
      <c r="I98" s="8">
        <f>IFERROR(H98/H148, "NA")</f>
        <v>3.1363950434848319E-2</v>
      </c>
      <c r="J98" s="7">
        <v>226.58</v>
      </c>
      <c r="K98" s="8">
        <f>IFERROR(J98/J148, "NA")</f>
        <v>9.7890460151696095E-3</v>
      </c>
      <c r="L98" s="7">
        <v>369.12</v>
      </c>
      <c r="M98" s="8">
        <f>IFERROR(L98/L148, "NA")</f>
        <v>1.4519678782788958E-2</v>
      </c>
      <c r="N98" s="7">
        <v>2109.83</v>
      </c>
      <c r="O98" s="8">
        <f>IFERROR(N98/N148, "NA")</f>
        <v>8.6092844944902255E-2</v>
      </c>
      <c r="P98" s="7">
        <v>1068.45</v>
      </c>
      <c r="Q98" s="8">
        <f>IFERROR(P98/P148, "NA")</f>
        <v>4.1341004766916364E-2</v>
      </c>
      <c r="R98" s="7">
        <v>417.2</v>
      </c>
      <c r="S98" s="8">
        <f>IFERROR(R98/R148, "NA")</f>
        <v>1.4654438710760651E-2</v>
      </c>
      <c r="T98" s="7">
        <v>629.34</v>
      </c>
      <c r="U98" s="8">
        <f>IFERROR(T98/T148, "NA")</f>
        <v>2.5609910930541449E-2</v>
      </c>
      <c r="V98" s="7">
        <v>518.96</v>
      </c>
      <c r="W98" s="8">
        <f>IFERROR(V98/V148, "NA")</f>
        <v>2.4183600763682849E-2</v>
      </c>
      <c r="X98" s="7">
        <v>2006.97</v>
      </c>
      <c r="Y98" s="8">
        <f>IFERROR(X98/X148, "NA")</f>
        <v>4.5136589138674403E-2</v>
      </c>
      <c r="Z98" s="7">
        <v>3572.4700000000003</v>
      </c>
      <c r="AA98" s="8">
        <f>IFERROR(Z98/Z148, "NA")</f>
        <v>3.0029131654450519E-2</v>
      </c>
      <c r="AB98" s="9">
        <f t="shared" si="36"/>
        <v>893.11750000000006</v>
      </c>
      <c r="AC98" s="8">
        <f>IFERROR(AB98/AB148, "NA")</f>
        <v>3.0029131654450519E-2</v>
      </c>
      <c r="AD98" s="10">
        <f t="shared" si="37"/>
        <v>1113.8525</v>
      </c>
      <c r="AE98" s="11">
        <f>IFERROR(AD98/AD148, "NA")</f>
        <v>7.5655617434816053E-2</v>
      </c>
      <c r="AF98" s="10">
        <f t="shared" si="38"/>
        <v>1.2471511307302789</v>
      </c>
      <c r="AG98" s="9">
        <f t="shared" si="39"/>
        <v>918.30624999999998</v>
      </c>
      <c r="AH98" s="8">
        <f>IFERROR(AG98/AG148, "NA")</f>
        <v>3.3716883372109652E-2</v>
      </c>
      <c r="AI98" s="10">
        <f t="shared" si="40"/>
        <v>1088.6637500000002</v>
      </c>
      <c r="AJ98" s="11">
        <f>IFERROR(AI98/AI148, "NA")</f>
        <v>6.3189438880487558E-2</v>
      </c>
      <c r="AK98" s="10">
        <f t="shared" si="41"/>
        <v>1.185512730638608</v>
      </c>
      <c r="AL98" s="11">
        <f>IFERROR(AK98/AK148, "NA")</f>
        <v>1.8741186183524119</v>
      </c>
    </row>
    <row r="99" spans="1:38" ht="16.5" hidden="1" customHeight="1">
      <c r="A99" s="12" t="s">
        <v>108</v>
      </c>
      <c r="B99" s="13">
        <f>IFERROR(B90+B91+B92+B93+B94+B95+B96+B97+B98, "NA")</f>
        <v>8253.57</v>
      </c>
      <c r="C99" s="14">
        <f>IFERROR(B99/B148, "NA")</f>
        <v>0.28910311017454976</v>
      </c>
      <c r="D99" s="13">
        <f>IFERROR(D90+D91+D92+D93+D94+D95+D96+D97+D98, "NA")</f>
        <v>9653.41</v>
      </c>
      <c r="E99" s="14">
        <f>IFERROR(D99/D148, "NA")</f>
        <v>0.27666312529214904</v>
      </c>
      <c r="F99" s="13">
        <f>IFERROR(F90+F91+F92+F93+F94+F95+F96+F97+F98, "NA")</f>
        <v>13080.080000000002</v>
      </c>
      <c r="G99" s="14">
        <f>IFERROR(F99/F148, "NA")</f>
        <v>0.2880461998614392</v>
      </c>
      <c r="H99" s="13">
        <f>IFERROR(H90+H91+H92+H93+H94+H95+H96+H97+H98, "NA")</f>
        <v>9736.119999999999</v>
      </c>
      <c r="I99" s="14">
        <f>IFERROR(H99/H148, "NA")</f>
        <v>0.24043020078242566</v>
      </c>
      <c r="J99" s="13">
        <f>IFERROR(J90+J91+J92+J93+J94+J95+J96+J97+J98, "NA")</f>
        <v>4784.3999999999996</v>
      </c>
      <c r="K99" s="14">
        <f>IFERROR(J99/J148, "NA")</f>
        <v>0.20670276173968344</v>
      </c>
      <c r="L99" s="13">
        <f>IFERROR(L90+L91+L92+L93+L94+L95+L96+L97+L98, "NA")</f>
        <v>4287.1200000000008</v>
      </c>
      <c r="M99" s="14">
        <f>IFERROR(L99/L148, "NA")</f>
        <v>0.16863785571973941</v>
      </c>
      <c r="N99" s="13">
        <f>IFERROR(N90+N91+N92+N93+N94+N95+N96+N97+N98, "NA")</f>
        <v>9386.6</v>
      </c>
      <c r="O99" s="14">
        <f>IFERROR(N99/N148, "NA")</f>
        <v>0.38302569323586239</v>
      </c>
      <c r="P99" s="13">
        <f>IFERROR(P90+P91+P92+P93+P94+P95+P96+P97+P98, "NA")</f>
        <v>8649.6299999999992</v>
      </c>
      <c r="Q99" s="14">
        <f>IFERROR(P99/P148, "NA")</f>
        <v>0.3346758342103634</v>
      </c>
      <c r="R99" s="13">
        <f>IFERROR(R90+R91+R92+R93+R94+R95+R96+R97+R98, "NA")</f>
        <v>6982</v>
      </c>
      <c r="S99" s="14">
        <f>IFERROR(R99/R148, "NA")</f>
        <v>0.24524758168391866</v>
      </c>
      <c r="T99" s="13">
        <f>IFERROR(T90+T91+T92+T93+T94+T95+T96+T97+T98, "NA")</f>
        <v>8304.23</v>
      </c>
      <c r="U99" s="14">
        <f>IFERROR(T99/T148, "NA")</f>
        <v>0.3379263842227257</v>
      </c>
      <c r="V99" s="13">
        <f>IFERROR(V90+V91+V92+V93+V94+V95+V96+V97+V98, "NA")</f>
        <v>4474.09</v>
      </c>
      <c r="W99" s="14">
        <f>IFERROR(V99/V148, "NA")</f>
        <v>0.20849315234466201</v>
      </c>
      <c r="X99" s="13">
        <f>IFERROR(X90+X91+X92+X93+X94+X95+X96+X97+X98, "NA")</f>
        <v>8242.5500000000011</v>
      </c>
      <c r="Y99" s="14">
        <f>IFERROR(X99/X148, "NA")</f>
        <v>0.18537426708171059</v>
      </c>
      <c r="Z99" s="13">
        <f>IFERROR(Z90+Z91+Z92+Z93+Z94+Z95+Z96+Z97+Z98, "NA")</f>
        <v>28002.870000000006</v>
      </c>
      <c r="AA99" s="14">
        <f>IFERROR(Z99/Z148, "NA")</f>
        <v>0.23538388564003698</v>
      </c>
      <c r="AB99" s="13">
        <f t="shared" si="36"/>
        <v>7000.7175000000007</v>
      </c>
      <c r="AC99" s="14">
        <f>IFERROR(AB99/AB148, "NA")</f>
        <v>0.23538388564003693</v>
      </c>
      <c r="AD99" s="15">
        <f t="shared" si="37"/>
        <v>1241.8325000000004</v>
      </c>
      <c r="AE99" s="16">
        <f>IFERROR(AD99/AD148, "NA")</f>
        <v>8.4348335653168835E-2</v>
      </c>
      <c r="AF99" s="15">
        <f t="shared" si="38"/>
        <v>0.17738646074491654</v>
      </c>
      <c r="AG99" s="13">
        <f t="shared" si="39"/>
        <v>6888.8274999999994</v>
      </c>
      <c r="AH99" s="14">
        <f>IFERROR(AG99/AG148, "NA")</f>
        <v>0.25293282430352804</v>
      </c>
      <c r="AI99" s="15">
        <f t="shared" si="40"/>
        <v>1353.7225000000017</v>
      </c>
      <c r="AJ99" s="16">
        <f>IFERROR(AI99/AI148, "NA")</f>
        <v>7.8574275275438268E-2</v>
      </c>
      <c r="AK99" s="15">
        <f t="shared" si="41"/>
        <v>0.19650985599508797</v>
      </c>
      <c r="AL99" s="16">
        <f>IFERROR(AK99/AK148, "NA")</f>
        <v>0.3106527414612919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5342.9500000000044</v>
      </c>
      <c r="C101" s="34">
        <f>IFERROR(B101/B148, "NA")</f>
        <v>0.18715094952936873</v>
      </c>
      <c r="D101" s="33">
        <f>IFERROR(D87-D99, "NA")</f>
        <v>8823.9899999999907</v>
      </c>
      <c r="E101" s="34">
        <f>IFERROR(D101/D148, "NA")</f>
        <v>0.25289225785983066</v>
      </c>
      <c r="F101" s="33">
        <f>IFERROR(F87-F99, "NA")</f>
        <v>10392.19999999999</v>
      </c>
      <c r="G101" s="34">
        <f>IFERROR(F101/F148, "NA")</f>
        <v>0.22885438913218001</v>
      </c>
      <c r="H101" s="33">
        <f>IFERROR(H87-H99, "NA")</f>
        <v>9314.5699999999961</v>
      </c>
      <c r="I101" s="34">
        <f>IFERROR(H101/H148, "NA")</f>
        <v>0.2300201656616761</v>
      </c>
      <c r="J101" s="33">
        <f>IFERROR(J87-J99, "NA")</f>
        <v>5698.4699999999993</v>
      </c>
      <c r="K101" s="34">
        <f>IFERROR(J101/J148, "NA")</f>
        <v>0.24619377282224184</v>
      </c>
      <c r="L101" s="33">
        <f>IFERROR(L87-L99, "NA")</f>
        <v>6465.7700000000059</v>
      </c>
      <c r="M101" s="34">
        <f>IFERROR(L101/L148, "NA")</f>
        <v>0.2543370813919415</v>
      </c>
      <c r="N101" s="33">
        <f>IFERROR(N87-N99, "NA")</f>
        <v>1086.100000000004</v>
      </c>
      <c r="O101" s="34">
        <f>IFERROR(N101/N148, "NA")</f>
        <v>4.4318944604379823E-2</v>
      </c>
      <c r="P101" s="33">
        <f>IFERROR(P87-P99, "NA")</f>
        <v>3618.7599999999948</v>
      </c>
      <c r="Q101" s="34">
        <f>IFERROR(P101/P148, "NA")</f>
        <v>0.14001888194143483</v>
      </c>
      <c r="R101" s="33">
        <f>IFERROR(R87-R99, "NA")</f>
        <v>8426.9</v>
      </c>
      <c r="S101" s="34">
        <f>IFERROR(R101/R148, "NA")</f>
        <v>0.2960006940836743</v>
      </c>
      <c r="T101" s="33">
        <f>IFERROR(T87-T99, "NA")</f>
        <v>2713.2400000000016</v>
      </c>
      <c r="U101" s="34">
        <f>IFERROR(T101/T148, "NA")</f>
        <v>0.11041064406073398</v>
      </c>
      <c r="V101" s="33">
        <f>IFERROR(V87-V99, "NA")</f>
        <v>4907.7799999999988</v>
      </c>
      <c r="W101" s="34">
        <f>IFERROR(V101/V148, "NA")</f>
        <v>0.22870316046706368</v>
      </c>
      <c r="X101" s="33">
        <f>IFERROR(X87-X99, "NA")</f>
        <v>16436.029999999992</v>
      </c>
      <c r="Y101" s="34">
        <f>IFERROR(X101/X148, "NA")</f>
        <v>0.36964495392603092</v>
      </c>
      <c r="Z101" s="33">
        <f>IFERROR(Z87-Z99, "NA")</f>
        <v>32483.949999999972</v>
      </c>
      <c r="AA101" s="34">
        <f>IFERROR(Z101/Z148, "NA")</f>
        <v>0.27305052560457804</v>
      </c>
      <c r="AB101" s="33">
        <f>IFERROR((R101+T101+V101+X101)/4, "NA")</f>
        <v>8120.9874999999975</v>
      </c>
      <c r="AC101" s="34">
        <f>IFERROR(AB101/AB148, "NA")</f>
        <v>0.27305052560457821</v>
      </c>
      <c r="AD101" s="15">
        <f>IFERROR(X101-AB101, "NA")</f>
        <v>8315.0424999999941</v>
      </c>
      <c r="AE101" s="16">
        <f>IFERROR(AD101/AD148, "NA")</f>
        <v>0.56477825774439261</v>
      </c>
      <c r="AF101" s="15">
        <f>IFERROR((X101-AB101)/AB101, "NA")</f>
        <v>1.0238954930050066</v>
      </c>
      <c r="AG101" s="33">
        <f>IFERROR((J101+L101+N101+P101+R101+T101+V101+X101)/8, "NA")</f>
        <v>6169.1312499999995</v>
      </c>
      <c r="AH101" s="34">
        <f>IFERROR(AG101/AG148, "NA")</f>
        <v>0.22650818162621353</v>
      </c>
      <c r="AI101" s="15">
        <f>IFERROR(X101-AG101, "NA")</f>
        <v>10266.898749999993</v>
      </c>
      <c r="AJ101" s="16">
        <f>IFERROR(AI101/AI148, "NA")</f>
        <v>0.59592281919488788</v>
      </c>
      <c r="AK101" s="15">
        <f>IFERROR((X101-AG101)/AG101, "NA")</f>
        <v>1.6642373672954347</v>
      </c>
      <c r="AL101" s="16">
        <f>IFERROR(AK101/AK148, "NA")</f>
        <v>2.6309107905792417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0</v>
      </c>
      <c r="C104" s="34">
        <f>IFERROR(B104/B148, "NA")</f>
        <v>0</v>
      </c>
      <c r="D104" s="39">
        <v>0</v>
      </c>
      <c r="E104" s="34">
        <f>IFERROR(D104/D148, "NA")</f>
        <v>0</v>
      </c>
      <c r="F104" s="39">
        <v>2588.61</v>
      </c>
      <c r="G104" s="34">
        <f>IFERROR(F104/F148, "NA")</f>
        <v>5.7005712000486236E-2</v>
      </c>
      <c r="H104" s="39">
        <v>12842.849999999999</v>
      </c>
      <c r="I104" s="34">
        <f>IFERROR(H104/H148, "NA")</f>
        <v>0.31714985067137375</v>
      </c>
      <c r="J104" s="39">
        <v>0</v>
      </c>
      <c r="K104" s="34">
        <f>IFERROR(J104/J148, "NA")</f>
        <v>0</v>
      </c>
      <c r="L104" s="39">
        <v>0</v>
      </c>
      <c r="M104" s="34">
        <f>IFERROR(L104/L148, "NA")</f>
        <v>0</v>
      </c>
      <c r="N104" s="39">
        <v>2799.69</v>
      </c>
      <c r="O104" s="34">
        <f>IFERROR(N104/N148, "NA")</f>
        <v>0.11424298501006877</v>
      </c>
      <c r="P104" s="39">
        <v>12842.849999999999</v>
      </c>
      <c r="Q104" s="34">
        <f>IFERROR(P104/P148, "NA")</f>
        <v>0.49692201139107284</v>
      </c>
      <c r="R104" s="39">
        <v>0</v>
      </c>
      <c r="S104" s="34">
        <f>IFERROR(R104/R148, "NA")</f>
        <v>0</v>
      </c>
      <c r="T104" s="39">
        <v>0</v>
      </c>
      <c r="U104" s="34">
        <f>IFERROR(T104/T148, "NA")</f>
        <v>0</v>
      </c>
      <c r="V104" s="39">
        <v>0</v>
      </c>
      <c r="W104" s="34">
        <f>IFERROR(V104/V148, "NA")</f>
        <v>0</v>
      </c>
      <c r="X104" s="39">
        <v>2040.01</v>
      </c>
      <c r="Y104" s="34">
        <f>IFERROR(X104/X148, "NA")</f>
        <v>4.5879656003222351E-2</v>
      </c>
      <c r="Z104" s="39">
        <v>2040.01</v>
      </c>
      <c r="AA104" s="34">
        <f>IFERROR(Z104/Z148, "NA")</f>
        <v>1.7147723806328841E-2</v>
      </c>
      <c r="AB104" s="33">
        <f>IFERROR((R104+T104+V104+X104)/4, "NA")</f>
        <v>510.0025</v>
      </c>
      <c r="AC104" s="34">
        <f>IFERROR(AB104/AB148, "NA")</f>
        <v>1.7147723806328841E-2</v>
      </c>
      <c r="AD104" s="15">
        <f>IFERROR(X104-AB104, "NA")</f>
        <v>1530.0074999999999</v>
      </c>
      <c r="AE104" s="16">
        <f>IFERROR(AD104/AD148, "NA")</f>
        <v>0.10392189458873534</v>
      </c>
      <c r="AF104" s="15">
        <f>IFERROR((X104-AB104)/AB104, "NA")</f>
        <v>3</v>
      </c>
      <c r="AG104" s="33">
        <f>IFERROR((J104+L104+N104+P104+R104+T104+V104+X104)/8, "NA")</f>
        <v>2210.3187499999999</v>
      </c>
      <c r="AH104" s="34">
        <f>IFERROR(AG104/AG148, "NA")</f>
        <v>8.1154908298769826E-2</v>
      </c>
      <c r="AI104" s="15">
        <f>IFERROR(X104-AG104, "NA")</f>
        <v>-170.30874999999992</v>
      </c>
      <c r="AJ104" s="16">
        <f>IFERROR(AI104/AI148, "NA")</f>
        <v>-9.8852509316464596E-3</v>
      </c>
      <c r="AK104" s="15">
        <f>IFERROR((X104-AG104)/AG104, "NA")</f>
        <v>-7.7051669583855231E-2</v>
      </c>
      <c r="AL104" s="16">
        <f>IFERROR(AK104/AK148, "NA")</f>
        <v>-0.12180718503499688</v>
      </c>
    </row>
    <row r="105" spans="1:38" ht="16.5" hidden="1" customHeight="1">
      <c r="A105" s="12" t="s">
        <v>112</v>
      </c>
      <c r="B105" s="13">
        <f>IFERROR(B104, "NA")</f>
        <v>0</v>
      </c>
      <c r="C105" s="14">
        <f>IFERROR(B105/B148, "NA")</f>
        <v>0</v>
      </c>
      <c r="D105" s="13">
        <f>IFERROR(D104, "NA")</f>
        <v>0</v>
      </c>
      <c r="E105" s="14">
        <f>IFERROR(D105/D148, "NA")</f>
        <v>0</v>
      </c>
      <c r="F105" s="13">
        <f>IFERROR(F104, "NA")</f>
        <v>2588.61</v>
      </c>
      <c r="G105" s="14">
        <f>IFERROR(F105/F148, "NA")</f>
        <v>5.7005712000486236E-2</v>
      </c>
      <c r="H105" s="13">
        <f>IFERROR(H104, "NA")</f>
        <v>12842.849999999999</v>
      </c>
      <c r="I105" s="14">
        <f>IFERROR(H105/H148, "NA")</f>
        <v>0.31714985067137375</v>
      </c>
      <c r="J105" s="13">
        <f>IFERROR(J104, "NA")</f>
        <v>0</v>
      </c>
      <c r="K105" s="14">
        <f>IFERROR(J105/J148, "NA")</f>
        <v>0</v>
      </c>
      <c r="L105" s="13">
        <f>IFERROR(L104, "NA")</f>
        <v>0</v>
      </c>
      <c r="M105" s="14">
        <f>IFERROR(L105/L148, "NA")</f>
        <v>0</v>
      </c>
      <c r="N105" s="13">
        <f>IFERROR(N104, "NA")</f>
        <v>2799.69</v>
      </c>
      <c r="O105" s="14">
        <f>IFERROR(N105/N148, "NA")</f>
        <v>0.11424298501006877</v>
      </c>
      <c r="P105" s="13">
        <f>IFERROR(P104, "NA")</f>
        <v>12842.849999999999</v>
      </c>
      <c r="Q105" s="14">
        <f>IFERROR(P105/P148, "NA")</f>
        <v>0.49692201139107284</v>
      </c>
      <c r="R105" s="13">
        <f>IFERROR(R104, "NA")</f>
        <v>0</v>
      </c>
      <c r="S105" s="14">
        <f>IFERROR(R105/R148, "NA")</f>
        <v>0</v>
      </c>
      <c r="T105" s="13">
        <f>IFERROR(T104, "NA")</f>
        <v>0</v>
      </c>
      <c r="U105" s="14">
        <f>IFERROR(T105/T148, "NA")</f>
        <v>0</v>
      </c>
      <c r="V105" s="13">
        <f>IFERROR(V104, "NA")</f>
        <v>0</v>
      </c>
      <c r="W105" s="14">
        <f>IFERROR(V105/V148, "NA")</f>
        <v>0</v>
      </c>
      <c r="X105" s="13">
        <f>IFERROR(X104, "NA")</f>
        <v>2040.01</v>
      </c>
      <c r="Y105" s="14">
        <f>IFERROR(X105/X148, "NA")</f>
        <v>4.5879656003222351E-2</v>
      </c>
      <c r="Z105" s="13">
        <f>IFERROR(Z104, "NA")</f>
        <v>2040.01</v>
      </c>
      <c r="AA105" s="14">
        <f>IFERROR(Z105/Z148, "NA")</f>
        <v>1.7147723806328841E-2</v>
      </c>
      <c r="AB105" s="13">
        <f>IFERROR((R105+T105+V105+X105)/4, "NA")</f>
        <v>510.0025</v>
      </c>
      <c r="AC105" s="14">
        <f>IFERROR(AB105/AB148, "NA")</f>
        <v>1.7147723806328841E-2</v>
      </c>
      <c r="AD105" s="15">
        <f>IFERROR(X105-AB105, "NA")</f>
        <v>1530.0074999999999</v>
      </c>
      <c r="AE105" s="16">
        <f>IFERROR(AD105/AD148, "NA")</f>
        <v>0.10392189458873534</v>
      </c>
      <c r="AF105" s="15">
        <f>IFERROR((X105-AB105)/AB105, "NA")</f>
        <v>3</v>
      </c>
      <c r="AG105" s="13">
        <f>IFERROR((J105+L105+N105+P105+R105+T105+V105+X105)/8, "NA")</f>
        <v>2210.3187499999999</v>
      </c>
      <c r="AH105" s="14">
        <f>IFERROR(AG105/AG148, "NA")</f>
        <v>8.1154908298769826E-2</v>
      </c>
      <c r="AI105" s="15">
        <f>IFERROR(X105-AG105, "NA")</f>
        <v>-170.30874999999992</v>
      </c>
      <c r="AJ105" s="16">
        <f>IFERROR(AI105/AI148, "NA")</f>
        <v>-9.8852509316464596E-3</v>
      </c>
      <c r="AK105" s="15">
        <f>IFERROR((X105-AG105)/AG105, "NA")</f>
        <v>-7.7051669583855231E-2</v>
      </c>
      <c r="AL105" s="16">
        <f>IFERROR(AK105/AK148, "NA")</f>
        <v>-0.12180718503499688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5342.9500000000044</v>
      </c>
      <c r="C107" s="34">
        <f>IFERROR(B107/B148, "NA")</f>
        <v>0.18715094952936873</v>
      </c>
      <c r="D107" s="33">
        <f>IFERROR(D87-D99-D105, "NA")</f>
        <v>8823.9899999999907</v>
      </c>
      <c r="E107" s="34">
        <f>IFERROR(D107/D148, "NA")</f>
        <v>0.25289225785983066</v>
      </c>
      <c r="F107" s="33">
        <f>IFERROR(F87-F99-F105, "NA")</f>
        <v>7803.5899999999892</v>
      </c>
      <c r="G107" s="34">
        <f>IFERROR(F107/F148, "NA")</f>
        <v>0.17184867713169374</v>
      </c>
      <c r="H107" s="33">
        <f>IFERROR(H87-H99-H105, "NA")</f>
        <v>-3528.2800000000025</v>
      </c>
      <c r="I107" s="34">
        <f>IFERROR(H107/H148, "NA")</f>
        <v>-8.7129685009697658E-2</v>
      </c>
      <c r="J107" s="33">
        <f>IFERROR(J87-J99-J105, "NA")</f>
        <v>5698.4699999999993</v>
      </c>
      <c r="K107" s="34">
        <f>IFERROR(J107/J148, "NA")</f>
        <v>0.24619377282224184</v>
      </c>
      <c r="L107" s="33">
        <f>IFERROR(L87-L99-L105, "NA")</f>
        <v>6465.7700000000059</v>
      </c>
      <c r="M107" s="34">
        <f>IFERROR(L107/L148, "NA")</f>
        <v>0.2543370813919415</v>
      </c>
      <c r="N107" s="33">
        <f>IFERROR(N87-N99-N105, "NA")</f>
        <v>-1713.5899999999961</v>
      </c>
      <c r="O107" s="34">
        <f>IFERROR(N107/N148, "NA")</f>
        <v>-6.9924040405688948E-2</v>
      </c>
      <c r="P107" s="33">
        <f>IFERROR(P87-P99-P105, "NA")</f>
        <v>-9224.0900000000038</v>
      </c>
      <c r="Q107" s="34">
        <f>IFERROR(P107/P148, "NA")</f>
        <v>-0.35690312944963798</v>
      </c>
      <c r="R107" s="33">
        <f>IFERROR(R87-R99-R105, "NA")</f>
        <v>8426.9</v>
      </c>
      <c r="S107" s="34">
        <f>IFERROR(R107/R148, "NA")</f>
        <v>0.2960006940836743</v>
      </c>
      <c r="T107" s="33">
        <f>IFERROR(T87-T99-T105, "NA")</f>
        <v>2713.2400000000016</v>
      </c>
      <c r="U107" s="34">
        <f>IFERROR(T107/T148, "NA")</f>
        <v>0.11041064406073398</v>
      </c>
      <c r="V107" s="33">
        <f>IFERROR(V87-V99-V105, "NA")</f>
        <v>4907.7799999999988</v>
      </c>
      <c r="W107" s="34">
        <f>IFERROR(V107/V148, "NA")</f>
        <v>0.22870316046706368</v>
      </c>
      <c r="X107" s="33">
        <f>IFERROR(X87-X99-X105, "NA")</f>
        <v>14396.019999999991</v>
      </c>
      <c r="Y107" s="34">
        <f>IFERROR(X107/X148, "NA")</f>
        <v>0.32376529792280856</v>
      </c>
      <c r="Z107" s="33">
        <f>IFERROR(Z87-Z99-Z105, "NA")</f>
        <v>30443.939999999973</v>
      </c>
      <c r="AA107" s="34">
        <f>IFERROR(Z107/Z148, "NA")</f>
        <v>0.2559028017982492</v>
      </c>
      <c r="AB107" s="33">
        <f>IFERROR((R107+T107+V107+X107)/4, "NA")</f>
        <v>7610.9849999999979</v>
      </c>
      <c r="AC107" s="34">
        <f>IFERROR(AB107/AB148, "NA")</f>
        <v>0.25590280179824937</v>
      </c>
      <c r="AD107" s="15">
        <f>IFERROR(X107-AB107, "NA")</f>
        <v>6785.0349999999935</v>
      </c>
      <c r="AE107" s="16">
        <f>IFERROR(AD107/AD148, "NA")</f>
        <v>0.4608563631556572</v>
      </c>
      <c r="AF107" s="15">
        <f>IFERROR((X107-AB107)/AB107, "NA")</f>
        <v>0.89147922377983868</v>
      </c>
      <c r="AG107" s="33">
        <f>IFERROR((J107+L107+N107+P107+R107+T107+V107+X107)/8, "NA")</f>
        <v>3958.8124999999991</v>
      </c>
      <c r="AH107" s="34">
        <f>IFERROR(AG107/AG148, "NA")</f>
        <v>0.14535327332744369</v>
      </c>
      <c r="AI107" s="15">
        <f>IFERROR(X107-AG107, "NA")</f>
        <v>10437.207499999993</v>
      </c>
      <c r="AJ107" s="16">
        <f>IFERROR(AI107/AI148, "NA")</f>
        <v>0.60580807012653426</v>
      </c>
      <c r="AK107" s="15">
        <f>IFERROR((X107-AG107)/AG107, "NA")</f>
        <v>2.6364490614294049</v>
      </c>
      <c r="AL107" s="16">
        <f>IFERROR(AK107/AK148, "NA")</f>
        <v>4.1678323181742458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395.29</v>
      </c>
      <c r="C128" s="8">
        <f>IFERROR(B128/B148, "NA")</f>
        <v>1.3846077324224278E-2</v>
      </c>
      <c r="D128" s="7">
        <v>517.84</v>
      </c>
      <c r="E128" s="8">
        <f>IFERROR(D128/D148, "NA")</f>
        <v>1.4841100999676433E-2</v>
      </c>
      <c r="F128" s="7">
        <v>495.83000000000004</v>
      </c>
      <c r="G128" s="8">
        <f>IFERROR(F128/F148, "NA")</f>
        <v>1.0919042335925879E-2</v>
      </c>
      <c r="H128" s="7">
        <v>-1408.96</v>
      </c>
      <c r="I128" s="8">
        <f>IFERROR(H128/H148, "NA")</f>
        <v>-3.4793792156876301E-2</v>
      </c>
      <c r="J128" s="7">
        <v>320.27000000000004</v>
      </c>
      <c r="K128" s="8">
        <f>IFERROR(J128/J148, "NA")</f>
        <v>1.3836780683548287E-2</v>
      </c>
      <c r="L128" s="7">
        <v>238.57999999999998</v>
      </c>
      <c r="M128" s="8">
        <f>IFERROR(L128/L148, "NA")</f>
        <v>9.3847663740729004E-3</v>
      </c>
      <c r="N128" s="7">
        <v>346.92999999999995</v>
      </c>
      <c r="O128" s="8">
        <f>IFERROR(N128/N148, "NA")</f>
        <v>1.415668120025544E-2</v>
      </c>
      <c r="P128" s="7">
        <v>-905.78000000000009</v>
      </c>
      <c r="Q128" s="8">
        <f>IFERROR(P128/P148, "NA")</f>
        <v>-3.5046895313564051E-2</v>
      </c>
      <c r="R128" s="7">
        <v>460.27</v>
      </c>
      <c r="S128" s="8">
        <f>IFERROR(R128/R148, "NA")</f>
        <v>1.616730226606377E-2</v>
      </c>
      <c r="T128" s="7">
        <v>527.48</v>
      </c>
      <c r="U128" s="8">
        <f>IFERROR(T128/T148, "NA")</f>
        <v>2.1464893090606035E-2</v>
      </c>
      <c r="V128" s="7">
        <v>541.63</v>
      </c>
      <c r="W128" s="8">
        <f>IFERROR(V128/V148, "NA")</f>
        <v>2.524002559278854E-2</v>
      </c>
      <c r="X128" s="7">
        <v>505.65000000000003</v>
      </c>
      <c r="Y128" s="8">
        <f>IFERROR(X128/X148, "NA")</f>
        <v>1.1372026636158345E-2</v>
      </c>
      <c r="Z128" s="7">
        <v>2035.03</v>
      </c>
      <c r="AA128" s="8">
        <f>IFERROR(Z128/Z148, "NA")</f>
        <v>1.7105863391646797E-2</v>
      </c>
      <c r="AB128" s="9">
        <f t="shared" si="42"/>
        <v>508.75750000000005</v>
      </c>
      <c r="AC128" s="8">
        <f>IFERROR(AB128/AB148, "NA")</f>
        <v>1.7105863391646797E-2</v>
      </c>
      <c r="AD128" s="10">
        <f t="shared" si="43"/>
        <v>-3.1075000000000159</v>
      </c>
      <c r="AE128" s="11">
        <f>IFERROR(AD128/AD148, "NA")</f>
        <v>-2.1106908785381557E-4</v>
      </c>
      <c r="AF128" s="10">
        <f t="shared" si="44"/>
        <v>-6.1080180636158008E-3</v>
      </c>
      <c r="AG128" s="9">
        <f t="shared" si="45"/>
        <v>254.37875</v>
      </c>
      <c r="AH128" s="8">
        <f>IFERROR(AG128/AG148, "NA")</f>
        <v>9.3398674419269603E-3</v>
      </c>
      <c r="AI128" s="10">
        <f t="shared" si="46"/>
        <v>251.27125000000004</v>
      </c>
      <c r="AJ128" s="11">
        <f>IFERROR(AI128/AI148, "NA")</f>
        <v>1.4584566900752147E-2</v>
      </c>
      <c r="AK128" s="10">
        <f t="shared" si="47"/>
        <v>0.98778396387276857</v>
      </c>
      <c r="AL128" s="11">
        <f>IFERROR(AK128/AK148, "NA")</f>
        <v>1.5615389609580073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395.29</v>
      </c>
      <c r="C135" s="14">
        <f>IFERROR(B135/B148, "NA")</f>
        <v>1.3846077324224278E-2</v>
      </c>
      <c r="D135" s="13">
        <f>IFERROR(D110+D111+D112+D113+D114+D115+D116+D117+D118+D119+D120+D121+D122+D123+D124+D125+D126+D127+D128+D129+D130+D131+D132+D133+D134, "NA")</f>
        <v>517.84</v>
      </c>
      <c r="E135" s="14">
        <f>IFERROR(D135/D148, "NA")</f>
        <v>1.4841100999676433E-2</v>
      </c>
      <c r="F135" s="13">
        <f>IFERROR(F110+F111+F112+F113+F114+F115+F116+F117+F118+F119+F120+F121+F122+F123+F124+F125+F126+F127+F128+F129+F130+F131+F132+F133+F134, "NA")</f>
        <v>495.83000000000004</v>
      </c>
      <c r="G135" s="14">
        <f>IFERROR(F135/F148, "NA")</f>
        <v>1.0919042335925879E-2</v>
      </c>
      <c r="H135" s="13">
        <f>IFERROR(H110+H111+H112+H113+H114+H115+H116+H117+H118+H119+H120+H121+H122+H123+H124+H125+H126+H127+H128+H129+H130+H131+H132+H133+H134, "NA")</f>
        <v>-1408.96</v>
      </c>
      <c r="I135" s="14">
        <f>IFERROR(H135/H148, "NA")</f>
        <v>-3.4793792156876301E-2</v>
      </c>
      <c r="J135" s="13">
        <f>IFERROR(J110+J111+J112+J113+J114+J115+J116+J117+J118+J119+J120+J121+J122+J123+J124+J125+J126+J127+J128+J129+J130+J131+J132+J133+J134, "NA")</f>
        <v>320.27000000000004</v>
      </c>
      <c r="K135" s="14">
        <f>IFERROR(J135/J148, "NA")</f>
        <v>1.3836780683548287E-2</v>
      </c>
      <c r="L135" s="13">
        <f>IFERROR(L110+L111+L112+L113+L114+L115+L116+L117+L118+L119+L120+L121+L122+L123+L124+L125+L126+L127+L128+L129+L130+L131+L132+L133+L134, "NA")</f>
        <v>238.57999999999998</v>
      </c>
      <c r="M135" s="14">
        <f>IFERROR(L135/L148, "NA")</f>
        <v>9.3847663740729004E-3</v>
      </c>
      <c r="N135" s="13">
        <f>IFERROR(N110+N111+N112+N113+N114+N115+N116+N117+N118+N119+N120+N121+N122+N123+N124+N125+N126+N127+N128+N129+N130+N131+N132+N133+N134, "NA")</f>
        <v>346.92999999999995</v>
      </c>
      <c r="O135" s="14">
        <f>IFERROR(N135/N148, "NA")</f>
        <v>1.415668120025544E-2</v>
      </c>
      <c r="P135" s="13">
        <f>IFERROR(P110+P111+P112+P113+P114+P115+P116+P117+P118+P119+P120+P121+P122+P123+P124+P125+P126+P127+P128+P129+P130+P131+P132+P133+P134, "NA")</f>
        <v>-905.78000000000009</v>
      </c>
      <c r="Q135" s="14">
        <f>IFERROR(P135/P148, "NA")</f>
        <v>-3.5046895313564051E-2</v>
      </c>
      <c r="R135" s="13">
        <f>IFERROR(R110+R111+R112+R113+R114+R115+R116+R117+R118+R119+R120+R121+R122+R123+R124+R125+R126+R127+R128+R129+R130+R131+R132+R133+R134, "NA")</f>
        <v>460.27</v>
      </c>
      <c r="S135" s="14">
        <f>IFERROR(R135/R148, "NA")</f>
        <v>1.616730226606377E-2</v>
      </c>
      <c r="T135" s="13">
        <f>IFERROR(T110+T111+T112+T113+T114+T115+T116+T117+T118+T119+T120+T121+T122+T123+T124+T125+T126+T127+T128+T129+T130+T131+T132+T133+T134, "NA")</f>
        <v>527.48</v>
      </c>
      <c r="U135" s="14">
        <f>IFERROR(T135/T148, "NA")</f>
        <v>2.1464893090606035E-2</v>
      </c>
      <c r="V135" s="13">
        <f>IFERROR(V110+V111+V112+V113+V114+V115+V116+V117+V118+V119+V120+V121+V122+V123+V124+V125+V126+V127+V128+V129+V130+V131+V132+V133+V134, "NA")</f>
        <v>541.63</v>
      </c>
      <c r="W135" s="14">
        <f>IFERROR(V135/V148, "NA")</f>
        <v>2.524002559278854E-2</v>
      </c>
      <c r="X135" s="13">
        <f>IFERROR(X110+X111+X112+X113+X114+X115+X116+X117+X118+X119+X120+X121+X122+X123+X124+X125+X126+X127+X128+X129+X130+X131+X132+X133+X134, "NA")</f>
        <v>505.65000000000003</v>
      </c>
      <c r="Y135" s="14">
        <f>IFERROR(X135/X148, "NA")</f>
        <v>1.1372026636158345E-2</v>
      </c>
      <c r="Z135" s="13">
        <f>IFERROR(Z110+Z111+Z112+Z113+Z114+Z115+Z116+Z117+Z118+Z119+Z120+Z121+Z122+Z123+Z124+Z125+Z126+Z127+Z128+Z129+Z130+Z131+Z132+Z133+Z134, "NA")</f>
        <v>2035.03</v>
      </c>
      <c r="AA135" s="14">
        <f>IFERROR(Z135/Z148, "NA")</f>
        <v>1.7105863391646797E-2</v>
      </c>
      <c r="AB135" s="13">
        <f t="shared" si="42"/>
        <v>508.75750000000005</v>
      </c>
      <c r="AC135" s="14">
        <f>IFERROR(AB135/AB148, "NA")</f>
        <v>1.7105863391646797E-2</v>
      </c>
      <c r="AD135" s="15">
        <f t="shared" si="43"/>
        <v>-3.1075000000000159</v>
      </c>
      <c r="AE135" s="16">
        <f>IFERROR(AD135/AD148, "NA")</f>
        <v>-2.1106908785381557E-4</v>
      </c>
      <c r="AF135" s="15">
        <f t="shared" si="44"/>
        <v>-6.1080180636158008E-3</v>
      </c>
      <c r="AG135" s="13">
        <f t="shared" si="45"/>
        <v>254.37875</v>
      </c>
      <c r="AH135" s="14">
        <f>IFERROR(AG135/AG148, "NA")</f>
        <v>9.3398674419269603E-3</v>
      </c>
      <c r="AI135" s="15">
        <f t="shared" si="46"/>
        <v>251.27125000000004</v>
      </c>
      <c r="AJ135" s="16">
        <f>IFERROR(AI135/AI148, "NA")</f>
        <v>1.4584566900752147E-2</v>
      </c>
      <c r="AK135" s="15">
        <f t="shared" si="47"/>
        <v>0.98778396387276857</v>
      </c>
      <c r="AL135" s="16">
        <f>IFERROR(AK135/AK148, "NA")</f>
        <v>1.5615389609580073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4947.6600000000044</v>
      </c>
      <c r="C137" s="34">
        <f>IFERROR(B137/B148, "NA")</f>
        <v>0.17330487220514446</v>
      </c>
      <c r="D137" s="33">
        <f>IFERROR(D107-D135, "NA")</f>
        <v>8306.1499999999905</v>
      </c>
      <c r="E137" s="34">
        <f>IFERROR(D137/D148, "NA")</f>
        <v>0.23805115686015421</v>
      </c>
      <c r="F137" s="33">
        <f>IFERROR(F107-F135, "NA")</f>
        <v>7307.7599999999893</v>
      </c>
      <c r="G137" s="34">
        <f>IFERROR(F137/F148, "NA")</f>
        <v>0.16092963479576788</v>
      </c>
      <c r="H137" s="33">
        <f>IFERROR(H107-H135, "NA")</f>
        <v>-2119.3200000000024</v>
      </c>
      <c r="I137" s="34">
        <f>IFERROR(H137/H148, "NA")</f>
        <v>-5.233589285282135E-2</v>
      </c>
      <c r="J137" s="33">
        <f>IFERROR(J107-J135, "NA")</f>
        <v>5378.1999999999989</v>
      </c>
      <c r="K137" s="34">
        <f>IFERROR(J137/J148, "NA")</f>
        <v>0.23235699213869351</v>
      </c>
      <c r="L137" s="33">
        <f>IFERROR(L107-L135, "NA")</f>
        <v>6227.190000000006</v>
      </c>
      <c r="M137" s="34">
        <f>IFERROR(L137/L148, "NA")</f>
        <v>0.2449523150178686</v>
      </c>
      <c r="N137" s="33">
        <f>IFERROR(N107-N135, "NA")</f>
        <v>-2060.5199999999959</v>
      </c>
      <c r="O137" s="34">
        <f>IFERROR(N137/N148, "NA")</f>
        <v>-8.4080721605944389E-2</v>
      </c>
      <c r="P137" s="33">
        <f>IFERROR(P107-P135, "NA")</f>
        <v>-8318.3100000000031</v>
      </c>
      <c r="Q137" s="34">
        <f>IFERROR(P137/P148, "NA")</f>
        <v>-0.32185623413607395</v>
      </c>
      <c r="R137" s="33">
        <f>IFERROR(R107-R135, "NA")</f>
        <v>7966.6299999999992</v>
      </c>
      <c r="S137" s="34">
        <f>IFERROR(R137/R148, "NA")</f>
        <v>0.27983339181761052</v>
      </c>
      <c r="T137" s="33">
        <f>IFERROR(T107-T135, "NA")</f>
        <v>2185.7600000000016</v>
      </c>
      <c r="U137" s="34">
        <f>IFERROR(T137/T148, "NA")</f>
        <v>8.8945750970127926E-2</v>
      </c>
      <c r="V137" s="33">
        <f>IFERROR(V107-V135, "NA")</f>
        <v>4366.1499999999987</v>
      </c>
      <c r="W137" s="34">
        <f>IFERROR(V137/V148, "NA")</f>
        <v>0.20346313487427514</v>
      </c>
      <c r="X137" s="33">
        <f>IFERROR(X107-X135, "NA")</f>
        <v>13890.369999999992</v>
      </c>
      <c r="Y137" s="34">
        <f>IFERROR(X137/X148, "NA")</f>
        <v>0.31239327128665023</v>
      </c>
      <c r="Z137" s="33">
        <f>IFERROR(Z107-Z135, "NA")</f>
        <v>28408.909999999974</v>
      </c>
      <c r="AA137" s="34">
        <f>IFERROR(Z137/Z148, "NA")</f>
        <v>0.23879693840660243</v>
      </c>
      <c r="AB137" s="33">
        <f>IFERROR((R137+T137+V137+X137)/4, "NA")</f>
        <v>7102.2274999999981</v>
      </c>
      <c r="AC137" s="34">
        <f>IFERROR(AB137/AB148, "NA")</f>
        <v>0.2387969384066026</v>
      </c>
      <c r="AD137" s="15">
        <f>IFERROR(X137-AB137, "NA")</f>
        <v>6788.1424999999936</v>
      </c>
      <c r="AE137" s="16">
        <f>IFERROR(AD137/AD148, "NA")</f>
        <v>0.46106743224351104</v>
      </c>
      <c r="AF137" s="15">
        <f>IFERROR((X137-AB137)/AB137, "NA")</f>
        <v>0.95577655038507214</v>
      </c>
      <c r="AG137" s="33">
        <f>IFERROR((J137+L137+N137+P137+R137+T137+V137+X137)/8, "NA")</f>
        <v>3704.4337499999997</v>
      </c>
      <c r="AH137" s="34">
        <f>IFERROR(AG137/AG148, "NA")</f>
        <v>0.13601340588551675</v>
      </c>
      <c r="AI137" s="15">
        <f>IFERROR(X137-AG137, "NA")</f>
        <v>10185.936249999992</v>
      </c>
      <c r="AJ137" s="16">
        <f>IFERROR(AI137/AI148, "NA")</f>
        <v>0.5912235032257821</v>
      </c>
      <c r="AK137" s="15">
        <f>IFERROR((X137-AG137)/AG137, "NA")</f>
        <v>2.7496607949865464</v>
      </c>
      <c r="AL137" s="16">
        <f>IFERROR(AK137/AK148, "NA")</f>
        <v>4.3468031652954728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0</v>
      </c>
      <c r="C140" s="8">
        <f>IFERROR(B140/B148, "NA")</f>
        <v>0</v>
      </c>
      <c r="D140" s="7">
        <v>0</v>
      </c>
      <c r="E140" s="8">
        <f>IFERROR(D140/D148, "NA")</f>
        <v>0</v>
      </c>
      <c r="F140" s="7">
        <v>0</v>
      </c>
      <c r="G140" s="8">
        <f>IFERROR(F140/F148, "NA")</f>
        <v>0</v>
      </c>
      <c r="H140" s="7">
        <v>3445.4100000000003</v>
      </c>
      <c r="I140" s="8">
        <f>IFERROR(H140/H148, "NA")</f>
        <v>8.5083238300039166E-2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0</v>
      </c>
      <c r="O140" s="8">
        <f>IFERROR(N140/N148, "NA")</f>
        <v>0</v>
      </c>
      <c r="P140" s="7">
        <v>3305.3500000000004</v>
      </c>
      <c r="Q140" s="8">
        <f>IFERROR(P140/P148, "NA")</f>
        <v>0.12789226459481212</v>
      </c>
      <c r="R140" s="7">
        <v>0</v>
      </c>
      <c r="S140" s="8">
        <f>IFERROR(R140/R148, "NA")</f>
        <v>0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166.54</v>
      </c>
      <c r="Y140" s="8">
        <f>IFERROR(X140/X148, "NA")</f>
        <v>3.7454708117983003E-3</v>
      </c>
      <c r="Z140" s="7">
        <v>166.54</v>
      </c>
      <c r="AA140" s="8">
        <f>IFERROR(Z140/Z148, "NA")</f>
        <v>1.3998862371782516E-3</v>
      </c>
      <c r="AB140" s="9">
        <f>IFERROR((R140+T140+V140+X140)/4, "NA")</f>
        <v>41.634999999999998</v>
      </c>
      <c r="AC140" s="8">
        <f>IFERROR(AB140/AB148, "NA")</f>
        <v>1.3998862371782516E-3</v>
      </c>
      <c r="AD140" s="10">
        <f>IFERROR(X140-AB140, "NA")</f>
        <v>124.905</v>
      </c>
      <c r="AE140" s="11">
        <f>IFERROR(AD140/AD148, "NA")</f>
        <v>8.4838566109028801E-3</v>
      </c>
      <c r="AF140" s="10">
        <f>IFERROR((X140-AB140)/AB140, "NA")</f>
        <v>3</v>
      </c>
      <c r="AG140" s="9">
        <f>IFERROR((J140+L140+N140+P140+R140+T140+V140+X140)/8, "NA")</f>
        <v>433.98625000000004</v>
      </c>
      <c r="AH140" s="8">
        <f>IFERROR(AG140/AG148, "NA")</f>
        <v>1.5934405081473882E-2</v>
      </c>
      <c r="AI140" s="10">
        <f>IFERROR(X140-AG140, "NA")</f>
        <v>-267.44625000000008</v>
      </c>
      <c r="AJ140" s="11">
        <f>IFERROR(AI140/AI148, "NA")</f>
        <v>-1.5523414340002225E-2</v>
      </c>
      <c r="AK140" s="10">
        <f>IFERROR((X140-AG140)/AG140, "NA")</f>
        <v>-0.61625512329019649</v>
      </c>
      <c r="AL140" s="11">
        <f>IFERROR(AK140/AK148, "NA")</f>
        <v>-0.97420733693098494</v>
      </c>
    </row>
    <row r="141" spans="1:38" ht="16.5" hidden="1" customHeight="1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0</v>
      </c>
      <c r="E141" s="14">
        <f>IFERROR(D141/D148, "NA")</f>
        <v>0</v>
      </c>
      <c r="F141" s="13">
        <f>IFERROR(F140, "NA")</f>
        <v>0</v>
      </c>
      <c r="G141" s="14">
        <f>IFERROR(F141/F148, "NA")</f>
        <v>0</v>
      </c>
      <c r="H141" s="13">
        <f>IFERROR(H140, "NA")</f>
        <v>3445.4100000000003</v>
      </c>
      <c r="I141" s="14">
        <f>IFERROR(H141/H148, "NA")</f>
        <v>8.5083238300039166E-2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0</v>
      </c>
      <c r="O141" s="14">
        <f>IFERROR(N141/N148, "NA")</f>
        <v>0</v>
      </c>
      <c r="P141" s="13">
        <f>IFERROR(P140, "NA")</f>
        <v>3305.3500000000004</v>
      </c>
      <c r="Q141" s="14">
        <f>IFERROR(P141/P148, "NA")</f>
        <v>0.12789226459481212</v>
      </c>
      <c r="R141" s="13">
        <f>IFERROR(R140, "NA")</f>
        <v>0</v>
      </c>
      <c r="S141" s="14">
        <f>IFERROR(R141/R148, "NA")</f>
        <v>0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166.54</v>
      </c>
      <c r="Y141" s="14">
        <f>IFERROR(X141/X148, "NA")</f>
        <v>3.7454708117983003E-3</v>
      </c>
      <c r="Z141" s="13">
        <f>IFERROR(Z140, "NA")</f>
        <v>166.54</v>
      </c>
      <c r="AA141" s="14">
        <f>IFERROR(Z141/Z148, "NA")</f>
        <v>1.3998862371782516E-3</v>
      </c>
      <c r="AB141" s="13">
        <f>IFERROR((R141+T141+V141+X141)/4, "NA")</f>
        <v>41.634999999999998</v>
      </c>
      <c r="AC141" s="14">
        <f>IFERROR(AB141/AB148, "NA")</f>
        <v>1.3998862371782516E-3</v>
      </c>
      <c r="AD141" s="15">
        <f>IFERROR(X141-AB141, "NA")</f>
        <v>124.905</v>
      </c>
      <c r="AE141" s="16">
        <f>IFERROR(AD141/AD148, "NA")</f>
        <v>8.4838566109028801E-3</v>
      </c>
      <c r="AF141" s="15">
        <f>IFERROR((X141-AB141)/AB141, "NA")</f>
        <v>3</v>
      </c>
      <c r="AG141" s="13">
        <f>IFERROR((J141+L141+N141+P141+R141+T141+V141+X141)/8, "NA")</f>
        <v>433.98625000000004</v>
      </c>
      <c r="AH141" s="14">
        <f>IFERROR(AG141/AG148, "NA")</f>
        <v>1.5934405081473882E-2</v>
      </c>
      <c r="AI141" s="15">
        <f>IFERROR(X141-AG141, "NA")</f>
        <v>-267.44625000000008</v>
      </c>
      <c r="AJ141" s="16">
        <f>IFERROR(AI141/AI148, "NA")</f>
        <v>-1.5523414340002225E-2</v>
      </c>
      <c r="AK141" s="15">
        <f>IFERROR((X141-AG141)/AG141, "NA")</f>
        <v>-0.61625512329019649</v>
      </c>
      <c r="AL141" s="16">
        <f>IFERROR(AK141/AK148, "NA")</f>
        <v>-0.97420733693098494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4947.6600000000044</v>
      </c>
      <c r="C147" s="34">
        <f>IFERROR(B147/B148, "NA")</f>
        <v>0.17330487220514446</v>
      </c>
      <c r="D147" s="33">
        <f>IFERROR(D137-D141-D145, "NA")</f>
        <v>8306.1499999999905</v>
      </c>
      <c r="E147" s="34">
        <f>IFERROR(D147/D148, "NA")</f>
        <v>0.23805115686015421</v>
      </c>
      <c r="F147" s="33">
        <f>IFERROR(F137-F141-F145, "NA")</f>
        <v>7307.7599999999893</v>
      </c>
      <c r="G147" s="34">
        <f>IFERROR(F147/F148, "NA")</f>
        <v>0.16092963479576788</v>
      </c>
      <c r="H147" s="33">
        <f>IFERROR(H137-H141-H145, "NA")</f>
        <v>-5564.7300000000032</v>
      </c>
      <c r="I147" s="34">
        <f>IFERROR(H147/H148, "NA")</f>
        <v>-0.13741913115286053</v>
      </c>
      <c r="J147" s="33">
        <f>IFERROR(J137-J141-J145, "NA")</f>
        <v>5378.1999999999989</v>
      </c>
      <c r="K147" s="34">
        <f>IFERROR(J147/J148, "NA")</f>
        <v>0.23235699213869351</v>
      </c>
      <c r="L147" s="33">
        <f>IFERROR(L137-L141-L145, "NA")</f>
        <v>6227.190000000006</v>
      </c>
      <c r="M147" s="34">
        <f>IFERROR(L147/L148, "NA")</f>
        <v>0.2449523150178686</v>
      </c>
      <c r="N147" s="33">
        <f>IFERROR(N137-N141-N145, "NA")</f>
        <v>-2060.5199999999959</v>
      </c>
      <c r="O147" s="34">
        <f>IFERROR(N147/N148, "NA")</f>
        <v>-8.4080721605944389E-2</v>
      </c>
      <c r="P147" s="33">
        <f>IFERROR(P137-P141-P145, "NA")</f>
        <v>-11623.660000000003</v>
      </c>
      <c r="Q147" s="34">
        <f>IFERROR(P147/P148, "NA")</f>
        <v>-0.44974849873088607</v>
      </c>
      <c r="R147" s="33">
        <f>IFERROR(R137-R141-R145, "NA")</f>
        <v>7966.6299999999992</v>
      </c>
      <c r="S147" s="34">
        <f>IFERROR(R147/R148, "NA")</f>
        <v>0.27983339181761052</v>
      </c>
      <c r="T147" s="33">
        <f>IFERROR(T137-T141-T145, "NA")</f>
        <v>2185.7600000000016</v>
      </c>
      <c r="U147" s="34">
        <f>IFERROR(T147/T148, "NA")</f>
        <v>8.8945750970127926E-2</v>
      </c>
      <c r="V147" s="33">
        <f>IFERROR(V137-V141-V145, "NA")</f>
        <v>4366.1499999999987</v>
      </c>
      <c r="W147" s="34">
        <f>IFERROR(V147/V148, "NA")</f>
        <v>0.20346313487427514</v>
      </c>
      <c r="X147" s="33">
        <f>IFERROR(X137-X141-X145, "NA")</f>
        <v>13723.829999999991</v>
      </c>
      <c r="Y147" s="34">
        <f>IFERROR(X147/X148, "NA")</f>
        <v>0.30864780047485191</v>
      </c>
      <c r="Z147" s="33">
        <f>IFERROR(Z137-Z141-Z145, "NA")</f>
        <v>28242.369999999974</v>
      </c>
      <c r="AA147" s="34">
        <f>IFERROR(Z147/Z148, "NA")</f>
        <v>0.23739705216942417</v>
      </c>
      <c r="AB147" s="33">
        <f>IFERROR((R147+T147+V147+X147)/4, "NA")</f>
        <v>7060.5924999999979</v>
      </c>
      <c r="AC147" s="34">
        <f>IFERROR(AB147/AB148, "NA")</f>
        <v>0.23739705216942433</v>
      </c>
      <c r="AD147" s="15">
        <f>IFERROR(X147-AB147, "NA")</f>
        <v>6663.2374999999929</v>
      </c>
      <c r="AE147" s="16">
        <f>IFERROR(AD147/AD148, "NA")</f>
        <v>0.45258357563260809</v>
      </c>
      <c r="AF147" s="15">
        <f>IFERROR((X147-AB147)/AB147, "NA")</f>
        <v>0.94372214513158703</v>
      </c>
      <c r="AG147" s="33">
        <f>IFERROR((J147+L147+N147+P147+R147+T147+V147+X147)/8, "NA")</f>
        <v>3270.4474999999998</v>
      </c>
      <c r="AH147" s="34">
        <f>IFERROR(AG147/AG148, "NA")</f>
        <v>0.12007900080404287</v>
      </c>
      <c r="AI147" s="15">
        <f>IFERROR(X147-AG147, "NA")</f>
        <v>10453.382499999991</v>
      </c>
      <c r="AJ147" s="16">
        <f>IFERROR(AI147/AI148, "NA")</f>
        <v>0.60674691756578425</v>
      </c>
      <c r="AK147" s="15">
        <f>IFERROR((X147-AG147)/AG147, "NA")</f>
        <v>3.1963156418196568</v>
      </c>
      <c r="AL147" s="16">
        <f>IFERROR(AK147/AK148, "NA")</f>
        <v>5.0528977881481181</v>
      </c>
    </row>
    <row r="148" spans="1:38" ht="15.6" hidden="1">
      <c r="A148" s="40" t="s">
        <v>25</v>
      </c>
      <c r="B148" s="7">
        <v>28548.880000000001</v>
      </c>
      <c r="C148" s="41"/>
      <c r="D148" s="7">
        <v>34892.29</v>
      </c>
      <c r="E148" s="41"/>
      <c r="F148" s="7">
        <v>45409.66</v>
      </c>
      <c r="G148" s="41"/>
      <c r="H148" s="7">
        <v>40494.58</v>
      </c>
      <c r="I148" s="41"/>
      <c r="J148" s="7">
        <v>23146.28</v>
      </c>
      <c r="K148" s="41"/>
      <c r="L148" s="7">
        <v>25422.05</v>
      </c>
      <c r="M148" s="41"/>
      <c r="N148" s="7">
        <v>24506.45</v>
      </c>
      <c r="O148" s="41"/>
      <c r="P148" s="7">
        <v>25844.799999999999</v>
      </c>
      <c r="Q148" s="41"/>
      <c r="R148" s="7">
        <v>28469.19</v>
      </c>
      <c r="S148" s="41"/>
      <c r="T148" s="7">
        <v>24574.080000000002</v>
      </c>
      <c r="U148" s="41"/>
      <c r="V148" s="7">
        <v>21459.17</v>
      </c>
      <c r="W148" s="41"/>
      <c r="X148" s="7">
        <v>44464.37</v>
      </c>
      <c r="Y148" s="41"/>
      <c r="Z148" s="7">
        <v>118966.81</v>
      </c>
      <c r="AA148" s="41"/>
      <c r="AB148" s="9">
        <f>IFERROR((R148+T148+V148+X148)/4, "NA")</f>
        <v>29741.702499999999</v>
      </c>
      <c r="AC148" s="41"/>
      <c r="AD148" s="10">
        <f>IFERROR(X148-AB148, "NA")</f>
        <v>14722.667500000003</v>
      </c>
      <c r="AE148" s="42"/>
      <c r="AF148" s="10">
        <f>IFERROR((X148-AB148)/AB148, "NA")</f>
        <v>0.49501764399667447</v>
      </c>
      <c r="AG148" s="9">
        <f>IFERROR((J148+L148+N148+P148+R148+T148+V148+X148)/8, "NA")</f>
        <v>27235.798750000002</v>
      </c>
      <c r="AH148" s="41"/>
      <c r="AI148" s="10">
        <f>IFERROR(X148-AG148, "NA")</f>
        <v>17228.571250000001</v>
      </c>
      <c r="AJ148" s="42"/>
      <c r="AK148" s="10">
        <f>IFERROR((X148-AG148)/AG148, "NA")</f>
        <v>0.63257080903492868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I5:AJ5"/>
    <mergeCell ref="AK5:AL5"/>
    <mergeCell ref="Z5:AA5"/>
    <mergeCell ref="AB5:AC5"/>
    <mergeCell ref="AD5:AE5"/>
    <mergeCell ref="AF5"/>
    <mergeCell ref="AG5:AH5"/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7" right="0.7" top="0.75" bottom="0.75" header="0.3" footer="0.3"/>
  <ignoredErrors>
    <ignoredError sqref="A1:AL153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44" t="s">
        <v>0</v>
      </c>
      <c r="Y1" s="44" t="s">
        <v>0</v>
      </c>
      <c r="Z1" s="44" t="s">
        <v>0</v>
      </c>
      <c r="AA1" s="44" t="s">
        <v>0</v>
      </c>
      <c r="AB1" s="44" t="s">
        <v>0</v>
      </c>
      <c r="AC1" s="44" t="s">
        <v>0</v>
      </c>
      <c r="AD1" s="44" t="s">
        <v>0</v>
      </c>
      <c r="AE1" s="44" t="s">
        <v>0</v>
      </c>
      <c r="AF1" s="44" t="s">
        <v>0</v>
      </c>
      <c r="AG1" s="44" t="s">
        <v>0</v>
      </c>
      <c r="AH1" s="44" t="s">
        <v>0</v>
      </c>
      <c r="AI1" s="44" t="s">
        <v>0</v>
      </c>
      <c r="AJ1" s="44" t="s">
        <v>0</v>
      </c>
      <c r="AK1" s="44" t="s">
        <v>0</v>
      </c>
      <c r="AL1" s="44" t="s">
        <v>0</v>
      </c>
    </row>
    <row r="2" spans="1:38" ht="23.4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  <c r="I2" s="45" t="s">
        <v>1</v>
      </c>
      <c r="J2" s="45" t="s">
        <v>1</v>
      </c>
      <c r="K2" s="45" t="s">
        <v>1</v>
      </c>
      <c r="L2" s="45" t="s">
        <v>1</v>
      </c>
      <c r="M2" s="45" t="s">
        <v>1</v>
      </c>
      <c r="N2" s="45" t="s">
        <v>1</v>
      </c>
      <c r="O2" s="45" t="s">
        <v>1</v>
      </c>
      <c r="P2" s="45" t="s">
        <v>1</v>
      </c>
      <c r="Q2" s="45" t="s">
        <v>1</v>
      </c>
      <c r="R2" s="45" t="s">
        <v>1</v>
      </c>
      <c r="S2" s="45" t="s">
        <v>1</v>
      </c>
      <c r="T2" s="45" t="s">
        <v>1</v>
      </c>
      <c r="U2" s="45" t="s">
        <v>1</v>
      </c>
      <c r="V2" s="45" t="s">
        <v>1</v>
      </c>
      <c r="W2" s="45" t="s">
        <v>1</v>
      </c>
      <c r="X2" s="45" t="s">
        <v>1</v>
      </c>
      <c r="Y2" s="45" t="s">
        <v>1</v>
      </c>
      <c r="Z2" s="45" t="s">
        <v>1</v>
      </c>
      <c r="AA2" s="45" t="s">
        <v>1</v>
      </c>
      <c r="AB2" s="45" t="s">
        <v>1</v>
      </c>
      <c r="AC2" s="45" t="s">
        <v>1</v>
      </c>
      <c r="AD2" s="45" t="s">
        <v>1</v>
      </c>
      <c r="AE2" s="45" t="s">
        <v>1</v>
      </c>
      <c r="AF2" s="45" t="s">
        <v>1</v>
      </c>
      <c r="AG2" s="45" t="s">
        <v>1</v>
      </c>
      <c r="AH2" s="45" t="s">
        <v>1</v>
      </c>
      <c r="AI2" s="45" t="s">
        <v>1</v>
      </c>
      <c r="AJ2" s="45" t="s">
        <v>1</v>
      </c>
      <c r="AK2" s="45" t="s">
        <v>1</v>
      </c>
      <c r="AL2" s="45" t="s">
        <v>1</v>
      </c>
    </row>
    <row r="3" spans="1:38" ht="15.6">
      <c r="A3" s="46" t="s">
        <v>154</v>
      </c>
      <c r="B3" s="46" t="s">
        <v>154</v>
      </c>
      <c r="C3" s="46" t="s">
        <v>154</v>
      </c>
      <c r="D3" s="46" t="s">
        <v>154</v>
      </c>
      <c r="E3" s="46" t="s">
        <v>154</v>
      </c>
      <c r="F3" s="46" t="s">
        <v>154</v>
      </c>
      <c r="G3" s="46" t="s">
        <v>154</v>
      </c>
      <c r="H3" s="46" t="s">
        <v>154</v>
      </c>
      <c r="I3" s="46" t="s">
        <v>154</v>
      </c>
      <c r="J3" s="46" t="s">
        <v>154</v>
      </c>
      <c r="K3" s="46" t="s">
        <v>154</v>
      </c>
      <c r="L3" s="46" t="s">
        <v>154</v>
      </c>
      <c r="M3" s="46" t="s">
        <v>154</v>
      </c>
      <c r="N3" s="46" t="s">
        <v>154</v>
      </c>
      <c r="O3" s="46" t="s">
        <v>154</v>
      </c>
      <c r="P3" s="46" t="s">
        <v>154</v>
      </c>
      <c r="Q3" s="46" t="s">
        <v>154</v>
      </c>
      <c r="R3" s="46" t="s">
        <v>154</v>
      </c>
      <c r="S3" s="46" t="s">
        <v>154</v>
      </c>
      <c r="T3" s="46" t="s">
        <v>154</v>
      </c>
      <c r="U3" s="46" t="s">
        <v>154</v>
      </c>
      <c r="V3" s="46" t="s">
        <v>154</v>
      </c>
      <c r="W3" s="46" t="s">
        <v>154</v>
      </c>
      <c r="X3" s="46" t="s">
        <v>154</v>
      </c>
      <c r="Y3" s="46" t="s">
        <v>154</v>
      </c>
      <c r="Z3" s="46" t="s">
        <v>154</v>
      </c>
      <c r="AA3" s="46" t="s">
        <v>154</v>
      </c>
      <c r="AB3" s="46" t="s">
        <v>154</v>
      </c>
      <c r="AC3" s="46" t="s">
        <v>154</v>
      </c>
      <c r="AD3" s="46" t="s">
        <v>154</v>
      </c>
      <c r="AE3" s="46" t="s">
        <v>154</v>
      </c>
      <c r="AF3" s="46" t="s">
        <v>154</v>
      </c>
      <c r="AG3" s="46" t="s">
        <v>154</v>
      </c>
      <c r="AH3" s="46" t="s">
        <v>154</v>
      </c>
      <c r="AI3" s="46" t="s">
        <v>154</v>
      </c>
      <c r="AJ3" s="46" t="s">
        <v>154</v>
      </c>
      <c r="AK3" s="46" t="s">
        <v>154</v>
      </c>
      <c r="AL3" s="46" t="s">
        <v>154</v>
      </c>
    </row>
    <row r="5" spans="1:38" ht="13.5" customHeight="1">
      <c r="A5" s="47" t="s">
        <v>3</v>
      </c>
      <c r="B5" s="48" t="s">
        <v>4</v>
      </c>
      <c r="C5" s="49" t="s">
        <v>3</v>
      </c>
      <c r="D5" s="48" t="s">
        <v>5</v>
      </c>
      <c r="E5" s="49" t="s">
        <v>3</v>
      </c>
      <c r="F5" s="48" t="s">
        <v>6</v>
      </c>
      <c r="G5" s="49" t="s">
        <v>3</v>
      </c>
      <c r="H5" s="48" t="s">
        <v>7</v>
      </c>
      <c r="I5" s="49" t="s">
        <v>3</v>
      </c>
      <c r="J5" s="48" t="s">
        <v>8</v>
      </c>
      <c r="K5" s="49" t="s">
        <v>3</v>
      </c>
      <c r="L5" s="48" t="s">
        <v>9</v>
      </c>
      <c r="M5" s="49" t="s">
        <v>3</v>
      </c>
      <c r="N5" s="48" t="s">
        <v>10</v>
      </c>
      <c r="O5" s="49" t="s">
        <v>3</v>
      </c>
      <c r="P5" s="48" t="s">
        <v>11</v>
      </c>
      <c r="Q5" s="49" t="s">
        <v>3</v>
      </c>
      <c r="R5" s="48" t="s">
        <v>12</v>
      </c>
      <c r="S5" s="49" t="s">
        <v>3</v>
      </c>
      <c r="T5" s="48" t="s">
        <v>13</v>
      </c>
      <c r="U5" s="49" t="s">
        <v>3</v>
      </c>
      <c r="V5" s="48" t="s">
        <v>14</v>
      </c>
      <c r="W5" s="49" t="s">
        <v>3</v>
      </c>
      <c r="X5" s="48" t="s">
        <v>15</v>
      </c>
      <c r="Y5" s="49" t="s">
        <v>3</v>
      </c>
      <c r="Z5" s="48" t="s">
        <v>16</v>
      </c>
      <c r="AA5" s="49" t="s">
        <v>3</v>
      </c>
      <c r="AB5" s="48" t="s">
        <v>17</v>
      </c>
      <c r="AC5" s="49" t="s">
        <v>3</v>
      </c>
      <c r="AD5" s="50" t="s">
        <v>18</v>
      </c>
      <c r="AE5" s="51" t="s">
        <v>3</v>
      </c>
      <c r="AF5" s="50" t="s">
        <v>19</v>
      </c>
      <c r="AG5" s="48" t="s">
        <v>20</v>
      </c>
      <c r="AH5" s="49" t="s">
        <v>3</v>
      </c>
      <c r="AI5" s="50" t="s">
        <v>21</v>
      </c>
      <c r="AJ5" s="51" t="s">
        <v>3</v>
      </c>
      <c r="AK5" s="50" t="s">
        <v>22</v>
      </c>
      <c r="AL5" s="51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27216.920000000002</v>
      </c>
      <c r="C7" s="8">
        <f>IFERROR(B7/B148, "NA")</f>
        <v>1.0000000000000002</v>
      </c>
      <c r="D7" s="7">
        <v>41263.460000000006</v>
      </c>
      <c r="E7" s="8">
        <f>IFERROR(D7/D148, "NA")</f>
        <v>1.0000000000000002</v>
      </c>
      <c r="F7" s="7">
        <v>32026.440000000002</v>
      </c>
      <c r="G7" s="8">
        <f>IFERROR(F7/F148, "NA")</f>
        <v>1.0000000000000002</v>
      </c>
      <c r="H7" s="7">
        <v>28859.779999999992</v>
      </c>
      <c r="I7" s="8">
        <f>IFERROR(H7/H148, "NA")</f>
        <v>0.99999999999999978</v>
      </c>
      <c r="J7" s="7">
        <v>25879.01</v>
      </c>
      <c r="K7" s="8">
        <f>IFERROR(J7/J148, "NA")</f>
        <v>1</v>
      </c>
      <c r="L7" s="7">
        <v>25696.730000000003</v>
      </c>
      <c r="M7" s="8">
        <f>IFERROR(L7/L148, "NA")</f>
        <v>1.0000000000000002</v>
      </c>
      <c r="N7" s="7">
        <v>25164.289999999997</v>
      </c>
      <c r="O7" s="8">
        <f>IFERROR(N7/N148, "NA")</f>
        <v>0.99999999999999989</v>
      </c>
      <c r="P7" s="7">
        <v>28633.51999999999</v>
      </c>
      <c r="Q7" s="8">
        <f>IFERROR(P7/P148, "NA")</f>
        <v>0.99999999999999967</v>
      </c>
      <c r="R7" s="7">
        <v>28061.539999999997</v>
      </c>
      <c r="S7" s="8">
        <f>IFERROR(R7/R148, "NA")</f>
        <v>0.99999999999999989</v>
      </c>
      <c r="T7" s="7">
        <v>25742.519999999997</v>
      </c>
      <c r="U7" s="8">
        <f>IFERROR(T7/T148, "NA")</f>
        <v>0.99999999999999989</v>
      </c>
      <c r="V7" s="7">
        <v>20609.28</v>
      </c>
      <c r="W7" s="8">
        <f>IFERROR(V7/V148, "NA")</f>
        <v>1</v>
      </c>
      <c r="X7" s="7">
        <v>24521.89</v>
      </c>
      <c r="Y7" s="8">
        <f>IFERROR(X7/X148, "NA")</f>
        <v>1</v>
      </c>
      <c r="Z7" s="7">
        <v>98935.23000000001</v>
      </c>
      <c r="AA7" s="8">
        <f>IFERROR(Z7/Z148, "NA")</f>
        <v>1.0000000000000002</v>
      </c>
      <c r="AB7" s="9">
        <f>IFERROR((R7+T7+V7+X7)/4, "NA")</f>
        <v>24733.807499999999</v>
      </c>
      <c r="AC7" s="8">
        <f>IFERROR(AB7/AB148, "NA")</f>
        <v>1</v>
      </c>
      <c r="AD7" s="10">
        <f>IFERROR(X7-AB7, "NA")</f>
        <v>-211.91749999999956</v>
      </c>
      <c r="AE7" s="11">
        <f>IFERROR(AD7/AD148, "NA")</f>
        <v>1</v>
      </c>
      <c r="AF7" s="10">
        <f>IFERROR((X7-AB7)/AB7, "NA")</f>
        <v>-8.5679287347894002E-3</v>
      </c>
      <c r="AG7" s="9">
        <f>IFERROR((J7+L7+N7+P7+R7+T7+V7+X7)/8, "NA")</f>
        <v>25538.597499999996</v>
      </c>
      <c r="AH7" s="8">
        <f>IFERROR(AG7/AG148, "NA")</f>
        <v>1</v>
      </c>
      <c r="AI7" s="10">
        <f>IFERROR(X7-AG7, "NA")</f>
        <v>-1016.7074999999968</v>
      </c>
      <c r="AJ7" s="11">
        <f>IFERROR(AI7/AI148, "NA")</f>
        <v>1</v>
      </c>
      <c r="AK7" s="10">
        <f>IFERROR((X7-AG7)/AG7, "NA")</f>
        <v>-3.9810623899765717E-2</v>
      </c>
      <c r="AL7" s="11">
        <f>IFERROR(AK7/AK148, "NA")</f>
        <v>1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27216.920000000002</v>
      </c>
      <c r="C9" s="14">
        <f>IFERROR(B9/B148, "NA")</f>
        <v>1.0000000000000002</v>
      </c>
      <c r="D9" s="13">
        <f>IFERROR(D7+D8, "NA")</f>
        <v>41263.460000000006</v>
      </c>
      <c r="E9" s="14">
        <f>IFERROR(D9/D148, "NA")</f>
        <v>1.0000000000000002</v>
      </c>
      <c r="F9" s="13">
        <f>IFERROR(F7+F8, "NA")</f>
        <v>32026.440000000002</v>
      </c>
      <c r="G9" s="14">
        <f>IFERROR(F9/F148, "NA")</f>
        <v>1.0000000000000002</v>
      </c>
      <c r="H9" s="13">
        <f>IFERROR(H7+H8, "NA")</f>
        <v>28859.779999999992</v>
      </c>
      <c r="I9" s="14">
        <f>IFERROR(H9/H148, "NA")</f>
        <v>0.99999999999999978</v>
      </c>
      <c r="J9" s="13">
        <f>IFERROR(J7+J8, "NA")</f>
        <v>25879.01</v>
      </c>
      <c r="K9" s="14">
        <f>IFERROR(J9/J148, "NA")</f>
        <v>1</v>
      </c>
      <c r="L9" s="13">
        <f>IFERROR(L7+L8, "NA")</f>
        <v>25696.730000000003</v>
      </c>
      <c r="M9" s="14">
        <f>IFERROR(L9/L148, "NA")</f>
        <v>1.0000000000000002</v>
      </c>
      <c r="N9" s="13">
        <f>IFERROR(N7+N8, "NA")</f>
        <v>25164.289999999997</v>
      </c>
      <c r="O9" s="14">
        <f>IFERROR(N9/N148, "NA")</f>
        <v>0.99999999999999989</v>
      </c>
      <c r="P9" s="13">
        <f>IFERROR(P7+P8, "NA")</f>
        <v>28633.51999999999</v>
      </c>
      <c r="Q9" s="14">
        <f>IFERROR(P9/P148, "NA")</f>
        <v>0.99999999999999967</v>
      </c>
      <c r="R9" s="13">
        <f>IFERROR(R7+R8, "NA")</f>
        <v>28061.539999999997</v>
      </c>
      <c r="S9" s="14">
        <f>IFERROR(R9/R148, "NA")</f>
        <v>0.99999999999999989</v>
      </c>
      <c r="T9" s="13">
        <f>IFERROR(T7+T8, "NA")</f>
        <v>25742.519999999997</v>
      </c>
      <c r="U9" s="14">
        <f>IFERROR(T9/T148, "NA")</f>
        <v>0.99999999999999989</v>
      </c>
      <c r="V9" s="13">
        <f>IFERROR(V7+V8, "NA")</f>
        <v>20609.28</v>
      </c>
      <c r="W9" s="14">
        <f>IFERROR(V9/V148, "NA")</f>
        <v>1</v>
      </c>
      <c r="X9" s="13">
        <f>IFERROR(X7+X8, "NA")</f>
        <v>24521.89</v>
      </c>
      <c r="Y9" s="14">
        <f>IFERROR(X9/X148, "NA")</f>
        <v>1</v>
      </c>
      <c r="Z9" s="13">
        <f>IFERROR(Z7+Z8, "NA")</f>
        <v>98935.23000000001</v>
      </c>
      <c r="AA9" s="14">
        <f>IFERROR(Z9/Z148, "NA")</f>
        <v>1.0000000000000002</v>
      </c>
      <c r="AB9" s="13">
        <f>IFERROR((R9+T9+V9+X9)/4, "NA")</f>
        <v>24733.807499999999</v>
      </c>
      <c r="AC9" s="14">
        <f>IFERROR(AB9/AB148, "NA")</f>
        <v>1</v>
      </c>
      <c r="AD9" s="15">
        <f>IFERROR(X9-AB9, "NA")</f>
        <v>-211.91749999999956</v>
      </c>
      <c r="AE9" s="16">
        <f>IFERROR(AD9/AD148, "NA")</f>
        <v>1</v>
      </c>
      <c r="AF9" s="15">
        <f>IFERROR((X9-AB9)/AB9, "NA")</f>
        <v>-8.5679287347894002E-3</v>
      </c>
      <c r="AG9" s="13">
        <f>IFERROR((J9+L9+N9+P9+R9+T9+V9+X9)/8, "NA")</f>
        <v>25538.597499999996</v>
      </c>
      <c r="AH9" s="14">
        <f>IFERROR(AG9/AG148, "NA")</f>
        <v>1</v>
      </c>
      <c r="AI9" s="15">
        <f>IFERROR(X9-AG9, "NA")</f>
        <v>-1016.7074999999968</v>
      </c>
      <c r="AJ9" s="16">
        <f>IFERROR(AI9/AI148, "NA")</f>
        <v>1</v>
      </c>
      <c r="AK9" s="15">
        <f>IFERROR((X9-AG9)/AG9, "NA")</f>
        <v>-3.9810623899765717E-2</v>
      </c>
      <c r="AL9" s="16">
        <f>IFERROR(AK9/AK148, "NA")</f>
        <v>1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1446.51</v>
      </c>
      <c r="C16" s="8">
        <f>IFERROR(B16/B148, "NA")</f>
        <v>5.3147453863258594E-2</v>
      </c>
      <c r="D16" s="7">
        <v>1797.44</v>
      </c>
      <c r="E16" s="8">
        <f>IFERROR(D16/D148, "NA")</f>
        <v>4.3560089241183361E-2</v>
      </c>
      <c r="F16" s="7">
        <v>1525.35</v>
      </c>
      <c r="G16" s="8">
        <f>IFERROR(F16/F148, "NA")</f>
        <v>4.7627835001330152E-2</v>
      </c>
      <c r="H16" s="7">
        <v>985.6</v>
      </c>
      <c r="I16" s="8">
        <f>IFERROR(H16/H148, "NA")</f>
        <v>3.4151334486957285E-2</v>
      </c>
      <c r="J16" s="7">
        <v>1373.17</v>
      </c>
      <c r="K16" s="8">
        <f>IFERROR(J16/J148, "NA")</f>
        <v>5.3061148784285028E-2</v>
      </c>
      <c r="L16" s="7">
        <v>1250.25</v>
      </c>
      <c r="M16" s="8">
        <f>IFERROR(L16/L148, "NA")</f>
        <v>4.8654050534834591E-2</v>
      </c>
      <c r="N16" s="7">
        <v>1005.87</v>
      </c>
      <c r="O16" s="8">
        <f>IFERROR(N16/N148, "NA")</f>
        <v>3.9972119221325139E-2</v>
      </c>
      <c r="P16" s="7">
        <v>1408</v>
      </c>
      <c r="Q16" s="8">
        <f>IFERROR(P16/P148, "NA")</f>
        <v>4.9173136938804589E-2</v>
      </c>
      <c r="R16" s="7">
        <v>950.71</v>
      </c>
      <c r="S16" s="8">
        <f>IFERROR(R16/R148, "NA")</f>
        <v>3.3879466344327501E-2</v>
      </c>
      <c r="T16" s="7">
        <v>896.3</v>
      </c>
      <c r="U16" s="8">
        <f>IFERROR(T16/T148, "NA")</f>
        <v>3.4817881077687809E-2</v>
      </c>
      <c r="V16" s="7">
        <v>864.22</v>
      </c>
      <c r="W16" s="8">
        <f>IFERROR(V16/V148, "NA")</f>
        <v>4.1933536736848645E-2</v>
      </c>
      <c r="X16" s="7">
        <v>1025.67</v>
      </c>
      <c r="Y16" s="8">
        <f>IFERROR(X16/X148, "NA")</f>
        <v>4.1826710747010123E-2</v>
      </c>
      <c r="Z16" s="7">
        <v>3736.9</v>
      </c>
      <c r="AA16" s="8">
        <f>IFERROR(Z16/Z148, "NA")</f>
        <v>3.7771176152317031E-2</v>
      </c>
      <c r="AB16" s="9">
        <f t="shared" si="0"/>
        <v>934.22500000000002</v>
      </c>
      <c r="AC16" s="8">
        <f>IFERROR(AB16/AB148, "NA")</f>
        <v>3.7771176152317031E-2</v>
      </c>
      <c r="AD16" s="10">
        <f t="shared" si="1"/>
        <v>91.44500000000005</v>
      </c>
      <c r="AE16" s="11">
        <f>IFERROR(AD16/AD148, "NA")</f>
        <v>-0.43151226302688661</v>
      </c>
      <c r="AF16" s="10">
        <f t="shared" si="2"/>
        <v>9.7883272230993662E-2</v>
      </c>
      <c r="AG16" s="9">
        <f t="shared" si="3"/>
        <v>1096.7737500000001</v>
      </c>
      <c r="AH16" s="8">
        <f>IFERROR(AG16/AG148, "NA")</f>
        <v>4.2945731456083297E-2</v>
      </c>
      <c r="AI16" s="10">
        <f t="shared" si="4"/>
        <v>-71.103749999999991</v>
      </c>
      <c r="AJ16" s="11">
        <f>IFERROR(AI16/AI148, "NA")</f>
        <v>6.9935305877059248E-2</v>
      </c>
      <c r="AK16" s="10">
        <f t="shared" si="5"/>
        <v>-6.4829915923863043E-2</v>
      </c>
      <c r="AL16" s="11">
        <f>IFERROR(AK16/AK148, "NA")</f>
        <v>1.6284576721804294</v>
      </c>
    </row>
    <row r="17" spans="1:38" ht="16.5" customHeight="1">
      <c r="A17" s="25" t="s">
        <v>32</v>
      </c>
      <c r="B17" s="7">
        <v>800.97</v>
      </c>
      <c r="C17" s="8">
        <f>IFERROR(B17/B148, "NA")</f>
        <v>2.942911982693119E-2</v>
      </c>
      <c r="D17" s="7">
        <v>916.43</v>
      </c>
      <c r="E17" s="8">
        <f>IFERROR(D17/D148, "NA")</f>
        <v>2.2209237906855119E-2</v>
      </c>
      <c r="F17" s="7">
        <v>952.09</v>
      </c>
      <c r="G17" s="8">
        <f>IFERROR(F17/F148, "NA")</f>
        <v>2.9728249533822682E-2</v>
      </c>
      <c r="H17" s="7">
        <v>664.03</v>
      </c>
      <c r="I17" s="8">
        <f>IFERROR(H17/H148, "NA")</f>
        <v>2.3008837905209256E-2</v>
      </c>
      <c r="J17" s="7">
        <v>878.91</v>
      </c>
      <c r="K17" s="8">
        <f>IFERROR(J17/J148, "NA")</f>
        <v>3.3962272899929327E-2</v>
      </c>
      <c r="L17" s="7">
        <v>782.46</v>
      </c>
      <c r="M17" s="8">
        <f>IFERROR(L17/L148, "NA")</f>
        <v>3.0449788747439852E-2</v>
      </c>
      <c r="N17" s="7">
        <v>900.14</v>
      </c>
      <c r="O17" s="8">
        <f>IFERROR(N17/N148, "NA")</f>
        <v>3.5770530382538114E-2</v>
      </c>
      <c r="P17" s="7">
        <v>926.87</v>
      </c>
      <c r="Q17" s="8">
        <f>IFERROR(P17/P148, "NA")</f>
        <v>3.2370103291526856E-2</v>
      </c>
      <c r="R17" s="7">
        <v>841.1</v>
      </c>
      <c r="S17" s="8">
        <f>IFERROR(R17/R148, "NA")</f>
        <v>2.9973408444440325E-2</v>
      </c>
      <c r="T17" s="7">
        <v>665.91</v>
      </c>
      <c r="U17" s="8">
        <f>IFERROR(T17/T148, "NA")</f>
        <v>2.5868096829681008E-2</v>
      </c>
      <c r="V17" s="7">
        <v>725.28</v>
      </c>
      <c r="W17" s="8">
        <f>IFERROR(V17/V148, "NA")</f>
        <v>3.5191913545742498E-2</v>
      </c>
      <c r="X17" s="7">
        <v>756.06</v>
      </c>
      <c r="Y17" s="8">
        <f>IFERROR(X17/X148, "NA")</f>
        <v>3.0832044348946999E-2</v>
      </c>
      <c r="Z17" s="7">
        <v>2988.35</v>
      </c>
      <c r="AA17" s="8">
        <f>IFERROR(Z17/Z148, "NA")</f>
        <v>3.0205115003017632E-2</v>
      </c>
      <c r="AB17" s="9">
        <f t="shared" si="0"/>
        <v>747.08749999999998</v>
      </c>
      <c r="AC17" s="8">
        <f>IFERROR(AB17/AB148, "NA")</f>
        <v>3.0205115003017632E-2</v>
      </c>
      <c r="AD17" s="10">
        <f t="shared" si="1"/>
        <v>8.9724999999999682</v>
      </c>
      <c r="AE17" s="11">
        <f>IFERROR(AD17/AD148, "NA")</f>
        <v>-4.2339589698821414E-2</v>
      </c>
      <c r="AF17" s="10">
        <f t="shared" si="2"/>
        <v>1.2009972058159143E-2</v>
      </c>
      <c r="AG17" s="9">
        <f t="shared" si="3"/>
        <v>809.59124999999995</v>
      </c>
      <c r="AH17" s="8">
        <f>IFERROR(AG17/AG148, "NA")</f>
        <v>3.1700693430796269E-2</v>
      </c>
      <c r="AI17" s="10">
        <f t="shared" si="4"/>
        <v>-53.53125</v>
      </c>
      <c r="AJ17" s="11">
        <f>IFERROR(AI17/AI148, "NA")</f>
        <v>5.2651573830231571E-2</v>
      </c>
      <c r="AK17" s="10">
        <f t="shared" si="5"/>
        <v>-6.6121329745102861E-2</v>
      </c>
      <c r="AL17" s="11">
        <f>IFERROR(AK17/AK148, "NA")</f>
        <v>1.6608965966366576</v>
      </c>
    </row>
    <row r="18" spans="1:38" ht="16.5" customHeight="1">
      <c r="A18" s="25" t="s">
        <v>33</v>
      </c>
      <c r="B18" s="7">
        <v>939.71</v>
      </c>
      <c r="C18" s="8">
        <f>IFERROR(B18/B148, "NA")</f>
        <v>3.4526684136191754E-2</v>
      </c>
      <c r="D18" s="7">
        <v>1409.23</v>
      </c>
      <c r="E18" s="8">
        <f>IFERROR(D18/D148, "NA")</f>
        <v>3.4152007611576926E-2</v>
      </c>
      <c r="F18" s="7">
        <v>1012.97</v>
      </c>
      <c r="G18" s="8">
        <f>IFERROR(F18/F148, "NA")</f>
        <v>3.1629178890941363E-2</v>
      </c>
      <c r="H18" s="7">
        <v>1102.24</v>
      </c>
      <c r="I18" s="8">
        <f>IFERROR(H18/H148, "NA")</f>
        <v>3.8192945337767646E-2</v>
      </c>
      <c r="J18" s="7">
        <v>1133.23</v>
      </c>
      <c r="K18" s="8">
        <f>IFERROR(J18/J148, "NA")</f>
        <v>4.3789542181095806E-2</v>
      </c>
      <c r="L18" s="7">
        <v>739.44</v>
      </c>
      <c r="M18" s="8">
        <f>IFERROR(L18/L148, "NA")</f>
        <v>2.8775645772827908E-2</v>
      </c>
      <c r="N18" s="7">
        <v>861.57</v>
      </c>
      <c r="O18" s="8">
        <f>IFERROR(N18/N148, "NA")</f>
        <v>3.4237802854759664E-2</v>
      </c>
      <c r="P18" s="7">
        <v>912.62</v>
      </c>
      <c r="Q18" s="8">
        <f>IFERROR(P18/P148, "NA")</f>
        <v>3.1872434824639091E-2</v>
      </c>
      <c r="R18" s="7">
        <v>944.58</v>
      </c>
      <c r="S18" s="8">
        <f>IFERROR(R18/R148, "NA")</f>
        <v>3.3661017891391566E-2</v>
      </c>
      <c r="T18" s="7">
        <v>956.61</v>
      </c>
      <c r="U18" s="8">
        <f>IFERROR(T18/T148, "NA")</f>
        <v>3.7160697554085617E-2</v>
      </c>
      <c r="V18" s="7">
        <v>736.21</v>
      </c>
      <c r="W18" s="8">
        <f>IFERROR(V18/V148, "NA")</f>
        <v>3.5722257157940501E-2</v>
      </c>
      <c r="X18" s="7">
        <v>761.84</v>
      </c>
      <c r="Y18" s="8">
        <f>IFERROR(X18/X148, "NA")</f>
        <v>3.1067752118617287E-2</v>
      </c>
      <c r="Z18" s="7">
        <v>3399.24</v>
      </c>
      <c r="AA18" s="8">
        <f>IFERROR(Z18/Z148, "NA")</f>
        <v>3.4358236191496194E-2</v>
      </c>
      <c r="AB18" s="9">
        <f t="shared" si="0"/>
        <v>849.81000000000006</v>
      </c>
      <c r="AC18" s="8">
        <f>IFERROR(AB18/AB148, "NA")</f>
        <v>3.4358236191496201E-2</v>
      </c>
      <c r="AD18" s="10">
        <f t="shared" si="1"/>
        <v>-87.970000000000027</v>
      </c>
      <c r="AE18" s="11">
        <f>IFERROR(AD18/AD148, "NA")</f>
        <v>0.41511437233829301</v>
      </c>
      <c r="AF18" s="10">
        <f t="shared" si="2"/>
        <v>-0.10351725679857852</v>
      </c>
      <c r="AG18" s="9">
        <f t="shared" si="3"/>
        <v>880.76250000000005</v>
      </c>
      <c r="AH18" s="8">
        <f>IFERROR(AG18/AG148, "NA")</f>
        <v>3.4487504648601008E-2</v>
      </c>
      <c r="AI18" s="10">
        <f t="shared" si="4"/>
        <v>-118.92250000000001</v>
      </c>
      <c r="AJ18" s="11">
        <f>IFERROR(AI18/AI148, "NA")</f>
        <v>0.11696825291443251</v>
      </c>
      <c r="AK18" s="10">
        <f t="shared" si="5"/>
        <v>-0.13502221086842367</v>
      </c>
      <c r="AL18" s="11">
        <f>IFERROR(AK18/AK148, "NA")</f>
        <v>3.3916125305742386</v>
      </c>
    </row>
    <row r="19" spans="1:38" ht="16.5" customHeight="1">
      <c r="A19" s="25" t="s">
        <v>34</v>
      </c>
      <c r="B19" s="7">
        <v>541.12</v>
      </c>
      <c r="C19" s="8">
        <f>IFERROR(B19/B148, "NA")</f>
        <v>1.9881750029026063E-2</v>
      </c>
      <c r="D19" s="7">
        <v>759.24</v>
      </c>
      <c r="E19" s="8">
        <f>IFERROR(D19/D148, "NA")</f>
        <v>1.8399814266665957E-2</v>
      </c>
      <c r="F19" s="7">
        <v>724.77</v>
      </c>
      <c r="G19" s="8">
        <f>IFERROR(F19/F148, "NA")</f>
        <v>2.2630364161611467E-2</v>
      </c>
      <c r="H19" s="7">
        <v>522.03</v>
      </c>
      <c r="I19" s="8">
        <f>IFERROR(H19/H148, "NA")</f>
        <v>1.8088495477096497E-2</v>
      </c>
      <c r="J19" s="7">
        <v>669.18</v>
      </c>
      <c r="K19" s="8">
        <f>IFERROR(J19/J148, "NA")</f>
        <v>2.5858021616746545E-2</v>
      </c>
      <c r="L19" s="7">
        <v>550.16</v>
      </c>
      <c r="M19" s="8">
        <f>IFERROR(L19/L148, "NA")</f>
        <v>2.1409728008194039E-2</v>
      </c>
      <c r="N19" s="7">
        <v>576.92999999999995</v>
      </c>
      <c r="O19" s="8">
        <f>IFERROR(N19/N148, "NA")</f>
        <v>2.2926535976178941E-2</v>
      </c>
      <c r="P19" s="7">
        <v>685.73</v>
      </c>
      <c r="Q19" s="8">
        <f>IFERROR(P19/P148, "NA")</f>
        <v>2.3948505108697778E-2</v>
      </c>
      <c r="R19" s="7">
        <v>706.48</v>
      </c>
      <c r="S19" s="8">
        <f>IFERROR(R19/R148, "NA")</f>
        <v>2.5176095110959699E-2</v>
      </c>
      <c r="T19" s="7">
        <v>473.67</v>
      </c>
      <c r="U19" s="8">
        <f>IFERROR(T19/T148, "NA")</f>
        <v>1.8400296474471032E-2</v>
      </c>
      <c r="V19" s="7">
        <v>494.15</v>
      </c>
      <c r="W19" s="8">
        <f>IFERROR(V19/V148, "NA")</f>
        <v>2.3977062760077016E-2</v>
      </c>
      <c r="X19" s="7">
        <v>678.58</v>
      </c>
      <c r="Y19" s="8">
        <f>IFERROR(X19/X148, "NA")</f>
        <v>2.7672418398418722E-2</v>
      </c>
      <c r="Z19" s="7">
        <v>2352.88</v>
      </c>
      <c r="AA19" s="8">
        <f>IFERROR(Z19/Z148, "NA")</f>
        <v>2.3782023855405201E-2</v>
      </c>
      <c r="AB19" s="9">
        <f t="shared" si="0"/>
        <v>588.22</v>
      </c>
      <c r="AC19" s="8">
        <f>IFERROR(AB19/AB148, "NA")</f>
        <v>2.3782023855405201E-2</v>
      </c>
      <c r="AD19" s="10">
        <f t="shared" si="1"/>
        <v>90.360000000000014</v>
      </c>
      <c r="AE19" s="11">
        <f>IFERROR(AD19/AD148, "NA")</f>
        <v>-0.4263923460780738</v>
      </c>
      <c r="AF19" s="10">
        <f t="shared" si="2"/>
        <v>0.15361599401584441</v>
      </c>
      <c r="AG19" s="9">
        <f t="shared" si="3"/>
        <v>604.36</v>
      </c>
      <c r="AH19" s="8">
        <f>IFERROR(AG19/AG148, "NA")</f>
        <v>2.3664572809842049E-2</v>
      </c>
      <c r="AI19" s="10">
        <f t="shared" si="4"/>
        <v>74.220000000000027</v>
      </c>
      <c r="AJ19" s="11">
        <f>IFERROR(AI19/AI148, "NA")</f>
        <v>-7.3000346707386601E-2</v>
      </c>
      <c r="AK19" s="10">
        <f t="shared" si="5"/>
        <v>0.12280759812032567</v>
      </c>
      <c r="AL19" s="11">
        <f>IFERROR(AK19/AK148, "NA")</f>
        <v>-3.0847946123509105</v>
      </c>
    </row>
    <row r="20" spans="1:38" ht="16.5" customHeight="1">
      <c r="A20" s="25" t="s">
        <v>35</v>
      </c>
      <c r="B20" s="7">
        <v>321.56</v>
      </c>
      <c r="C20" s="8">
        <f>IFERROR(B20/B148, "NA")</f>
        <v>1.1814709379312576E-2</v>
      </c>
      <c r="D20" s="7">
        <v>373.42</v>
      </c>
      <c r="E20" s="8">
        <f>IFERROR(D20/D148, "NA")</f>
        <v>9.049653131366105E-3</v>
      </c>
      <c r="F20" s="7">
        <v>317.22000000000003</v>
      </c>
      <c r="G20" s="8">
        <f>IFERROR(F20/F148, "NA")</f>
        <v>9.904941042463665E-3</v>
      </c>
      <c r="H20" s="7">
        <v>304.60000000000002</v>
      </c>
      <c r="I20" s="8">
        <f>IFERROR(H20/H148, "NA")</f>
        <v>1.0554481011289762E-2</v>
      </c>
      <c r="J20" s="7">
        <v>329.62</v>
      </c>
      <c r="K20" s="8">
        <f>IFERROR(J20/J148, "NA")</f>
        <v>1.2736963276415908E-2</v>
      </c>
      <c r="L20" s="7">
        <v>322.23</v>
      </c>
      <c r="M20" s="8">
        <f>IFERROR(L20/L148, "NA")</f>
        <v>1.2539727817508299E-2</v>
      </c>
      <c r="N20" s="7">
        <v>329.17</v>
      </c>
      <c r="O20" s="8">
        <f>IFERROR(N20/N148, "NA")</f>
        <v>1.308083796522771E-2</v>
      </c>
      <c r="P20" s="7">
        <v>268.38</v>
      </c>
      <c r="Q20" s="8">
        <f>IFERROR(P20/P148, "NA")</f>
        <v>9.3729307469008344E-3</v>
      </c>
      <c r="R20" s="7">
        <v>342.37</v>
      </c>
      <c r="S20" s="8">
        <f>IFERROR(R20/R148, "NA")</f>
        <v>1.220068463812036E-2</v>
      </c>
      <c r="T20" s="7">
        <v>247.43</v>
      </c>
      <c r="U20" s="8">
        <f>IFERROR(T20/T148, "NA")</f>
        <v>9.6117241047108046E-3</v>
      </c>
      <c r="V20" s="7">
        <v>319.86</v>
      </c>
      <c r="W20" s="8">
        <f>IFERROR(V20/V148, "NA")</f>
        <v>1.5520192845164898E-2</v>
      </c>
      <c r="X20" s="7">
        <v>338.51</v>
      </c>
      <c r="Y20" s="8">
        <f>IFERROR(X20/X148, "NA")</f>
        <v>1.3804400884271156E-2</v>
      </c>
      <c r="Z20" s="7">
        <v>1248.17</v>
      </c>
      <c r="AA20" s="8">
        <f>IFERROR(Z20/Z148, "NA")</f>
        <v>1.2616031720955215E-2</v>
      </c>
      <c r="AB20" s="9">
        <f t="shared" si="0"/>
        <v>312.04250000000002</v>
      </c>
      <c r="AC20" s="8">
        <f>IFERROR(AB20/AB148, "NA")</f>
        <v>1.2616031720955215E-2</v>
      </c>
      <c r="AD20" s="10">
        <f t="shared" si="1"/>
        <v>26.467499999999973</v>
      </c>
      <c r="AE20" s="11">
        <f>IFERROR(AD20/AD148, "NA")</f>
        <v>-0.12489530123751001</v>
      </c>
      <c r="AF20" s="10">
        <f t="shared" si="2"/>
        <v>8.4820176738745437E-2</v>
      </c>
      <c r="AG20" s="9">
        <f t="shared" si="3"/>
        <v>312.19624999999996</v>
      </c>
      <c r="AH20" s="8">
        <f>IFERROR(AG20/AG148, "NA")</f>
        <v>1.2224486877167002E-2</v>
      </c>
      <c r="AI20" s="10">
        <f t="shared" si="4"/>
        <v>26.313750000000027</v>
      </c>
      <c r="AJ20" s="11">
        <f>IFERROR(AI20/AI148, "NA")</f>
        <v>-2.5881337552836101E-2</v>
      </c>
      <c r="AK20" s="10">
        <f t="shared" si="5"/>
        <v>8.4285925919994328E-2</v>
      </c>
      <c r="AL20" s="11">
        <f>IFERROR(AK20/AK148, "NA")</f>
        <v>-2.1171716909588634</v>
      </c>
    </row>
    <row r="21" spans="1:38" ht="16.5" customHeight="1">
      <c r="A21" s="25" t="s">
        <v>36</v>
      </c>
      <c r="B21" s="7">
        <v>207.64</v>
      </c>
      <c r="C21" s="8">
        <f>IFERROR(B21/B148, "NA")</f>
        <v>7.6290777942544562E-3</v>
      </c>
      <c r="D21" s="7">
        <v>302.86</v>
      </c>
      <c r="E21" s="8">
        <f>IFERROR(D21/D148, "NA")</f>
        <v>7.3396656509173014E-3</v>
      </c>
      <c r="F21" s="7">
        <v>162.44999999999999</v>
      </c>
      <c r="G21" s="8">
        <f>IFERROR(F21/F148, "NA")</f>
        <v>5.0723714530868866E-3</v>
      </c>
      <c r="H21" s="7">
        <v>141.19</v>
      </c>
      <c r="I21" s="8">
        <f>IFERROR(H21/H148, "NA")</f>
        <v>4.892275686093241E-3</v>
      </c>
      <c r="J21" s="7">
        <v>209.26</v>
      </c>
      <c r="K21" s="8">
        <f>IFERROR(J21/J148, "NA")</f>
        <v>8.0860898465590463E-3</v>
      </c>
      <c r="L21" s="7">
        <v>150.63</v>
      </c>
      <c r="M21" s="8">
        <f>IFERROR(L21/L148, "NA")</f>
        <v>5.8618353385819907E-3</v>
      </c>
      <c r="N21" s="7">
        <v>131.27000000000001</v>
      </c>
      <c r="O21" s="8">
        <f>IFERROR(N21/N148, "NA")</f>
        <v>5.2165191229317422E-3</v>
      </c>
      <c r="P21" s="7">
        <v>139</v>
      </c>
      <c r="Q21" s="8">
        <f>IFERROR(P21/P148, "NA")</f>
        <v>4.8544503085893734E-3</v>
      </c>
      <c r="R21" s="7">
        <v>167.84</v>
      </c>
      <c r="S21" s="8">
        <f>IFERROR(R21/R148, "NA")</f>
        <v>5.9811400229638143E-3</v>
      </c>
      <c r="T21" s="7">
        <v>228.5</v>
      </c>
      <c r="U21" s="8">
        <f>IFERROR(T21/T148, "NA")</f>
        <v>8.8763648624920945E-3</v>
      </c>
      <c r="V21" s="7">
        <v>92.61</v>
      </c>
      <c r="W21" s="8">
        <f>IFERROR(V21/V148, "NA")</f>
        <v>4.4936067635550593E-3</v>
      </c>
      <c r="X21" s="7">
        <v>195</v>
      </c>
      <c r="Y21" s="8">
        <f>IFERROR(X21/X148, "NA")</f>
        <v>7.952078734551048E-3</v>
      </c>
      <c r="Z21" s="7">
        <v>683.95</v>
      </c>
      <c r="AA21" s="8">
        <f>IFERROR(Z21/Z148, "NA")</f>
        <v>6.913108707585762E-3</v>
      </c>
      <c r="AB21" s="9">
        <f t="shared" si="0"/>
        <v>170.98750000000001</v>
      </c>
      <c r="AC21" s="8">
        <f>IFERROR(AB21/AB148, "NA")</f>
        <v>6.913108707585762E-3</v>
      </c>
      <c r="AD21" s="10">
        <f t="shared" si="1"/>
        <v>24.012499999999989</v>
      </c>
      <c r="AE21" s="11">
        <f>IFERROR(AD21/AD148, "NA")</f>
        <v>-0.11331060436254693</v>
      </c>
      <c r="AF21" s="10">
        <f t="shared" si="2"/>
        <v>0.14043424226917164</v>
      </c>
      <c r="AG21" s="9">
        <f t="shared" si="3"/>
        <v>164.26374999999999</v>
      </c>
      <c r="AH21" s="8">
        <f>IFERROR(AG21/AG148, "NA")</f>
        <v>6.4319800646844456E-3</v>
      </c>
      <c r="AI21" s="10">
        <f t="shared" si="4"/>
        <v>30.736250000000013</v>
      </c>
      <c r="AJ21" s="11">
        <f>IFERROR(AI21/AI148, "NA")</f>
        <v>-3.0231162846738231E-2</v>
      </c>
      <c r="AK21" s="10">
        <f t="shared" si="5"/>
        <v>0.1871152338845303</v>
      </c>
      <c r="AL21" s="11">
        <f>IFERROR(AK21/AK148, "NA")</f>
        <v>-4.7001331693681765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15.31</v>
      </c>
      <c r="C23" s="8">
        <f>IFERROR(B23/B148, "NA")</f>
        <v>5.625177279427651E-4</v>
      </c>
      <c r="D23" s="7">
        <v>228.72</v>
      </c>
      <c r="E23" s="8">
        <f>IFERROR(D23/D148, "NA")</f>
        <v>5.5429186015908509E-3</v>
      </c>
      <c r="F23" s="7">
        <v>248.42</v>
      </c>
      <c r="G23" s="8">
        <f>IFERROR(F23/F148, "NA")</f>
        <v>7.756716013393933E-3</v>
      </c>
      <c r="H23" s="7">
        <v>139.55000000000001</v>
      </c>
      <c r="I23" s="8">
        <f>IFERROR(H23/H148, "NA")</f>
        <v>4.8354491960784186E-3</v>
      </c>
      <c r="J23" s="7">
        <v>165.64</v>
      </c>
      <c r="K23" s="8">
        <f>IFERROR(J23/J148, "NA")</f>
        <v>6.4005539624583784E-3</v>
      </c>
      <c r="L23" s="7">
        <v>208.2</v>
      </c>
      <c r="M23" s="8">
        <f>IFERROR(L23/L148, "NA")</f>
        <v>8.1021982174385616E-3</v>
      </c>
      <c r="N23" s="7">
        <v>55.83</v>
      </c>
      <c r="O23" s="8">
        <f>IFERROR(N23/N148, "NA")</f>
        <v>2.2186201160453961E-3</v>
      </c>
      <c r="P23" s="7">
        <v>266.02999999999997</v>
      </c>
      <c r="Q23" s="8">
        <f>IFERROR(P23/P148, "NA")</f>
        <v>9.2908591049930284E-3</v>
      </c>
      <c r="R23" s="7">
        <v>60.71</v>
      </c>
      <c r="S23" s="8">
        <f>IFERROR(R23/R148, "NA")</f>
        <v>2.1634593112138537E-3</v>
      </c>
      <c r="T23" s="7">
        <v>249.34</v>
      </c>
      <c r="U23" s="8">
        <f>IFERROR(T23/T148, "NA")</f>
        <v>9.6859204149399511E-3</v>
      </c>
      <c r="V23" s="7">
        <v>-68.25</v>
      </c>
      <c r="W23" s="8">
        <f>IFERROR(V23/V148, "NA")</f>
        <v>-3.3116149618036147E-3</v>
      </c>
      <c r="X23" s="7">
        <v>353.82</v>
      </c>
      <c r="Y23" s="8">
        <f>IFERROR(X23/X148, "NA")</f>
        <v>1.4428741014660778E-2</v>
      </c>
      <c r="Z23" s="7">
        <v>595.62</v>
      </c>
      <c r="AA23" s="8">
        <f>IFERROR(Z23/Z148, "NA")</f>
        <v>6.0203023735832025E-3</v>
      </c>
      <c r="AB23" s="9">
        <f t="shared" si="0"/>
        <v>148.905</v>
      </c>
      <c r="AC23" s="8">
        <f>IFERROR(AB23/AB148, "NA")</f>
        <v>6.0203023735832025E-3</v>
      </c>
      <c r="AD23" s="10">
        <f t="shared" si="1"/>
        <v>204.91499999999999</v>
      </c>
      <c r="AE23" s="11">
        <f>IFERROR(AD23/AD148, "NA")</f>
        <v>-0.96695648070593709</v>
      </c>
      <c r="AF23" s="10">
        <f t="shared" si="2"/>
        <v>1.3761458648131357</v>
      </c>
      <c r="AG23" s="9">
        <f t="shared" si="3"/>
        <v>161.41499999999999</v>
      </c>
      <c r="AH23" s="8">
        <f>IFERROR(AG23/AG148, "NA")</f>
        <v>6.32043321877797E-3</v>
      </c>
      <c r="AI23" s="10">
        <f t="shared" si="4"/>
        <v>192.405</v>
      </c>
      <c r="AJ23" s="11">
        <f>IFERROR(AI23/AI148, "NA")</f>
        <v>-0.18924321891989643</v>
      </c>
      <c r="AK23" s="10">
        <f t="shared" si="5"/>
        <v>1.1919895920453489</v>
      </c>
      <c r="AL23" s="11">
        <f>IFERROR(AK23/AK148, "NA")</f>
        <v>-29.941494889568002</v>
      </c>
    </row>
    <row r="24" spans="1:38" ht="16.5" customHeight="1">
      <c r="A24" s="25" t="s">
        <v>39</v>
      </c>
      <c r="B24" s="7">
        <v>1650.36</v>
      </c>
      <c r="C24" s="8">
        <f>IFERROR(B24/B148, "NA")</f>
        <v>6.0637280044913235E-2</v>
      </c>
      <c r="D24" s="7">
        <v>2114.33</v>
      </c>
      <c r="E24" s="8">
        <f>IFERROR(D24/D148, "NA")</f>
        <v>5.123976515784183E-2</v>
      </c>
      <c r="F24" s="7">
        <v>1887.25</v>
      </c>
      <c r="G24" s="8">
        <f>IFERROR(F24/F148, "NA")</f>
        <v>5.8927873344648989E-2</v>
      </c>
      <c r="H24" s="7">
        <v>1617.4</v>
      </c>
      <c r="I24" s="8">
        <f>IFERROR(H24/H148, "NA")</f>
        <v>5.6043393262180108E-2</v>
      </c>
      <c r="J24" s="7">
        <v>1722.85</v>
      </c>
      <c r="K24" s="8">
        <f>IFERROR(J24/J148, "NA")</f>
        <v>6.6573257632343744E-2</v>
      </c>
      <c r="L24" s="7">
        <v>1643.39</v>
      </c>
      <c r="M24" s="8">
        <f>IFERROR(L24/L148, "NA")</f>
        <v>6.395327343206704E-2</v>
      </c>
      <c r="N24" s="7">
        <v>1560.27</v>
      </c>
      <c r="O24" s="8">
        <f>IFERROR(N24/N148, "NA")</f>
        <v>6.200333885835841E-2</v>
      </c>
      <c r="P24" s="7">
        <v>1768.26</v>
      </c>
      <c r="Q24" s="8">
        <f>IFERROR(P24/P148, "NA")</f>
        <v>6.1754894263785942E-2</v>
      </c>
      <c r="R24" s="7">
        <v>1812.67</v>
      </c>
      <c r="S24" s="8">
        <f>IFERROR(R24/R148, "NA")</f>
        <v>6.4596240976083283E-2</v>
      </c>
      <c r="T24" s="7">
        <v>1590.86</v>
      </c>
      <c r="U24" s="8">
        <f>IFERROR(T24/T148, "NA")</f>
        <v>6.1798922560806005E-2</v>
      </c>
      <c r="V24" s="7">
        <v>1533.11</v>
      </c>
      <c r="W24" s="8">
        <f>IFERROR(V24/V148, "NA")</f>
        <v>7.4389304235761747E-2</v>
      </c>
      <c r="X24" s="7">
        <v>1367.67</v>
      </c>
      <c r="Y24" s="8">
        <f>IFERROR(X24/X148, "NA")</f>
        <v>5.5773433450684272E-2</v>
      </c>
      <c r="Z24" s="7">
        <v>6304.31</v>
      </c>
      <c r="AA24" s="8">
        <f>IFERROR(Z24/Z148, "NA")</f>
        <v>6.3721588356341827E-2</v>
      </c>
      <c r="AB24" s="9">
        <f t="shared" si="0"/>
        <v>1576.0774999999999</v>
      </c>
      <c r="AC24" s="8">
        <f>IFERROR(AB24/AB148, "NA")</f>
        <v>6.3721588356341813E-2</v>
      </c>
      <c r="AD24" s="10">
        <f t="shared" si="1"/>
        <v>-208.4074999999998</v>
      </c>
      <c r="AE24" s="11">
        <f>IFERROR(AD24/AD148, "NA")</f>
        <v>0.98343695070015558</v>
      </c>
      <c r="AF24" s="10">
        <f t="shared" si="2"/>
        <v>-0.13223175890779471</v>
      </c>
      <c r="AG24" s="9">
        <f t="shared" si="3"/>
        <v>1624.8850000000002</v>
      </c>
      <c r="AH24" s="8">
        <f>IFERROR(AG24/AG148, "NA")</f>
        <v>6.3624676335495733E-2</v>
      </c>
      <c r="AI24" s="10">
        <f t="shared" si="4"/>
        <v>-257.21500000000015</v>
      </c>
      <c r="AJ24" s="11">
        <f>IFERROR(AI24/AI148, "NA")</f>
        <v>0.2529881996542771</v>
      </c>
      <c r="AK24" s="10">
        <f t="shared" si="5"/>
        <v>-0.15829735642830114</v>
      </c>
      <c r="AL24" s="11">
        <f>IFERROR(AK24/AK148, "NA")</f>
        <v>3.9762591218579901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5923.18</v>
      </c>
      <c r="C27" s="14">
        <f>IFERROR(B27/B148, "NA")</f>
        <v>0.21762859280183064</v>
      </c>
      <c r="D27" s="13">
        <f>IFERROR(D15+D16+D17+D18+D19+D20+D21+D22+D23+D24+D25+D26, "NA")</f>
        <v>7901.67</v>
      </c>
      <c r="E27" s="14">
        <f>IFERROR(D27/D148, "NA")</f>
        <v>0.19149315156799745</v>
      </c>
      <c r="F27" s="13">
        <f>IFERROR(F15+F16+F17+F18+F19+F20+F21+F22+F23+F24+F25+F26, "NA")</f>
        <v>6830.52</v>
      </c>
      <c r="G27" s="14">
        <f>IFERROR(F27/F148, "NA")</f>
        <v>0.21327752944129916</v>
      </c>
      <c r="H27" s="13">
        <f>IFERROR(H15+H16+H17+H18+H19+H20+H21+H22+H23+H24+H25+H26, "NA")</f>
        <v>5476.6399999999994</v>
      </c>
      <c r="I27" s="14">
        <f>IFERROR(H27/H148, "NA")</f>
        <v>0.18976721236267219</v>
      </c>
      <c r="J27" s="13">
        <f>IFERROR(J15+J16+J17+J18+J19+J20+J21+J22+J23+J24+J25+J26, "NA")</f>
        <v>6481.8600000000006</v>
      </c>
      <c r="K27" s="14">
        <f>IFERROR(J27/J148, "NA")</f>
        <v>0.25046785019983381</v>
      </c>
      <c r="L27" s="13">
        <f>IFERROR(L15+L16+L17+L18+L19+L20+L21+L22+L23+L24+L25+L26, "NA")</f>
        <v>5646.76</v>
      </c>
      <c r="M27" s="14">
        <f>IFERROR(L27/L148, "NA")</f>
        <v>0.21974624786889227</v>
      </c>
      <c r="N27" s="13">
        <f>IFERROR(N15+N16+N17+N18+N19+N20+N21+N22+N23+N24+N25+N26, "NA")</f>
        <v>5421.0499999999993</v>
      </c>
      <c r="O27" s="14">
        <f>IFERROR(N27/N148, "NA")</f>
        <v>0.21542630449736508</v>
      </c>
      <c r="P27" s="13">
        <f>IFERROR(P15+P16+P17+P18+P19+P20+P21+P22+P23+P24+P25+P26, "NA")</f>
        <v>6374.8899999999994</v>
      </c>
      <c r="Q27" s="14">
        <f>IFERROR(P27/P148, "NA")</f>
        <v>0.22263731458793748</v>
      </c>
      <c r="R27" s="13">
        <f>IFERROR(R15+R16+R17+R18+R19+R20+R21+R22+R23+R24+R25+R26, "NA")</f>
        <v>5826.46</v>
      </c>
      <c r="S27" s="14">
        <f>IFERROR(R27/R148, "NA")</f>
        <v>0.2076315127395004</v>
      </c>
      <c r="T27" s="13">
        <f>IFERROR(T15+T16+T17+T18+T19+T20+T21+T22+T23+T24+T25+T26, "NA")</f>
        <v>5308.62</v>
      </c>
      <c r="U27" s="14">
        <f>IFERROR(T27/T148, "NA")</f>
        <v>0.20621990387887432</v>
      </c>
      <c r="V27" s="13">
        <f>IFERROR(V15+V16+V17+V18+V19+V20+V21+V22+V23+V24+V25+V26, "NA")</f>
        <v>4697.1900000000005</v>
      </c>
      <c r="W27" s="14">
        <f>IFERROR(V27/V148, "NA")</f>
        <v>0.22791625908328678</v>
      </c>
      <c r="X27" s="13">
        <f>IFERROR(X15+X16+X17+X18+X19+X20+X21+X22+X23+X24+X25+X26, "NA")</f>
        <v>5477.15</v>
      </c>
      <c r="Y27" s="14">
        <f>IFERROR(X27/X148, "NA")</f>
        <v>0.22335757969716036</v>
      </c>
      <c r="Z27" s="13">
        <f>IFERROR(Z15+Z16+Z17+Z18+Z19+Z20+Z21+Z22+Z23+Z24+Z25+Z26, "NA")</f>
        <v>21309.420000000002</v>
      </c>
      <c r="AA27" s="14">
        <f>IFERROR(Z27/Z148, "NA")</f>
        <v>0.21538758236070207</v>
      </c>
      <c r="AB27" s="13">
        <f t="shared" si="0"/>
        <v>5327.3549999999996</v>
      </c>
      <c r="AC27" s="14">
        <f>IFERROR(AB27/AB148, "NA")</f>
        <v>0.21538758236070205</v>
      </c>
      <c r="AD27" s="15">
        <f t="shared" si="1"/>
        <v>149.79500000000007</v>
      </c>
      <c r="AE27" s="16">
        <f>IFERROR(AD27/AD148, "NA")</f>
        <v>-0.70685526207132676</v>
      </c>
      <c r="AF27" s="15">
        <f t="shared" si="2"/>
        <v>2.8118081111545991E-2</v>
      </c>
      <c r="AG27" s="13">
        <f t="shared" si="3"/>
        <v>5654.2475000000004</v>
      </c>
      <c r="AH27" s="14">
        <f>IFERROR(AG27/AG148, "NA")</f>
        <v>0.22140007884144777</v>
      </c>
      <c r="AI27" s="15">
        <f t="shared" si="4"/>
        <v>-177.09750000000076</v>
      </c>
      <c r="AJ27" s="16">
        <f>IFERROR(AI27/AI148, "NA")</f>
        <v>0.17418726624914374</v>
      </c>
      <c r="AK27" s="15">
        <f t="shared" si="5"/>
        <v>-3.1321143971854919E-2</v>
      </c>
      <c r="AL27" s="16">
        <f>IFERROR(AK27/AK148, "NA")</f>
        <v>0.78675340659605286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472.94</v>
      </c>
      <c r="C30" s="8">
        <f>IFERROR(B30/B148, "NA")</f>
        <v>1.7376690676241105E-2</v>
      </c>
      <c r="D30" s="7">
        <v>319.44</v>
      </c>
      <c r="E30" s="8">
        <f>IFERROR(D30/D148, "NA")</f>
        <v>7.7414739335964558E-3</v>
      </c>
      <c r="F30" s="7">
        <v>405.43</v>
      </c>
      <c r="G30" s="8">
        <f>IFERROR(F30/F148, "NA")</f>
        <v>1.2659227813019494E-2</v>
      </c>
      <c r="H30" s="7">
        <v>314.38</v>
      </c>
      <c r="I30" s="8">
        <f>IFERROR(H30/H148, "NA")</f>
        <v>1.089336093345133E-2</v>
      </c>
      <c r="J30" s="7">
        <v>422.15</v>
      </c>
      <c r="K30" s="8">
        <f>IFERROR(J30/J148, "NA")</f>
        <v>1.6312447810020555E-2</v>
      </c>
      <c r="L30" s="7">
        <v>333.37</v>
      </c>
      <c r="M30" s="8">
        <f>IFERROR(L30/L148, "NA")</f>
        <v>1.2973246012235798E-2</v>
      </c>
      <c r="N30" s="7">
        <v>228.5</v>
      </c>
      <c r="O30" s="8">
        <f>IFERROR(N30/N148, "NA")</f>
        <v>9.0803277183659856E-3</v>
      </c>
      <c r="P30" s="7">
        <v>313.14999999999998</v>
      </c>
      <c r="Q30" s="8">
        <f>IFERROR(P30/P148, "NA")</f>
        <v>1.0936482835501886E-2</v>
      </c>
      <c r="R30" s="7">
        <v>295.60000000000002</v>
      </c>
      <c r="S30" s="8">
        <f>IFERROR(R30/R148, "NA")</f>
        <v>1.0533990650548759E-2</v>
      </c>
      <c r="T30" s="7">
        <v>254.86</v>
      </c>
      <c r="U30" s="8">
        <f>IFERROR(T30/T148, "NA")</f>
        <v>9.9003516361257562E-3</v>
      </c>
      <c r="V30" s="7">
        <v>340.59</v>
      </c>
      <c r="W30" s="8">
        <f>IFERROR(V30/V148, "NA")</f>
        <v>1.6526050400596237E-2</v>
      </c>
      <c r="X30" s="7">
        <v>255.24</v>
      </c>
      <c r="Y30" s="8">
        <f>IFERROR(X30/X148, "NA")</f>
        <v>1.0408659365163126E-2</v>
      </c>
      <c r="Z30" s="7">
        <v>1146.29</v>
      </c>
      <c r="AA30" s="8">
        <f>IFERROR(Z30/Z148, "NA")</f>
        <v>1.1586267096159781E-2</v>
      </c>
      <c r="AB30" s="9">
        <f t="shared" si="6"/>
        <v>286.57249999999999</v>
      </c>
      <c r="AC30" s="8">
        <f>IFERROR(AB30/AB148, "NA")</f>
        <v>1.1586267096159781E-2</v>
      </c>
      <c r="AD30" s="10">
        <f t="shared" si="7"/>
        <v>-31.332499999999982</v>
      </c>
      <c r="AE30" s="11">
        <f>IFERROR(AD30/AD148, "NA")</f>
        <v>0.14785234820154092</v>
      </c>
      <c r="AF30" s="10">
        <f t="shared" si="8"/>
        <v>-0.1093353339905259</v>
      </c>
      <c r="AG30" s="9">
        <f t="shared" si="9"/>
        <v>305.4325</v>
      </c>
      <c r="AH30" s="8">
        <f>IFERROR(AG30/AG148, "NA")</f>
        <v>1.195964265461328E-2</v>
      </c>
      <c r="AI30" s="10">
        <f t="shared" si="10"/>
        <v>-50.192499999999995</v>
      </c>
      <c r="AJ30" s="11">
        <f>IFERROR(AI30/AI148, "NA")</f>
        <v>4.9367689330510646E-2</v>
      </c>
      <c r="AK30" s="10">
        <f t="shared" si="11"/>
        <v>-0.16433254483396492</v>
      </c>
      <c r="AL30" s="11">
        <f>IFERROR(AK30/AK148, "NA")</f>
        <v>4.1278565552682034</v>
      </c>
    </row>
    <row r="31" spans="1:38" ht="16.5" customHeight="1">
      <c r="A31" s="25" t="s">
        <v>46</v>
      </c>
      <c r="B31" s="7">
        <v>21.92</v>
      </c>
      <c r="C31" s="8">
        <f>IFERROR(B31/B148, "NA")</f>
        <v>8.0538135836090213E-4</v>
      </c>
      <c r="D31" s="7">
        <v>19.48</v>
      </c>
      <c r="E31" s="8">
        <f>IFERROR(D31/D148, "NA")</f>
        <v>4.720883803733376E-4</v>
      </c>
      <c r="F31" s="7">
        <v>29.22</v>
      </c>
      <c r="G31" s="8">
        <f>IFERROR(F31/F148, "NA")</f>
        <v>9.1237115333455733E-4</v>
      </c>
      <c r="H31" s="7">
        <v>-4.87</v>
      </c>
      <c r="I31" s="8">
        <f>IFERROR(H31/H148, "NA")</f>
        <v>-1.6874695510499387E-4</v>
      </c>
      <c r="J31" s="7">
        <v>7.31</v>
      </c>
      <c r="K31" s="8">
        <f>IFERROR(J31/J148, "NA")</f>
        <v>2.8246830153085456E-4</v>
      </c>
      <c r="L31" s="7">
        <v>24.35</v>
      </c>
      <c r="M31" s="8">
        <f>IFERROR(L31/L148, "NA")</f>
        <v>9.475913861413496E-4</v>
      </c>
      <c r="N31" s="7">
        <v>12.18</v>
      </c>
      <c r="O31" s="8">
        <f>IFERROR(N31/N148, "NA")</f>
        <v>4.8401921929845822E-4</v>
      </c>
      <c r="P31" s="7">
        <v>14.61</v>
      </c>
      <c r="Q31" s="8">
        <f>IFERROR(P31/P148, "NA")</f>
        <v>5.1024114394597659E-4</v>
      </c>
      <c r="R31" s="7">
        <v>-4.87</v>
      </c>
      <c r="S31" s="8">
        <f>IFERROR(R31/R148, "NA")</f>
        <v>-1.7354713960816121E-4</v>
      </c>
      <c r="T31" s="7">
        <v>17.05</v>
      </c>
      <c r="U31" s="8">
        <f>IFERROR(T31/T148, "NA")</f>
        <v>6.6232831906122634E-4</v>
      </c>
      <c r="V31" s="7">
        <v>12.18</v>
      </c>
      <c r="W31" s="8">
        <f>IFERROR(V31/V148, "NA")</f>
        <v>5.9099590087572198E-4</v>
      </c>
      <c r="X31" s="7">
        <v>14.61</v>
      </c>
      <c r="Y31" s="8">
        <f>IFERROR(X31/X148, "NA")</f>
        <v>5.9579420672713234E-4</v>
      </c>
      <c r="Z31" s="7">
        <v>38.97</v>
      </c>
      <c r="AA31" s="8">
        <f>IFERROR(Z31/Z148, "NA")</f>
        <v>3.9389406584489669E-4</v>
      </c>
      <c r="AB31" s="9">
        <f t="shared" si="6"/>
        <v>9.7424999999999997</v>
      </c>
      <c r="AC31" s="8">
        <f>IFERROR(AB31/AB148, "NA")</f>
        <v>3.9389406584489669E-4</v>
      </c>
      <c r="AD31" s="10">
        <f t="shared" si="7"/>
        <v>4.8674999999999997</v>
      </c>
      <c r="AE31" s="11">
        <f>IFERROR(AD31/AD148, "NA")</f>
        <v>-2.2968844007691717E-2</v>
      </c>
      <c r="AF31" s="10">
        <f t="shared" si="8"/>
        <v>0.49961508852963815</v>
      </c>
      <c r="AG31" s="9">
        <f t="shared" si="9"/>
        <v>12.1775</v>
      </c>
      <c r="AH31" s="8">
        <f>IFERROR(AG31/AG148, "NA")</f>
        <v>4.7682728074632921E-4</v>
      </c>
      <c r="AI31" s="10">
        <f t="shared" si="10"/>
        <v>2.4324999999999992</v>
      </c>
      <c r="AJ31" s="11">
        <f>IFERROR(AI31/AI148, "NA")</f>
        <v>-2.3925268575278602E-3</v>
      </c>
      <c r="AK31" s="10">
        <f t="shared" si="11"/>
        <v>0.19975364401560247</v>
      </c>
      <c r="AL31" s="11">
        <f>IFERROR(AK31/AK148, "NA")</f>
        <v>-5.0175964214612074</v>
      </c>
    </row>
    <row r="32" spans="1:38" ht="16.5" customHeight="1">
      <c r="A32" s="25" t="s">
        <v>47</v>
      </c>
      <c r="B32" s="7">
        <v>1.99</v>
      </c>
      <c r="C32" s="8">
        <f>IFERROR(B32/B148, "NA")</f>
        <v>7.3116282077472406E-5</v>
      </c>
      <c r="D32" s="7">
        <v>-1.99</v>
      </c>
      <c r="E32" s="8">
        <f>IFERROR(D32/D148, "NA")</f>
        <v>-4.8226687728077092E-5</v>
      </c>
      <c r="F32" s="7">
        <v>-29.9</v>
      </c>
      <c r="G32" s="8">
        <f>IFERROR(F32/F148, "NA")</f>
        <v>-9.3360361001722323E-4</v>
      </c>
      <c r="H32" s="7">
        <v>26.9</v>
      </c>
      <c r="I32" s="8">
        <f>IFERROR(H32/H148, "NA")</f>
        <v>9.3209303743826185E-4</v>
      </c>
      <c r="J32" s="7">
        <v>0</v>
      </c>
      <c r="K32" s="8">
        <f>IFERROR(J32/J148, "NA")</f>
        <v>0</v>
      </c>
      <c r="L32" s="7">
        <v>-26.9</v>
      </c>
      <c r="M32" s="8">
        <f>IFERROR(L32/L148, "NA")</f>
        <v>-1.0468258023491705E-3</v>
      </c>
      <c r="N32" s="7">
        <v>26.9</v>
      </c>
      <c r="O32" s="8">
        <f>IFERROR(N32/N148, "NA")</f>
        <v>1.0689751230811599E-3</v>
      </c>
      <c r="P32" s="7">
        <v>3</v>
      </c>
      <c r="Q32" s="8">
        <f>IFERROR(P32/P148, "NA")</f>
        <v>1.0477230881847568E-4</v>
      </c>
      <c r="R32" s="7">
        <v>-29.9</v>
      </c>
      <c r="S32" s="8">
        <f>IFERROR(R32/R148, "NA")</f>
        <v>-1.0655152924607843E-3</v>
      </c>
      <c r="T32" s="7">
        <v>1.99</v>
      </c>
      <c r="U32" s="8">
        <f>IFERROR(T32/T148, "NA")</f>
        <v>7.7304009086911457E-5</v>
      </c>
      <c r="V32" s="7">
        <v>27.91</v>
      </c>
      <c r="W32" s="8">
        <f>IFERROR(V32/V148, "NA")</f>
        <v>1.3542443015961741E-3</v>
      </c>
      <c r="X32" s="7">
        <v>0</v>
      </c>
      <c r="Y32" s="8">
        <f>IFERROR(X32/X148, "NA")</f>
        <v>0</v>
      </c>
      <c r="Z32" s="7">
        <v>0</v>
      </c>
      <c r="AA32" s="8">
        <f>IFERROR(Z32/Z148, "NA")</f>
        <v>0</v>
      </c>
      <c r="AB32" s="9">
        <f t="shared" si="6"/>
        <v>0</v>
      </c>
      <c r="AC32" s="8">
        <f>IFERROR(AB32/AB148, "NA")</f>
        <v>0</v>
      </c>
      <c r="AD32" s="10">
        <f t="shared" si="7"/>
        <v>0</v>
      </c>
      <c r="AE32" s="11">
        <f>IFERROR(AD32/AD148, "NA")</f>
        <v>0</v>
      </c>
      <c r="AF32" s="10" t="str">
        <f t="shared" si="8"/>
        <v>NA</v>
      </c>
      <c r="AG32" s="9">
        <f t="shared" si="9"/>
        <v>0.375</v>
      </c>
      <c r="AH32" s="8">
        <f>IFERROR(AG32/AG148, "NA")</f>
        <v>1.4683656766977906E-5</v>
      </c>
      <c r="AI32" s="10">
        <f t="shared" si="10"/>
        <v>-0.375</v>
      </c>
      <c r="AJ32" s="11">
        <f>IFERROR(AI32/AI148, "NA")</f>
        <v>3.6883764504540506E-4</v>
      </c>
      <c r="AK32" s="10">
        <f t="shared" si="11"/>
        <v>-1</v>
      </c>
      <c r="AL32" s="11">
        <f>IFERROR(AK32/AK148, "NA")</f>
        <v>25.118923092433246</v>
      </c>
    </row>
    <row r="33" spans="1:38" ht="16.5" customHeight="1">
      <c r="A33" s="25" t="s">
        <v>48</v>
      </c>
      <c r="B33" s="7">
        <v>21.03</v>
      </c>
      <c r="C33" s="8">
        <f>IFERROR(B33/B148, "NA")</f>
        <v>7.7268111160263555E-4</v>
      </c>
      <c r="D33" s="7">
        <v>-14.7</v>
      </c>
      <c r="E33" s="8">
        <f>IFERROR(D33/D148, "NA")</f>
        <v>-3.5624739176016746E-4</v>
      </c>
      <c r="F33" s="7">
        <v>14.7</v>
      </c>
      <c r="G33" s="8">
        <f>IFERROR(F33/F148, "NA")</f>
        <v>4.5899575475763152E-4</v>
      </c>
      <c r="H33" s="7">
        <v>0</v>
      </c>
      <c r="I33" s="8">
        <f>IFERROR(H33/H148, "NA")</f>
        <v>0</v>
      </c>
      <c r="J33" s="7">
        <v>0</v>
      </c>
      <c r="K33" s="8">
        <f>IFERROR(J33/J148, "NA")</f>
        <v>0</v>
      </c>
      <c r="L33" s="7">
        <v>7.35</v>
      </c>
      <c r="M33" s="8">
        <f>IFERROR(L33/L148, "NA")</f>
        <v>2.8602861142254288E-4</v>
      </c>
      <c r="N33" s="7">
        <v>-7.01</v>
      </c>
      <c r="O33" s="8">
        <f>IFERROR(N33/N148, "NA")</f>
        <v>-2.7856935363564794E-4</v>
      </c>
      <c r="P33" s="7">
        <v>7.01</v>
      </c>
      <c r="Q33" s="8">
        <f>IFERROR(P33/P148, "NA")</f>
        <v>2.4481796160583818E-4</v>
      </c>
      <c r="R33" s="7">
        <v>0</v>
      </c>
      <c r="S33" s="8">
        <f>IFERROR(R33/R148, "NA")</f>
        <v>0</v>
      </c>
      <c r="T33" s="7">
        <v>0</v>
      </c>
      <c r="U33" s="8">
        <f>IFERROR(T33/T148, "NA")</f>
        <v>0</v>
      </c>
      <c r="V33" s="7">
        <v>0</v>
      </c>
      <c r="W33" s="8">
        <f>IFERROR(V33/V148, "NA")</f>
        <v>0</v>
      </c>
      <c r="X33" s="7">
        <v>0</v>
      </c>
      <c r="Y33" s="8">
        <f>IFERROR(X33/X148, "NA")</f>
        <v>0</v>
      </c>
      <c r="Z33" s="7">
        <v>0</v>
      </c>
      <c r="AA33" s="8">
        <f>IFERROR(Z33/Z148, "NA")</f>
        <v>0</v>
      </c>
      <c r="AB33" s="9">
        <f t="shared" si="6"/>
        <v>0</v>
      </c>
      <c r="AC33" s="8">
        <f>IFERROR(AB33/AB148, "NA")</f>
        <v>0</v>
      </c>
      <c r="AD33" s="10">
        <f t="shared" si="7"/>
        <v>0</v>
      </c>
      <c r="AE33" s="11">
        <f>IFERROR(AD33/AD148, "NA")</f>
        <v>0</v>
      </c>
      <c r="AF33" s="10" t="str">
        <f t="shared" si="8"/>
        <v>NA</v>
      </c>
      <c r="AG33" s="9">
        <f t="shared" si="9"/>
        <v>0.91874999999999996</v>
      </c>
      <c r="AH33" s="8">
        <f>IFERROR(AG33/AG148, "NA")</f>
        <v>3.597495907909587E-5</v>
      </c>
      <c r="AI33" s="10">
        <f t="shared" si="10"/>
        <v>-0.91874999999999996</v>
      </c>
      <c r="AJ33" s="11">
        <f>IFERROR(AI33/AI148, "NA")</f>
        <v>9.0365223036124236E-4</v>
      </c>
      <c r="AK33" s="10">
        <f t="shared" si="11"/>
        <v>-1</v>
      </c>
      <c r="AL33" s="11">
        <f>IFERROR(AK33/AK148, "NA")</f>
        <v>25.118923092433246</v>
      </c>
    </row>
    <row r="34" spans="1:38" ht="16.5" customHeight="1">
      <c r="A34" s="26" t="s">
        <v>49</v>
      </c>
      <c r="B34" s="13">
        <f>IFERROR(B29+B30+B31+B32+B33, "NA")</f>
        <v>517.88</v>
      </c>
      <c r="C34" s="14">
        <f>IFERROR(B34/B148, "NA")</f>
        <v>1.9027869428282114E-2</v>
      </c>
      <c r="D34" s="13">
        <f>IFERROR(D29+D30+D31+D32+D33, "NA")</f>
        <v>322.23</v>
      </c>
      <c r="E34" s="14">
        <f>IFERROR(D34/D148, "NA")</f>
        <v>7.8090882344815492E-3</v>
      </c>
      <c r="F34" s="13">
        <f>IFERROR(F29+F30+F31+F32+F33, "NA")</f>
        <v>419.45</v>
      </c>
      <c r="G34" s="14">
        <f>IFERROR(F34/F148, "NA")</f>
        <v>1.3096991111094459E-2</v>
      </c>
      <c r="H34" s="13">
        <f>IFERROR(H29+H30+H31+H32+H33, "NA")</f>
        <v>336.40999999999997</v>
      </c>
      <c r="I34" s="14">
        <f>IFERROR(H34/H148, "NA")</f>
        <v>1.1656707015784596E-2</v>
      </c>
      <c r="J34" s="13">
        <f>IFERROR(J29+J30+J31+J32+J33, "NA")</f>
        <v>429.46</v>
      </c>
      <c r="K34" s="14">
        <f>IFERROR(J34/J148, "NA")</f>
        <v>1.6594916111551408E-2</v>
      </c>
      <c r="L34" s="13">
        <f>IFERROR(L29+L30+L31+L32+L33, "NA")</f>
        <v>338.17000000000007</v>
      </c>
      <c r="M34" s="14">
        <f>IFERROR(L34/L148, "NA")</f>
        <v>1.3160040207450523E-2</v>
      </c>
      <c r="N34" s="13">
        <f>IFERROR(N29+N30+N31+N32+N33, "NA")</f>
        <v>260.57</v>
      </c>
      <c r="O34" s="14">
        <f>IFERROR(N34/N148, "NA")</f>
        <v>1.0354752707109956E-2</v>
      </c>
      <c r="P34" s="13">
        <f>IFERROR(P29+P30+P31+P32+P33, "NA")</f>
        <v>337.77</v>
      </c>
      <c r="Q34" s="14">
        <f>IFERROR(P34/P148, "NA")</f>
        <v>1.1796314249872177E-2</v>
      </c>
      <c r="R34" s="13">
        <f>IFERROR(R29+R30+R31+R32+R33, "NA")</f>
        <v>260.83000000000004</v>
      </c>
      <c r="S34" s="14">
        <f>IFERROR(R34/R148, "NA")</f>
        <v>9.2949282184798133E-3</v>
      </c>
      <c r="T34" s="13">
        <f>IFERROR(T29+T30+T31+T32+T33, "NA")</f>
        <v>273.90000000000003</v>
      </c>
      <c r="U34" s="14">
        <f>IFERROR(T34/T148, "NA")</f>
        <v>1.0639983964273896E-2</v>
      </c>
      <c r="V34" s="13">
        <f>IFERROR(V29+V30+V31+V32+V33, "NA")</f>
        <v>380.68</v>
      </c>
      <c r="W34" s="14">
        <f>IFERROR(V34/V148, "NA")</f>
        <v>1.8471290603068135E-2</v>
      </c>
      <c r="X34" s="13">
        <f>IFERROR(X29+X30+X31+X32+X33, "NA")</f>
        <v>269.85000000000002</v>
      </c>
      <c r="Y34" s="14">
        <f>IFERROR(X34/X148, "NA")</f>
        <v>1.100445357189026E-2</v>
      </c>
      <c r="Z34" s="13">
        <f>IFERROR(Z29+Z30+Z31+Z32+Z33, "NA")</f>
        <v>1185.26</v>
      </c>
      <c r="AA34" s="14">
        <f>IFERROR(Z34/Z148, "NA")</f>
        <v>1.1980161162004678E-2</v>
      </c>
      <c r="AB34" s="13">
        <f t="shared" si="6"/>
        <v>296.31500000000005</v>
      </c>
      <c r="AC34" s="14">
        <f>IFERROR(AB34/AB148, "NA")</f>
        <v>1.198016116200468E-2</v>
      </c>
      <c r="AD34" s="15">
        <f t="shared" si="7"/>
        <v>-26.465000000000032</v>
      </c>
      <c r="AE34" s="16">
        <f>IFERROR(AD34/AD148, "NA")</f>
        <v>0.12488350419384943</v>
      </c>
      <c r="AF34" s="15">
        <f t="shared" si="8"/>
        <v>-8.9313737070347524E-2</v>
      </c>
      <c r="AG34" s="13">
        <f t="shared" si="9"/>
        <v>318.90375</v>
      </c>
      <c r="AH34" s="14">
        <f>IFERROR(AG34/AG148, "NA")</f>
        <v>1.2487128551205682E-2</v>
      </c>
      <c r="AI34" s="15">
        <f t="shared" si="10"/>
        <v>-49.05374999999998</v>
      </c>
      <c r="AJ34" s="16">
        <f>IFERROR(AI34/AI148, "NA")</f>
        <v>4.8247652348389417E-2</v>
      </c>
      <c r="AK34" s="15">
        <f t="shared" si="11"/>
        <v>-0.15381992215519566</v>
      </c>
      <c r="AL34" s="16">
        <f>IFERROR(AK34/AK148, "NA")</f>
        <v>3.8637907947004289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6441.0599999999995</v>
      </c>
      <c r="C35" s="14">
        <f>IFERROR(B35/B148, "NA")</f>
        <v>0.23665646223011275</v>
      </c>
      <c r="D35" s="13">
        <f>IFERROR(D13+D15+D16+D17+D18+D19+D20+D21+D22+D23+D24+D25+D26+D29+D30+D31+D32+D33, "NA")</f>
        <v>8223.9</v>
      </c>
      <c r="E35" s="14">
        <f>IFERROR(D35/D148, "NA")</f>
        <v>0.19930223980247899</v>
      </c>
      <c r="F35" s="13">
        <f>IFERROR(F13+F15+F16+F17+F18+F19+F20+F21+F22+F23+F24+F25+F26+F29+F30+F31+F32+F33, "NA")</f>
        <v>7249.9700000000012</v>
      </c>
      <c r="G35" s="14">
        <f>IFERROR(F35/F148, "NA")</f>
        <v>0.22637452055239363</v>
      </c>
      <c r="H35" s="13">
        <f>IFERROR(H13+H15+H16+H17+H18+H19+H20+H21+H22+H23+H24+H25+H26+H29+H30+H31+H32+H33, "NA")</f>
        <v>5813.0499999999993</v>
      </c>
      <c r="I35" s="14">
        <f>IFERROR(H35/H148, "NA")</f>
        <v>0.20142391937845677</v>
      </c>
      <c r="J35" s="13">
        <f>IFERROR(J13+J15+J16+J17+J18+J19+J20+J21+J22+J23+J24+J25+J26+J29+J30+J31+J32+J33, "NA")</f>
        <v>6911.3200000000006</v>
      </c>
      <c r="K35" s="14">
        <f>IFERROR(J35/J148, "NA")</f>
        <v>0.2670627663113852</v>
      </c>
      <c r="L35" s="13">
        <f>IFERROR(L13+L15+L16+L17+L18+L19+L20+L21+L22+L23+L24+L25+L26+L29+L30+L31+L32+L33, "NA")</f>
        <v>5984.9300000000012</v>
      </c>
      <c r="M35" s="14">
        <f>IFERROR(L35/L148, "NA")</f>
        <v>0.23290628807634284</v>
      </c>
      <c r="N35" s="13">
        <f>IFERROR(N13+N15+N16+N17+N18+N19+N20+N21+N22+N23+N24+N25+N26+N29+N30+N31+N32+N33, "NA")</f>
        <v>5681.619999999999</v>
      </c>
      <c r="O35" s="14">
        <f>IFERROR(N35/N148, "NA")</f>
        <v>0.22578105720447503</v>
      </c>
      <c r="P35" s="13">
        <f>IFERROR(P13+P15+P16+P17+P18+P19+P20+P21+P22+P23+P24+P25+P26+P29+P30+P31+P32+P33, "NA")</f>
        <v>6712.6599999999989</v>
      </c>
      <c r="Q35" s="14">
        <f>IFERROR(P35/P148, "NA")</f>
        <v>0.23443362883780963</v>
      </c>
      <c r="R35" s="13">
        <f>IFERROR(R13+R15+R16+R17+R18+R19+R20+R21+R22+R23+R24+R25+R26+R29+R30+R31+R32+R33, "NA")</f>
        <v>6087.2900000000009</v>
      </c>
      <c r="S35" s="14">
        <f>IFERROR(R35/R148, "NA")</f>
        <v>0.21692644095798025</v>
      </c>
      <c r="T35" s="13">
        <f>IFERROR(T13+T15+T16+T17+T18+T19+T20+T21+T22+T23+T24+T25+T26+T29+T30+T31+T32+T33, "NA")</f>
        <v>5582.5199999999995</v>
      </c>
      <c r="U35" s="14">
        <f>IFERROR(T35/T148, "NA")</f>
        <v>0.21685988784314819</v>
      </c>
      <c r="V35" s="13">
        <f>IFERROR(V13+V15+V16+V17+V18+V19+V20+V21+V22+V23+V24+V25+V26+V29+V30+V31+V32+V33, "NA")</f>
        <v>5077.8700000000008</v>
      </c>
      <c r="W35" s="14">
        <f>IFERROR(V35/V148, "NA")</f>
        <v>0.24638754968635493</v>
      </c>
      <c r="X35" s="13">
        <f>IFERROR(X13+X15+X16+X17+X18+X19+X20+X21+X22+X23+X24+X25+X26+X29+X30+X31+X32+X33, "NA")</f>
        <v>5746.9999999999991</v>
      </c>
      <c r="Y35" s="14">
        <f>IFERROR(X35/X148, "NA")</f>
        <v>0.23436203326905061</v>
      </c>
      <c r="Z35" s="13">
        <f>IFERROR(Z13+Z15+Z16+Z17+Z18+Z19+Z20+Z21+Z22+Z23+Z24+Z25+Z26+Z29+Z30+Z31+Z32+Z33, "NA")</f>
        <v>22494.680000000004</v>
      </c>
      <c r="AA35" s="14">
        <f>IFERROR(Z35/Z148, "NA")</f>
        <v>0.22736774352270678</v>
      </c>
      <c r="AB35" s="13">
        <f t="shared" si="6"/>
        <v>5623.67</v>
      </c>
      <c r="AC35" s="14">
        <f>IFERROR(AB35/AB148, "NA")</f>
        <v>0.22736774352270675</v>
      </c>
      <c r="AD35" s="15">
        <f t="shared" si="7"/>
        <v>123.32999999999902</v>
      </c>
      <c r="AE35" s="16">
        <f>IFERROR(AD35/AD148, "NA")</f>
        <v>-0.58197175787747246</v>
      </c>
      <c r="AF35" s="15">
        <f t="shared" si="8"/>
        <v>2.1930518682639455E-2</v>
      </c>
      <c r="AG35" s="13">
        <f t="shared" si="9"/>
        <v>5973.1512500000008</v>
      </c>
      <c r="AH35" s="14">
        <f>IFERROR(AG35/AG148, "NA")</f>
        <v>0.23388720739265348</v>
      </c>
      <c r="AI35" s="15">
        <f t="shared" si="10"/>
        <v>-226.15125000000171</v>
      </c>
      <c r="AJ35" s="16">
        <f>IFERROR(AI35/AI148, "NA")</f>
        <v>0.22243491859753411</v>
      </c>
      <c r="AK35" s="15">
        <f t="shared" si="11"/>
        <v>-3.7861296413681418E-2</v>
      </c>
      <c r="AL35" s="16">
        <f>IFERROR(AK35/AK148, "NA")</f>
        <v>0.9510349927950823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688.11</v>
      </c>
      <c r="C40" s="8">
        <f>IFERROR(B40/B148, "NA")</f>
        <v>2.5282434603180672E-2</v>
      </c>
      <c r="D40" s="7">
        <v>1006.73</v>
      </c>
      <c r="E40" s="8">
        <f>IFERROR(D40/D148, "NA")</f>
        <v>2.4397614741953292E-2</v>
      </c>
      <c r="F40" s="7">
        <v>854.98</v>
      </c>
      <c r="G40" s="8">
        <f>IFERROR(F40/F148, "NA")</f>
        <v>2.6696067374331958E-2</v>
      </c>
      <c r="H40" s="7">
        <v>814.85</v>
      </c>
      <c r="I40" s="8">
        <f>IFERROR(H40/H148, "NA")</f>
        <v>2.8234795968645639E-2</v>
      </c>
      <c r="J40" s="7">
        <v>538.86</v>
      </c>
      <c r="K40" s="8">
        <f>IFERROR(J40/J148, "NA")</f>
        <v>2.0822280295884583E-2</v>
      </c>
      <c r="L40" s="7">
        <v>1029.03</v>
      </c>
      <c r="M40" s="8">
        <f>IFERROR(L40/L148, "NA")</f>
        <v>4.0045173062876097E-2</v>
      </c>
      <c r="N40" s="7">
        <v>636.66</v>
      </c>
      <c r="O40" s="8">
        <f>IFERROR(N40/N148, "NA")</f>
        <v>2.5300137615645025E-2</v>
      </c>
      <c r="P40" s="7">
        <v>845.14</v>
      </c>
      <c r="Q40" s="8">
        <f>IFERROR(P40/P148, "NA")</f>
        <v>2.9515756358282179E-2</v>
      </c>
      <c r="R40" s="7">
        <v>745.4</v>
      </c>
      <c r="S40" s="8">
        <f>IFERROR(R40/R148, "NA")</f>
        <v>2.6563046789306644E-2</v>
      </c>
      <c r="T40" s="7">
        <v>628.85</v>
      </c>
      <c r="U40" s="8">
        <f>IFERROR(T40/T148, "NA")</f>
        <v>2.4428455333821243E-2</v>
      </c>
      <c r="V40" s="7">
        <v>504.33</v>
      </c>
      <c r="W40" s="8">
        <f>IFERROR(V40/V148, "NA")</f>
        <v>2.4471014999068383E-2</v>
      </c>
      <c r="X40" s="7">
        <v>680.87</v>
      </c>
      <c r="Y40" s="8">
        <f>IFERROR(X40/X148, "NA")</f>
        <v>2.7765804348686012E-2</v>
      </c>
      <c r="Z40" s="7">
        <v>2559.4499999999998</v>
      </c>
      <c r="AA40" s="8">
        <f>IFERROR(Z40/Z148, "NA")</f>
        <v>2.5869955525448317E-2</v>
      </c>
      <c r="AB40" s="9">
        <f t="shared" si="12"/>
        <v>639.86249999999995</v>
      </c>
      <c r="AC40" s="8">
        <f>IFERROR(AB40/AB148, "NA")</f>
        <v>2.5869955525448317E-2</v>
      </c>
      <c r="AD40" s="10">
        <f t="shared" si="13"/>
        <v>41.00750000000005</v>
      </c>
      <c r="AE40" s="11">
        <f>IFERROR(AD40/AD148, "NA")</f>
        <v>-0.19350690716906407</v>
      </c>
      <c r="AF40" s="10">
        <f t="shared" si="14"/>
        <v>6.4087987653597536E-2</v>
      </c>
      <c r="AG40" s="9">
        <f t="shared" si="15"/>
        <v>701.14249999999993</v>
      </c>
      <c r="AH40" s="8">
        <f>IFERROR(AG40/AG148, "NA")</f>
        <v>2.7454228839308818E-2</v>
      </c>
      <c r="AI40" s="10">
        <f t="shared" si="16"/>
        <v>-20.272499999999923</v>
      </c>
      <c r="AJ40" s="11">
        <f>IFERROR(AI40/AI148, "NA")</f>
        <v>1.9939363091154523E-2</v>
      </c>
      <c r="AK40" s="10">
        <f t="shared" si="17"/>
        <v>-2.8913523285209391E-2</v>
      </c>
      <c r="AL40" s="11">
        <f>IFERROR(AK40/AK148, "NA")</f>
        <v>0.72627656773245253</v>
      </c>
    </row>
    <row r="41" spans="1:38" ht="16.5" customHeight="1">
      <c r="A41" s="25" t="s">
        <v>56</v>
      </c>
      <c r="B41" s="7">
        <v>137.46</v>
      </c>
      <c r="C41" s="8">
        <f>IFERROR(B41/B148, "NA")</f>
        <v>5.0505347408891241E-3</v>
      </c>
      <c r="D41" s="7">
        <v>560.49</v>
      </c>
      <c r="E41" s="8">
        <f>IFERROR(D41/D148, "NA")</f>
        <v>1.3583204122969815E-2</v>
      </c>
      <c r="F41" s="7">
        <v>429.82</v>
      </c>
      <c r="G41" s="8">
        <f>IFERROR(F41/F148, "NA")</f>
        <v>1.3420786075505115E-2</v>
      </c>
      <c r="H41" s="7">
        <v>261.86</v>
      </c>
      <c r="I41" s="8">
        <f>IFERROR(H41/H148, "NA")</f>
        <v>9.0735272410254007E-3</v>
      </c>
      <c r="J41" s="7">
        <v>341.4</v>
      </c>
      <c r="K41" s="8">
        <f>IFERROR(J41/J148, "NA")</f>
        <v>1.3192158432644834E-2</v>
      </c>
      <c r="L41" s="7">
        <v>102.98</v>
      </c>
      <c r="M41" s="8">
        <f>IFERROR(L41/L148, "NA")</f>
        <v>4.0075137965025123E-3</v>
      </c>
      <c r="N41" s="7">
        <v>240.27</v>
      </c>
      <c r="O41" s="8">
        <f>IFERROR(N41/N148, "NA")</f>
        <v>9.5480540082791918E-3</v>
      </c>
      <c r="P41" s="7">
        <v>298.58</v>
      </c>
      <c r="Q41" s="8">
        <f>IFERROR(P41/P148, "NA")</f>
        <v>1.0427638655673489E-2</v>
      </c>
      <c r="R41" s="7">
        <v>282.13</v>
      </c>
      <c r="S41" s="8">
        <f>IFERROR(R41/R148, "NA")</f>
        <v>1.0053974229497026E-2</v>
      </c>
      <c r="T41" s="7">
        <v>268.93</v>
      </c>
      <c r="U41" s="8">
        <f>IFERROR(T41/T148, "NA")</f>
        <v>1.0446918172735225E-2</v>
      </c>
      <c r="V41" s="7">
        <v>224.37</v>
      </c>
      <c r="W41" s="8">
        <f>IFERROR(V41/V148, "NA")</f>
        <v>1.0886843208496368E-2</v>
      </c>
      <c r="X41" s="7">
        <v>208.56</v>
      </c>
      <c r="Y41" s="8">
        <f>IFERROR(X41/X148, "NA")</f>
        <v>8.5050540557844445E-3</v>
      </c>
      <c r="Z41" s="7">
        <v>983.99</v>
      </c>
      <c r="AA41" s="8">
        <f>IFERROR(Z41/Z148, "NA")</f>
        <v>9.9457998935262998E-3</v>
      </c>
      <c r="AB41" s="9">
        <f t="shared" si="12"/>
        <v>245.9975</v>
      </c>
      <c r="AC41" s="8">
        <f>IFERROR(AB41/AB148, "NA")</f>
        <v>9.9457998935262998E-3</v>
      </c>
      <c r="AD41" s="10">
        <f t="shared" si="13"/>
        <v>-37.4375</v>
      </c>
      <c r="AE41" s="11">
        <f>IFERROR(AD41/AD148, "NA")</f>
        <v>0.17666072882135772</v>
      </c>
      <c r="AF41" s="10">
        <f t="shared" si="14"/>
        <v>-0.15218650596042643</v>
      </c>
      <c r="AG41" s="9">
        <f t="shared" si="15"/>
        <v>245.90250000000003</v>
      </c>
      <c r="AH41" s="8">
        <f>IFERROR(AG41/AG148, "NA")</f>
        <v>9.6286610883780932E-3</v>
      </c>
      <c r="AI41" s="10">
        <f t="shared" si="16"/>
        <v>-37.34250000000003</v>
      </c>
      <c r="AJ41" s="11">
        <f>IFERROR(AI41/AI148, "NA")</f>
        <v>3.6728852693621465E-2</v>
      </c>
      <c r="AK41" s="10">
        <f t="shared" si="17"/>
        <v>-0.15185896849361039</v>
      </c>
      <c r="AL41" s="11">
        <f>IFERROR(AK41/AK148, "NA")</f>
        <v>3.814533750487243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825.57</v>
      </c>
      <c r="C44" s="14">
        <f>IFERROR(B44/B148, "NA")</f>
        <v>3.0332969344069795E-2</v>
      </c>
      <c r="D44" s="13">
        <f>IFERROR(D39+D40+D41+D42+D43, "NA")</f>
        <v>1567.22</v>
      </c>
      <c r="E44" s="14">
        <f>IFERROR(D44/D148, "NA")</f>
        <v>3.7980818864923105E-2</v>
      </c>
      <c r="F44" s="13">
        <f>IFERROR(F39+F40+F41+F42+F43, "NA")</f>
        <v>1284.8</v>
      </c>
      <c r="G44" s="14">
        <f>IFERROR(F44/F148, "NA")</f>
        <v>4.0116853449837071E-2</v>
      </c>
      <c r="H44" s="13">
        <f>IFERROR(H39+H40+H41+H42+H43, "NA")</f>
        <v>1076.71</v>
      </c>
      <c r="I44" s="14">
        <f>IFERROR(H44/H148, "NA")</f>
        <v>3.7308323209671042E-2</v>
      </c>
      <c r="J44" s="13">
        <f>IFERROR(J39+J40+J41+J42+J43, "NA")</f>
        <v>880.26</v>
      </c>
      <c r="K44" s="14">
        <f>IFERROR(J44/J148, "NA")</f>
        <v>3.4014438728529418E-2</v>
      </c>
      <c r="L44" s="13">
        <f>IFERROR(L39+L40+L41+L42+L43, "NA")</f>
        <v>1132.01</v>
      </c>
      <c r="M44" s="14">
        <f>IFERROR(L44/L148, "NA")</f>
        <v>4.4052686859378604E-2</v>
      </c>
      <c r="N44" s="13">
        <f>IFERROR(N39+N40+N41+N42+N43, "NA")</f>
        <v>876.93</v>
      </c>
      <c r="O44" s="14">
        <f>IFERROR(N44/N148, "NA")</f>
        <v>3.4848191623924218E-2</v>
      </c>
      <c r="P44" s="13">
        <f>IFERROR(P39+P40+P41+P42+P43, "NA")</f>
        <v>1143.72</v>
      </c>
      <c r="Q44" s="14">
        <f>IFERROR(P44/P148, "NA")</f>
        <v>3.994339501395567E-2</v>
      </c>
      <c r="R44" s="13">
        <f>IFERROR(R39+R40+R41+R42+R43, "NA")</f>
        <v>1027.53</v>
      </c>
      <c r="S44" s="14">
        <f>IFERROR(R44/R148, "NA")</f>
        <v>3.6617021018803673E-2</v>
      </c>
      <c r="T44" s="13">
        <f>IFERROR(T39+T40+T41+T42+T43, "NA")</f>
        <v>897.78</v>
      </c>
      <c r="U44" s="14">
        <f>IFERROR(T44/T148, "NA")</f>
        <v>3.4875373506556465E-2</v>
      </c>
      <c r="V44" s="13">
        <f>IFERROR(V39+V40+V41+V42+V43, "NA")</f>
        <v>728.7</v>
      </c>
      <c r="W44" s="14">
        <f>IFERROR(V44/V148, "NA")</f>
        <v>3.5357858207564749E-2</v>
      </c>
      <c r="X44" s="13">
        <f>IFERROR(X39+X40+X41+X42+X43, "NA")</f>
        <v>889.43000000000006</v>
      </c>
      <c r="Y44" s="14">
        <f>IFERROR(X44/X148, "NA")</f>
        <v>3.627085840447046E-2</v>
      </c>
      <c r="Z44" s="13">
        <f>IFERROR(Z39+Z40+Z41+Z42+Z43, "NA")</f>
        <v>3543.4399999999996</v>
      </c>
      <c r="AA44" s="14">
        <f>IFERROR(Z44/Z148, "NA")</f>
        <v>3.5815755418974617E-2</v>
      </c>
      <c r="AB44" s="13">
        <f t="shared" si="12"/>
        <v>885.86000000000013</v>
      </c>
      <c r="AC44" s="14">
        <f>IFERROR(AB44/AB148, "NA")</f>
        <v>3.5815755418974624E-2</v>
      </c>
      <c r="AD44" s="15">
        <f t="shared" si="13"/>
        <v>3.5699999999999363</v>
      </c>
      <c r="AE44" s="16">
        <f>IFERROR(AD44/AD148, "NA")</f>
        <v>-1.6846178347705798E-2</v>
      </c>
      <c r="AF44" s="15">
        <f t="shared" si="14"/>
        <v>4.0299821642245225E-3</v>
      </c>
      <c r="AG44" s="13">
        <f t="shared" si="15"/>
        <v>947.04499999999996</v>
      </c>
      <c r="AH44" s="14">
        <f>IFERROR(AG44/AG148, "NA")</f>
        <v>3.7082889927686907E-2</v>
      </c>
      <c r="AI44" s="15">
        <f t="shared" si="16"/>
        <v>-57.614999999999895</v>
      </c>
      <c r="AJ44" s="16">
        <f>IFERROR(AI44/AI148, "NA")</f>
        <v>5.6668215784775933E-2</v>
      </c>
      <c r="AK44" s="15">
        <f t="shared" si="17"/>
        <v>-6.0836602273387115E-2</v>
      </c>
      <c r="AL44" s="16">
        <f>IFERROR(AK44/AK148, "NA")</f>
        <v>1.5281499337101605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46.84</v>
      </c>
      <c r="C47" s="8">
        <f>IFERROR(B47/B148, "NA")</f>
        <v>1.7209882675923655E-3</v>
      </c>
      <c r="D47" s="7">
        <v>118.01</v>
      </c>
      <c r="E47" s="8">
        <f>IFERROR(D47/D148, "NA")</f>
        <v>2.8599152858243106E-3</v>
      </c>
      <c r="F47" s="7">
        <v>111.85</v>
      </c>
      <c r="G47" s="8">
        <f>IFERROR(F47/F148, "NA")</f>
        <v>3.492426882288509E-3</v>
      </c>
      <c r="H47" s="7">
        <v>105.15</v>
      </c>
      <c r="I47" s="8">
        <f>IFERROR(H47/H148, "NA")</f>
        <v>3.6434789177187078E-3</v>
      </c>
      <c r="J47" s="7">
        <v>93.55</v>
      </c>
      <c r="K47" s="8">
        <f>IFERROR(J47/J148, "NA")</f>
        <v>3.6148987152136037E-3</v>
      </c>
      <c r="L47" s="7">
        <v>135.35</v>
      </c>
      <c r="M47" s="8">
        <f>IFERROR(L47/L148, "NA")</f>
        <v>5.2672071504817923E-3</v>
      </c>
      <c r="N47" s="7">
        <v>114.13</v>
      </c>
      <c r="O47" s="8">
        <f>IFERROR(N47/N148, "NA")</f>
        <v>4.535395196923895E-3</v>
      </c>
      <c r="P47" s="7">
        <v>113.14</v>
      </c>
      <c r="Q47" s="8">
        <f>IFERROR(P47/P148, "NA")</f>
        <v>3.9513130065741133E-3</v>
      </c>
      <c r="R47" s="7">
        <v>138.27000000000001</v>
      </c>
      <c r="S47" s="8">
        <f>IFERROR(R47/R148, "NA")</f>
        <v>4.9273845982793531E-3</v>
      </c>
      <c r="T47" s="7">
        <v>62.77</v>
      </c>
      <c r="U47" s="8">
        <f>IFERROR(T47/T148, "NA")</f>
        <v>2.4383782162740865E-3</v>
      </c>
      <c r="V47" s="7">
        <v>53.26</v>
      </c>
      <c r="W47" s="8">
        <f>IFERROR(V47/V148, "NA")</f>
        <v>2.5842727159803738E-3</v>
      </c>
      <c r="X47" s="7">
        <v>7.09</v>
      </c>
      <c r="Y47" s="8">
        <f>IFERROR(X47/X148, "NA")</f>
        <v>2.8912942681008684E-4</v>
      </c>
      <c r="Z47" s="7">
        <v>261.39</v>
      </c>
      <c r="AA47" s="8">
        <f>IFERROR(Z47/Z148, "NA")</f>
        <v>2.6420315594354003E-3</v>
      </c>
      <c r="AB47" s="9">
        <f t="shared" si="18"/>
        <v>65.347499999999997</v>
      </c>
      <c r="AC47" s="8">
        <f>IFERROR(AB47/AB148, "NA")</f>
        <v>2.6420315594354003E-3</v>
      </c>
      <c r="AD47" s="10">
        <f t="shared" si="19"/>
        <v>-58.257499999999993</v>
      </c>
      <c r="AE47" s="11">
        <f>IFERROR(AD47/AD148, "NA")</f>
        <v>0.27490650842898823</v>
      </c>
      <c r="AF47" s="10">
        <f t="shared" si="20"/>
        <v>-0.89150311794636361</v>
      </c>
      <c r="AG47" s="9">
        <f t="shared" si="21"/>
        <v>89.694999999999993</v>
      </c>
      <c r="AH47" s="8">
        <f>IFERROR(AG47/AG148, "NA")</f>
        <v>3.5121349165708887E-3</v>
      </c>
      <c r="AI47" s="10">
        <f t="shared" si="22"/>
        <v>-82.60499999999999</v>
      </c>
      <c r="AJ47" s="11">
        <f>IFERROR(AI47/AI148, "NA")</f>
        <v>8.1247556450601818E-2</v>
      </c>
      <c r="AK47" s="10">
        <f t="shared" si="23"/>
        <v>-0.92095434528123077</v>
      </c>
      <c r="AL47" s="11">
        <f>IFERROR(AK47/AK148, "NA")</f>
        <v>23.133381370761448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46.84</v>
      </c>
      <c r="C52" s="14">
        <f>IFERROR(B52/B148, "NA")</f>
        <v>1.7209882675923655E-3</v>
      </c>
      <c r="D52" s="13">
        <f>IFERROR(D46+D47+D48+D49+D50+D51, "NA")</f>
        <v>118.01</v>
      </c>
      <c r="E52" s="14">
        <f>IFERROR(D52/D148, "NA")</f>
        <v>2.8599152858243106E-3</v>
      </c>
      <c r="F52" s="13">
        <f>IFERROR(F46+F47+F48+F49+F50+F51, "NA")</f>
        <v>111.85</v>
      </c>
      <c r="G52" s="14">
        <f>IFERROR(F52/F148, "NA")</f>
        <v>3.492426882288509E-3</v>
      </c>
      <c r="H52" s="13">
        <f>IFERROR(H46+H47+H48+H49+H50+H51, "NA")</f>
        <v>105.15</v>
      </c>
      <c r="I52" s="14">
        <f>IFERROR(H52/H148, "NA")</f>
        <v>3.6434789177187078E-3</v>
      </c>
      <c r="J52" s="13">
        <f>IFERROR(J46+J47+J48+J49+J50+J51, "NA")</f>
        <v>93.55</v>
      </c>
      <c r="K52" s="14">
        <f>IFERROR(J52/J148, "NA")</f>
        <v>3.6148987152136037E-3</v>
      </c>
      <c r="L52" s="13">
        <f>IFERROR(L46+L47+L48+L49+L50+L51, "NA")</f>
        <v>135.35</v>
      </c>
      <c r="M52" s="14">
        <f>IFERROR(L52/L148, "NA")</f>
        <v>5.2672071504817923E-3</v>
      </c>
      <c r="N52" s="13">
        <f>IFERROR(N46+N47+N48+N49+N50+N51, "NA")</f>
        <v>114.13</v>
      </c>
      <c r="O52" s="14">
        <f>IFERROR(N52/N148, "NA")</f>
        <v>4.535395196923895E-3</v>
      </c>
      <c r="P52" s="13">
        <f>IFERROR(P46+P47+P48+P49+P50+P51, "NA")</f>
        <v>113.14</v>
      </c>
      <c r="Q52" s="14">
        <f>IFERROR(P52/P148, "NA")</f>
        <v>3.9513130065741133E-3</v>
      </c>
      <c r="R52" s="13">
        <f>IFERROR(R46+R47+R48+R49+R50+R51, "NA")</f>
        <v>138.27000000000001</v>
      </c>
      <c r="S52" s="14">
        <f>IFERROR(R52/R148, "NA")</f>
        <v>4.9273845982793531E-3</v>
      </c>
      <c r="T52" s="13">
        <f>IFERROR(T46+T47+T48+T49+T50+T51, "NA")</f>
        <v>62.77</v>
      </c>
      <c r="U52" s="14">
        <f>IFERROR(T52/T148, "NA")</f>
        <v>2.4383782162740865E-3</v>
      </c>
      <c r="V52" s="13">
        <f>IFERROR(V46+V47+V48+V49+V50+V51, "NA")</f>
        <v>53.26</v>
      </c>
      <c r="W52" s="14">
        <f>IFERROR(V52/V148, "NA")</f>
        <v>2.5842727159803738E-3</v>
      </c>
      <c r="X52" s="13">
        <f>IFERROR(X46+X47+X48+X49+X50+X51, "NA")</f>
        <v>7.09</v>
      </c>
      <c r="Y52" s="14">
        <f>IFERROR(X52/X148, "NA")</f>
        <v>2.8912942681008684E-4</v>
      </c>
      <c r="Z52" s="13">
        <f>IFERROR(Z46+Z47+Z48+Z49+Z50+Z51, "NA")</f>
        <v>261.39</v>
      </c>
      <c r="AA52" s="14">
        <f>IFERROR(Z52/Z148, "NA")</f>
        <v>2.6420315594354003E-3</v>
      </c>
      <c r="AB52" s="13">
        <f t="shared" si="18"/>
        <v>65.347499999999997</v>
      </c>
      <c r="AC52" s="14">
        <f>IFERROR(AB52/AB148, "NA")</f>
        <v>2.6420315594354003E-3</v>
      </c>
      <c r="AD52" s="15">
        <f t="shared" si="19"/>
        <v>-58.257499999999993</v>
      </c>
      <c r="AE52" s="16">
        <f>IFERROR(AD52/AD148, "NA")</f>
        <v>0.27490650842898823</v>
      </c>
      <c r="AF52" s="15">
        <f t="shared" si="20"/>
        <v>-0.89150311794636361</v>
      </c>
      <c r="AG52" s="13">
        <f t="shared" si="21"/>
        <v>89.694999999999993</v>
      </c>
      <c r="AH52" s="14">
        <f>IFERROR(AG52/AG148, "NA")</f>
        <v>3.5121349165708887E-3</v>
      </c>
      <c r="AI52" s="15">
        <f t="shared" si="22"/>
        <v>-82.60499999999999</v>
      </c>
      <c r="AJ52" s="16">
        <f>IFERROR(AI52/AI148, "NA")</f>
        <v>8.1247556450601818E-2</v>
      </c>
      <c r="AK52" s="15">
        <f t="shared" si="23"/>
        <v>-0.92095434528123077</v>
      </c>
      <c r="AL52" s="16">
        <f>IFERROR(AK52/AK148, "NA")</f>
        <v>23.133381370761448</v>
      </c>
    </row>
    <row r="53" spans="1:38" ht="16.5" customHeight="1">
      <c r="A53" s="23" t="s">
        <v>68</v>
      </c>
      <c r="B53" s="7">
        <v>32.729999999999997</v>
      </c>
      <c r="C53" s="8">
        <f>IFERROR(B53/B148, "NA")</f>
        <v>1.2025607599978247E-3</v>
      </c>
      <c r="D53" s="7">
        <v>97.09</v>
      </c>
      <c r="E53" s="8">
        <f>IFERROR(D53/D148, "NA")</f>
        <v>2.3529292017683444E-3</v>
      </c>
      <c r="F53" s="7">
        <v>28.93</v>
      </c>
      <c r="G53" s="8">
        <f>IFERROR(F53/F148, "NA")</f>
        <v>9.0331613504342038E-4</v>
      </c>
      <c r="H53" s="7">
        <v>36.39</v>
      </c>
      <c r="I53" s="8">
        <f>IFERROR(H53/H148, "NA")</f>
        <v>1.260924372950868E-3</v>
      </c>
      <c r="J53" s="7">
        <v>19.510000000000002</v>
      </c>
      <c r="K53" s="8">
        <f>IFERROR(J53/J148, "NA")</f>
        <v>7.5389282665758867E-4</v>
      </c>
      <c r="L53" s="7">
        <v>27.95</v>
      </c>
      <c r="M53" s="8">
        <f>IFERROR(L53/L148, "NA")</f>
        <v>1.0876870325523908E-3</v>
      </c>
      <c r="N53" s="7">
        <v>27.83</v>
      </c>
      <c r="O53" s="8">
        <f>IFERROR(N53/N148, "NA")</f>
        <v>1.1059322555891701E-3</v>
      </c>
      <c r="P53" s="7">
        <v>19.600000000000001</v>
      </c>
      <c r="Q53" s="8">
        <f>IFERROR(P53/P148, "NA")</f>
        <v>6.8451241761404119E-4</v>
      </c>
      <c r="R53" s="7">
        <v>14.28</v>
      </c>
      <c r="S53" s="8">
        <f>IFERROR(R53/R148, "NA")</f>
        <v>5.0888155104816053E-4</v>
      </c>
      <c r="T53" s="7">
        <v>54.53</v>
      </c>
      <c r="U53" s="8">
        <f>IFERROR(T53/T148, "NA")</f>
        <v>2.1182852339242625E-3</v>
      </c>
      <c r="V53" s="7">
        <v>21.2</v>
      </c>
      <c r="W53" s="8">
        <f>IFERROR(V53/V148, "NA")</f>
        <v>1.0286628159741631E-3</v>
      </c>
      <c r="X53" s="7">
        <v>20.41</v>
      </c>
      <c r="Y53" s="8">
        <f>IFERROR(X53/X148, "NA")</f>
        <v>8.3231757421634305E-4</v>
      </c>
      <c r="Z53" s="7">
        <v>110.42</v>
      </c>
      <c r="AA53" s="8">
        <f>IFERROR(Z53/Z148, "NA")</f>
        <v>1.1160837246752245E-3</v>
      </c>
      <c r="AB53" s="9">
        <f t="shared" si="18"/>
        <v>27.605</v>
      </c>
      <c r="AC53" s="8">
        <f>IFERROR(AB53/AB148, "NA")</f>
        <v>1.1160837246752245E-3</v>
      </c>
      <c r="AD53" s="10">
        <f t="shared" si="19"/>
        <v>-7.1950000000000003</v>
      </c>
      <c r="AE53" s="11">
        <f>IFERROR(AD53/AD148, "NA")</f>
        <v>3.395189165595109E-2</v>
      </c>
      <c r="AF53" s="10">
        <f t="shared" si="20"/>
        <v>-0.26064118819054521</v>
      </c>
      <c r="AG53" s="9">
        <f t="shared" si="21"/>
        <v>25.663749999999997</v>
      </c>
      <c r="AH53" s="8">
        <f>IFERROR(AG53/AG148, "NA")</f>
        <v>1.0049005236094112E-3</v>
      </c>
      <c r="AI53" s="10">
        <f t="shared" si="22"/>
        <v>-5.2537499999999966</v>
      </c>
      <c r="AJ53" s="11">
        <f>IFERROR(AI53/AI148, "NA")</f>
        <v>5.1674154070861216E-3</v>
      </c>
      <c r="AK53" s="10">
        <f t="shared" si="23"/>
        <v>-0.20471482148945486</v>
      </c>
      <c r="AL53" s="11">
        <f>IFERROR(AK53/AK148, "NA")</f>
        <v>5.1422158568748175</v>
      </c>
    </row>
    <row r="54" spans="1:38" ht="16.5" customHeight="1">
      <c r="A54" s="23" t="s">
        <v>69</v>
      </c>
      <c r="B54" s="7">
        <v>36</v>
      </c>
      <c r="C54" s="8">
        <f>IFERROR(B54/B148, "NA")</f>
        <v>1.3227066104467369E-3</v>
      </c>
      <c r="D54" s="7">
        <v>39</v>
      </c>
      <c r="E54" s="8">
        <f>IFERROR(D54/D148, "NA")</f>
        <v>9.4514614140452601E-4</v>
      </c>
      <c r="F54" s="7">
        <v>33.25</v>
      </c>
      <c r="G54" s="8">
        <f>IFERROR(F54/F148, "NA")</f>
        <v>1.0382046833803571E-3</v>
      </c>
      <c r="H54" s="7">
        <v>29.56</v>
      </c>
      <c r="I54" s="8">
        <f>IFERROR(H54/H148, "NA")</f>
        <v>1.0242628322184022E-3</v>
      </c>
      <c r="J54" s="7">
        <v>31</v>
      </c>
      <c r="K54" s="8">
        <f>IFERROR(J54/J148, "NA")</f>
        <v>1.1978819900761275E-3</v>
      </c>
      <c r="L54" s="7">
        <v>34</v>
      </c>
      <c r="M54" s="8">
        <f>IFERROR(L54/L148, "NA")</f>
        <v>1.3231255494376133E-3</v>
      </c>
      <c r="N54" s="7">
        <v>31</v>
      </c>
      <c r="O54" s="8">
        <f>IFERROR(N54/N148, "NA")</f>
        <v>1.2319044169336786E-3</v>
      </c>
      <c r="P54" s="7">
        <v>43</v>
      </c>
      <c r="Q54" s="8">
        <f>IFERROR(P54/P148, "NA")</f>
        <v>1.5017364263981514E-3</v>
      </c>
      <c r="R54" s="7">
        <v>36</v>
      </c>
      <c r="S54" s="8">
        <f>IFERROR(R54/R148, "NA")</f>
        <v>1.2828946665079679E-3</v>
      </c>
      <c r="T54" s="7">
        <v>34.75</v>
      </c>
      <c r="U54" s="8">
        <f>IFERROR(T54/T148, "NA")</f>
        <v>1.3499066913417956E-3</v>
      </c>
      <c r="V54" s="7">
        <v>31.75</v>
      </c>
      <c r="W54" s="8">
        <f>IFERROR(V54/V148, "NA")</f>
        <v>1.5405681324141358E-3</v>
      </c>
      <c r="X54" s="7">
        <v>45</v>
      </c>
      <c r="Y54" s="8">
        <f>IFERROR(X54/X148, "NA")</f>
        <v>1.8350950925887035E-3</v>
      </c>
      <c r="Z54" s="7">
        <v>147.5</v>
      </c>
      <c r="AA54" s="8">
        <f>IFERROR(Z54/Z148, "NA")</f>
        <v>1.4908743831696758E-3</v>
      </c>
      <c r="AB54" s="9">
        <f t="shared" si="18"/>
        <v>36.875</v>
      </c>
      <c r="AC54" s="8">
        <f>IFERROR(AB54/AB148, "NA")</f>
        <v>1.4908743831696758E-3</v>
      </c>
      <c r="AD54" s="10">
        <f t="shared" si="19"/>
        <v>8.125</v>
      </c>
      <c r="AE54" s="11">
        <f>IFERROR(AD54/AD148, "NA")</f>
        <v>-3.8340391897790496E-2</v>
      </c>
      <c r="AF54" s="10">
        <f t="shared" si="20"/>
        <v>0.22033898305084745</v>
      </c>
      <c r="AG54" s="9">
        <f t="shared" si="21"/>
        <v>35.8125</v>
      </c>
      <c r="AH54" s="8">
        <f>IFERROR(AG54/AG148, "NA")</f>
        <v>1.4022892212463901E-3</v>
      </c>
      <c r="AI54" s="10">
        <f t="shared" si="22"/>
        <v>9.1875</v>
      </c>
      <c r="AJ54" s="11">
        <f>IFERROR(AI54/AI148, "NA")</f>
        <v>-9.0365223036124251E-3</v>
      </c>
      <c r="AK54" s="10">
        <f t="shared" si="23"/>
        <v>0.25654450261780104</v>
      </c>
      <c r="AL54" s="11">
        <f>IFERROR(AK54/AK148, "NA")</f>
        <v>-6.4441216310430844</v>
      </c>
    </row>
    <row r="55" spans="1:38" ht="16.5" customHeight="1">
      <c r="A55" s="23" t="s">
        <v>70</v>
      </c>
      <c r="B55" s="7">
        <v>-215.46</v>
      </c>
      <c r="C55" s="8">
        <f>IFERROR(B55/B148, "NA")</f>
        <v>-7.9163990635237203E-3</v>
      </c>
      <c r="D55" s="7">
        <v>-142.84</v>
      </c>
      <c r="E55" s="8">
        <f>IFERROR(D55/D148, "NA")</f>
        <v>-3.461658329185192E-3</v>
      </c>
      <c r="F55" s="7">
        <v>-126.81</v>
      </c>
      <c r="G55" s="8">
        <f>IFERROR(F55/F148, "NA")</f>
        <v>-3.95954092930716E-3</v>
      </c>
      <c r="H55" s="7">
        <v>-164.03</v>
      </c>
      <c r="I55" s="8">
        <f>IFERROR(H55/H148, "NA")</f>
        <v>-5.6836885104460258E-3</v>
      </c>
      <c r="J55" s="7">
        <v>-255.33</v>
      </c>
      <c r="K55" s="8">
        <f>IFERROR(J55/J148, "NA")</f>
        <v>-9.8662970492302462E-3</v>
      </c>
      <c r="L55" s="7">
        <v>-184.1</v>
      </c>
      <c r="M55" s="8">
        <f>IFERROR(L55/L148, "NA")</f>
        <v>-7.1643356956313121E-3</v>
      </c>
      <c r="N55" s="7">
        <v>-311.56</v>
      </c>
      <c r="O55" s="8">
        <f>IFERROR(N55/N148, "NA")</f>
        <v>-1.2381036778705062E-2</v>
      </c>
      <c r="P55" s="7">
        <v>-369.55</v>
      </c>
      <c r="Q55" s="8">
        <f>IFERROR(P55/P148, "NA")</f>
        <v>-1.290620224128923E-2</v>
      </c>
      <c r="R55" s="7">
        <v>-335.54</v>
      </c>
      <c r="S55" s="8">
        <f>IFERROR(R55/R148, "NA")</f>
        <v>-1.1957291011113431E-2</v>
      </c>
      <c r="T55" s="7">
        <v>-370.21</v>
      </c>
      <c r="U55" s="8">
        <f>IFERROR(T55/T148, "NA")</f>
        <v>-1.4381264926666075E-2</v>
      </c>
      <c r="V55" s="7">
        <v>-285.99</v>
      </c>
      <c r="W55" s="8">
        <f>IFERROR(V55/V148, "NA")</f>
        <v>-1.3876758431153345E-2</v>
      </c>
      <c r="X55" s="7">
        <v>-409.34</v>
      </c>
      <c r="Y55" s="8">
        <f>IFERROR(X55/X148, "NA")</f>
        <v>-1.6692840560005775E-2</v>
      </c>
      <c r="Z55" s="7">
        <v>-1401.08</v>
      </c>
      <c r="AA55" s="8">
        <f>IFERROR(Z55/Z148, "NA")</f>
        <v>-1.4161588344212673E-2</v>
      </c>
      <c r="AB55" s="9">
        <f t="shared" si="18"/>
        <v>-350.27</v>
      </c>
      <c r="AC55" s="8">
        <f>IFERROR(AB55/AB148, "NA")</f>
        <v>-1.4161588344212673E-2</v>
      </c>
      <c r="AD55" s="10">
        <f t="shared" si="19"/>
        <v>-59.069999999999993</v>
      </c>
      <c r="AE55" s="11">
        <f>IFERROR(AD55/AD148, "NA")</f>
        <v>0.27874054761876726</v>
      </c>
      <c r="AF55" s="10">
        <f t="shared" si="20"/>
        <v>0.16864133382818966</v>
      </c>
      <c r="AG55" s="9">
        <f t="shared" si="21"/>
        <v>-315.20249999999999</v>
      </c>
      <c r="AH55" s="8">
        <f>IFERROR(AG55/AG148, "NA")</f>
        <v>-1.234220085891561E-2</v>
      </c>
      <c r="AI55" s="10">
        <f t="shared" si="22"/>
        <v>-94.137499999999989</v>
      </c>
      <c r="AJ55" s="11">
        <f>IFERROR(AI55/AI148, "NA")</f>
        <v>9.2590543494564845E-2</v>
      </c>
      <c r="AK55" s="10">
        <f t="shared" si="23"/>
        <v>0.29865721242693188</v>
      </c>
      <c r="AL55" s="11">
        <f>IFERROR(AK55/AK148, "NA")</f>
        <v>-7.5019475499526012</v>
      </c>
    </row>
    <row r="56" spans="1:38" ht="16.5" customHeight="1">
      <c r="A56" s="27" t="s">
        <v>71</v>
      </c>
      <c r="B56" s="13">
        <f>IFERROR(B37+B39+B40+B41+B42+B43+B46+B47+B48+B49+B50+B51+B53+B54+B55, "NA")</f>
        <v>725.68000000000006</v>
      </c>
      <c r="C56" s="14">
        <f>IFERROR(B56/B148, "NA")</f>
        <v>2.6662825918583002E-2</v>
      </c>
      <c r="D56" s="13">
        <f>IFERROR(D37+D39+D40+D41+D42+D43+D46+D47+D48+D49+D50+D51+D53+D54+D55, "NA")</f>
        <v>1678.48</v>
      </c>
      <c r="E56" s="14">
        <f>IFERROR(D56/D148, "NA")</f>
        <v>4.0677151164735095E-2</v>
      </c>
      <c r="F56" s="13">
        <f>IFERROR(F37+F39+F40+F41+F42+F43+F46+F47+F48+F49+F50+F51+F53+F54+F55, "NA")</f>
        <v>1332.02</v>
      </c>
      <c r="G56" s="14">
        <f>IFERROR(F56/F148, "NA")</f>
        <v>4.1591260221242203E-2</v>
      </c>
      <c r="H56" s="13">
        <f>IFERROR(H37+H39+H40+H41+H42+H43+H46+H47+H48+H49+H50+H51+H53+H54+H55, "NA")</f>
        <v>1083.7800000000002</v>
      </c>
      <c r="I56" s="14">
        <f>IFERROR(H56/H148, "NA")</f>
        <v>3.7553300822113E-2</v>
      </c>
      <c r="J56" s="13">
        <f>IFERROR(J37+J39+J40+J41+J42+J43+J46+J47+J48+J49+J50+J51+J53+J54+J55, "NA")</f>
        <v>768.9899999999999</v>
      </c>
      <c r="K56" s="14">
        <f>IFERROR(J56/J148, "NA")</f>
        <v>2.9714815211246488E-2</v>
      </c>
      <c r="L56" s="13">
        <f>IFERROR(L37+L39+L40+L41+L42+L43+L46+L47+L48+L49+L50+L51+L53+L54+L55, "NA")</f>
        <v>1145.21</v>
      </c>
      <c r="M56" s="14">
        <f>IFERROR(L56/L148, "NA")</f>
        <v>4.4566370896219093E-2</v>
      </c>
      <c r="N56" s="13">
        <f>IFERROR(N37+N39+N40+N41+N42+N43+N46+N47+N48+N49+N50+N51+N53+N54+N55, "NA")</f>
        <v>738.32999999999993</v>
      </c>
      <c r="O56" s="14">
        <f>IFERROR(N56/N148, "NA")</f>
        <v>2.9340386714665899E-2</v>
      </c>
      <c r="P56" s="13">
        <f>IFERROR(P37+P39+P40+P41+P42+P43+P46+P47+P48+P49+P50+P51+P53+P54+P55, "NA")</f>
        <v>949.91000000000008</v>
      </c>
      <c r="Q56" s="14">
        <f>IFERROR(P56/P148, "NA")</f>
        <v>3.3174754623252749E-2</v>
      </c>
      <c r="R56" s="13">
        <f>IFERROR(R37+R39+R40+R41+R42+R43+R46+R47+R48+R49+R50+R51+R53+R54+R55, "NA")</f>
        <v>880.54</v>
      </c>
      <c r="S56" s="14">
        <f>IFERROR(R56/R148, "NA")</f>
        <v>3.1378890823525719E-2</v>
      </c>
      <c r="T56" s="13">
        <f>IFERROR(T37+T39+T40+T41+T42+T43+T46+T47+T48+T49+T50+T51+T53+T54+T55, "NA")</f>
        <v>679.61999999999989</v>
      </c>
      <c r="U56" s="14">
        <f>IFERROR(T56/T148, "NA")</f>
        <v>2.640067872143053E-2</v>
      </c>
      <c r="V56" s="13">
        <f>IFERROR(V37+V39+V40+V41+V42+V43+V46+V47+V48+V49+V50+V51+V53+V54+V55, "NA")</f>
        <v>548.92000000000007</v>
      </c>
      <c r="W56" s="14">
        <f>IFERROR(V56/V148, "NA")</f>
        <v>2.6634603440780082E-2</v>
      </c>
      <c r="X56" s="13">
        <f>IFERROR(X37+X39+X40+X41+X42+X43+X46+X47+X48+X49+X50+X51+X53+X54+X55, "NA")</f>
        <v>552.59000000000015</v>
      </c>
      <c r="Y56" s="14">
        <f>IFERROR(X56/X148, "NA")</f>
        <v>2.2534559938079821E-2</v>
      </c>
      <c r="Z56" s="13">
        <f>IFERROR(Z37+Z39+Z40+Z41+Z42+Z43+Z46+Z47+Z48+Z49+Z50+Z51+Z53+Z54+Z55, "NA")</f>
        <v>2661.6699999999996</v>
      </c>
      <c r="AA56" s="14">
        <f>IFERROR(Z56/Z148, "NA")</f>
        <v>2.6903156742042241E-2</v>
      </c>
      <c r="AB56" s="13">
        <f t="shared" si="18"/>
        <v>665.41750000000002</v>
      </c>
      <c r="AC56" s="14">
        <f>IFERROR(AB56/AB148, "NA")</f>
        <v>2.6903156742042245E-2</v>
      </c>
      <c r="AD56" s="15">
        <f t="shared" si="19"/>
        <v>-112.82749999999987</v>
      </c>
      <c r="AE56" s="16">
        <f>IFERROR(AD56/AD148, "NA")</f>
        <v>0.53241237745820946</v>
      </c>
      <c r="AF56" s="15">
        <f t="shared" si="20"/>
        <v>-0.16955896110336724</v>
      </c>
      <c r="AG56" s="13">
        <f t="shared" si="21"/>
        <v>783.01374999999996</v>
      </c>
      <c r="AH56" s="14">
        <f>IFERROR(AG56/AG148, "NA")</f>
        <v>3.0660013730197992E-2</v>
      </c>
      <c r="AI56" s="15">
        <f t="shared" si="22"/>
        <v>-230.42374999999981</v>
      </c>
      <c r="AJ56" s="16">
        <f>IFERROR(AI56/AI148, "NA")</f>
        <v>0.22663720883341623</v>
      </c>
      <c r="AK56" s="15">
        <f t="shared" si="23"/>
        <v>-0.29427803790163304</v>
      </c>
      <c r="AL56" s="16">
        <f>IFERROR(AK56/AK148, "NA")</f>
        <v>7.3919474018432769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7166.7399999999989</v>
      </c>
      <c r="C57" s="29">
        <f>IFERROR(B57/B148, "NA")</f>
        <v>0.26331928814869571</v>
      </c>
      <c r="D57" s="28">
        <f>IFERROR(D13+D15+D16+D17+D18+D19+D20+D21+D22+D23+D24+D25+D26+D29+D30+D31+D32+D33+D37+D39+D40+D41+D42+D43+D46+D47+D48+D49+D50+D51+D53+D54+D55, "NA")</f>
        <v>9902.3799999999992</v>
      </c>
      <c r="E57" s="29">
        <f>IFERROR(D57/D148, "NA")</f>
        <v>0.23997939096721407</v>
      </c>
      <c r="F57" s="28">
        <f>IFERROR(F13+F15+F16+F17+F18+F19+F20+F21+F22+F23+F24+F25+F26+F29+F30+F31+F32+F33+F37+F39+F40+F41+F42+F43+F46+F47+F48+F49+F50+F51+F53+F54+F55, "NA")</f>
        <v>8581.9900000000016</v>
      </c>
      <c r="G57" s="29">
        <f>IFERROR(F57/F148, "NA")</f>
        <v>0.26796578077363586</v>
      </c>
      <c r="H57" s="28">
        <f>IFERROR(H13+H15+H16+H17+H18+H19+H20+H21+H22+H23+H24+H25+H26+H29+H30+H31+H32+H33+H37+H39+H40+H41+H42+H43+H46+H47+H48+H49+H50+H51+H53+H54+H55, "NA")</f>
        <v>6896.83</v>
      </c>
      <c r="I57" s="29">
        <f>IFERROR(H57/H148, "NA")</f>
        <v>0.2389772202005698</v>
      </c>
      <c r="J57" s="28">
        <f>IFERROR(J13+J15+J16+J17+J18+J19+J20+J21+J22+J23+J24+J25+J26+J29+J30+J31+J32+J33+J37+J39+J40+J41+J42+J43+J46+J47+J48+J49+J50+J51+J53+J54+J55, "NA")</f>
        <v>7680.31</v>
      </c>
      <c r="K57" s="29">
        <f>IFERROR(J57/J148, "NA")</f>
        <v>0.29677758152263167</v>
      </c>
      <c r="L57" s="28">
        <f>IFERROR(L13+L15+L16+L17+L18+L19+L20+L21+L22+L23+L24+L25+L26+L29+L30+L31+L32+L33+L37+L39+L40+L41+L42+L43+L46+L47+L48+L49+L50+L51+L53+L54+L55, "NA")</f>
        <v>7130.14</v>
      </c>
      <c r="M57" s="29">
        <f>IFERROR(L57/L148, "NA")</f>
        <v>0.2774726589725619</v>
      </c>
      <c r="N57" s="28">
        <f>IFERROR(N13+N15+N16+N17+N18+N19+N20+N21+N22+N23+N24+N25+N26+N29+N30+N31+N32+N33+N37+N39+N40+N41+N42+N43+N46+N47+N48+N49+N50+N51+N53+N54+N55, "NA")</f>
        <v>6419.9499999999989</v>
      </c>
      <c r="O57" s="29">
        <f>IFERROR(N57/N148, "NA")</f>
        <v>0.25512144391914093</v>
      </c>
      <c r="P57" s="28">
        <f>IFERROR(P13+P15+P16+P17+P18+P19+P20+P21+P22+P23+P24+P25+P26+P29+P30+P31+P32+P33+P37+P39+P40+P41+P42+P43+P46+P47+P48+P49+P50+P51+P53+P54+P55, "NA")</f>
        <v>7662.57</v>
      </c>
      <c r="Q57" s="29">
        <f>IFERROR(P57/P148, "NA")</f>
        <v>0.26760838346106242</v>
      </c>
      <c r="R57" s="28">
        <f>IFERROR(R13+R15+R16+R17+R18+R19+R20+R21+R22+R23+R24+R25+R26+R29+R30+R31+R32+R33+R37+R39+R40+R41+R42+R43+R46+R47+R48+R49+R50+R51+R53+R54+R55, "NA")</f>
        <v>6967.8300000000008</v>
      </c>
      <c r="S57" s="29">
        <f>IFERROR(R57/R148, "NA")</f>
        <v>0.24830533178150596</v>
      </c>
      <c r="T57" s="28">
        <f>IFERROR(T13+T15+T16+T17+T18+T19+T20+T21+T22+T23+T24+T25+T26+T29+T30+T31+T32+T33+T37+T39+T40+T41+T42+T43+T46+T47+T48+T49+T50+T51+T53+T54+T55, "NA")</f>
        <v>6262.14</v>
      </c>
      <c r="U57" s="29">
        <f>IFERROR(T57/T148, "NA")</f>
        <v>0.24326056656457876</v>
      </c>
      <c r="V57" s="28">
        <f>IFERROR(V13+V15+V16+V17+V18+V19+V20+V21+V22+V23+V24+V25+V26+V29+V30+V31+V32+V33+V37+V39+V40+V41+V42+V43+V46+V47+V48+V49+V50+V51+V53+V54+V55, "NA")</f>
        <v>5626.7900000000009</v>
      </c>
      <c r="W57" s="29">
        <f>IFERROR(V57/V148, "NA")</f>
        <v>0.27302215312713501</v>
      </c>
      <c r="X57" s="28">
        <f>IFERROR(X13+X15+X16+X17+X18+X19+X20+X21+X22+X23+X24+X25+X26+X29+X30+X31+X32+X33+X37+X39+X40+X41+X42+X43+X46+X47+X48+X49+X50+X51+X53+X54+X55, "NA")</f>
        <v>6299.5899999999992</v>
      </c>
      <c r="Y57" s="29">
        <f>IFERROR(X57/X148, "NA")</f>
        <v>0.25689659320713043</v>
      </c>
      <c r="Z57" s="28">
        <f>IFERROR(Z13+Z15+Z16+Z17+Z18+Z19+Z20+Z21+Z22+Z23+Z24+Z25+Z26+Z29+Z30+Z31+Z32+Z33+Z37+Z39+Z40+Z41+Z42+Z43+Z46+Z47+Z48+Z49+Z50+Z51+Z53+Z54+Z55, "NA")</f>
        <v>25156.350000000006</v>
      </c>
      <c r="AA57" s="29">
        <f>IFERROR(Z57/Z148, "NA")</f>
        <v>0.25427090026474902</v>
      </c>
      <c r="AB57" s="28">
        <f t="shared" si="18"/>
        <v>6289.0875000000005</v>
      </c>
      <c r="AC57" s="29">
        <f>IFERROR(AB57/AB148, "NA")</f>
        <v>0.25427090026474902</v>
      </c>
      <c r="AD57" s="30">
        <f t="shared" si="19"/>
        <v>10.50249999999869</v>
      </c>
      <c r="AE57" s="31">
        <f>IFERROR(AD57/AD148, "NA")</f>
        <v>-4.9559380419260855E-2</v>
      </c>
      <c r="AF57" s="30">
        <f t="shared" si="20"/>
        <v>1.6699560945842603E-3</v>
      </c>
      <c r="AG57" s="28">
        <f t="shared" si="21"/>
        <v>6756.165</v>
      </c>
      <c r="AH57" s="29">
        <f>IFERROR(AG57/AG148, "NA")</f>
        <v>0.26454722112285145</v>
      </c>
      <c r="AI57" s="30">
        <f t="shared" si="22"/>
        <v>-456.57500000000073</v>
      </c>
      <c r="AJ57" s="31">
        <f>IFERROR(AI57/AI148, "NA")</f>
        <v>0.4490721274309496</v>
      </c>
      <c r="AK57" s="30">
        <f t="shared" si="23"/>
        <v>-6.7579018570446514E-2</v>
      </c>
      <c r="AL57" s="31">
        <f>IFERROR(AK57/AK148, "NA")</f>
        <v>1.6975121701331641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20050.180000000004</v>
      </c>
      <c r="C59" s="34">
        <f>IFERROR(B59/B148, "NA")</f>
        <v>0.73668071185130446</v>
      </c>
      <c r="D59" s="33">
        <f>IFERROR(D9-D57, "NA")</f>
        <v>31361.080000000009</v>
      </c>
      <c r="E59" s="34">
        <f>IFERROR(D59/D148, "NA")</f>
        <v>0.76002060903278612</v>
      </c>
      <c r="F59" s="33">
        <f>IFERROR(F9-F57, "NA")</f>
        <v>23444.45</v>
      </c>
      <c r="G59" s="34">
        <f>IFERROR(F59/F148, "NA")</f>
        <v>0.73203421922636425</v>
      </c>
      <c r="H59" s="33">
        <f>IFERROR(H9-H57, "NA")</f>
        <v>21962.94999999999</v>
      </c>
      <c r="I59" s="34">
        <f>IFERROR(H59/H148, "NA")</f>
        <v>0.76102277979942989</v>
      </c>
      <c r="J59" s="33">
        <f>IFERROR(J9-J57, "NA")</f>
        <v>18198.699999999997</v>
      </c>
      <c r="K59" s="34">
        <f>IFERROR(J59/J148, "NA")</f>
        <v>0.70322241847736822</v>
      </c>
      <c r="L59" s="33">
        <f>IFERROR(L9-L57, "NA")</f>
        <v>18566.590000000004</v>
      </c>
      <c r="M59" s="34">
        <f>IFERROR(L59/L148, "NA")</f>
        <v>0.72252734102743832</v>
      </c>
      <c r="N59" s="33">
        <f>IFERROR(N9-N57, "NA")</f>
        <v>18744.339999999997</v>
      </c>
      <c r="O59" s="34">
        <f>IFERROR(N59/N148, "NA")</f>
        <v>0.74487855608085884</v>
      </c>
      <c r="P59" s="33">
        <f>IFERROR(P9-P57, "NA")</f>
        <v>20970.94999999999</v>
      </c>
      <c r="Q59" s="34">
        <f>IFERROR(P59/P148, "NA")</f>
        <v>0.73239161653893725</v>
      </c>
      <c r="R59" s="33">
        <f>IFERROR(R9-R57, "NA")</f>
        <v>21093.709999999995</v>
      </c>
      <c r="S59" s="34">
        <f>IFERROR(R59/R148, "NA")</f>
        <v>0.75169466821849384</v>
      </c>
      <c r="T59" s="33">
        <f>IFERROR(T9-T57, "NA")</f>
        <v>19480.379999999997</v>
      </c>
      <c r="U59" s="34">
        <f>IFERROR(T59/T148, "NA")</f>
        <v>0.75673943343542116</v>
      </c>
      <c r="V59" s="33">
        <f>IFERROR(V9-V57, "NA")</f>
        <v>14982.489999999998</v>
      </c>
      <c r="W59" s="34">
        <f>IFERROR(V59/V148, "NA")</f>
        <v>0.72697784687286493</v>
      </c>
      <c r="X59" s="33">
        <f>IFERROR(X9-X57, "NA")</f>
        <v>18222.3</v>
      </c>
      <c r="Y59" s="34">
        <f>IFERROR(X59/X148, "NA")</f>
        <v>0.74310340679286957</v>
      </c>
      <c r="Z59" s="33">
        <f>IFERROR(Z9-Z57, "NA")</f>
        <v>73778.880000000005</v>
      </c>
      <c r="AA59" s="34">
        <f>IFERROR(Z59/Z148, "NA")</f>
        <v>0.74572909973525114</v>
      </c>
      <c r="AB59" s="33">
        <f>IFERROR((R59+T59+V59+X59)/4, "NA")</f>
        <v>18444.719999999998</v>
      </c>
      <c r="AC59" s="34">
        <f>IFERROR(AB59/AB148, "NA")</f>
        <v>0.74572909973525092</v>
      </c>
      <c r="AD59" s="15">
        <f>IFERROR(X59-AB59, "NA")</f>
        <v>-222.41999999999825</v>
      </c>
      <c r="AE59" s="16">
        <f>IFERROR(AD59/AD148, "NA")</f>
        <v>1.0495593804192609</v>
      </c>
      <c r="AF59" s="15">
        <f>IFERROR((X59-AB59)/AB59, "NA")</f>
        <v>-1.2058735508047739E-2</v>
      </c>
      <c r="AG59" s="33">
        <f>IFERROR((J59+L59+N59+P59+R59+T59+V59+X59)/8, "NA")</f>
        <v>18782.432499999995</v>
      </c>
      <c r="AH59" s="34">
        <f>IFERROR(AG59/AG148, "NA")</f>
        <v>0.73545277887714855</v>
      </c>
      <c r="AI59" s="15">
        <f>IFERROR(X59-AG59, "NA")</f>
        <v>-560.13249999999607</v>
      </c>
      <c r="AJ59" s="16">
        <f>IFERROR(AI59/AI148, "NA")</f>
        <v>0.5509278725690504</v>
      </c>
      <c r="AK59" s="15">
        <f>IFERROR((X59-AG59)/AG59, "NA")</f>
        <v>-2.9822148968191218E-2</v>
      </c>
      <c r="AL59" s="16">
        <f>IFERROR(AK59/AK148, "NA")</f>
        <v>0.74910026638308269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1461.54</v>
      </c>
      <c r="C66" s="8">
        <f>IFERROR(B66/B148, "NA")</f>
        <v>5.3699683873120102E-2</v>
      </c>
      <c r="D66" s="7">
        <v>1461.54</v>
      </c>
      <c r="E66" s="8">
        <f>IFERROR(D66/D148, "NA")</f>
        <v>3.5419715166881305E-2</v>
      </c>
      <c r="F66" s="7">
        <v>1461.54</v>
      </c>
      <c r="G66" s="8">
        <f>IFERROR(F66/F148, "NA")</f>
        <v>4.5635418735269981E-2</v>
      </c>
      <c r="H66" s="7">
        <v>1461.54</v>
      </c>
      <c r="I66" s="8">
        <f>IFERROR(H66/H148, "NA")</f>
        <v>5.0642797692844507E-2</v>
      </c>
      <c r="J66" s="7">
        <v>1461.54</v>
      </c>
      <c r="K66" s="8">
        <f>IFERROR(J66/J148, "NA")</f>
        <v>5.6475885283092359E-2</v>
      </c>
      <c r="L66" s="7">
        <v>1461.54</v>
      </c>
      <c r="M66" s="8">
        <f>IFERROR(L66/L148, "NA")</f>
        <v>5.6876497515442624E-2</v>
      </c>
      <c r="N66" s="7">
        <v>1461.54</v>
      </c>
      <c r="O66" s="8">
        <f>IFERROR(N66/N148, "NA")</f>
        <v>5.8079921984685437E-2</v>
      </c>
      <c r="P66" s="7">
        <v>1461.54</v>
      </c>
      <c r="Q66" s="8">
        <f>IFERROR(P66/P148, "NA")</f>
        <v>5.1042973410184982E-2</v>
      </c>
      <c r="R66" s="7">
        <v>1461.54</v>
      </c>
      <c r="S66" s="8">
        <f>IFERROR(R66/R148, "NA")</f>
        <v>5.2083385302445981E-2</v>
      </c>
      <c r="T66" s="7">
        <v>1461.54</v>
      </c>
      <c r="U66" s="8">
        <f>IFERROR(T66/T148, "NA")</f>
        <v>5.6775327357228428E-2</v>
      </c>
      <c r="V66" s="7">
        <v>1461.54</v>
      </c>
      <c r="W66" s="8">
        <f>IFERROR(V66/V148, "NA")</f>
        <v>7.0916596795230116E-2</v>
      </c>
      <c r="X66" s="7">
        <v>1461.54</v>
      </c>
      <c r="Y66" s="8">
        <f>IFERROR(X66/X148, "NA")</f>
        <v>5.9601441813824305E-2</v>
      </c>
      <c r="Z66" s="7">
        <v>5846.16</v>
      </c>
      <c r="AA66" s="8">
        <f>IFERROR(Z66/Z148, "NA")</f>
        <v>5.9090780907872759E-2</v>
      </c>
      <c r="AB66" s="9">
        <f t="shared" si="24"/>
        <v>1461.54</v>
      </c>
      <c r="AC66" s="8">
        <f>IFERROR(AB66/AB148, "NA")</f>
        <v>5.9090780907872759E-2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1461.54</v>
      </c>
      <c r="AH66" s="8">
        <f>IFERROR(AG66/AG148, "NA")</f>
        <v>5.7228671229890372E-2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4662.72</v>
      </c>
      <c r="C68" s="8">
        <f>IFERROR(B68/B148, "NA")</f>
        <v>0.17131696018506137</v>
      </c>
      <c r="D68" s="7">
        <v>5021.32</v>
      </c>
      <c r="E68" s="8">
        <f>IFERROR(D68/D148, "NA")</f>
        <v>0.12168926212198394</v>
      </c>
      <c r="F68" s="7">
        <v>4837.6099999999997</v>
      </c>
      <c r="G68" s="8">
        <f>IFERROR(F68/F148, "NA")</f>
        <v>0.15105050701857589</v>
      </c>
      <c r="H68" s="7">
        <v>4549.33</v>
      </c>
      <c r="I68" s="8">
        <f>IFERROR(H68/H148, "NA")</f>
        <v>0.15763564379215642</v>
      </c>
      <c r="J68" s="7">
        <v>4700.25</v>
      </c>
      <c r="K68" s="8">
        <f>IFERROR(J68/J148, "NA")</f>
        <v>0.18162402657597798</v>
      </c>
      <c r="L68" s="7">
        <v>4553.26</v>
      </c>
      <c r="M68" s="8">
        <f>IFERROR(L68/L148, "NA")</f>
        <v>0.17719219527153846</v>
      </c>
      <c r="N68" s="7">
        <v>4447.0200000000004</v>
      </c>
      <c r="O68" s="8">
        <f>IFERROR(N68/N148, "NA")</f>
        <v>0.17671947032878735</v>
      </c>
      <c r="P68" s="7">
        <v>4779.2</v>
      </c>
      <c r="Q68" s="8">
        <f>IFERROR(P68/P148, "NA")</f>
        <v>0.16690927276841966</v>
      </c>
      <c r="R68" s="7">
        <v>5852.11</v>
      </c>
      <c r="S68" s="8">
        <f>IFERROR(R68/R148, "NA")</f>
        <v>0.20854557518938729</v>
      </c>
      <c r="T68" s="7">
        <v>4749.5200000000004</v>
      </c>
      <c r="U68" s="8">
        <f>IFERROR(T68/T148, "NA")</f>
        <v>0.18450097348666722</v>
      </c>
      <c r="V68" s="7">
        <v>4878.03</v>
      </c>
      <c r="W68" s="8">
        <f>IFERROR(V68/V148, "NA")</f>
        <v>0.23669094699087012</v>
      </c>
      <c r="X68" s="7">
        <v>3908.49</v>
      </c>
      <c r="Y68" s="8">
        <f>IFERROR(X68/X148, "NA")</f>
        <v>0.15938779596515604</v>
      </c>
      <c r="Z68" s="7">
        <v>19388.150000000001</v>
      </c>
      <c r="AA68" s="8">
        <f>IFERROR(Z68/Z148, "NA")</f>
        <v>0.19596810964102476</v>
      </c>
      <c r="AB68" s="9">
        <f t="shared" si="24"/>
        <v>4847.0375000000004</v>
      </c>
      <c r="AC68" s="8">
        <f>IFERROR(AB68/AB148, "NA")</f>
        <v>0.19596810964102476</v>
      </c>
      <c r="AD68" s="10">
        <f t="shared" si="25"/>
        <v>-938.54750000000058</v>
      </c>
      <c r="AE68" s="11">
        <f>IFERROR(AD68/AD148, "NA")</f>
        <v>4.4288343341158827</v>
      </c>
      <c r="AF68" s="10">
        <f t="shared" si="26"/>
        <v>-0.19363322441800801</v>
      </c>
      <c r="AG68" s="9">
        <f t="shared" si="27"/>
        <v>4733.4849999999997</v>
      </c>
      <c r="AH68" s="8">
        <f>IFERROR(AG68/AG148, "NA")</f>
        <v>0.18534631747103578</v>
      </c>
      <c r="AI68" s="10">
        <f t="shared" si="28"/>
        <v>-824.99499999999989</v>
      </c>
      <c r="AJ68" s="11">
        <f>IFERROR(AI68/AI148, "NA")</f>
        <v>0.81143790126462378</v>
      </c>
      <c r="AK68" s="10">
        <f t="shared" si="29"/>
        <v>-0.17428913369325136</v>
      </c>
      <c r="AL68" s="11">
        <f>IFERROR(AK68/AK148, "NA")</f>
        <v>4.3779553450875968</v>
      </c>
    </row>
    <row r="69" spans="1:38" ht="16.5" customHeight="1">
      <c r="A69" s="25" t="s">
        <v>81</v>
      </c>
      <c r="B69" s="7">
        <v>0</v>
      </c>
      <c r="C69" s="8">
        <f>IFERROR(B69/B148, "NA")</f>
        <v>0</v>
      </c>
      <c r="D69" s="7">
        <v>411.69</v>
      </c>
      <c r="E69" s="8">
        <f>IFERROR(D69/D148, "NA")</f>
        <v>9.9771080757648529E-3</v>
      </c>
      <c r="F69" s="7">
        <v>54.34</v>
      </c>
      <c r="G69" s="8">
        <f>IFERROR(F69/F148, "NA")</f>
        <v>1.6967230825530408E-3</v>
      </c>
      <c r="H69" s="7">
        <v>31.51</v>
      </c>
      <c r="I69" s="8">
        <f>IFERROR(H69/H148, "NA")</f>
        <v>1.0918309148579789E-3</v>
      </c>
      <c r="J69" s="7">
        <v>31.69</v>
      </c>
      <c r="K69" s="8">
        <f>IFERROR(J69/J148, "NA")</f>
        <v>1.224544524693951E-3</v>
      </c>
      <c r="L69" s="7">
        <v>247.91</v>
      </c>
      <c r="M69" s="8">
        <f>IFERROR(L69/L148, "NA")</f>
        <v>9.6475310282670215E-3</v>
      </c>
      <c r="N69" s="7">
        <v>16.97</v>
      </c>
      <c r="O69" s="8">
        <f>IFERROR(N69/N148, "NA")</f>
        <v>6.743683211407911E-4</v>
      </c>
      <c r="P69" s="7">
        <v>21.02</v>
      </c>
      <c r="Q69" s="8">
        <f>IFERROR(P69/P148, "NA")</f>
        <v>7.3410464378811967E-4</v>
      </c>
      <c r="R69" s="7">
        <v>72.989999999999995</v>
      </c>
      <c r="S69" s="8">
        <f>IFERROR(R69/R148, "NA")</f>
        <v>2.6010689363449046E-3</v>
      </c>
      <c r="T69" s="7">
        <v>242.18</v>
      </c>
      <c r="U69" s="8">
        <f>IFERROR(T69/T148, "NA")</f>
        <v>9.4077813671699581E-3</v>
      </c>
      <c r="V69" s="7">
        <v>226.46</v>
      </c>
      <c r="W69" s="8">
        <f>IFERROR(V69/V148, "NA")</f>
        <v>1.0988253835165518E-2</v>
      </c>
      <c r="X69" s="7">
        <v>0</v>
      </c>
      <c r="Y69" s="8">
        <f>IFERROR(X69/X148, "NA")</f>
        <v>0</v>
      </c>
      <c r="Z69" s="7">
        <v>541.63</v>
      </c>
      <c r="AA69" s="8">
        <f>IFERROR(Z69/Z148, "NA")</f>
        <v>5.4745918112284169E-3</v>
      </c>
      <c r="AB69" s="9">
        <f t="shared" si="24"/>
        <v>135.4075</v>
      </c>
      <c r="AC69" s="8">
        <f>IFERROR(AB69/AB148, "NA")</f>
        <v>5.4745918112284169E-3</v>
      </c>
      <c r="AD69" s="10">
        <f t="shared" si="25"/>
        <v>-135.4075</v>
      </c>
      <c r="AE69" s="11">
        <f>IFERROR(AD69/AD148, "NA")</f>
        <v>0.6389632758030851</v>
      </c>
      <c r="AF69" s="10">
        <f t="shared" si="26"/>
        <v>-1</v>
      </c>
      <c r="AG69" s="9">
        <f t="shared" si="27"/>
        <v>107.4025</v>
      </c>
      <c r="AH69" s="8">
        <f>IFERROR(AG69/AG148, "NA")</f>
        <v>4.2054971891075862E-3</v>
      </c>
      <c r="AI69" s="10">
        <f t="shared" si="28"/>
        <v>-107.4025</v>
      </c>
      <c r="AJ69" s="11">
        <f>IFERROR(AI69/AI148, "NA")</f>
        <v>0.10563756045863765</v>
      </c>
      <c r="AK69" s="10">
        <f t="shared" si="29"/>
        <v>-1</v>
      </c>
      <c r="AL69" s="11">
        <f>IFERROR(AK69/AK148, "NA")</f>
        <v>25.118923092433246</v>
      </c>
    </row>
    <row r="70" spans="1:38" ht="16.5" customHeight="1">
      <c r="A70" s="26" t="s">
        <v>82</v>
      </c>
      <c r="B70" s="13">
        <f>IFERROR(B65+B66+B67+B68+B69, "NA")</f>
        <v>6124.26</v>
      </c>
      <c r="C70" s="14">
        <f>IFERROR(B70/B148, "NA")</f>
        <v>0.22501664405818148</v>
      </c>
      <c r="D70" s="13">
        <f>IFERROR(D65+D66+D67+D68+D69, "NA")</f>
        <v>6894.5499999999993</v>
      </c>
      <c r="E70" s="14">
        <f>IFERROR(D70/D148, "NA")</f>
        <v>0.1670860853646301</v>
      </c>
      <c r="F70" s="13">
        <f>IFERROR(F65+F66+F67+F68+F69, "NA")</f>
        <v>6353.49</v>
      </c>
      <c r="G70" s="14">
        <f>IFERROR(F70/F148, "NA")</f>
        <v>0.19838264883639892</v>
      </c>
      <c r="H70" s="13">
        <f>IFERROR(H65+H66+H67+H68+H69, "NA")</f>
        <v>6042.38</v>
      </c>
      <c r="I70" s="14">
        <f>IFERROR(H70/H148, "NA")</f>
        <v>0.20937027239985892</v>
      </c>
      <c r="J70" s="13">
        <f>IFERROR(J65+J66+J67+J68+J69, "NA")</f>
        <v>6193.48</v>
      </c>
      <c r="K70" s="14">
        <f>IFERROR(J70/J148, "NA")</f>
        <v>0.23932445638376429</v>
      </c>
      <c r="L70" s="13">
        <f>IFERROR(L65+L66+L67+L68+L69, "NA")</f>
        <v>6262.71</v>
      </c>
      <c r="M70" s="14">
        <f>IFERROR(L70/L148, "NA")</f>
        <v>0.2437162238152481</v>
      </c>
      <c r="N70" s="13">
        <f>IFERROR(N65+N66+N67+N68+N69, "NA")</f>
        <v>5925.5300000000007</v>
      </c>
      <c r="O70" s="14">
        <f>IFERROR(N70/N148, "NA")</f>
        <v>0.23547376063461359</v>
      </c>
      <c r="P70" s="13">
        <f>IFERROR(P65+P66+P67+P68+P69, "NA")</f>
        <v>6261.76</v>
      </c>
      <c r="Q70" s="14">
        <f>IFERROR(P70/P148, "NA")</f>
        <v>0.21868635082239277</v>
      </c>
      <c r="R70" s="13">
        <f>IFERROR(R65+R66+R67+R68+R69, "NA")</f>
        <v>7386.6399999999994</v>
      </c>
      <c r="S70" s="14">
        <f>IFERROR(R70/R148, "NA")</f>
        <v>0.26323002942817819</v>
      </c>
      <c r="T70" s="13">
        <f>IFERROR(T65+T66+T67+T68+T69, "NA")</f>
        <v>6453.2400000000007</v>
      </c>
      <c r="U70" s="14">
        <f>IFERROR(T70/T148, "NA")</f>
        <v>0.25068408221106558</v>
      </c>
      <c r="V70" s="13">
        <f>IFERROR(V65+V66+V67+V68+V69, "NA")</f>
        <v>6566.03</v>
      </c>
      <c r="W70" s="14">
        <f>IFERROR(V70/V148, "NA")</f>
        <v>0.31859579762126577</v>
      </c>
      <c r="X70" s="13">
        <f>IFERROR(X65+X66+X67+X68+X69, "NA")</f>
        <v>5370.03</v>
      </c>
      <c r="Y70" s="14">
        <f>IFERROR(X70/X148, "NA")</f>
        <v>0.21898923777898033</v>
      </c>
      <c r="Z70" s="13">
        <f>IFERROR(Z65+Z66+Z67+Z68+Z69, "NA")</f>
        <v>25775.940000000002</v>
      </c>
      <c r="AA70" s="14">
        <f>IFERROR(Z70/Z148, "NA")</f>
        <v>0.26053348236012597</v>
      </c>
      <c r="AB70" s="13">
        <f t="shared" si="24"/>
        <v>6443.9849999999997</v>
      </c>
      <c r="AC70" s="14">
        <f>IFERROR(AB70/AB148, "NA")</f>
        <v>0.26053348236012591</v>
      </c>
      <c r="AD70" s="15">
        <f t="shared" si="25"/>
        <v>-1073.9549999999999</v>
      </c>
      <c r="AE70" s="16">
        <f>IFERROR(AD70/AD148, "NA")</f>
        <v>5.0677976099189648</v>
      </c>
      <c r="AF70" s="15">
        <f t="shared" si="26"/>
        <v>-0.1666600713688812</v>
      </c>
      <c r="AG70" s="13">
        <f t="shared" si="27"/>
        <v>6302.4274999999998</v>
      </c>
      <c r="AH70" s="14">
        <f>IFERROR(AG70/AG148, "NA")</f>
        <v>0.24678048589003374</v>
      </c>
      <c r="AI70" s="15">
        <f t="shared" si="28"/>
        <v>-932.39750000000004</v>
      </c>
      <c r="AJ70" s="16">
        <f>IFERROR(AI70/AI148, "NA")</f>
        <v>0.9170754617232616</v>
      </c>
      <c r="AK70" s="15">
        <f t="shared" si="29"/>
        <v>-0.14794259830835024</v>
      </c>
      <c r="AL70" s="16">
        <f>IFERROR(AK70/AK148, "NA")</f>
        <v>3.716158749002195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-875</v>
      </c>
      <c r="I72" s="8">
        <f>IFERROR(H72/H148, "NA")</f>
        <v>-3.0319011440835656E-2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350</v>
      </c>
      <c r="Q72" s="8">
        <f>IFERROR(P72/P148, "NA")</f>
        <v>1.2223436028822164E-2</v>
      </c>
      <c r="R72" s="7">
        <v>0</v>
      </c>
      <c r="S72" s="8">
        <f>IFERROR(R72/R148, "NA")</f>
        <v>0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0</v>
      </c>
      <c r="AC72" s="8">
        <f>IFERROR(AB72/AB148, "NA")</f>
        <v>0</v>
      </c>
      <c r="AD72" s="10">
        <f t="shared" si="25"/>
        <v>0</v>
      </c>
      <c r="AE72" s="11">
        <f>IFERROR(AD72/AD148, "NA")</f>
        <v>0</v>
      </c>
      <c r="AF72" s="10" t="str">
        <f t="shared" si="26"/>
        <v>NA</v>
      </c>
      <c r="AG72" s="9">
        <f t="shared" si="27"/>
        <v>43.75</v>
      </c>
      <c r="AH72" s="8">
        <f>IFERROR(AG72/AG148, "NA")</f>
        <v>1.7130932894807557E-3</v>
      </c>
      <c r="AI72" s="10">
        <f t="shared" si="28"/>
        <v>-43.75</v>
      </c>
      <c r="AJ72" s="11">
        <f>IFERROR(AI72/AI148, "NA")</f>
        <v>4.3031058588630593E-2</v>
      </c>
      <c r="AK72" s="10">
        <f t="shared" si="29"/>
        <v>-1</v>
      </c>
      <c r="AL72" s="11">
        <f>IFERROR(AK72/AK148, "NA")</f>
        <v>25.118923092433246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534.32000000000005</v>
      </c>
      <c r="C74" s="8">
        <f>IFERROR(B74/B148, "NA")</f>
        <v>1.9631905447052792E-2</v>
      </c>
      <c r="D74" s="7">
        <v>592.94000000000005</v>
      </c>
      <c r="E74" s="8">
        <f>IFERROR(D74/D148, "NA")</f>
        <v>1.4369614181651273E-2</v>
      </c>
      <c r="F74" s="7">
        <v>559.88</v>
      </c>
      <c r="G74" s="8">
        <f>IFERROR(F74/F148, "NA")</f>
        <v>1.7481805658075018E-2</v>
      </c>
      <c r="H74" s="7">
        <v>536.89</v>
      </c>
      <c r="I74" s="8">
        <f>IFERROR(H74/H148, "NA")</f>
        <v>1.8603398917108861E-2</v>
      </c>
      <c r="J74" s="7">
        <v>566.77</v>
      </c>
      <c r="K74" s="8">
        <f>IFERROR(J74/J148, "NA")</f>
        <v>2.190076050049828E-2</v>
      </c>
      <c r="L74" s="7">
        <v>539.84</v>
      </c>
      <c r="M74" s="8">
        <f>IFERROR(L74/L148, "NA")</f>
        <v>2.1008120488482388E-2</v>
      </c>
      <c r="N74" s="7">
        <v>522.09</v>
      </c>
      <c r="O74" s="8">
        <f>IFERROR(N74/N148, "NA")</f>
        <v>2.0747257323771105E-2</v>
      </c>
      <c r="P74" s="7">
        <v>557.29</v>
      </c>
      <c r="Q74" s="8">
        <f>IFERROR(P74/P148, "NA")</f>
        <v>1.9462853327149438E-2</v>
      </c>
      <c r="R74" s="7">
        <v>652.52</v>
      </c>
      <c r="S74" s="8">
        <f>IFERROR(R74/R148, "NA")</f>
        <v>2.3253178549716088E-2</v>
      </c>
      <c r="T74" s="7">
        <v>564.16</v>
      </c>
      <c r="U74" s="8">
        <f>IFERROR(T74/T148, "NA")</f>
        <v>2.1915492344960787E-2</v>
      </c>
      <c r="V74" s="7">
        <v>577.20000000000005</v>
      </c>
      <c r="W74" s="8">
        <f>IFERROR(V74/V148, "NA")</f>
        <v>2.8006800819824859E-2</v>
      </c>
      <c r="X74" s="7">
        <v>464.37</v>
      </c>
      <c r="Y74" s="8">
        <f>IFERROR(X74/X148, "NA")</f>
        <v>1.8936957958787026E-2</v>
      </c>
      <c r="Z74" s="7">
        <v>2258.25</v>
      </c>
      <c r="AA74" s="8">
        <f>IFERROR(Z74/Z148, "NA")</f>
        <v>2.2825539496901154E-2</v>
      </c>
      <c r="AB74" s="9">
        <f t="shared" ref="AB74:AB85" si="30">IFERROR((R74+T74+V74+X74)/4, "NA")</f>
        <v>564.5625</v>
      </c>
      <c r="AC74" s="8">
        <f>IFERROR(AB74/AB148, "NA")</f>
        <v>2.2825539496901154E-2</v>
      </c>
      <c r="AD74" s="10">
        <f t="shared" ref="AD74:AD85" si="31">IFERROR(X74-AB74, "NA")</f>
        <v>-100.1925</v>
      </c>
      <c r="AE74" s="11">
        <f>IFERROR(AD74/AD148, "NA")</f>
        <v>0.47279011879623062</v>
      </c>
      <c r="AF74" s="10">
        <f t="shared" ref="AF74:AF85" si="32">IFERROR((X74-AB74)/AB74, "NA")</f>
        <v>-0.17746927930919959</v>
      </c>
      <c r="AG74" s="9">
        <f t="shared" ref="AG74:AG85" si="33">IFERROR((J74+L74+N74+P74+R74+T74+V74+X74)/8, "NA")</f>
        <v>555.53</v>
      </c>
      <c r="AH74" s="8">
        <f>IFERROR(AG74/AG148, "NA")</f>
        <v>2.1752564916691298E-2</v>
      </c>
      <c r="AI74" s="10">
        <f t="shared" ref="AI74:AI85" si="34">IFERROR(X74-AG74, "NA")</f>
        <v>-91.159999999999968</v>
      </c>
      <c r="AJ74" s="11">
        <f>IFERROR(AI74/AI148, "NA")</f>
        <v>8.9661972592904302E-2</v>
      </c>
      <c r="AK74" s="10">
        <f t="shared" ref="AK74:AK85" si="35">IFERROR((X74-AG74)/AG74, "NA")</f>
        <v>-0.16409554839522614</v>
      </c>
      <c r="AL74" s="11">
        <f>IFERROR(AK74/AK148, "NA")</f>
        <v>4.1219034599503432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534.32000000000005</v>
      </c>
      <c r="C81" s="14">
        <f>IFERROR(B81/B148, "NA")</f>
        <v>1.9631905447052792E-2</v>
      </c>
      <c r="D81" s="13">
        <f>IFERROR(D74+D75+D76+D77+D78+D79+D80, "NA")</f>
        <v>592.94000000000005</v>
      </c>
      <c r="E81" s="14">
        <f>IFERROR(D81/D148, "NA")</f>
        <v>1.4369614181651273E-2</v>
      </c>
      <c r="F81" s="13">
        <f>IFERROR(F74+F75+F76+F77+F78+F79+F80, "NA")</f>
        <v>559.88</v>
      </c>
      <c r="G81" s="14">
        <f>IFERROR(F81/F148, "NA")</f>
        <v>1.7481805658075018E-2</v>
      </c>
      <c r="H81" s="13">
        <f>IFERROR(H74+H75+H76+H77+H78+H79+H80, "NA")</f>
        <v>536.89</v>
      </c>
      <c r="I81" s="14">
        <f>IFERROR(H81/H148, "NA")</f>
        <v>1.8603398917108861E-2</v>
      </c>
      <c r="J81" s="13">
        <f>IFERROR(J74+J75+J76+J77+J78+J79+J80, "NA")</f>
        <v>566.77</v>
      </c>
      <c r="K81" s="14">
        <f>IFERROR(J81/J148, "NA")</f>
        <v>2.190076050049828E-2</v>
      </c>
      <c r="L81" s="13">
        <f>IFERROR(L74+L75+L76+L77+L78+L79+L80, "NA")</f>
        <v>539.84</v>
      </c>
      <c r="M81" s="14">
        <f>IFERROR(L81/L148, "NA")</f>
        <v>2.1008120488482388E-2</v>
      </c>
      <c r="N81" s="13">
        <f>IFERROR(N74+N75+N76+N77+N78+N79+N80, "NA")</f>
        <v>522.09</v>
      </c>
      <c r="O81" s="14">
        <f>IFERROR(N81/N148, "NA")</f>
        <v>2.0747257323771105E-2</v>
      </c>
      <c r="P81" s="13">
        <f>IFERROR(P74+P75+P76+P77+P78+P79+P80, "NA")</f>
        <v>557.29</v>
      </c>
      <c r="Q81" s="14">
        <f>IFERROR(P81/P148, "NA")</f>
        <v>1.9462853327149438E-2</v>
      </c>
      <c r="R81" s="13">
        <f>IFERROR(R74+R75+R76+R77+R78+R79+R80, "NA")</f>
        <v>652.52</v>
      </c>
      <c r="S81" s="14">
        <f>IFERROR(R81/R148, "NA")</f>
        <v>2.3253178549716088E-2</v>
      </c>
      <c r="T81" s="13">
        <f>IFERROR(T74+T75+T76+T77+T78+T79+T80, "NA")</f>
        <v>564.16</v>
      </c>
      <c r="U81" s="14">
        <f>IFERROR(T81/T148, "NA")</f>
        <v>2.1915492344960787E-2</v>
      </c>
      <c r="V81" s="13">
        <f>IFERROR(V74+V75+V76+V77+V78+V79+V80, "NA")</f>
        <v>577.20000000000005</v>
      </c>
      <c r="W81" s="14">
        <f>IFERROR(V81/V148, "NA")</f>
        <v>2.8006800819824859E-2</v>
      </c>
      <c r="X81" s="13">
        <f>IFERROR(X74+X75+X76+X77+X78+X79+X80, "NA")</f>
        <v>464.37</v>
      </c>
      <c r="Y81" s="14">
        <f>IFERROR(X81/X148, "NA")</f>
        <v>1.8936957958787026E-2</v>
      </c>
      <c r="Z81" s="13">
        <f>IFERROR(Z74+Z75+Z76+Z77+Z78+Z79+Z80, "NA")</f>
        <v>2258.25</v>
      </c>
      <c r="AA81" s="14">
        <f>IFERROR(Z81/Z148, "NA")</f>
        <v>2.2825539496901154E-2</v>
      </c>
      <c r="AB81" s="13">
        <f t="shared" si="30"/>
        <v>564.5625</v>
      </c>
      <c r="AC81" s="14">
        <f>IFERROR(AB81/AB148, "NA")</f>
        <v>2.2825539496901154E-2</v>
      </c>
      <c r="AD81" s="15">
        <f t="shared" si="31"/>
        <v>-100.1925</v>
      </c>
      <c r="AE81" s="16">
        <f>IFERROR(AD81/AD148, "NA")</f>
        <v>0.47279011879623062</v>
      </c>
      <c r="AF81" s="15">
        <f t="shared" si="32"/>
        <v>-0.17746927930919959</v>
      </c>
      <c r="AG81" s="13">
        <f t="shared" si="33"/>
        <v>555.53</v>
      </c>
      <c r="AH81" s="14">
        <f>IFERROR(AG81/AG148, "NA")</f>
        <v>2.1752564916691298E-2</v>
      </c>
      <c r="AI81" s="15">
        <f t="shared" si="34"/>
        <v>-91.159999999999968</v>
      </c>
      <c r="AJ81" s="16">
        <f>IFERROR(AI81/AI148, "NA")</f>
        <v>8.9661972592904302E-2</v>
      </c>
      <c r="AK81" s="15">
        <f t="shared" si="35"/>
        <v>-0.16409554839522614</v>
      </c>
      <c r="AL81" s="16">
        <f>IFERROR(AK81/AK148, "NA")</f>
        <v>4.1219034599503432</v>
      </c>
    </row>
    <row r="82" spans="1:38" ht="16.5" customHeight="1">
      <c r="A82" s="23" t="s">
        <v>94</v>
      </c>
      <c r="B82" s="7">
        <v>248</v>
      </c>
      <c r="C82" s="8">
        <f>IFERROR(B82/B148, "NA")</f>
        <v>9.1119788719664103E-3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248</v>
      </c>
      <c r="K82" s="8">
        <f>IFERROR(J82/J148, "NA")</f>
        <v>9.5830559206090196E-3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248</v>
      </c>
      <c r="U82" s="8">
        <f>IFERROR(T82/T148, "NA")</f>
        <v>9.6338664590723821E-3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248</v>
      </c>
      <c r="AA82" s="8">
        <f>IFERROR(Z82/Z148, "NA")</f>
        <v>2.5066904883124042E-3</v>
      </c>
      <c r="AB82" s="9">
        <f t="shared" si="30"/>
        <v>62</v>
      </c>
      <c r="AC82" s="8">
        <f>IFERROR(AB82/AB148, "NA")</f>
        <v>2.5066904883124042E-3</v>
      </c>
      <c r="AD82" s="10">
        <f t="shared" si="31"/>
        <v>-62</v>
      </c>
      <c r="AE82" s="11">
        <f>IFERROR(AD82/AD148, "NA")</f>
        <v>0.2925666827892936</v>
      </c>
      <c r="AF82" s="10">
        <f t="shared" si="32"/>
        <v>-1</v>
      </c>
      <c r="AG82" s="9">
        <f t="shared" si="33"/>
        <v>62</v>
      </c>
      <c r="AH82" s="8">
        <f>IFERROR(AG82/AG148, "NA")</f>
        <v>2.4276979188070139E-3</v>
      </c>
      <c r="AI82" s="10">
        <f t="shared" si="34"/>
        <v>-62</v>
      </c>
      <c r="AJ82" s="11">
        <f>IFERROR(AI82/AI148, "NA")</f>
        <v>6.098115731417364E-2</v>
      </c>
      <c r="AK82" s="10">
        <f t="shared" si="35"/>
        <v>-1</v>
      </c>
      <c r="AL82" s="11">
        <f>IFERROR(AK82/AK148, "NA")</f>
        <v>25.118923092433246</v>
      </c>
    </row>
    <row r="83" spans="1:38" ht="16.5" customHeight="1">
      <c r="A83" s="23" t="s">
        <v>95</v>
      </c>
      <c r="B83" s="7">
        <v>-159.66</v>
      </c>
      <c r="C83" s="8">
        <f>IFERROR(B83/B148, "NA")</f>
        <v>-5.8662038173312777E-3</v>
      </c>
      <c r="D83" s="7">
        <v>-159.66</v>
      </c>
      <c r="E83" s="8">
        <f>IFERROR(D83/D148, "NA")</f>
        <v>-3.8692828958114514E-3</v>
      </c>
      <c r="F83" s="7">
        <v>1330.66</v>
      </c>
      <c r="G83" s="8">
        <f>IFERROR(F83/F148, "NA")</f>
        <v>4.1548795307876869E-2</v>
      </c>
      <c r="H83" s="7">
        <v>-159.66</v>
      </c>
      <c r="I83" s="8">
        <f>IFERROR(H83/H148, "NA")</f>
        <v>-5.532266704735795E-3</v>
      </c>
      <c r="J83" s="7">
        <v>-159.66</v>
      </c>
      <c r="K83" s="8">
        <f>IFERROR(J83/J148, "NA")</f>
        <v>-6.1694786624372422E-3</v>
      </c>
      <c r="L83" s="7">
        <v>-159.66</v>
      </c>
      <c r="M83" s="8">
        <f>IFERROR(L83/L148, "NA")</f>
        <v>-6.2132419183296862E-3</v>
      </c>
      <c r="N83" s="7">
        <v>1214.48</v>
      </c>
      <c r="O83" s="8">
        <f>IFERROR(N83/N148, "NA")</f>
        <v>4.8262041170245615E-2</v>
      </c>
      <c r="P83" s="7">
        <v>-159.66</v>
      </c>
      <c r="Q83" s="8">
        <f>IFERROR(P83/P148, "NA")</f>
        <v>-5.5759822753192762E-3</v>
      </c>
      <c r="R83" s="7">
        <v>-159.66</v>
      </c>
      <c r="S83" s="8">
        <f>IFERROR(R83/R148, "NA")</f>
        <v>-5.6896378459628371E-3</v>
      </c>
      <c r="T83" s="7">
        <v>-159.66</v>
      </c>
      <c r="U83" s="8">
        <f>IFERROR(T83/T148, "NA")</f>
        <v>-6.2021899953850672E-3</v>
      </c>
      <c r="V83" s="7">
        <v>-159.66</v>
      </c>
      <c r="W83" s="8">
        <f>IFERROR(V83/V148, "NA")</f>
        <v>-7.7469955282280607E-3</v>
      </c>
      <c r="X83" s="7">
        <v>1252.95</v>
      </c>
      <c r="Y83" s="8">
        <f>IFERROR(X83/X148, "NA")</f>
        <v>5.1095164361311465E-2</v>
      </c>
      <c r="Z83" s="7">
        <v>773.97</v>
      </c>
      <c r="AA83" s="8">
        <f>IFERROR(Z83/Z148, "NA")</f>
        <v>7.8229969243514171E-3</v>
      </c>
      <c r="AB83" s="9">
        <f t="shared" si="30"/>
        <v>193.49250000000001</v>
      </c>
      <c r="AC83" s="8">
        <f>IFERROR(AB83/AB148, "NA")</f>
        <v>7.8229969243514171E-3</v>
      </c>
      <c r="AD83" s="10">
        <f t="shared" si="31"/>
        <v>1059.4575</v>
      </c>
      <c r="AE83" s="11">
        <f>IFERROR(AD83/AD148, "NA")</f>
        <v>-4.9993865537296456</v>
      </c>
      <c r="AF83" s="10">
        <f t="shared" si="32"/>
        <v>5.4754447846815761</v>
      </c>
      <c r="AG83" s="9">
        <f t="shared" si="33"/>
        <v>188.68375000000003</v>
      </c>
      <c r="AH83" s="8">
        <f>IFERROR(AG83/AG148, "NA")</f>
        <v>7.3881797933500479E-3</v>
      </c>
      <c r="AI83" s="10">
        <f t="shared" si="34"/>
        <v>1064.2662500000001</v>
      </c>
      <c r="AJ83" s="11">
        <f>IFERROR(AI83/AI148, "NA")</f>
        <v>-1.0467772196034784</v>
      </c>
      <c r="AK83" s="10">
        <f t="shared" si="35"/>
        <v>5.6404764586245504</v>
      </c>
      <c r="AL83" s="11">
        <f>IFERROR(AK83/AK148, "NA")</f>
        <v>-141.68269436887033</v>
      </c>
    </row>
    <row r="84" spans="1:38" ht="16.5" customHeight="1">
      <c r="A84" s="27" t="s">
        <v>96</v>
      </c>
      <c r="B84" s="13">
        <f>IFERROR(B63+B65+B66+B67+B68+B69+B71+B72+B74+B75+B76+B77+B78+B79+B80+B82+B83, "NA")</f>
        <v>6746.92</v>
      </c>
      <c r="C84" s="14">
        <f>IFERROR(B84/B148, "NA")</f>
        <v>0.2478943245598694</v>
      </c>
      <c r="D84" s="13">
        <f>IFERROR(D63+D65+D66+D67+D68+D69+D71+D72+D74+D75+D76+D77+D78+D79+D80+D82+D83, "NA")</f>
        <v>7327.83</v>
      </c>
      <c r="E84" s="14">
        <f>IFERROR(D84/D148, "NA")</f>
        <v>0.17758641665046992</v>
      </c>
      <c r="F84" s="13">
        <f>IFERROR(F63+F65+F66+F67+F68+F69+F71+F72+F74+F75+F76+F77+F78+F79+F80+F82+F83, "NA")</f>
        <v>8244.0300000000007</v>
      </c>
      <c r="G84" s="14">
        <f>IFERROR(F84/F148, "NA")</f>
        <v>0.25741324980235086</v>
      </c>
      <c r="H84" s="13">
        <f>IFERROR(H63+H65+H66+H67+H68+H69+H71+H72+H74+H75+H76+H77+H78+H79+H80+H82+H83, "NA")</f>
        <v>5544.6100000000006</v>
      </c>
      <c r="I84" s="14">
        <f>IFERROR(H84/H148, "NA")</f>
        <v>0.19212239317139634</v>
      </c>
      <c r="J84" s="13">
        <f>IFERROR(J63+J65+J66+J67+J68+J69+J71+J72+J74+J75+J76+J77+J78+J79+J80+J82+J83, "NA")</f>
        <v>6848.59</v>
      </c>
      <c r="K84" s="14">
        <f>IFERROR(J84/J148, "NA")</f>
        <v>0.26463879414243435</v>
      </c>
      <c r="L84" s="13">
        <f>IFERROR(L63+L65+L66+L67+L68+L69+L71+L72+L74+L75+L76+L77+L78+L79+L80+L82+L83, "NA")</f>
        <v>6642.89</v>
      </c>
      <c r="M84" s="14">
        <f>IFERROR(L84/L148, "NA")</f>
        <v>0.25851110238540081</v>
      </c>
      <c r="N84" s="13">
        <f>IFERROR(N63+N65+N66+N67+N68+N69+N71+N72+N74+N75+N76+N77+N78+N79+N80+N82+N83, "NA")</f>
        <v>7662.1</v>
      </c>
      <c r="O84" s="14">
        <f>IFERROR(N84/N148, "NA")</f>
        <v>0.30448305912863027</v>
      </c>
      <c r="P84" s="13">
        <f>IFERROR(P63+P65+P66+P67+P68+P69+P71+P72+P74+P75+P76+P77+P78+P79+P80+P82+P83, "NA")</f>
        <v>7009.39</v>
      </c>
      <c r="Q84" s="14">
        <f>IFERROR(P84/P148, "NA")</f>
        <v>0.24479665790304511</v>
      </c>
      <c r="R84" s="13">
        <f>IFERROR(R63+R65+R66+R67+R68+R69+R71+R72+R74+R75+R76+R77+R78+R79+R80+R82+R83, "NA")</f>
        <v>7879.5</v>
      </c>
      <c r="S84" s="14">
        <f>IFERROR(R84/R148, "NA")</f>
        <v>0.28079357013193146</v>
      </c>
      <c r="T84" s="13">
        <f>IFERROR(T63+T65+T66+T67+T68+T69+T71+T72+T74+T75+T76+T77+T78+T79+T80+T82+T83, "NA")</f>
        <v>7105.7400000000007</v>
      </c>
      <c r="U84" s="14">
        <f>IFERROR(T84/T148, "NA")</f>
        <v>0.27603125101971371</v>
      </c>
      <c r="V84" s="13">
        <f>IFERROR(V63+V65+V66+V67+V68+V69+V71+V72+V74+V75+V76+V77+V78+V79+V80+V82+V83, "NA")</f>
        <v>6983.57</v>
      </c>
      <c r="W84" s="14">
        <f>IFERROR(V84/V148, "NA")</f>
        <v>0.33885560291286254</v>
      </c>
      <c r="X84" s="13">
        <f>IFERROR(X63+X65+X66+X67+X68+X69+X71+X72+X74+X75+X76+X77+X78+X79+X80+X82+X83, "NA")</f>
        <v>7087.3499999999995</v>
      </c>
      <c r="Y84" s="14">
        <f>IFERROR(X84/X148, "NA")</f>
        <v>0.28902136009907881</v>
      </c>
      <c r="Z84" s="13">
        <f>IFERROR(Z63+Z65+Z66+Z67+Z68+Z69+Z71+Z72+Z74+Z75+Z76+Z77+Z78+Z79+Z80+Z82+Z83, "NA")</f>
        <v>29056.160000000003</v>
      </c>
      <c r="AA84" s="14">
        <f>IFERROR(Z84/Z148, "NA")</f>
        <v>0.29368870926969093</v>
      </c>
      <c r="AB84" s="13">
        <f t="shared" si="30"/>
        <v>7264.04</v>
      </c>
      <c r="AC84" s="14">
        <f>IFERROR(AB84/AB148, "NA")</f>
        <v>0.29368870926969087</v>
      </c>
      <c r="AD84" s="15">
        <f t="shared" si="31"/>
        <v>-176.69000000000051</v>
      </c>
      <c r="AE84" s="16">
        <f>IFERROR(AD84/AD148, "NA")</f>
        <v>0.83376785777484574</v>
      </c>
      <c r="AF84" s="15">
        <f t="shared" si="32"/>
        <v>-2.4323929934306598E-2</v>
      </c>
      <c r="AG84" s="13">
        <f t="shared" si="33"/>
        <v>7152.3912499999997</v>
      </c>
      <c r="AH84" s="14">
        <f>IFERROR(AG84/AG148, "NA")</f>
        <v>0.28006202180836282</v>
      </c>
      <c r="AI84" s="15">
        <f t="shared" si="34"/>
        <v>-65.041250000000218</v>
      </c>
      <c r="AJ84" s="16">
        <f>IFERROR(AI84/AI148, "NA")</f>
        <v>6.3972430615492085E-2</v>
      </c>
      <c r="AK84" s="15">
        <f t="shared" si="35"/>
        <v>-9.0936370406191382E-3</v>
      </c>
      <c r="AL84" s="16">
        <f>IFERROR(AK84/AK148, "NA")</f>
        <v>0.22842236945381442</v>
      </c>
    </row>
    <row r="85" spans="1:38" ht="16.5" customHeight="1">
      <c r="A85" s="12" t="s">
        <v>96</v>
      </c>
      <c r="B85" s="28">
        <f>IFERROR(B63+B65+B66+B67+B68+B69+B71+B72+B74+B75+B76+B77+B78+B79+B80+B82+B83, "NA")</f>
        <v>6746.92</v>
      </c>
      <c r="C85" s="29">
        <f>IFERROR(B85/B148, "NA")</f>
        <v>0.2478943245598694</v>
      </c>
      <c r="D85" s="28">
        <f>IFERROR(D63+D65+D66+D67+D68+D69+D71+D72+D74+D75+D76+D77+D78+D79+D80+D82+D83, "NA")</f>
        <v>7327.83</v>
      </c>
      <c r="E85" s="29">
        <f>IFERROR(D85/D148, "NA")</f>
        <v>0.17758641665046992</v>
      </c>
      <c r="F85" s="28">
        <f>IFERROR(F63+F65+F66+F67+F68+F69+F71+F72+F74+F75+F76+F77+F78+F79+F80+F82+F83, "NA")</f>
        <v>8244.0300000000007</v>
      </c>
      <c r="G85" s="29">
        <f>IFERROR(F85/F148, "NA")</f>
        <v>0.25741324980235086</v>
      </c>
      <c r="H85" s="28">
        <f>IFERROR(H63+H65+H66+H67+H68+H69+H71+H72+H74+H75+H76+H77+H78+H79+H80+H82+H83, "NA")</f>
        <v>5544.6100000000006</v>
      </c>
      <c r="I85" s="29">
        <f>IFERROR(H85/H148, "NA")</f>
        <v>0.19212239317139634</v>
      </c>
      <c r="J85" s="28">
        <f>IFERROR(J63+J65+J66+J67+J68+J69+J71+J72+J74+J75+J76+J77+J78+J79+J80+J82+J83, "NA")</f>
        <v>6848.59</v>
      </c>
      <c r="K85" s="29">
        <f>IFERROR(J85/J148, "NA")</f>
        <v>0.26463879414243435</v>
      </c>
      <c r="L85" s="28">
        <f>IFERROR(L63+L65+L66+L67+L68+L69+L71+L72+L74+L75+L76+L77+L78+L79+L80+L82+L83, "NA")</f>
        <v>6642.89</v>
      </c>
      <c r="M85" s="29">
        <f>IFERROR(L85/L148, "NA")</f>
        <v>0.25851110238540081</v>
      </c>
      <c r="N85" s="28">
        <f>IFERROR(N63+N65+N66+N67+N68+N69+N71+N72+N74+N75+N76+N77+N78+N79+N80+N82+N83, "NA")</f>
        <v>7662.1</v>
      </c>
      <c r="O85" s="29">
        <f>IFERROR(N85/N148, "NA")</f>
        <v>0.30448305912863027</v>
      </c>
      <c r="P85" s="28">
        <f>IFERROR(P63+P65+P66+P67+P68+P69+P71+P72+P74+P75+P76+P77+P78+P79+P80+P82+P83, "NA")</f>
        <v>7009.39</v>
      </c>
      <c r="Q85" s="29">
        <f>IFERROR(P85/P148, "NA")</f>
        <v>0.24479665790304511</v>
      </c>
      <c r="R85" s="28">
        <f>IFERROR(R63+R65+R66+R67+R68+R69+R71+R72+R74+R75+R76+R77+R78+R79+R80+R82+R83, "NA")</f>
        <v>7879.5</v>
      </c>
      <c r="S85" s="29">
        <f>IFERROR(R85/R148, "NA")</f>
        <v>0.28079357013193146</v>
      </c>
      <c r="T85" s="28">
        <f>IFERROR(T63+T65+T66+T67+T68+T69+T71+T72+T74+T75+T76+T77+T78+T79+T80+T82+T83, "NA")</f>
        <v>7105.7400000000007</v>
      </c>
      <c r="U85" s="29">
        <f>IFERROR(T85/T148, "NA")</f>
        <v>0.27603125101971371</v>
      </c>
      <c r="V85" s="28">
        <f>IFERROR(V63+V65+V66+V67+V68+V69+V71+V72+V74+V75+V76+V77+V78+V79+V80+V82+V83, "NA")</f>
        <v>6983.57</v>
      </c>
      <c r="W85" s="29">
        <f>IFERROR(V85/V148, "NA")</f>
        <v>0.33885560291286254</v>
      </c>
      <c r="X85" s="28">
        <f>IFERROR(X63+X65+X66+X67+X68+X69+X71+X72+X74+X75+X76+X77+X78+X79+X80+X82+X83, "NA")</f>
        <v>7087.3499999999995</v>
      </c>
      <c r="Y85" s="29">
        <f>IFERROR(X85/X148, "NA")</f>
        <v>0.28902136009907881</v>
      </c>
      <c r="Z85" s="28">
        <f>IFERROR(Z63+Z65+Z66+Z67+Z68+Z69+Z71+Z72+Z74+Z75+Z76+Z77+Z78+Z79+Z80+Z82+Z83, "NA")</f>
        <v>29056.160000000003</v>
      </c>
      <c r="AA85" s="29">
        <f>IFERROR(Z85/Z148, "NA")</f>
        <v>0.29368870926969093</v>
      </c>
      <c r="AB85" s="28">
        <f t="shared" si="30"/>
        <v>7264.04</v>
      </c>
      <c r="AC85" s="29">
        <f>IFERROR(AB85/AB148, "NA")</f>
        <v>0.29368870926969087</v>
      </c>
      <c r="AD85" s="30">
        <f t="shared" si="31"/>
        <v>-176.69000000000051</v>
      </c>
      <c r="AE85" s="31">
        <f>IFERROR(AD85/AD148, "NA")</f>
        <v>0.83376785777484574</v>
      </c>
      <c r="AF85" s="30">
        <f t="shared" si="32"/>
        <v>-2.4323929934306598E-2</v>
      </c>
      <c r="AG85" s="28">
        <f t="shared" si="33"/>
        <v>7152.3912499999997</v>
      </c>
      <c r="AH85" s="29">
        <f>IFERROR(AG85/AG148, "NA")</f>
        <v>0.28006202180836282</v>
      </c>
      <c r="AI85" s="30">
        <f t="shared" si="34"/>
        <v>-65.041250000000218</v>
      </c>
      <c r="AJ85" s="31">
        <f>IFERROR(AI85/AI148, "NA")</f>
        <v>6.3972430615492085E-2</v>
      </c>
      <c r="AK85" s="30">
        <f t="shared" si="35"/>
        <v>-9.0936370406191382E-3</v>
      </c>
      <c r="AL85" s="31">
        <f>IFERROR(AK85/AK148, "NA")</f>
        <v>0.22842236945381442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13303.260000000004</v>
      </c>
      <c r="C87" s="34">
        <f>IFERROR(B87/B148, "NA")</f>
        <v>0.48878638729143509</v>
      </c>
      <c r="D87" s="33">
        <f>IFERROR(D59-D85, "NA")</f>
        <v>24033.250000000007</v>
      </c>
      <c r="E87" s="34">
        <f>IFERROR(D87/D148, "NA")</f>
        <v>0.5824341923823162</v>
      </c>
      <c r="F87" s="33">
        <f>IFERROR(F59-F85, "NA")</f>
        <v>15200.42</v>
      </c>
      <c r="G87" s="34">
        <f>IFERROR(F87/F148, "NA")</f>
        <v>0.47462096942401344</v>
      </c>
      <c r="H87" s="33">
        <f>IFERROR(H59-H85, "NA")</f>
        <v>16418.339999999989</v>
      </c>
      <c r="I87" s="34">
        <f>IFERROR(H87/H148, "NA")</f>
        <v>0.56890038662803355</v>
      </c>
      <c r="J87" s="33">
        <f>IFERROR(J59-J85, "NA")</f>
        <v>11350.109999999997</v>
      </c>
      <c r="K87" s="34">
        <f>IFERROR(J87/J148, "NA")</f>
        <v>0.43858362433493392</v>
      </c>
      <c r="L87" s="33">
        <f>IFERROR(L59-L85, "NA")</f>
        <v>11923.700000000004</v>
      </c>
      <c r="M87" s="34">
        <f>IFERROR(L87/L148, "NA")</f>
        <v>0.4640162386420375</v>
      </c>
      <c r="N87" s="33">
        <f>IFERROR(N59-N85, "NA")</f>
        <v>11082.239999999996</v>
      </c>
      <c r="O87" s="34">
        <f>IFERROR(N87/N148, "NA")</f>
        <v>0.44039549695222857</v>
      </c>
      <c r="P87" s="33">
        <f>IFERROR(P59-P85, "NA")</f>
        <v>13961.55999999999</v>
      </c>
      <c r="Q87" s="34">
        <f>IFERROR(P87/P148, "NA")</f>
        <v>0.48759495863589214</v>
      </c>
      <c r="R87" s="33">
        <f>IFERROR(R59-R85, "NA")</f>
        <v>13214.209999999995</v>
      </c>
      <c r="S87" s="34">
        <f>IFERROR(R87/R148, "NA")</f>
        <v>0.47090109808656244</v>
      </c>
      <c r="T87" s="33">
        <f>IFERROR(T59-T85, "NA")</f>
        <v>12374.639999999996</v>
      </c>
      <c r="U87" s="34">
        <f>IFERROR(T87/T148, "NA")</f>
        <v>0.4807081824157074</v>
      </c>
      <c r="V87" s="33">
        <f>IFERROR(V59-V85, "NA")</f>
        <v>7998.9199999999983</v>
      </c>
      <c r="W87" s="34">
        <f>IFERROR(V87/V148, "NA")</f>
        <v>0.38812224396000244</v>
      </c>
      <c r="X87" s="33">
        <f>IFERROR(X59-X85, "NA")</f>
        <v>11134.95</v>
      </c>
      <c r="Y87" s="34">
        <f>IFERROR(X87/X148, "NA")</f>
        <v>0.45408204669379076</v>
      </c>
      <c r="Z87" s="33">
        <f>IFERROR(Z59-Z85, "NA")</f>
        <v>44722.720000000001</v>
      </c>
      <c r="AA87" s="34">
        <f>IFERROR(Z87/Z148, "NA")</f>
        <v>0.45204039046556016</v>
      </c>
      <c r="AB87" s="33">
        <f>IFERROR((R87+T87+V87+X87)/4, "NA")</f>
        <v>11180.679999999997</v>
      </c>
      <c r="AC87" s="34">
        <f>IFERROR(AB87/AB148, "NA")</f>
        <v>0.45204039046556005</v>
      </c>
      <c r="AD87" s="15">
        <f>IFERROR(X87-AB87, "NA")</f>
        <v>-45.729999999995925</v>
      </c>
      <c r="AE87" s="16">
        <f>IFERROR(AD87/AD148, "NA")</f>
        <v>0.21579152264440651</v>
      </c>
      <c r="AF87" s="15">
        <f>IFERROR((X87-AB87)/AB87, "NA")</f>
        <v>-4.0900911214698877E-3</v>
      </c>
      <c r="AG87" s="33">
        <f>IFERROR((J87+L87+N87+P87+R87+T87+V87+X87)/8, "NA")</f>
        <v>11630.041249999997</v>
      </c>
      <c r="AH87" s="34">
        <f>IFERROR(AG87/AG148, "NA")</f>
        <v>0.45539075706878573</v>
      </c>
      <c r="AI87" s="15">
        <f>IFERROR(X87-AG87, "NA")</f>
        <v>-495.09124999999585</v>
      </c>
      <c r="AJ87" s="16">
        <f>IFERROR(AI87/AI148, "NA")</f>
        <v>0.48695544195355833</v>
      </c>
      <c r="AK87" s="15">
        <f>IFERROR((X87-AG87)/AG87, "NA")</f>
        <v>-4.2570033876706673E-2</v>
      </c>
      <c r="AL87" s="16">
        <f>IFERROR(AK87/AK148, "NA")</f>
        <v>1.0693134069912729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604.50999999999988</v>
      </c>
      <c r="C90" s="8">
        <f>IFERROR(B90/B148, "NA")</f>
        <v>2.2210815918921021E-2</v>
      </c>
      <c r="D90" s="7">
        <v>932.04</v>
      </c>
      <c r="E90" s="8">
        <f>IFERROR(D90/D148, "NA")</f>
        <v>2.2587538708581392E-2</v>
      </c>
      <c r="F90" s="7">
        <v>804.93999999999994</v>
      </c>
      <c r="G90" s="8">
        <f>IFERROR(F90/F148, "NA")</f>
        <v>2.5133608356095776E-2</v>
      </c>
      <c r="H90" s="7">
        <v>606.45000000000005</v>
      </c>
      <c r="I90" s="8">
        <f>IFERROR(H90/H148, "NA")</f>
        <v>2.1013673700908325E-2</v>
      </c>
      <c r="J90" s="7">
        <v>807.9</v>
      </c>
      <c r="K90" s="8">
        <f>IFERROR(J90/J148, "NA")</f>
        <v>3.1218350315564622E-2</v>
      </c>
      <c r="L90" s="7">
        <v>327.81000000000006</v>
      </c>
      <c r="M90" s="8">
        <f>IFERROR(L90/L148, "NA")</f>
        <v>1.2756876069445415E-2</v>
      </c>
      <c r="N90" s="7">
        <v>568.85</v>
      </c>
      <c r="O90" s="8">
        <f>IFERROR(N90/N148, "NA")</f>
        <v>2.2605446050733002E-2</v>
      </c>
      <c r="P90" s="7">
        <v>535.33000000000004</v>
      </c>
      <c r="Q90" s="8">
        <f>IFERROR(P90/P148, "NA")</f>
        <v>1.8695920026598197E-2</v>
      </c>
      <c r="R90" s="7">
        <v>547.77</v>
      </c>
      <c r="S90" s="8">
        <f>IFERROR(R90/R148, "NA")</f>
        <v>1.9520311429807487E-2</v>
      </c>
      <c r="T90" s="7">
        <v>924.3</v>
      </c>
      <c r="U90" s="8">
        <f>IFERROR(T90/T148, "NA")</f>
        <v>3.5905575677905657E-2</v>
      </c>
      <c r="V90" s="7">
        <v>742.31999999999994</v>
      </c>
      <c r="W90" s="8">
        <f>IFERROR(V90/V148, "NA")</f>
        <v>3.6018725544997202E-2</v>
      </c>
      <c r="X90" s="7">
        <v>524.73</v>
      </c>
      <c r="Y90" s="8">
        <f>IFERROR(X90/X148, "NA")</f>
        <v>2.1398432176312675E-2</v>
      </c>
      <c r="Z90" s="7">
        <v>2739.12</v>
      </c>
      <c r="AA90" s="8">
        <f>IFERROR(Z90/Z148, "NA")</f>
        <v>2.7685992138493033E-2</v>
      </c>
      <c r="AB90" s="9">
        <f t="shared" ref="AB90:AB99" si="36">IFERROR((R90+T90+V90+X90)/4, "NA")</f>
        <v>684.78</v>
      </c>
      <c r="AC90" s="8">
        <f>IFERROR(AB90/AB148, "NA")</f>
        <v>2.7685992138493033E-2</v>
      </c>
      <c r="AD90" s="10">
        <f t="shared" ref="AD90:AD99" si="37">IFERROR(X90-AB90, "NA")</f>
        <v>-160.04999999999995</v>
      </c>
      <c r="AE90" s="11">
        <f>IFERROR(AD90/AD148, "NA")</f>
        <v>0.7552467351681682</v>
      </c>
      <c r="AF90" s="10">
        <f t="shared" ref="AF90:AF99" si="38">IFERROR((X90-AB90)/AB90, "NA")</f>
        <v>-0.23372469990361863</v>
      </c>
      <c r="AG90" s="9">
        <f t="shared" ref="AG90:AG99" si="39">IFERROR((J90+L90+N90+P90+R90+T90+V90+X90)/8, "NA")</f>
        <v>622.37625000000003</v>
      </c>
      <c r="AH90" s="8">
        <f>IFERROR(AG90/AG148, "NA")</f>
        <v>2.4370024626450222E-2</v>
      </c>
      <c r="AI90" s="10">
        <f t="shared" ref="AI90:AI99" si="40">IFERROR(X90-AG90, "NA")</f>
        <v>-97.646250000000009</v>
      </c>
      <c r="AJ90" s="11">
        <f>IFERROR(AI90/AI148, "NA")</f>
        <v>9.6041634393373043E-2</v>
      </c>
      <c r="AK90" s="10">
        <f t="shared" ref="AK90:AK99" si="41">IFERROR((X90-AG90)/AG90, "NA")</f>
        <v>-0.15689263528291769</v>
      </c>
      <c r="AL90" s="11">
        <f>IFERROR(AK90/AK148, "NA")</f>
        <v>3.9409740394407886</v>
      </c>
    </row>
    <row r="91" spans="1:38" ht="16.5" hidden="1" customHeight="1">
      <c r="A91" s="6" t="s">
        <v>100</v>
      </c>
      <c r="B91" s="7">
        <v>1819.76</v>
      </c>
      <c r="C91" s="8">
        <f>IFERROR(B91/B148, "NA")</f>
        <v>6.6861349484070937E-2</v>
      </c>
      <c r="D91" s="7">
        <v>1842.5900000000001</v>
      </c>
      <c r="E91" s="8">
        <f>IFERROR(D91/D148, "NA")</f>
        <v>4.465427765873245E-2</v>
      </c>
      <c r="F91" s="7">
        <v>1975.75</v>
      </c>
      <c r="G91" s="8">
        <f>IFERROR(F91/F148, "NA")</f>
        <v>6.1691215133495951E-2</v>
      </c>
      <c r="H91" s="7">
        <v>1229.8600000000001</v>
      </c>
      <c r="I91" s="8">
        <f>IFERROR(H91/H148, "NA")</f>
        <v>4.2615016469287018E-2</v>
      </c>
      <c r="J91" s="7">
        <v>1082.6399999999999</v>
      </c>
      <c r="K91" s="8">
        <f>IFERROR(J91/J148, "NA")</f>
        <v>4.1834676056000594E-2</v>
      </c>
      <c r="L91" s="7">
        <v>1519.56</v>
      </c>
      <c r="M91" s="8">
        <f>IFERROR(L91/L148, "NA")</f>
        <v>5.9134372350100578E-2</v>
      </c>
      <c r="N91" s="7">
        <v>1691.7400000000002</v>
      </c>
      <c r="O91" s="8">
        <f>IFERROR(N91/N148, "NA")</f>
        <v>6.7227805751721992E-2</v>
      </c>
      <c r="P91" s="7">
        <v>1378.79</v>
      </c>
      <c r="Q91" s="8">
        <f>IFERROR(P91/P148, "NA")</f>
        <v>4.8153003891942027E-2</v>
      </c>
      <c r="R91" s="7">
        <v>1062.1199999999999</v>
      </c>
      <c r="S91" s="8">
        <f>IFERROR(R91/R148, "NA")</f>
        <v>3.7849668977540073E-2</v>
      </c>
      <c r="T91" s="7">
        <v>492.55</v>
      </c>
      <c r="U91" s="8">
        <f>IFERROR(T91/T148, "NA")</f>
        <v>1.9133713404903639E-2</v>
      </c>
      <c r="V91" s="7">
        <v>221.31</v>
      </c>
      <c r="W91" s="8">
        <f>IFERROR(V91/V148, "NA")</f>
        <v>1.0738366405813304E-2</v>
      </c>
      <c r="X91" s="7">
        <v>242.42</v>
      </c>
      <c r="Y91" s="8">
        <f>IFERROR(X91/X148, "NA")</f>
        <v>9.8858611632300763E-3</v>
      </c>
      <c r="Z91" s="7">
        <v>2018.3999999999999</v>
      </c>
      <c r="AA91" s="8">
        <f>IFERROR(Z91/Z148, "NA")</f>
        <v>2.0401226135523209E-2</v>
      </c>
      <c r="AB91" s="9">
        <f t="shared" si="36"/>
        <v>504.59999999999997</v>
      </c>
      <c r="AC91" s="8">
        <f>IFERROR(AB91/AB148, "NA")</f>
        <v>2.0401226135523209E-2</v>
      </c>
      <c r="AD91" s="10">
        <f t="shared" si="37"/>
        <v>-262.17999999999995</v>
      </c>
      <c r="AE91" s="11">
        <f>IFERROR(AD91/AD148, "NA")</f>
        <v>1.2371795628015643</v>
      </c>
      <c r="AF91" s="10">
        <f t="shared" si="38"/>
        <v>-0.51957986523979383</v>
      </c>
      <c r="AG91" s="9">
        <f t="shared" si="39"/>
        <v>961.39125000000013</v>
      </c>
      <c r="AH91" s="8">
        <f>IFERROR(AG91/AG148, "NA")</f>
        <v>3.7644637690068934E-2</v>
      </c>
      <c r="AI91" s="10">
        <f t="shared" si="40"/>
        <v>-718.97125000000017</v>
      </c>
      <c r="AJ91" s="11">
        <f>IFERROR(AI91/AI148, "NA")</f>
        <v>0.70715643388093663</v>
      </c>
      <c r="AK91" s="10">
        <f t="shared" si="41"/>
        <v>-0.74784459500749567</v>
      </c>
      <c r="AL91" s="11">
        <f>IFERROR(AK91/AK148, "NA")</f>
        <v>18.785050867085172</v>
      </c>
    </row>
    <row r="92" spans="1:38" ht="16.5" hidden="1" customHeight="1">
      <c r="A92" s="6" t="s">
        <v>101</v>
      </c>
      <c r="B92" s="7">
        <v>282.31</v>
      </c>
      <c r="C92" s="8">
        <f>IFERROR(B92/B148, "NA")</f>
        <v>1.037259175542273E-2</v>
      </c>
      <c r="D92" s="7">
        <v>593.71</v>
      </c>
      <c r="E92" s="8">
        <f>IFERROR(D92/D148, "NA")</f>
        <v>1.43882747593149E-2</v>
      </c>
      <c r="F92" s="7">
        <v>388.66</v>
      </c>
      <c r="G92" s="8">
        <f>IFERROR(F92/F148, "NA")</f>
        <v>1.2135597962183747E-2</v>
      </c>
      <c r="H92" s="7">
        <v>387.35</v>
      </c>
      <c r="I92" s="8">
        <f>IFERROR(H92/H148, "NA")</f>
        <v>1.3421793236123077E-2</v>
      </c>
      <c r="J92" s="7">
        <v>334.09</v>
      </c>
      <c r="K92" s="8">
        <f>IFERROR(J92/J148, "NA")</f>
        <v>1.290969013111398E-2</v>
      </c>
      <c r="L92" s="7">
        <v>187.85999999999999</v>
      </c>
      <c r="M92" s="8">
        <f>IFERROR(L92/L148, "NA")</f>
        <v>7.3106578152161766E-3</v>
      </c>
      <c r="N92" s="7">
        <v>306.83</v>
      </c>
      <c r="O92" s="8">
        <f>IFERROR(N92/N148, "NA")</f>
        <v>1.2193072007992276E-2</v>
      </c>
      <c r="P92" s="7">
        <v>210.22</v>
      </c>
      <c r="Q92" s="8">
        <f>IFERROR(P92/P148, "NA")</f>
        <v>7.341744919939986E-3</v>
      </c>
      <c r="R92" s="7">
        <v>237.22</v>
      </c>
      <c r="S92" s="8">
        <f>IFERROR(R92/R148, "NA")</f>
        <v>8.4535631330283374E-3</v>
      </c>
      <c r="T92" s="7">
        <v>349.69</v>
      </c>
      <c r="U92" s="8">
        <f>IFERROR(T92/T148, "NA")</f>
        <v>1.358414016964928E-2</v>
      </c>
      <c r="V92" s="7">
        <v>120.5</v>
      </c>
      <c r="W92" s="8">
        <f>IFERROR(V92/V148, "NA")</f>
        <v>5.8468806285323898E-3</v>
      </c>
      <c r="X92" s="7">
        <v>307.68</v>
      </c>
      <c r="Y92" s="8">
        <f>IFERROR(X92/X148, "NA")</f>
        <v>1.2547156846393162E-2</v>
      </c>
      <c r="Z92" s="7">
        <v>1015.0899999999999</v>
      </c>
      <c r="AA92" s="8">
        <f>IFERROR(Z92/Z148, "NA")</f>
        <v>1.0260146966859025E-2</v>
      </c>
      <c r="AB92" s="9">
        <f t="shared" si="36"/>
        <v>253.77249999999998</v>
      </c>
      <c r="AC92" s="8">
        <f>IFERROR(AB92/AB148, "NA")</f>
        <v>1.0260146966859025E-2</v>
      </c>
      <c r="AD92" s="10">
        <f t="shared" si="37"/>
        <v>53.907500000000027</v>
      </c>
      <c r="AE92" s="11">
        <f>IFERROR(AD92/AD148, "NA")</f>
        <v>-0.25437965245909439</v>
      </c>
      <c r="AF92" s="10">
        <f t="shared" si="38"/>
        <v>0.21242451408249527</v>
      </c>
      <c r="AG92" s="9">
        <f t="shared" si="39"/>
        <v>256.76125000000002</v>
      </c>
      <c r="AH92" s="8">
        <f>IFERROR(AG92/AG148, "NA")</f>
        <v>1.0053850842827217E-2</v>
      </c>
      <c r="AI92" s="10">
        <f t="shared" si="40"/>
        <v>50.918749999999989</v>
      </c>
      <c r="AJ92" s="11">
        <f>IFERROR(AI92/AI148, "NA")</f>
        <v>-5.0082004903081907E-2</v>
      </c>
      <c r="AK92" s="10">
        <f t="shared" si="41"/>
        <v>0.19831166112487764</v>
      </c>
      <c r="AL92" s="11">
        <f>IFERROR(AK92/AK148, "NA")</f>
        <v>-4.9813753641284855</v>
      </c>
    </row>
    <row r="93" spans="1:38" ht="16.5" hidden="1" customHeight="1">
      <c r="A93" s="6" t="s">
        <v>102</v>
      </c>
      <c r="B93" s="7">
        <v>1419.15</v>
      </c>
      <c r="C93" s="8">
        <f>IFERROR(B93/B148, "NA")</f>
        <v>5.2142196839319074E-2</v>
      </c>
      <c r="D93" s="7">
        <v>4185.07</v>
      </c>
      <c r="E93" s="8">
        <f>IFERROR(D93/D148, "NA")</f>
        <v>0.10142314774379074</v>
      </c>
      <c r="F93" s="7">
        <v>2236.6999999999998</v>
      </c>
      <c r="G93" s="8">
        <f>IFERROR(F93/F148, "NA")</f>
        <v>6.983917038546901E-2</v>
      </c>
      <c r="H93" s="7">
        <v>2198.42</v>
      </c>
      <c r="I93" s="8">
        <f>IFERROR(H93/H148, "NA")</f>
        <v>7.6175909864870772E-2</v>
      </c>
      <c r="J93" s="7">
        <v>1160.69</v>
      </c>
      <c r="K93" s="8">
        <f>IFERROR(J93/J148, "NA")</f>
        <v>4.4850633776176138E-2</v>
      </c>
      <c r="L93" s="7">
        <v>1401.12</v>
      </c>
      <c r="M93" s="8">
        <f>IFERROR(L93/L148, "NA")</f>
        <v>5.4525225583177309E-2</v>
      </c>
      <c r="N93" s="7">
        <v>1238.4000000000001</v>
      </c>
      <c r="O93" s="8">
        <f>IFERROR(N93/N148, "NA")</f>
        <v>4.9212594513892503E-2</v>
      </c>
      <c r="P93" s="7">
        <v>1526.92</v>
      </c>
      <c r="Q93" s="8">
        <f>IFERROR(P93/P148, "NA")</f>
        <v>5.3326311260368971E-2</v>
      </c>
      <c r="R93" s="7">
        <v>1847.32</v>
      </c>
      <c r="S93" s="8">
        <f>IFERROR(R93/R148, "NA")</f>
        <v>6.5831027092597194E-2</v>
      </c>
      <c r="T93" s="7">
        <v>2255.71</v>
      </c>
      <c r="U93" s="8">
        <f>IFERROR(T93/T148, "NA")</f>
        <v>8.7625842380621627E-2</v>
      </c>
      <c r="V93" s="7">
        <v>906.67</v>
      </c>
      <c r="W93" s="8">
        <f>IFERROR(V93/V148, "NA")</f>
        <v>4.3993288460344081E-2</v>
      </c>
      <c r="X93" s="7">
        <v>1572.87</v>
      </c>
      <c r="Y93" s="8">
        <f>IFERROR(X93/X148, "NA")</f>
        <v>6.4141467072888744E-2</v>
      </c>
      <c r="Z93" s="7">
        <v>6582.5700000000006</v>
      </c>
      <c r="AA93" s="8">
        <f>IFERROR(Z93/Z148, "NA")</f>
        <v>6.6534135514720094E-2</v>
      </c>
      <c r="AB93" s="9">
        <f t="shared" si="36"/>
        <v>1645.6424999999999</v>
      </c>
      <c r="AC93" s="8">
        <f>IFERROR(AB93/AB148, "NA")</f>
        <v>6.653413551472008E-2</v>
      </c>
      <c r="AD93" s="10">
        <f t="shared" si="37"/>
        <v>-72.772500000000036</v>
      </c>
      <c r="AE93" s="11">
        <f>IFERROR(AD93/AD148, "NA")</f>
        <v>0.34340014392393353</v>
      </c>
      <c r="AF93" s="10">
        <f t="shared" si="38"/>
        <v>-4.4221329966867069E-2</v>
      </c>
      <c r="AG93" s="9">
        <f t="shared" si="39"/>
        <v>1488.7125000000001</v>
      </c>
      <c r="AH93" s="8">
        <f>IFERROR(AG93/AG148, "NA")</f>
        <v>5.8292648999225594E-2</v>
      </c>
      <c r="AI93" s="10">
        <f t="shared" si="40"/>
        <v>84.1574999999998</v>
      </c>
      <c r="AJ93" s="11">
        <f>IFERROR(AI93/AI148, "NA")</f>
        <v>-8.2774544301089617E-2</v>
      </c>
      <c r="AK93" s="10">
        <f t="shared" si="41"/>
        <v>5.6530391193732703E-2</v>
      </c>
      <c r="AL93" s="11">
        <f>IFERROR(AK93/AK148, "NA")</f>
        <v>-1.4199825487805375</v>
      </c>
    </row>
    <row r="94" spans="1:38" ht="16.5" hidden="1" customHeight="1">
      <c r="A94" s="6" t="s">
        <v>103</v>
      </c>
      <c r="B94" s="7">
        <v>773.61</v>
      </c>
      <c r="C94" s="8">
        <f>IFERROR(B94/B148, "NA")</f>
        <v>2.8423862802991671E-2</v>
      </c>
      <c r="D94" s="7">
        <v>1353.57</v>
      </c>
      <c r="E94" s="8">
        <f>IFERROR(D94/D148, "NA")</f>
        <v>3.2803114426177539E-2</v>
      </c>
      <c r="F94" s="7">
        <v>954.09</v>
      </c>
      <c r="G94" s="8">
        <f>IFERROR(F94/F148, "NA")</f>
        <v>2.9790697935830522E-2</v>
      </c>
      <c r="H94" s="7">
        <v>908.04</v>
      </c>
      <c r="I94" s="8">
        <f>IFERROR(H94/H148, "NA")</f>
        <v>3.1463857312841612E-2</v>
      </c>
      <c r="J94" s="7">
        <v>790.1</v>
      </c>
      <c r="K94" s="8">
        <f>IFERROR(J94/J148, "NA")</f>
        <v>3.0530534205133814E-2</v>
      </c>
      <c r="L94" s="7">
        <v>718.73</v>
      </c>
      <c r="M94" s="8">
        <f>IFERROR(L94/L148, "NA")</f>
        <v>2.7969706651391053E-2</v>
      </c>
      <c r="N94" s="7">
        <v>650.54</v>
      </c>
      <c r="O94" s="8">
        <f>IFERROR(N94/N148, "NA")</f>
        <v>2.5851712883614038E-2</v>
      </c>
      <c r="P94" s="7">
        <v>744.94</v>
      </c>
      <c r="Q94" s="8">
        <f>IFERROR(P94/P148, "NA")</f>
        <v>2.6016361243745095E-2</v>
      </c>
      <c r="R94" s="7">
        <v>770.65</v>
      </c>
      <c r="S94" s="8">
        <f>IFERROR(R94/R148, "NA")</f>
        <v>2.7462854854010149E-2</v>
      </c>
      <c r="T94" s="7">
        <v>697.05</v>
      </c>
      <c r="U94" s="8">
        <f>IFERROR(T94/T148, "NA")</f>
        <v>2.7077768610066145E-2</v>
      </c>
      <c r="V94" s="7">
        <v>528.79999999999995</v>
      </c>
      <c r="W94" s="8">
        <f>IFERROR(V94/V148, "NA")</f>
        <v>2.5658344202223463E-2</v>
      </c>
      <c r="X94" s="7">
        <v>659.75</v>
      </c>
      <c r="Y94" s="8">
        <f>IFERROR(X94/X148, "NA")</f>
        <v>2.6904533051897713E-2</v>
      </c>
      <c r="Z94" s="7">
        <v>2656.25</v>
      </c>
      <c r="AA94" s="8">
        <f>IFERROR(Z94/Z148, "NA")</f>
        <v>2.6848373425725096E-2</v>
      </c>
      <c r="AB94" s="9">
        <f t="shared" si="36"/>
        <v>664.0625</v>
      </c>
      <c r="AC94" s="8">
        <f>IFERROR(AB94/AB148, "NA")</f>
        <v>2.6848373425725096E-2</v>
      </c>
      <c r="AD94" s="10">
        <f t="shared" si="37"/>
        <v>-4.3125</v>
      </c>
      <c r="AE94" s="11">
        <f>IFERROR(AD94/AD148, "NA")</f>
        <v>2.0349900314981108E-2</v>
      </c>
      <c r="AF94" s="10">
        <f t="shared" si="38"/>
        <v>-6.4941176470588238E-3</v>
      </c>
      <c r="AG94" s="9">
        <f t="shared" si="39"/>
        <v>695.07</v>
      </c>
      <c r="AH94" s="8">
        <f>IFERROR(AG94/AG148, "NA")</f>
        <v>2.7216451490728891E-2</v>
      </c>
      <c r="AI94" s="10">
        <f t="shared" si="40"/>
        <v>-35.32000000000005</v>
      </c>
      <c r="AJ94" s="11">
        <f>IFERROR(AI94/AI148, "NA")</f>
        <v>3.4739588328009934E-2</v>
      </c>
      <c r="AK94" s="10">
        <f t="shared" si="41"/>
        <v>-5.0815025824737146E-2</v>
      </c>
      <c r="AL94" s="11">
        <f>IFERROR(AK94/AK148, "NA")</f>
        <v>1.2764187256315818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-1346</v>
      </c>
      <c r="E95" s="8">
        <f>IFERROR(D95/D148, "NA")</f>
        <v>-3.2619659136679281E-2</v>
      </c>
      <c r="F95" s="7">
        <v>0</v>
      </c>
      <c r="G95" s="8">
        <f>IFERROR(F95/F148, "NA")</f>
        <v>0</v>
      </c>
      <c r="H95" s="7">
        <v>1204.99</v>
      </c>
      <c r="I95" s="8">
        <f>IFERROR(H95/H148, "NA")</f>
        <v>4.1753263538391497E-2</v>
      </c>
      <c r="J95" s="7">
        <v>0</v>
      </c>
      <c r="K95" s="8">
        <f>IFERROR(J95/J148, "NA")</f>
        <v>0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1204.99</v>
      </c>
      <c r="Q95" s="8">
        <f>IFERROR(P95/P148, "NA")</f>
        <v>4.2083194801058342E-2</v>
      </c>
      <c r="R95" s="7">
        <v>0</v>
      </c>
      <c r="S95" s="8">
        <f>IFERROR(R95/R148, "NA")</f>
        <v>0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0</v>
      </c>
      <c r="AC95" s="8">
        <f>IFERROR(AB95/AB148, "NA")</f>
        <v>0</v>
      </c>
      <c r="AD95" s="10">
        <f t="shared" si="37"/>
        <v>0</v>
      </c>
      <c r="AE95" s="11">
        <f>IFERROR(AD95/AD148, "NA")</f>
        <v>0</v>
      </c>
      <c r="AF95" s="10" t="str">
        <f t="shared" si="38"/>
        <v>NA</v>
      </c>
      <c r="AG95" s="9">
        <f t="shared" si="39"/>
        <v>150.62375</v>
      </c>
      <c r="AH95" s="8">
        <f>IFERROR(AG95/AG148, "NA")</f>
        <v>5.8978865225469031E-3</v>
      </c>
      <c r="AI95" s="10">
        <f t="shared" si="40"/>
        <v>-150.62375</v>
      </c>
      <c r="AJ95" s="11">
        <f>IFERROR(AI95/AI148, "NA")</f>
        <v>0.14814855796775422</v>
      </c>
      <c r="AK95" s="10">
        <f t="shared" si="41"/>
        <v>-1</v>
      </c>
      <c r="AL95" s="11">
        <f>IFERROR(AK95/AK148, "NA")</f>
        <v>25.118923092433246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1407.54</v>
      </c>
      <c r="C97" s="8">
        <f>IFERROR(B97/B148, "NA")</f>
        <v>5.1715623957450003E-2</v>
      </c>
      <c r="D97" s="7">
        <v>386.99</v>
      </c>
      <c r="E97" s="8">
        <f>IFERROR(D97/D148, "NA")</f>
        <v>9.378515519541988E-3</v>
      </c>
      <c r="F97" s="7">
        <v>1815.2800000000002</v>
      </c>
      <c r="G97" s="8">
        <f>IFERROR(F97/F148, "NA")</f>
        <v>5.6680667598396836E-2</v>
      </c>
      <c r="H97" s="7">
        <v>331.01</v>
      </c>
      <c r="I97" s="8">
        <f>IFERROR(H97/H148, "NA")</f>
        <v>1.1469595402321155E-2</v>
      </c>
      <c r="J97" s="7">
        <v>381.01</v>
      </c>
      <c r="K97" s="8">
        <f>IFERROR(J97/J148, "NA")</f>
        <v>1.4722742485125976E-2</v>
      </c>
      <c r="L97" s="7">
        <v>683.54</v>
      </c>
      <c r="M97" s="8">
        <f>IFERROR(L97/L148, "NA")</f>
        <v>2.6600271707723121E-2</v>
      </c>
      <c r="N97" s="7">
        <v>538.83999999999992</v>
      </c>
      <c r="O97" s="8">
        <f>IFERROR(N97/N148, "NA")</f>
        <v>2.1412883097436879E-2</v>
      </c>
      <c r="P97" s="7">
        <v>1023.8900000000001</v>
      </c>
      <c r="Q97" s="8">
        <f>IFERROR(P97/P148, "NA")</f>
        <v>3.5758439758716364E-2</v>
      </c>
      <c r="R97" s="7">
        <v>2428.29</v>
      </c>
      <c r="S97" s="8">
        <f>IFERROR(R97/R148, "NA")</f>
        <v>8.65344524926287E-2</v>
      </c>
      <c r="T97" s="7">
        <v>0</v>
      </c>
      <c r="U97" s="8">
        <f>IFERROR(T97/T148, "NA")</f>
        <v>0</v>
      </c>
      <c r="V97" s="7">
        <v>0</v>
      </c>
      <c r="W97" s="8">
        <f>IFERROR(V97/V148, "NA")</f>
        <v>0</v>
      </c>
      <c r="X97" s="7">
        <v>227.36</v>
      </c>
      <c r="Y97" s="8">
        <f>IFERROR(X97/X148, "NA")</f>
        <v>9.2717160055770589E-3</v>
      </c>
      <c r="Z97" s="7">
        <v>2655.65</v>
      </c>
      <c r="AA97" s="8">
        <f>IFERROR(Z97/Z148, "NA")</f>
        <v>2.6842308851963047E-2</v>
      </c>
      <c r="AB97" s="9">
        <f t="shared" si="36"/>
        <v>663.91250000000002</v>
      </c>
      <c r="AC97" s="8">
        <f>IFERROR(AB97/AB148, "NA")</f>
        <v>2.6842308851963047E-2</v>
      </c>
      <c r="AD97" s="10">
        <f t="shared" si="37"/>
        <v>-436.55250000000001</v>
      </c>
      <c r="AE97" s="11">
        <f>IFERROR(AD97/AD148, "NA")</f>
        <v>2.060011561102792</v>
      </c>
      <c r="AF97" s="10">
        <f t="shared" si="38"/>
        <v>-0.65754523374691698</v>
      </c>
      <c r="AG97" s="9">
        <f t="shared" si="39"/>
        <v>660.36624999999992</v>
      </c>
      <c r="AH97" s="8">
        <f>IFERROR(AG97/AG148, "NA")</f>
        <v>2.5857576947990193E-2</v>
      </c>
      <c r="AI97" s="10">
        <f t="shared" si="40"/>
        <v>-433.00624999999991</v>
      </c>
      <c r="AJ97" s="11">
        <f>IFERROR(AI97/AI148, "NA")</f>
        <v>0.42589068143984504</v>
      </c>
      <c r="AK97" s="10">
        <f t="shared" si="41"/>
        <v>-0.65570620848657846</v>
      </c>
      <c r="AL97" s="11">
        <f>IFERROR(AK97/AK148, "NA")</f>
        <v>16.470633822205365</v>
      </c>
    </row>
    <row r="98" spans="1:38" ht="16.5" hidden="1" customHeight="1">
      <c r="A98" s="6" t="s">
        <v>107</v>
      </c>
      <c r="B98" s="7">
        <v>408.23</v>
      </c>
      <c r="C98" s="8">
        <f>IFERROR(B98/B148, "NA")</f>
        <v>1.4999125543963095E-2</v>
      </c>
      <c r="D98" s="7">
        <v>244.34</v>
      </c>
      <c r="E98" s="8">
        <f>IFERROR(D98/D148, "NA")</f>
        <v>5.9214617484815869E-3</v>
      </c>
      <c r="F98" s="7">
        <v>2294.29</v>
      </c>
      <c r="G98" s="8">
        <f>IFERROR(F98/F148, "NA")</f>
        <v>7.1637372121284792E-2</v>
      </c>
      <c r="H98" s="7">
        <v>1322.25</v>
      </c>
      <c r="I98" s="8">
        <f>IFERROR(H98/H148, "NA")</f>
        <v>4.5816357574451363E-2</v>
      </c>
      <c r="J98" s="7">
        <v>299.10000000000002</v>
      </c>
      <c r="K98" s="8">
        <f>IFERROR(J98/J148, "NA")</f>
        <v>1.1557629136508702E-2</v>
      </c>
      <c r="L98" s="7">
        <v>204.31</v>
      </c>
      <c r="M98" s="8">
        <f>IFERROR(L98/L148, "NA")</f>
        <v>7.9508170883999633E-3</v>
      </c>
      <c r="N98" s="7">
        <v>2483.29</v>
      </c>
      <c r="O98" s="8">
        <f>IFERROR(N98/N148, "NA")</f>
        <v>9.8683094178297889E-2</v>
      </c>
      <c r="P98" s="7">
        <v>1510.3500000000001</v>
      </c>
      <c r="Q98" s="8">
        <f>IFERROR(P98/P148, "NA")</f>
        <v>5.2747618874661589E-2</v>
      </c>
      <c r="R98" s="7">
        <v>662.74</v>
      </c>
      <c r="S98" s="8">
        <f>IFERROR(R98/R148, "NA")</f>
        <v>2.3617378091152517E-2</v>
      </c>
      <c r="T98" s="7">
        <v>415.83</v>
      </c>
      <c r="U98" s="8">
        <f>IFERROR(T98/T148, "NA")</f>
        <v>1.6153430200306729E-2</v>
      </c>
      <c r="V98" s="7">
        <v>497.22</v>
      </c>
      <c r="W98" s="8">
        <f>IFERROR(V98/V148, "NA")</f>
        <v>2.41260247810695E-2</v>
      </c>
      <c r="X98" s="7">
        <v>2396.7000000000003</v>
      </c>
      <c r="Y98" s="8">
        <f>IFERROR(X98/X148, "NA")</f>
        <v>9.7737164631274354E-2</v>
      </c>
      <c r="Z98" s="7">
        <v>3972.49</v>
      </c>
      <c r="AA98" s="8">
        <f>IFERROR(Z98/Z148, "NA")</f>
        <v>4.0152431039984442E-2</v>
      </c>
      <c r="AB98" s="9">
        <f t="shared" si="36"/>
        <v>993.12250000000006</v>
      </c>
      <c r="AC98" s="8">
        <f>IFERROR(AB98/AB148, "NA")</f>
        <v>4.0152431039984449E-2</v>
      </c>
      <c r="AD98" s="10">
        <f t="shared" si="37"/>
        <v>1403.5775000000003</v>
      </c>
      <c r="AE98" s="11">
        <f>IFERROR(AD98/AD148, "NA")</f>
        <v>-6.6232260195595138</v>
      </c>
      <c r="AF98" s="10">
        <f t="shared" si="38"/>
        <v>1.4132974532346214</v>
      </c>
      <c r="AG98" s="9">
        <f t="shared" si="39"/>
        <v>1058.6925000000001</v>
      </c>
      <c r="AH98" s="8">
        <f>IFERROR(AG98/AG148, "NA")</f>
        <v>4.1454606111396688E-2</v>
      </c>
      <c r="AI98" s="10">
        <f t="shared" si="40"/>
        <v>1338.0075000000002</v>
      </c>
      <c r="AJ98" s="11">
        <f>IFERROR(AI98/AI148, "NA")</f>
        <v>-1.3160200942749063</v>
      </c>
      <c r="AK98" s="10">
        <f t="shared" si="41"/>
        <v>1.2638301489809365</v>
      </c>
      <c r="AL98" s="11">
        <f>IFERROR(AK98/AK148, "NA")</f>
        <v>-31.746052314150596</v>
      </c>
    </row>
    <row r="99" spans="1:38" ht="16.5" hidden="1" customHeight="1">
      <c r="A99" s="12" t="s">
        <v>108</v>
      </c>
      <c r="B99" s="13">
        <f>IFERROR(B90+B91+B92+B93+B94+B95+B96+B97+B98, "NA")</f>
        <v>6715.1099999999988</v>
      </c>
      <c r="C99" s="14">
        <f>IFERROR(B99/B148, "NA")</f>
        <v>0.24672556630213849</v>
      </c>
      <c r="D99" s="13">
        <f>IFERROR(D90+D91+D92+D93+D94+D95+D96+D97+D98, "NA")</f>
        <v>8192.31</v>
      </c>
      <c r="E99" s="14">
        <f>IFERROR(D99/D148, "NA")</f>
        <v>0.19853667142794132</v>
      </c>
      <c r="F99" s="13">
        <f>IFERROR(F90+F91+F92+F93+F94+F95+F96+F97+F98, "NA")</f>
        <v>10469.709999999999</v>
      </c>
      <c r="G99" s="14">
        <f>IFERROR(F99/F148, "NA")</f>
        <v>0.32690832949275661</v>
      </c>
      <c r="H99" s="13">
        <f>IFERROR(H90+H91+H92+H93+H94+H95+H96+H97+H98, "NA")</f>
        <v>8188.37</v>
      </c>
      <c r="I99" s="14">
        <f>IFERROR(H99/H148, "NA")</f>
        <v>0.28372946709919478</v>
      </c>
      <c r="J99" s="13">
        <f>IFERROR(J90+J91+J92+J93+J94+J95+J96+J97+J98, "NA")</f>
        <v>4855.5300000000007</v>
      </c>
      <c r="K99" s="14">
        <f>IFERROR(J99/J148, "NA")</f>
        <v>0.18762425610562386</v>
      </c>
      <c r="L99" s="13">
        <f>IFERROR(L90+L91+L92+L93+L94+L95+L96+L97+L98, "NA")</f>
        <v>5042.93</v>
      </c>
      <c r="M99" s="14">
        <f>IFERROR(L99/L148, "NA")</f>
        <v>0.19624792726545365</v>
      </c>
      <c r="N99" s="13">
        <f>IFERROR(N90+N91+N92+N93+N94+N95+N96+N97+N98, "NA")</f>
        <v>7478.4900000000007</v>
      </c>
      <c r="O99" s="14">
        <f>IFERROR(N99/N148, "NA")</f>
        <v>0.29718660848368861</v>
      </c>
      <c r="P99" s="13">
        <f>IFERROR(P90+P91+P92+P93+P94+P95+P96+P97+P98, "NA")</f>
        <v>8135.43</v>
      </c>
      <c r="Q99" s="14">
        <f>IFERROR(P99/P148, "NA")</f>
        <v>0.28412259477703056</v>
      </c>
      <c r="R99" s="13">
        <f>IFERROR(R90+R91+R92+R93+R94+R95+R96+R97+R98, "NA")</f>
        <v>7556.11</v>
      </c>
      <c r="S99" s="14">
        <f>IFERROR(R99/R148, "NA")</f>
        <v>0.26926925607076446</v>
      </c>
      <c r="T99" s="13">
        <f>IFERROR(T90+T91+T92+T93+T94+T95+T96+T97+T98, "NA")</f>
        <v>5135.13</v>
      </c>
      <c r="U99" s="14">
        <f>IFERROR(T99/T148, "NA")</f>
        <v>0.1994804704434531</v>
      </c>
      <c r="V99" s="13">
        <f>IFERROR(V90+V91+V92+V93+V94+V95+V96+V97+V98, "NA")</f>
        <v>3016.8199999999997</v>
      </c>
      <c r="W99" s="14">
        <f>IFERROR(V99/V148, "NA")</f>
        <v>0.14638163002297994</v>
      </c>
      <c r="X99" s="13">
        <f>IFERROR(X90+X91+X92+X93+X94+X95+X96+X97+X98, "NA")</f>
        <v>5931.51</v>
      </c>
      <c r="Y99" s="14">
        <f>IFERROR(X99/X148, "NA")</f>
        <v>0.24188633094757381</v>
      </c>
      <c r="Z99" s="13">
        <f>IFERROR(Z90+Z91+Z92+Z93+Z94+Z95+Z96+Z97+Z98, "NA")</f>
        <v>21639.57</v>
      </c>
      <c r="AA99" s="14">
        <f>IFERROR(Z99/Z148, "NA")</f>
        <v>0.21872461407326793</v>
      </c>
      <c r="AB99" s="13">
        <f t="shared" si="36"/>
        <v>5409.8924999999999</v>
      </c>
      <c r="AC99" s="14">
        <f>IFERROR(AB99/AB148, "NA")</f>
        <v>0.21872461407326793</v>
      </c>
      <c r="AD99" s="15">
        <f t="shared" si="37"/>
        <v>521.61750000000029</v>
      </c>
      <c r="AE99" s="16">
        <f>IFERROR(AD99/AD148, "NA")</f>
        <v>-2.4614177687071686</v>
      </c>
      <c r="AF99" s="15">
        <f t="shared" si="38"/>
        <v>9.6419198717904345E-2</v>
      </c>
      <c r="AG99" s="13">
        <f t="shared" si="39"/>
        <v>5893.9937499999996</v>
      </c>
      <c r="AH99" s="14">
        <f>IFERROR(AG99/AG148, "NA")</f>
        <v>0.23078768323123464</v>
      </c>
      <c r="AI99" s="15">
        <f t="shared" si="40"/>
        <v>37.516250000000582</v>
      </c>
      <c r="AJ99" s="16">
        <f>IFERROR(AI99/AI148, "NA")</f>
        <v>-3.6899747469159715E-2</v>
      </c>
      <c r="AK99" s="15">
        <f t="shared" si="41"/>
        <v>6.3651662338462074E-3</v>
      </c>
      <c r="AL99" s="16">
        <f>IFERROR(AK99/AK148, "NA")</f>
        <v>-0.15988612109853587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6588.1500000000051</v>
      </c>
      <c r="C101" s="34">
        <f>IFERROR(B101/B148, "NA")</f>
        <v>0.24206082098929657</v>
      </c>
      <c r="D101" s="33">
        <f>IFERROR(D87-D99, "NA")</f>
        <v>15840.940000000008</v>
      </c>
      <c r="E101" s="34">
        <f>IFERROR(D101/D148, "NA")</f>
        <v>0.38389752095437485</v>
      </c>
      <c r="F101" s="33">
        <f>IFERROR(F87-F99, "NA")</f>
        <v>4730.7100000000009</v>
      </c>
      <c r="G101" s="34">
        <f>IFERROR(F101/F148, "NA")</f>
        <v>0.14771263993125683</v>
      </c>
      <c r="H101" s="33">
        <f>IFERROR(H87-H99, "NA")</f>
        <v>8229.9699999999903</v>
      </c>
      <c r="I101" s="34">
        <f>IFERROR(H101/H148, "NA")</f>
        <v>0.28517091952883877</v>
      </c>
      <c r="J101" s="33">
        <f>IFERROR(J87-J99, "NA")</f>
        <v>6494.5799999999963</v>
      </c>
      <c r="K101" s="34">
        <f>IFERROR(J101/J148, "NA")</f>
        <v>0.25095936822931003</v>
      </c>
      <c r="L101" s="33">
        <f>IFERROR(L87-L99, "NA")</f>
        <v>6880.7700000000041</v>
      </c>
      <c r="M101" s="34">
        <f>IFERROR(L101/L148, "NA")</f>
        <v>0.26776831137658386</v>
      </c>
      <c r="N101" s="33">
        <f>IFERROR(N87-N99, "NA")</f>
        <v>3603.7499999999955</v>
      </c>
      <c r="O101" s="34">
        <f>IFERROR(N101/N148, "NA")</f>
        <v>0.14320888846853996</v>
      </c>
      <c r="P101" s="33">
        <f>IFERROR(P87-P99, "NA")</f>
        <v>5826.1299999999901</v>
      </c>
      <c r="Q101" s="34">
        <f>IFERROR(P101/P148, "NA")</f>
        <v>0.20347236385886158</v>
      </c>
      <c r="R101" s="33">
        <f>IFERROR(R87-R99, "NA")</f>
        <v>5658.0999999999958</v>
      </c>
      <c r="S101" s="34">
        <f>IFERROR(R101/R148, "NA")</f>
        <v>0.20163184201579798</v>
      </c>
      <c r="T101" s="33">
        <f>IFERROR(T87-T99, "NA")</f>
        <v>7239.5099999999957</v>
      </c>
      <c r="U101" s="34">
        <f>IFERROR(T101/T148, "NA")</f>
        <v>0.28122771197225427</v>
      </c>
      <c r="V101" s="33">
        <f>IFERROR(V87-V99, "NA")</f>
        <v>4982.0999999999985</v>
      </c>
      <c r="W101" s="34">
        <f>IFERROR(V101/V148, "NA")</f>
        <v>0.24174061393702248</v>
      </c>
      <c r="X101" s="33">
        <f>IFERROR(X87-X99, "NA")</f>
        <v>5203.4400000000005</v>
      </c>
      <c r="Y101" s="34">
        <f>IFERROR(X101/X148, "NA")</f>
        <v>0.21219571574621698</v>
      </c>
      <c r="Z101" s="33">
        <f>IFERROR(Z87-Z99, "NA")</f>
        <v>23083.15</v>
      </c>
      <c r="AA101" s="34">
        <f>IFERROR(Z101/Z148, "NA")</f>
        <v>0.23331577639229223</v>
      </c>
      <c r="AB101" s="33">
        <f>IFERROR((R101+T101+V101+X101)/4, "NA")</f>
        <v>5770.7874999999985</v>
      </c>
      <c r="AC101" s="34">
        <f>IFERROR(AB101/AB148, "NA")</f>
        <v>0.23331577639229217</v>
      </c>
      <c r="AD101" s="15">
        <f>IFERROR(X101-AB101, "NA")</f>
        <v>-567.34749999999804</v>
      </c>
      <c r="AE101" s="16">
        <f>IFERROR(AD101/AD148, "NA")</f>
        <v>2.6772092913515837</v>
      </c>
      <c r="AF101" s="15">
        <f>IFERROR((X101-AB101)/AB101, "NA")</f>
        <v>-9.8313705018595501E-2</v>
      </c>
      <c r="AG101" s="33">
        <f>IFERROR((J101+L101+N101+P101+R101+T101+V101+X101)/8, "NA")</f>
        <v>5736.0474999999969</v>
      </c>
      <c r="AH101" s="34">
        <f>IFERROR(AG101/AG148, "NA")</f>
        <v>0.2246030738375511</v>
      </c>
      <c r="AI101" s="15">
        <f>IFERROR(X101-AG101, "NA")</f>
        <v>-532.60749999999643</v>
      </c>
      <c r="AJ101" s="16">
        <f>IFERROR(AI101/AI148, "NA")</f>
        <v>0.52385518942271803</v>
      </c>
      <c r="AK101" s="15">
        <f>IFERROR((X101-AG101)/AG101, "NA")</f>
        <v>-9.2852700400405802E-2</v>
      </c>
      <c r="AL101" s="16">
        <f>IFERROR(AK101/AK148, "NA")</f>
        <v>2.332359840282539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-5483</v>
      </c>
      <c r="C104" s="34">
        <f>IFERROR(B104/B148, "NA")</f>
        <v>-0.20145556514109605</v>
      </c>
      <c r="D104" s="39">
        <v>0</v>
      </c>
      <c r="E104" s="34">
        <f>IFERROR(D104/D148, "NA")</f>
        <v>0</v>
      </c>
      <c r="F104" s="39">
        <v>861.28</v>
      </c>
      <c r="G104" s="34">
        <f>IFERROR(F104/F148, "NA")</f>
        <v>2.6892779840656657E-2</v>
      </c>
      <c r="H104" s="39">
        <v>23042.880000000001</v>
      </c>
      <c r="I104" s="34">
        <f>IFERROR(H104/H148, "NA")</f>
        <v>0.79844267697120364</v>
      </c>
      <c r="J104" s="39">
        <v>-6233</v>
      </c>
      <c r="K104" s="34">
        <f>IFERROR(J104/J148, "NA")</f>
        <v>-0.24085156271433877</v>
      </c>
      <c r="L104" s="39">
        <v>0</v>
      </c>
      <c r="M104" s="34">
        <f>IFERROR(L104/L148, "NA")</f>
        <v>0</v>
      </c>
      <c r="N104" s="39">
        <v>827.97</v>
      </c>
      <c r="O104" s="34">
        <f>IFERROR(N104/N148, "NA")</f>
        <v>3.2902577422212191E-2</v>
      </c>
      <c r="P104" s="39">
        <v>23792.880000000001</v>
      </c>
      <c r="Q104" s="34">
        <f>IFERROR(P104/P148, "NA")</f>
        <v>0.830944990346978</v>
      </c>
      <c r="R104" s="39">
        <v>-6611</v>
      </c>
      <c r="S104" s="34">
        <f>IFERROR(R104/R148, "NA")</f>
        <v>-0.23558935111900486</v>
      </c>
      <c r="T104" s="39">
        <v>0</v>
      </c>
      <c r="U104" s="34">
        <f>IFERROR(T104/T148, "NA")</f>
        <v>0</v>
      </c>
      <c r="V104" s="39">
        <v>0</v>
      </c>
      <c r="W104" s="34">
        <f>IFERROR(V104/V148, "NA")</f>
        <v>0</v>
      </c>
      <c r="X104" s="39">
        <v>808.23</v>
      </c>
      <c r="Y104" s="34">
        <f>IFERROR(X104/X148, "NA")</f>
        <v>3.2959531259621505E-2</v>
      </c>
      <c r="Z104" s="39">
        <v>-5802.7699999999995</v>
      </c>
      <c r="AA104" s="34">
        <f>IFERROR(Z104/Z148, "NA")</f>
        <v>-5.8652211148647451E-2</v>
      </c>
      <c r="AB104" s="33">
        <f>IFERROR((R104+T104+V104+X104)/4, "NA")</f>
        <v>-1450.6925000000001</v>
      </c>
      <c r="AC104" s="34">
        <f>IFERROR(AB104/AB148, "NA")</f>
        <v>-5.8652211148647458E-2</v>
      </c>
      <c r="AD104" s="15">
        <f>IFERROR(X104-AB104, "NA")</f>
        <v>2258.9225000000001</v>
      </c>
      <c r="AE104" s="16">
        <f>IFERROR(AD104/AD148, "NA")</f>
        <v>-10.659442943598357</v>
      </c>
      <c r="AF104" s="15">
        <f>IFERROR((X104-AB104)/AB104, "NA")</f>
        <v>-1.5571339205241634</v>
      </c>
      <c r="AG104" s="33">
        <f>IFERROR((J104+L104+N104+P104+R104+T104+V104+X104)/8, "NA")</f>
        <v>1573.1350000000002</v>
      </c>
      <c r="AH104" s="34">
        <f>IFERROR(AG104/AG148, "NA")</f>
        <v>6.1598331701652784E-2</v>
      </c>
      <c r="AI104" s="15">
        <f>IFERROR(X104-AG104, "NA")</f>
        <v>-764.9050000000002</v>
      </c>
      <c r="AJ104" s="16">
        <f>IFERROR(AI104/AI148, "NA")</f>
        <v>0.75233535702254839</v>
      </c>
      <c r="AK104" s="15">
        <f>IFERROR((X104-AG104)/AG104, "NA")</f>
        <v>-0.48622972599300129</v>
      </c>
      <c r="AL104" s="16">
        <f>IFERROR(AK104/AK148, "NA")</f>
        <v>12.21356709247309</v>
      </c>
    </row>
    <row r="105" spans="1:38" ht="16.5" hidden="1" customHeight="1">
      <c r="A105" s="12" t="s">
        <v>112</v>
      </c>
      <c r="B105" s="13">
        <f>IFERROR(B104, "NA")</f>
        <v>-5483</v>
      </c>
      <c r="C105" s="14">
        <f>IFERROR(B105/B148, "NA")</f>
        <v>-0.20145556514109605</v>
      </c>
      <c r="D105" s="13">
        <f>IFERROR(D104, "NA")</f>
        <v>0</v>
      </c>
      <c r="E105" s="14">
        <f>IFERROR(D105/D148, "NA")</f>
        <v>0</v>
      </c>
      <c r="F105" s="13">
        <f>IFERROR(F104, "NA")</f>
        <v>861.28</v>
      </c>
      <c r="G105" s="14">
        <f>IFERROR(F105/F148, "NA")</f>
        <v>2.6892779840656657E-2</v>
      </c>
      <c r="H105" s="13">
        <f>IFERROR(H104, "NA")</f>
        <v>23042.880000000001</v>
      </c>
      <c r="I105" s="14">
        <f>IFERROR(H105/H148, "NA")</f>
        <v>0.79844267697120364</v>
      </c>
      <c r="J105" s="13">
        <f>IFERROR(J104, "NA")</f>
        <v>-6233</v>
      </c>
      <c r="K105" s="14">
        <f>IFERROR(J105/J148, "NA")</f>
        <v>-0.24085156271433877</v>
      </c>
      <c r="L105" s="13">
        <f>IFERROR(L104, "NA")</f>
        <v>0</v>
      </c>
      <c r="M105" s="14">
        <f>IFERROR(L105/L148, "NA")</f>
        <v>0</v>
      </c>
      <c r="N105" s="13">
        <f>IFERROR(N104, "NA")</f>
        <v>827.97</v>
      </c>
      <c r="O105" s="14">
        <f>IFERROR(N105/N148, "NA")</f>
        <v>3.2902577422212191E-2</v>
      </c>
      <c r="P105" s="13">
        <f>IFERROR(P104, "NA")</f>
        <v>23792.880000000001</v>
      </c>
      <c r="Q105" s="14">
        <f>IFERROR(P105/P148, "NA")</f>
        <v>0.830944990346978</v>
      </c>
      <c r="R105" s="13">
        <f>IFERROR(R104, "NA")</f>
        <v>-6611</v>
      </c>
      <c r="S105" s="14">
        <f>IFERROR(R105/R148, "NA")</f>
        <v>-0.23558935111900486</v>
      </c>
      <c r="T105" s="13">
        <f>IFERROR(T104, "NA")</f>
        <v>0</v>
      </c>
      <c r="U105" s="14">
        <f>IFERROR(T105/T148, "NA")</f>
        <v>0</v>
      </c>
      <c r="V105" s="13">
        <f>IFERROR(V104, "NA")</f>
        <v>0</v>
      </c>
      <c r="W105" s="14">
        <f>IFERROR(V105/V148, "NA")</f>
        <v>0</v>
      </c>
      <c r="X105" s="13">
        <f>IFERROR(X104, "NA")</f>
        <v>808.23</v>
      </c>
      <c r="Y105" s="14">
        <f>IFERROR(X105/X148, "NA")</f>
        <v>3.2959531259621505E-2</v>
      </c>
      <c r="Z105" s="13">
        <f>IFERROR(Z104, "NA")</f>
        <v>-5802.7699999999995</v>
      </c>
      <c r="AA105" s="14">
        <f>IFERROR(Z105/Z148, "NA")</f>
        <v>-5.8652211148647451E-2</v>
      </c>
      <c r="AB105" s="13">
        <f>IFERROR((R105+T105+V105+X105)/4, "NA")</f>
        <v>-1450.6925000000001</v>
      </c>
      <c r="AC105" s="14">
        <f>IFERROR(AB105/AB148, "NA")</f>
        <v>-5.8652211148647458E-2</v>
      </c>
      <c r="AD105" s="15">
        <f>IFERROR(X105-AB105, "NA")</f>
        <v>2258.9225000000001</v>
      </c>
      <c r="AE105" s="16">
        <f>IFERROR(AD105/AD148, "NA")</f>
        <v>-10.659442943598357</v>
      </c>
      <c r="AF105" s="15">
        <f>IFERROR((X105-AB105)/AB105, "NA")</f>
        <v>-1.5571339205241634</v>
      </c>
      <c r="AG105" s="13">
        <f>IFERROR((J105+L105+N105+P105+R105+T105+V105+X105)/8, "NA")</f>
        <v>1573.1350000000002</v>
      </c>
      <c r="AH105" s="14">
        <f>IFERROR(AG105/AG148, "NA")</f>
        <v>6.1598331701652784E-2</v>
      </c>
      <c r="AI105" s="15">
        <f>IFERROR(X105-AG105, "NA")</f>
        <v>-764.9050000000002</v>
      </c>
      <c r="AJ105" s="16">
        <f>IFERROR(AI105/AI148, "NA")</f>
        <v>0.75233535702254839</v>
      </c>
      <c r="AK105" s="15">
        <f>IFERROR((X105-AG105)/AG105, "NA")</f>
        <v>-0.48622972599300129</v>
      </c>
      <c r="AL105" s="16">
        <f>IFERROR(AK105/AK148, "NA")</f>
        <v>12.21356709247309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12071.150000000005</v>
      </c>
      <c r="C107" s="34">
        <f>IFERROR(B107/B148, "NA")</f>
        <v>0.44351638613039263</v>
      </c>
      <c r="D107" s="33">
        <f>IFERROR(D87-D99-D105, "NA")</f>
        <v>15840.940000000008</v>
      </c>
      <c r="E107" s="34">
        <f>IFERROR(D107/D148, "NA")</f>
        <v>0.38389752095437485</v>
      </c>
      <c r="F107" s="33">
        <f>IFERROR(F87-F99-F105, "NA")</f>
        <v>3869.4300000000012</v>
      </c>
      <c r="G107" s="34">
        <f>IFERROR(F107/F148, "NA")</f>
        <v>0.12081986009060018</v>
      </c>
      <c r="H107" s="33">
        <f>IFERROR(H87-H99-H105, "NA")</f>
        <v>-14812.910000000011</v>
      </c>
      <c r="I107" s="34">
        <f>IFERROR(H107/H148, "NA")</f>
        <v>-0.51327175744236486</v>
      </c>
      <c r="J107" s="33">
        <f>IFERROR(J87-J99-J105, "NA")</f>
        <v>12727.579999999996</v>
      </c>
      <c r="K107" s="34">
        <f>IFERROR(J107/J148, "NA")</f>
        <v>0.49181093094364881</v>
      </c>
      <c r="L107" s="33">
        <f>IFERROR(L87-L99-L105, "NA")</f>
        <v>6880.7700000000041</v>
      </c>
      <c r="M107" s="34">
        <f>IFERROR(L107/L148, "NA")</f>
        <v>0.26776831137658386</v>
      </c>
      <c r="N107" s="33">
        <f>IFERROR(N87-N99-N105, "NA")</f>
        <v>2775.7799999999952</v>
      </c>
      <c r="O107" s="34">
        <f>IFERROR(N107/N148, "NA")</f>
        <v>0.11030631104632775</v>
      </c>
      <c r="P107" s="33">
        <f>IFERROR(P87-P99-P105, "NA")</f>
        <v>-17966.750000000011</v>
      </c>
      <c r="Q107" s="34">
        <f>IFERROR(P107/P148, "NA")</f>
        <v>-0.62747262648811641</v>
      </c>
      <c r="R107" s="33">
        <f>IFERROR(R87-R99-R105, "NA")</f>
        <v>12269.099999999995</v>
      </c>
      <c r="S107" s="34">
        <f>IFERROR(R107/R148, "NA")</f>
        <v>0.43722119313480279</v>
      </c>
      <c r="T107" s="33">
        <f>IFERROR(T87-T99-T105, "NA")</f>
        <v>7239.5099999999957</v>
      </c>
      <c r="U107" s="34">
        <f>IFERROR(T107/T148, "NA")</f>
        <v>0.28122771197225427</v>
      </c>
      <c r="V107" s="33">
        <f>IFERROR(V87-V99-V105, "NA")</f>
        <v>4982.0999999999985</v>
      </c>
      <c r="W107" s="34">
        <f>IFERROR(V107/V148, "NA")</f>
        <v>0.24174061393702248</v>
      </c>
      <c r="X107" s="33">
        <f>IFERROR(X87-X99-X105, "NA")</f>
        <v>4395.2100000000009</v>
      </c>
      <c r="Y107" s="34">
        <f>IFERROR(X107/X148, "NA")</f>
        <v>0.17923618448659548</v>
      </c>
      <c r="Z107" s="33">
        <f>IFERROR(Z87-Z99-Z105, "NA")</f>
        <v>28885.920000000002</v>
      </c>
      <c r="AA107" s="34">
        <f>IFERROR(Z107/Z148, "NA")</f>
        <v>0.29196798754093972</v>
      </c>
      <c r="AB107" s="33">
        <f>IFERROR((R107+T107+V107+X107)/4, "NA")</f>
        <v>7221.4799999999977</v>
      </c>
      <c r="AC107" s="34">
        <f>IFERROR(AB107/AB148, "NA")</f>
        <v>0.29196798754093961</v>
      </c>
      <c r="AD107" s="15">
        <f>IFERROR(X107-AB107, "NA")</f>
        <v>-2826.2699999999968</v>
      </c>
      <c r="AE107" s="16">
        <f>IFERROR(AD107/AD148, "NA")</f>
        <v>13.336652234949934</v>
      </c>
      <c r="AF107" s="15">
        <f>IFERROR((X107-AB107)/AB107, "NA")</f>
        <v>-0.39136991309260671</v>
      </c>
      <c r="AG107" s="33">
        <f>IFERROR((J107+L107+N107+P107+R107+T107+V107+X107)/8, "NA")</f>
        <v>4162.9124999999967</v>
      </c>
      <c r="AH107" s="34">
        <f>IFERROR(AG107/AG148, "NA")</f>
        <v>0.1630047421358983</v>
      </c>
      <c r="AI107" s="15">
        <f>IFERROR(X107-AG107, "NA")</f>
        <v>232.29750000000422</v>
      </c>
      <c r="AJ107" s="16">
        <f>IFERROR(AI107/AI148, "NA")</f>
        <v>-0.22848016759983078</v>
      </c>
      <c r="AK107" s="15">
        <f>IFERROR((X107-AG107)/AG107, "NA")</f>
        <v>5.5801677311258499E-2</v>
      </c>
      <c r="AL107" s="16">
        <f>IFERROR(AK107/AK148, "NA")</f>
        <v>-1.4016780408102796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300.64999999999998</v>
      </c>
      <c r="C128" s="8">
        <f>IFERROR(B128/B148, "NA")</f>
        <v>1.1046437289744762E-2</v>
      </c>
      <c r="D128" s="7">
        <v>245.37</v>
      </c>
      <c r="E128" s="8">
        <f>IFERROR(D128/D148, "NA")</f>
        <v>5.9464233004212445E-3</v>
      </c>
      <c r="F128" s="7">
        <v>251.6</v>
      </c>
      <c r="G128" s="8">
        <f>IFERROR(F128/F148, "NA")</f>
        <v>7.8560089725864014E-3</v>
      </c>
      <c r="H128" s="7">
        <v>-797.62</v>
      </c>
      <c r="I128" s="8">
        <f>IFERROR(H128/H148, "NA")</f>
        <v>-2.7637771320502099E-2</v>
      </c>
      <c r="J128" s="7">
        <v>359.13</v>
      </c>
      <c r="K128" s="8">
        <f>IFERROR(J128/J148, "NA")</f>
        <v>1.3877269648259343E-2</v>
      </c>
      <c r="L128" s="7">
        <v>451.77</v>
      </c>
      <c r="M128" s="8">
        <f>IFERROR(L128/L148, "NA")</f>
        <v>1.7580836160865605E-2</v>
      </c>
      <c r="N128" s="7">
        <v>455.64000000000004</v>
      </c>
      <c r="O128" s="8">
        <f>IFERROR(N128/N148, "NA")</f>
        <v>1.8106610597795527E-2</v>
      </c>
      <c r="P128" s="7">
        <v>-1266.54</v>
      </c>
      <c r="Q128" s="8">
        <f>IFERROR(P128/P148, "NA")</f>
        <v>-4.4232773336984062E-2</v>
      </c>
      <c r="R128" s="7">
        <v>467.43</v>
      </c>
      <c r="S128" s="8">
        <f>IFERROR(R128/R148, "NA")</f>
        <v>1.6657318165717205E-2</v>
      </c>
      <c r="T128" s="7">
        <v>455.22</v>
      </c>
      <c r="U128" s="8">
        <f>IFERROR(T128/T148, "NA")</f>
        <v>1.7683583425398913E-2</v>
      </c>
      <c r="V128" s="7">
        <v>527.9</v>
      </c>
      <c r="W128" s="8">
        <f>IFERROR(V128/V148, "NA")</f>
        <v>2.5614674554375504E-2</v>
      </c>
      <c r="X128" s="7">
        <v>546.08000000000004</v>
      </c>
      <c r="Y128" s="8">
        <f>IFERROR(X128/X148, "NA")</f>
        <v>2.2269082848018651E-2</v>
      </c>
      <c r="Z128" s="7">
        <v>1996.63</v>
      </c>
      <c r="AA128" s="8">
        <f>IFERROR(Z128/Z148, "NA")</f>
        <v>2.0181183184190304E-2</v>
      </c>
      <c r="AB128" s="9">
        <f t="shared" si="42"/>
        <v>499.15750000000003</v>
      </c>
      <c r="AC128" s="8">
        <f>IFERROR(AB128/AB148, "NA")</f>
        <v>2.0181183184190304E-2</v>
      </c>
      <c r="AD128" s="10">
        <f t="shared" si="43"/>
        <v>46.922500000000014</v>
      </c>
      <c r="AE128" s="11">
        <f>IFERROR(AD128/AD148, "NA")</f>
        <v>-0.22141871247065537</v>
      </c>
      <c r="AF128" s="10">
        <f t="shared" si="44"/>
        <v>9.4003395721791241E-2</v>
      </c>
      <c r="AG128" s="9">
        <f t="shared" si="45"/>
        <v>249.57875000000001</v>
      </c>
      <c r="AH128" s="8">
        <f>IFERROR(AG128/AG148, "NA")</f>
        <v>9.7726098702170337E-3</v>
      </c>
      <c r="AI128" s="10">
        <f t="shared" si="46"/>
        <v>296.50125000000003</v>
      </c>
      <c r="AJ128" s="11">
        <f>IFERROR(AI128/AI148, "NA")</f>
        <v>-0.29162886080805045</v>
      </c>
      <c r="AK128" s="10">
        <f t="shared" si="47"/>
        <v>1.1880067914435826</v>
      </c>
      <c r="AL128" s="11">
        <f>IFERROR(AK128/AK148, "NA")</f>
        <v>-29.841451227559734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300.64999999999998</v>
      </c>
      <c r="C135" s="14">
        <f>IFERROR(B135/B148, "NA")</f>
        <v>1.1046437289744762E-2</v>
      </c>
      <c r="D135" s="13">
        <f>IFERROR(D110+D111+D112+D113+D114+D115+D116+D117+D118+D119+D120+D121+D122+D123+D124+D125+D126+D127+D128+D129+D130+D131+D132+D133+D134, "NA")</f>
        <v>245.37</v>
      </c>
      <c r="E135" s="14">
        <f>IFERROR(D135/D148, "NA")</f>
        <v>5.9464233004212445E-3</v>
      </c>
      <c r="F135" s="13">
        <f>IFERROR(F110+F111+F112+F113+F114+F115+F116+F117+F118+F119+F120+F121+F122+F123+F124+F125+F126+F127+F128+F129+F130+F131+F132+F133+F134, "NA")</f>
        <v>251.6</v>
      </c>
      <c r="G135" s="14">
        <f>IFERROR(F135/F148, "NA")</f>
        <v>7.8560089725864014E-3</v>
      </c>
      <c r="H135" s="13">
        <f>IFERROR(H110+H111+H112+H113+H114+H115+H116+H117+H118+H119+H120+H121+H122+H123+H124+H125+H126+H127+H128+H129+H130+H131+H132+H133+H134, "NA")</f>
        <v>-797.62</v>
      </c>
      <c r="I135" s="14">
        <f>IFERROR(H135/H148, "NA")</f>
        <v>-2.7637771320502099E-2</v>
      </c>
      <c r="J135" s="13">
        <f>IFERROR(J110+J111+J112+J113+J114+J115+J116+J117+J118+J119+J120+J121+J122+J123+J124+J125+J126+J127+J128+J129+J130+J131+J132+J133+J134, "NA")</f>
        <v>359.13</v>
      </c>
      <c r="K135" s="14">
        <f>IFERROR(J135/J148, "NA")</f>
        <v>1.3877269648259343E-2</v>
      </c>
      <c r="L135" s="13">
        <f>IFERROR(L110+L111+L112+L113+L114+L115+L116+L117+L118+L119+L120+L121+L122+L123+L124+L125+L126+L127+L128+L129+L130+L131+L132+L133+L134, "NA")</f>
        <v>451.77</v>
      </c>
      <c r="M135" s="14">
        <f>IFERROR(L135/L148, "NA")</f>
        <v>1.7580836160865605E-2</v>
      </c>
      <c r="N135" s="13">
        <f>IFERROR(N110+N111+N112+N113+N114+N115+N116+N117+N118+N119+N120+N121+N122+N123+N124+N125+N126+N127+N128+N129+N130+N131+N132+N133+N134, "NA")</f>
        <v>455.64000000000004</v>
      </c>
      <c r="O135" s="14">
        <f>IFERROR(N135/N148, "NA")</f>
        <v>1.8106610597795527E-2</v>
      </c>
      <c r="P135" s="13">
        <f>IFERROR(P110+P111+P112+P113+P114+P115+P116+P117+P118+P119+P120+P121+P122+P123+P124+P125+P126+P127+P128+P129+P130+P131+P132+P133+P134, "NA")</f>
        <v>-1266.54</v>
      </c>
      <c r="Q135" s="14">
        <f>IFERROR(P135/P148, "NA")</f>
        <v>-4.4232773336984062E-2</v>
      </c>
      <c r="R135" s="13">
        <f>IFERROR(R110+R111+R112+R113+R114+R115+R116+R117+R118+R119+R120+R121+R122+R123+R124+R125+R126+R127+R128+R129+R130+R131+R132+R133+R134, "NA")</f>
        <v>467.43</v>
      </c>
      <c r="S135" s="14">
        <f>IFERROR(R135/R148, "NA")</f>
        <v>1.6657318165717205E-2</v>
      </c>
      <c r="T135" s="13">
        <f>IFERROR(T110+T111+T112+T113+T114+T115+T116+T117+T118+T119+T120+T121+T122+T123+T124+T125+T126+T127+T128+T129+T130+T131+T132+T133+T134, "NA")</f>
        <v>455.22</v>
      </c>
      <c r="U135" s="14">
        <f>IFERROR(T135/T148, "NA")</f>
        <v>1.7683583425398913E-2</v>
      </c>
      <c r="V135" s="13">
        <f>IFERROR(V110+V111+V112+V113+V114+V115+V116+V117+V118+V119+V120+V121+V122+V123+V124+V125+V126+V127+V128+V129+V130+V131+V132+V133+V134, "NA")</f>
        <v>527.9</v>
      </c>
      <c r="W135" s="14">
        <f>IFERROR(V135/V148, "NA")</f>
        <v>2.5614674554375504E-2</v>
      </c>
      <c r="X135" s="13">
        <f>IFERROR(X110+X111+X112+X113+X114+X115+X116+X117+X118+X119+X120+X121+X122+X123+X124+X125+X126+X127+X128+X129+X130+X131+X132+X133+X134, "NA")</f>
        <v>546.08000000000004</v>
      </c>
      <c r="Y135" s="14">
        <f>IFERROR(X135/X148, "NA")</f>
        <v>2.2269082848018651E-2</v>
      </c>
      <c r="Z135" s="13">
        <f>IFERROR(Z110+Z111+Z112+Z113+Z114+Z115+Z116+Z117+Z118+Z119+Z120+Z121+Z122+Z123+Z124+Z125+Z126+Z127+Z128+Z129+Z130+Z131+Z132+Z133+Z134, "NA")</f>
        <v>1996.63</v>
      </c>
      <c r="AA135" s="14">
        <f>IFERROR(Z135/Z148, "NA")</f>
        <v>2.0181183184190304E-2</v>
      </c>
      <c r="AB135" s="13">
        <f t="shared" si="42"/>
        <v>499.15750000000003</v>
      </c>
      <c r="AC135" s="14">
        <f>IFERROR(AB135/AB148, "NA")</f>
        <v>2.0181183184190304E-2</v>
      </c>
      <c r="AD135" s="15">
        <f t="shared" si="43"/>
        <v>46.922500000000014</v>
      </c>
      <c r="AE135" s="16">
        <f>IFERROR(AD135/AD148, "NA")</f>
        <v>-0.22141871247065537</v>
      </c>
      <c r="AF135" s="15">
        <f t="shared" si="44"/>
        <v>9.4003395721791241E-2</v>
      </c>
      <c r="AG135" s="13">
        <f t="shared" si="45"/>
        <v>249.57875000000001</v>
      </c>
      <c r="AH135" s="14">
        <f>IFERROR(AG135/AG148, "NA")</f>
        <v>9.7726098702170337E-3</v>
      </c>
      <c r="AI135" s="15">
        <f t="shared" si="46"/>
        <v>296.50125000000003</v>
      </c>
      <c r="AJ135" s="16">
        <f>IFERROR(AI135/AI148, "NA")</f>
        <v>-0.29162886080805045</v>
      </c>
      <c r="AK135" s="15">
        <f t="shared" si="47"/>
        <v>1.1880067914435826</v>
      </c>
      <c r="AL135" s="16">
        <f>IFERROR(AK135/AK148, "NA")</f>
        <v>-29.841451227559734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11770.500000000005</v>
      </c>
      <c r="C137" s="34">
        <f>IFERROR(B137/B148, "NA")</f>
        <v>0.43246994884064788</v>
      </c>
      <c r="D137" s="33">
        <f>IFERROR(D107-D135, "NA")</f>
        <v>15595.570000000007</v>
      </c>
      <c r="E137" s="34">
        <f>IFERROR(D137/D148, "NA")</f>
        <v>0.37795109765395357</v>
      </c>
      <c r="F137" s="33">
        <f>IFERROR(F107-F135, "NA")</f>
        <v>3617.8300000000013</v>
      </c>
      <c r="G137" s="34">
        <f>IFERROR(F137/F148, "NA")</f>
        <v>0.11296385111801378</v>
      </c>
      <c r="H137" s="33">
        <f>IFERROR(H107-H135, "NA")</f>
        <v>-14015.29000000001</v>
      </c>
      <c r="I137" s="34">
        <f>IFERROR(H137/H148, "NA")</f>
        <v>-0.4856339861218627</v>
      </c>
      <c r="J137" s="33">
        <f>IFERROR(J107-J135, "NA")</f>
        <v>12368.449999999997</v>
      </c>
      <c r="K137" s="34">
        <f>IFERROR(J137/J148, "NA")</f>
        <v>0.4779336612953895</v>
      </c>
      <c r="L137" s="33">
        <f>IFERROR(L107-L135, "NA")</f>
        <v>6429.0000000000036</v>
      </c>
      <c r="M137" s="34">
        <f>IFERROR(L137/L148, "NA")</f>
        <v>0.25018747521571827</v>
      </c>
      <c r="N137" s="33">
        <f>IFERROR(N107-N135, "NA")</f>
        <v>2320.1399999999953</v>
      </c>
      <c r="O137" s="34">
        <f>IFERROR(N137/N148, "NA")</f>
        <v>9.2199700448532235E-2</v>
      </c>
      <c r="P137" s="33">
        <f>IFERROR(P107-P135, "NA")</f>
        <v>-16700.21000000001</v>
      </c>
      <c r="Q137" s="34">
        <f>IFERROR(P137/P148, "NA")</f>
        <v>-0.58323985315113225</v>
      </c>
      <c r="R137" s="33">
        <f>IFERROR(R107-R135, "NA")</f>
        <v>11801.669999999995</v>
      </c>
      <c r="S137" s="34">
        <f>IFERROR(R137/R148, "NA")</f>
        <v>0.42056387496908559</v>
      </c>
      <c r="T137" s="33">
        <f>IFERROR(T107-T135, "NA")</f>
        <v>6784.2899999999954</v>
      </c>
      <c r="U137" s="34">
        <f>IFERROR(T137/T148, "NA")</f>
        <v>0.26354412854685538</v>
      </c>
      <c r="V137" s="33">
        <f>IFERROR(V107-V135, "NA")</f>
        <v>4454.1999999999989</v>
      </c>
      <c r="W137" s="34">
        <f>IFERROR(V137/V148, "NA")</f>
        <v>0.21612593938264699</v>
      </c>
      <c r="X137" s="33">
        <f>IFERROR(X107-X135, "NA")</f>
        <v>3849.130000000001</v>
      </c>
      <c r="Y137" s="34">
        <f>IFERROR(X137/X148, "NA")</f>
        <v>0.15696710163857686</v>
      </c>
      <c r="Z137" s="33">
        <f>IFERROR(Z107-Z135, "NA")</f>
        <v>26889.29</v>
      </c>
      <c r="AA137" s="34">
        <f>IFERROR(Z137/Z148, "NA")</f>
        <v>0.2717868043567494</v>
      </c>
      <c r="AB137" s="33">
        <f>IFERROR((R137+T137+V137+X137)/4, "NA")</f>
        <v>6722.3224999999975</v>
      </c>
      <c r="AC137" s="34">
        <f>IFERROR(AB137/AB148, "NA")</f>
        <v>0.27178680435674929</v>
      </c>
      <c r="AD137" s="15">
        <f>IFERROR(X137-AB137, "NA")</f>
        <v>-2873.1924999999965</v>
      </c>
      <c r="AE137" s="16">
        <f>IFERROR(AD137/AD148, "NA")</f>
        <v>13.558070947420587</v>
      </c>
      <c r="AF137" s="15">
        <f>IFERROR((X137-AB137)/AB137, "NA")</f>
        <v>-0.4274106902785455</v>
      </c>
      <c r="AG137" s="33">
        <f>IFERROR((J137+L137+N137+P137+R137+T137+V137+X137)/8, "NA")</f>
        <v>3913.3337499999966</v>
      </c>
      <c r="AH137" s="34">
        <f>IFERROR(AG137/AG148, "NA")</f>
        <v>0.15323213226568128</v>
      </c>
      <c r="AI137" s="15">
        <f>IFERROR(X137-AG137, "NA")</f>
        <v>-64.20374999999558</v>
      </c>
      <c r="AJ137" s="16">
        <f>IFERROR(AI137/AI148, "NA")</f>
        <v>6.3148693208219461E-2</v>
      </c>
      <c r="AK137" s="15">
        <f>IFERROR((X137-AG137)/AG137, "NA")</f>
        <v>-1.6406407963541477E-2</v>
      </c>
      <c r="AL137" s="16">
        <f>IFERROR(AK137/AK148, "NA")</f>
        <v>0.41211129985928274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0</v>
      </c>
      <c r="C140" s="8">
        <f>IFERROR(B140/B148, "NA")</f>
        <v>0</v>
      </c>
      <c r="D140" s="7">
        <v>0</v>
      </c>
      <c r="E140" s="8">
        <f>IFERROR(D140/D148, "NA")</f>
        <v>0</v>
      </c>
      <c r="F140" s="7">
        <v>600.96</v>
      </c>
      <c r="G140" s="8">
        <f>IFERROR(F140/F148, "NA")</f>
        <v>1.8764495835316072E-2</v>
      </c>
      <c r="H140" s="7">
        <v>8270.2400000000016</v>
      </c>
      <c r="I140" s="8">
        <f>IFERROR(H140/H148, "NA")</f>
        <v>0.28656628706109338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0</v>
      </c>
      <c r="O140" s="8">
        <f>IFERROR(N140/N148, "NA")</f>
        <v>0</v>
      </c>
      <c r="P140" s="7">
        <v>8232.2100000000009</v>
      </c>
      <c r="Q140" s="8">
        <f>IFERROR(P140/P148, "NA")</f>
        <v>0.28750254945951459</v>
      </c>
      <c r="R140" s="7">
        <v>0</v>
      </c>
      <c r="S140" s="8">
        <f>IFERROR(R140/R148, "NA")</f>
        <v>0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-216.42000000000002</v>
      </c>
      <c r="Y140" s="8">
        <f>IFERROR(X140/X148, "NA")</f>
        <v>-8.8255839986232723E-3</v>
      </c>
      <c r="Z140" s="7">
        <v>-216.42000000000002</v>
      </c>
      <c r="AA140" s="8">
        <f>IFERROR(Z140/Z148, "NA")</f>
        <v>-2.1874917559700424E-3</v>
      </c>
      <c r="AB140" s="9">
        <f>IFERROR((R140+T140+V140+X140)/4, "NA")</f>
        <v>-54.105000000000004</v>
      </c>
      <c r="AC140" s="8">
        <f>IFERROR(AB140/AB148, "NA")</f>
        <v>-2.1874917559700424E-3</v>
      </c>
      <c r="AD140" s="10">
        <f>IFERROR(X140-AB140, "NA")</f>
        <v>-162.315</v>
      </c>
      <c r="AE140" s="11">
        <f>IFERROR(AD140/AD148, "NA")</f>
        <v>0.76593485672490635</v>
      </c>
      <c r="AF140" s="10">
        <f>IFERROR((X140-AB140)/AB140, "NA")</f>
        <v>2.9999999999999996</v>
      </c>
      <c r="AG140" s="9">
        <f>IFERROR((J140+L140+N140+P140+R140+T140+V140+X140)/8, "NA")</f>
        <v>1001.9737500000001</v>
      </c>
      <c r="AH140" s="8">
        <f>IFERROR(AG140/AG148, "NA")</f>
        <v>3.9233703025391281E-2</v>
      </c>
      <c r="AI140" s="10">
        <f>IFERROR(X140-AG140, "NA")</f>
        <v>-1218.3937500000002</v>
      </c>
      <c r="AJ140" s="11">
        <f>IFERROR(AI140/AI148, "NA")</f>
        <v>1.1983719506347736</v>
      </c>
      <c r="AK140" s="10">
        <f>IFERROR((X140-AG140)/AG140, "NA")</f>
        <v>-1.2159936824692263</v>
      </c>
      <c r="AL140" s="11">
        <f>IFERROR(AK140/AK148, "NA")</f>
        <v>30.544451790829193</v>
      </c>
    </row>
    <row r="141" spans="1:38" ht="16.5" hidden="1" customHeight="1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0</v>
      </c>
      <c r="E141" s="14">
        <f>IFERROR(D141/D148, "NA")</f>
        <v>0</v>
      </c>
      <c r="F141" s="13">
        <f>IFERROR(F140, "NA")</f>
        <v>600.96</v>
      </c>
      <c r="G141" s="14">
        <f>IFERROR(F141/F148, "NA")</f>
        <v>1.8764495835316072E-2</v>
      </c>
      <c r="H141" s="13">
        <f>IFERROR(H140, "NA")</f>
        <v>8270.2400000000016</v>
      </c>
      <c r="I141" s="14">
        <f>IFERROR(H141/H148, "NA")</f>
        <v>0.28656628706109338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0</v>
      </c>
      <c r="O141" s="14">
        <f>IFERROR(N141/N148, "NA")</f>
        <v>0</v>
      </c>
      <c r="P141" s="13">
        <f>IFERROR(P140, "NA")</f>
        <v>8232.2100000000009</v>
      </c>
      <c r="Q141" s="14">
        <f>IFERROR(P141/P148, "NA")</f>
        <v>0.28750254945951459</v>
      </c>
      <c r="R141" s="13">
        <f>IFERROR(R140, "NA")</f>
        <v>0</v>
      </c>
      <c r="S141" s="14">
        <f>IFERROR(R141/R148, "NA")</f>
        <v>0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-216.42000000000002</v>
      </c>
      <c r="Y141" s="14">
        <f>IFERROR(X141/X148, "NA")</f>
        <v>-8.8255839986232723E-3</v>
      </c>
      <c r="Z141" s="13">
        <f>IFERROR(Z140, "NA")</f>
        <v>-216.42000000000002</v>
      </c>
      <c r="AA141" s="14">
        <f>IFERROR(Z141/Z148, "NA")</f>
        <v>-2.1874917559700424E-3</v>
      </c>
      <c r="AB141" s="13">
        <f>IFERROR((R141+T141+V141+X141)/4, "NA")</f>
        <v>-54.105000000000004</v>
      </c>
      <c r="AC141" s="14">
        <f>IFERROR(AB141/AB148, "NA")</f>
        <v>-2.1874917559700424E-3</v>
      </c>
      <c r="AD141" s="15">
        <f>IFERROR(X141-AB141, "NA")</f>
        <v>-162.315</v>
      </c>
      <c r="AE141" s="16">
        <f>IFERROR(AD141/AD148, "NA")</f>
        <v>0.76593485672490635</v>
      </c>
      <c r="AF141" s="15">
        <f>IFERROR((X141-AB141)/AB141, "NA")</f>
        <v>2.9999999999999996</v>
      </c>
      <c r="AG141" s="13">
        <f>IFERROR((J141+L141+N141+P141+R141+T141+V141+X141)/8, "NA")</f>
        <v>1001.9737500000001</v>
      </c>
      <c r="AH141" s="14">
        <f>IFERROR(AG141/AG148, "NA")</f>
        <v>3.9233703025391281E-2</v>
      </c>
      <c r="AI141" s="15">
        <f>IFERROR(X141-AG141, "NA")</f>
        <v>-1218.3937500000002</v>
      </c>
      <c r="AJ141" s="16">
        <f>IFERROR(AI141/AI148, "NA")</f>
        <v>1.1983719506347736</v>
      </c>
      <c r="AK141" s="15">
        <f>IFERROR((X141-AG141)/AG141, "NA")</f>
        <v>-1.2159936824692263</v>
      </c>
      <c r="AL141" s="16">
        <f>IFERROR(AK141/AK148, "NA")</f>
        <v>30.544451790829193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11770.500000000005</v>
      </c>
      <c r="C147" s="34">
        <f>IFERROR(B147/B148, "NA")</f>
        <v>0.43246994884064788</v>
      </c>
      <c r="D147" s="33">
        <f>IFERROR(D137-D141-D145, "NA")</f>
        <v>15595.570000000007</v>
      </c>
      <c r="E147" s="34">
        <f>IFERROR(D147/D148, "NA")</f>
        <v>0.37795109765395357</v>
      </c>
      <c r="F147" s="33">
        <f>IFERROR(F137-F141-F145, "NA")</f>
        <v>3016.8700000000013</v>
      </c>
      <c r="G147" s="34">
        <f>IFERROR(F147/F148, "NA")</f>
        <v>9.4199355282697711E-2</v>
      </c>
      <c r="H147" s="33">
        <f>IFERROR(H137-H141-H145, "NA")</f>
        <v>-22285.530000000013</v>
      </c>
      <c r="I147" s="34">
        <f>IFERROR(H147/H148, "NA")</f>
        <v>-0.77220027318295614</v>
      </c>
      <c r="J147" s="33">
        <f>IFERROR(J137-J141-J145, "NA")</f>
        <v>12368.449999999997</v>
      </c>
      <c r="K147" s="34">
        <f>IFERROR(J147/J148, "NA")</f>
        <v>0.4779336612953895</v>
      </c>
      <c r="L147" s="33">
        <f>IFERROR(L137-L141-L145, "NA")</f>
        <v>6429.0000000000036</v>
      </c>
      <c r="M147" s="34">
        <f>IFERROR(L147/L148, "NA")</f>
        <v>0.25018747521571827</v>
      </c>
      <c r="N147" s="33">
        <f>IFERROR(N137-N141-N145, "NA")</f>
        <v>2320.1399999999953</v>
      </c>
      <c r="O147" s="34">
        <f>IFERROR(N147/N148, "NA")</f>
        <v>9.2199700448532235E-2</v>
      </c>
      <c r="P147" s="33">
        <f>IFERROR(P137-P141-P145, "NA")</f>
        <v>-24932.420000000013</v>
      </c>
      <c r="Q147" s="34">
        <f>IFERROR(P147/P148, "NA")</f>
        <v>-0.87074240261064695</v>
      </c>
      <c r="R147" s="33">
        <f>IFERROR(R137-R141-R145, "NA")</f>
        <v>11801.669999999995</v>
      </c>
      <c r="S147" s="34">
        <f>IFERROR(R147/R148, "NA")</f>
        <v>0.42056387496908559</v>
      </c>
      <c r="T147" s="33">
        <f>IFERROR(T137-T141-T145, "NA")</f>
        <v>6784.2899999999954</v>
      </c>
      <c r="U147" s="34">
        <f>IFERROR(T147/T148, "NA")</f>
        <v>0.26354412854685538</v>
      </c>
      <c r="V147" s="33">
        <f>IFERROR(V137-V141-V145, "NA")</f>
        <v>4454.1999999999989</v>
      </c>
      <c r="W147" s="34">
        <f>IFERROR(V147/V148, "NA")</f>
        <v>0.21612593938264699</v>
      </c>
      <c r="X147" s="33">
        <f>IFERROR(X137-X141-X145, "NA")</f>
        <v>4065.5500000000011</v>
      </c>
      <c r="Y147" s="34">
        <f>IFERROR(X147/X148, "NA")</f>
        <v>0.16579268563720012</v>
      </c>
      <c r="Z147" s="33">
        <f>IFERROR(Z137-Z141-Z145, "NA")</f>
        <v>27105.71</v>
      </c>
      <c r="AA147" s="34">
        <f>IFERROR(Z147/Z148, "NA")</f>
        <v>0.2739742961127194</v>
      </c>
      <c r="AB147" s="33">
        <f>IFERROR((R147+T147+V147+X147)/4, "NA")</f>
        <v>6776.427499999998</v>
      </c>
      <c r="AC147" s="34">
        <f>IFERROR(AB147/AB148, "NA")</f>
        <v>0.27397429611271934</v>
      </c>
      <c r="AD147" s="15">
        <f>IFERROR(X147-AB147, "NA")</f>
        <v>-2710.8774999999969</v>
      </c>
      <c r="AE147" s="16">
        <f>IFERROR(AD147/AD148, "NA")</f>
        <v>12.792136090695683</v>
      </c>
      <c r="AF147" s="15">
        <f>IFERROR((X147-AB147)/AB147, "NA")</f>
        <v>-0.4000452303223192</v>
      </c>
      <c r="AG147" s="33">
        <f>IFERROR((J147+L147+N147+P147+R147+T147+V147+X147)/8, "NA")</f>
        <v>2911.3599999999969</v>
      </c>
      <c r="AH147" s="34">
        <f>IFERROR(AG147/AG148, "NA")</f>
        <v>0.11399842924029001</v>
      </c>
      <c r="AI147" s="15">
        <f>IFERROR(X147-AG147, "NA")</f>
        <v>1154.1900000000041</v>
      </c>
      <c r="AJ147" s="16">
        <f>IFERROR(AI147/AI148, "NA")</f>
        <v>-1.1352232574265537</v>
      </c>
      <c r="AK147" s="15">
        <f>IFERROR((X147-AG147)/AG147, "NA")</f>
        <v>0.39644358650252987</v>
      </c>
      <c r="AL147" s="16">
        <f>IFERROR(AK147/AK148, "NA")</f>
        <v>-9.9582359598454548</v>
      </c>
    </row>
    <row r="148" spans="1:38" ht="15.6" hidden="1">
      <c r="A148" s="40" t="s">
        <v>25</v>
      </c>
      <c r="B148" s="7">
        <v>27216.92</v>
      </c>
      <c r="C148" s="41"/>
      <c r="D148" s="7">
        <v>41263.46</v>
      </c>
      <c r="E148" s="41"/>
      <c r="F148" s="7">
        <v>32026.44</v>
      </c>
      <c r="G148" s="41"/>
      <c r="H148" s="7">
        <v>28859.78</v>
      </c>
      <c r="I148" s="41"/>
      <c r="J148" s="7">
        <v>25879.01</v>
      </c>
      <c r="K148" s="41"/>
      <c r="L148" s="7">
        <v>25696.73</v>
      </c>
      <c r="M148" s="41"/>
      <c r="N148" s="7">
        <v>25164.29</v>
      </c>
      <c r="O148" s="41"/>
      <c r="P148" s="7">
        <v>28633.52</v>
      </c>
      <c r="Q148" s="41"/>
      <c r="R148" s="7">
        <v>28061.54</v>
      </c>
      <c r="S148" s="41"/>
      <c r="T148" s="7">
        <v>25742.52</v>
      </c>
      <c r="U148" s="41"/>
      <c r="V148" s="7">
        <v>20609.28</v>
      </c>
      <c r="W148" s="41"/>
      <c r="X148" s="7">
        <v>24521.89</v>
      </c>
      <c r="Y148" s="41"/>
      <c r="Z148" s="7">
        <v>98935.23</v>
      </c>
      <c r="AA148" s="41"/>
      <c r="AB148" s="9">
        <f>IFERROR((R148+T148+V148+X148)/4, "NA")</f>
        <v>24733.807499999999</v>
      </c>
      <c r="AC148" s="41"/>
      <c r="AD148" s="10">
        <f>IFERROR(X148-AB148, "NA")</f>
        <v>-211.91749999999956</v>
      </c>
      <c r="AE148" s="42"/>
      <c r="AF148" s="10">
        <f>IFERROR((X148-AB148)/AB148, "NA")</f>
        <v>-8.5679287347894002E-3</v>
      </c>
      <c r="AG148" s="9">
        <f>IFERROR((J148+L148+N148+P148+R148+T148+V148+X148)/8, "NA")</f>
        <v>25538.597499999996</v>
      </c>
      <c r="AH148" s="41"/>
      <c r="AI148" s="10">
        <f>IFERROR(X148-AG148, "NA")</f>
        <v>-1016.7074999999968</v>
      </c>
      <c r="AJ148" s="42"/>
      <c r="AK148" s="10">
        <f>IFERROR((X148-AG148)/AG148, "NA")</f>
        <v>-3.9810623899765717E-2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I5:AJ5"/>
    <mergeCell ref="AK5:AL5"/>
    <mergeCell ref="Z5:AA5"/>
    <mergeCell ref="AB5:AC5"/>
    <mergeCell ref="AD5:AE5"/>
    <mergeCell ref="AF5"/>
    <mergeCell ref="AG5:AH5"/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7" right="0.7" top="0.75" bottom="0.75" header="0.3" footer="0.3"/>
  <ignoredErrors>
    <ignoredError sqref="A1:AL153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AL153"/>
  <sheetViews>
    <sheetView showGridLines="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RowHeight="14.4"/>
  <cols>
    <col min="1" max="1" width="42.88671875" customWidth="1"/>
    <col min="2" max="2" width="17.109375" customWidth="1"/>
    <col min="3" max="3" width="9.44140625" customWidth="1"/>
    <col min="4" max="4" width="17.109375" customWidth="1"/>
    <col min="5" max="5" width="9.44140625" customWidth="1"/>
    <col min="6" max="6" width="17.109375" customWidth="1"/>
    <col min="7" max="7" width="9.44140625" customWidth="1"/>
    <col min="8" max="8" width="17.109375" customWidth="1"/>
    <col min="9" max="9" width="9.44140625" customWidth="1"/>
    <col min="10" max="10" width="17.109375" customWidth="1"/>
    <col min="11" max="11" width="9.44140625" customWidth="1"/>
    <col min="12" max="12" width="17.109375" customWidth="1"/>
    <col min="13" max="13" width="9.44140625" customWidth="1"/>
    <col min="14" max="14" width="17.109375" customWidth="1"/>
    <col min="15" max="15" width="9.44140625" customWidth="1"/>
    <col min="16" max="16" width="17.109375" customWidth="1"/>
    <col min="17" max="17" width="9.44140625" customWidth="1"/>
    <col min="18" max="18" width="17.109375" customWidth="1"/>
    <col min="19" max="19" width="9.44140625" customWidth="1"/>
    <col min="20" max="20" width="17.109375" customWidth="1"/>
    <col min="21" max="21" width="9.44140625" customWidth="1"/>
    <col min="22" max="22" width="17.109375" customWidth="1"/>
    <col min="23" max="23" width="9.44140625" customWidth="1"/>
    <col min="24" max="24" width="17.109375" customWidth="1"/>
    <col min="25" max="25" width="9.44140625" customWidth="1"/>
    <col min="26" max="26" width="17.109375" customWidth="1"/>
    <col min="27" max="27" width="9.44140625" customWidth="1"/>
    <col min="28" max="28" width="17.109375" customWidth="1"/>
    <col min="29" max="29" width="9.44140625" customWidth="1"/>
    <col min="30" max="30" width="16.6640625" customWidth="1"/>
    <col min="31" max="31" width="0" hidden="1" customWidth="1"/>
    <col min="32" max="32" width="16.6640625" customWidth="1"/>
    <col min="33" max="33" width="17.109375" customWidth="1"/>
    <col min="34" max="34" width="9.44140625" customWidth="1"/>
    <col min="35" max="35" width="16.6640625" customWidth="1"/>
    <col min="36" max="36" width="0" hidden="1" customWidth="1"/>
    <col min="37" max="37" width="16.6640625" customWidth="1"/>
    <col min="38" max="38" width="0" hidden="1" customWidth="1"/>
  </cols>
  <sheetData>
    <row r="1" spans="1:38" ht="33.6">
      <c r="A1" s="44" t="s">
        <v>0</v>
      </c>
      <c r="B1" s="44" t="s">
        <v>0</v>
      </c>
      <c r="C1" s="44" t="s">
        <v>0</v>
      </c>
      <c r="D1" s="44" t="s">
        <v>0</v>
      </c>
      <c r="E1" s="44" t="s">
        <v>0</v>
      </c>
      <c r="F1" s="44" t="s">
        <v>0</v>
      </c>
      <c r="G1" s="44" t="s">
        <v>0</v>
      </c>
      <c r="H1" s="44" t="s">
        <v>0</v>
      </c>
      <c r="I1" s="44" t="s">
        <v>0</v>
      </c>
      <c r="J1" s="44" t="s">
        <v>0</v>
      </c>
      <c r="K1" s="44" t="s">
        <v>0</v>
      </c>
      <c r="L1" s="44" t="s">
        <v>0</v>
      </c>
      <c r="M1" s="44" t="s">
        <v>0</v>
      </c>
      <c r="N1" s="44" t="s">
        <v>0</v>
      </c>
      <c r="O1" s="44" t="s">
        <v>0</v>
      </c>
      <c r="P1" s="44" t="s">
        <v>0</v>
      </c>
      <c r="Q1" s="44" t="s">
        <v>0</v>
      </c>
      <c r="R1" s="44" t="s">
        <v>0</v>
      </c>
      <c r="S1" s="44" t="s">
        <v>0</v>
      </c>
      <c r="T1" s="44" t="s">
        <v>0</v>
      </c>
      <c r="U1" s="44" t="s">
        <v>0</v>
      </c>
      <c r="V1" s="44" t="s">
        <v>0</v>
      </c>
      <c r="W1" s="44" t="s">
        <v>0</v>
      </c>
      <c r="X1" s="44" t="s">
        <v>0</v>
      </c>
      <c r="Y1" s="44" t="s">
        <v>0</v>
      </c>
      <c r="Z1" s="44" t="s">
        <v>0</v>
      </c>
      <c r="AA1" s="44" t="s">
        <v>0</v>
      </c>
      <c r="AB1" s="44" t="s">
        <v>0</v>
      </c>
      <c r="AC1" s="44" t="s">
        <v>0</v>
      </c>
      <c r="AD1" s="44" t="s">
        <v>0</v>
      </c>
      <c r="AE1" s="44" t="s">
        <v>0</v>
      </c>
      <c r="AF1" s="44" t="s">
        <v>0</v>
      </c>
      <c r="AG1" s="44" t="s">
        <v>0</v>
      </c>
      <c r="AH1" s="44" t="s">
        <v>0</v>
      </c>
      <c r="AI1" s="44" t="s">
        <v>0</v>
      </c>
      <c r="AJ1" s="44" t="s">
        <v>0</v>
      </c>
      <c r="AK1" s="44" t="s">
        <v>0</v>
      </c>
      <c r="AL1" s="44" t="s">
        <v>0</v>
      </c>
    </row>
    <row r="2" spans="1:38" ht="23.4">
      <c r="A2" s="45" t="s">
        <v>1</v>
      </c>
      <c r="B2" s="45" t="s">
        <v>1</v>
      </c>
      <c r="C2" s="45" t="s">
        <v>1</v>
      </c>
      <c r="D2" s="45" t="s">
        <v>1</v>
      </c>
      <c r="E2" s="45" t="s">
        <v>1</v>
      </c>
      <c r="F2" s="45" t="s">
        <v>1</v>
      </c>
      <c r="G2" s="45" t="s">
        <v>1</v>
      </c>
      <c r="H2" s="45" t="s">
        <v>1</v>
      </c>
      <c r="I2" s="45" t="s">
        <v>1</v>
      </c>
      <c r="J2" s="45" t="s">
        <v>1</v>
      </c>
      <c r="K2" s="45" t="s">
        <v>1</v>
      </c>
      <c r="L2" s="45" t="s">
        <v>1</v>
      </c>
      <c r="M2" s="45" t="s">
        <v>1</v>
      </c>
      <c r="N2" s="45" t="s">
        <v>1</v>
      </c>
      <c r="O2" s="45" t="s">
        <v>1</v>
      </c>
      <c r="P2" s="45" t="s">
        <v>1</v>
      </c>
      <c r="Q2" s="45" t="s">
        <v>1</v>
      </c>
      <c r="R2" s="45" t="s">
        <v>1</v>
      </c>
      <c r="S2" s="45" t="s">
        <v>1</v>
      </c>
      <c r="T2" s="45" t="s">
        <v>1</v>
      </c>
      <c r="U2" s="45" t="s">
        <v>1</v>
      </c>
      <c r="V2" s="45" t="s">
        <v>1</v>
      </c>
      <c r="W2" s="45" t="s">
        <v>1</v>
      </c>
      <c r="X2" s="45" t="s">
        <v>1</v>
      </c>
      <c r="Y2" s="45" t="s">
        <v>1</v>
      </c>
      <c r="Z2" s="45" t="s">
        <v>1</v>
      </c>
      <c r="AA2" s="45" t="s">
        <v>1</v>
      </c>
      <c r="AB2" s="45" t="s">
        <v>1</v>
      </c>
      <c r="AC2" s="45" t="s">
        <v>1</v>
      </c>
      <c r="AD2" s="45" t="s">
        <v>1</v>
      </c>
      <c r="AE2" s="45" t="s">
        <v>1</v>
      </c>
      <c r="AF2" s="45" t="s">
        <v>1</v>
      </c>
      <c r="AG2" s="45" t="s">
        <v>1</v>
      </c>
      <c r="AH2" s="45" t="s">
        <v>1</v>
      </c>
      <c r="AI2" s="45" t="s">
        <v>1</v>
      </c>
      <c r="AJ2" s="45" t="s">
        <v>1</v>
      </c>
      <c r="AK2" s="45" t="s">
        <v>1</v>
      </c>
      <c r="AL2" s="45" t="s">
        <v>1</v>
      </c>
    </row>
    <row r="3" spans="1:38" ht="15.6">
      <c r="A3" s="46" t="s">
        <v>155</v>
      </c>
      <c r="B3" s="46" t="s">
        <v>155</v>
      </c>
      <c r="C3" s="46" t="s">
        <v>155</v>
      </c>
      <c r="D3" s="46" t="s">
        <v>155</v>
      </c>
      <c r="E3" s="46" t="s">
        <v>155</v>
      </c>
      <c r="F3" s="46" t="s">
        <v>155</v>
      </c>
      <c r="G3" s="46" t="s">
        <v>155</v>
      </c>
      <c r="H3" s="46" t="s">
        <v>155</v>
      </c>
      <c r="I3" s="46" t="s">
        <v>155</v>
      </c>
      <c r="J3" s="46" t="s">
        <v>155</v>
      </c>
      <c r="K3" s="46" t="s">
        <v>155</v>
      </c>
      <c r="L3" s="46" t="s">
        <v>155</v>
      </c>
      <c r="M3" s="46" t="s">
        <v>155</v>
      </c>
      <c r="N3" s="46" t="s">
        <v>155</v>
      </c>
      <c r="O3" s="46" t="s">
        <v>155</v>
      </c>
      <c r="P3" s="46" t="s">
        <v>155</v>
      </c>
      <c r="Q3" s="46" t="s">
        <v>155</v>
      </c>
      <c r="R3" s="46" t="s">
        <v>155</v>
      </c>
      <c r="S3" s="46" t="s">
        <v>155</v>
      </c>
      <c r="T3" s="46" t="s">
        <v>155</v>
      </c>
      <c r="U3" s="46" t="s">
        <v>155</v>
      </c>
      <c r="V3" s="46" t="s">
        <v>155</v>
      </c>
      <c r="W3" s="46" t="s">
        <v>155</v>
      </c>
      <c r="X3" s="46" t="s">
        <v>155</v>
      </c>
      <c r="Y3" s="46" t="s">
        <v>155</v>
      </c>
      <c r="Z3" s="46" t="s">
        <v>155</v>
      </c>
      <c r="AA3" s="46" t="s">
        <v>155</v>
      </c>
      <c r="AB3" s="46" t="s">
        <v>155</v>
      </c>
      <c r="AC3" s="46" t="s">
        <v>155</v>
      </c>
      <c r="AD3" s="46" t="s">
        <v>155</v>
      </c>
      <c r="AE3" s="46" t="s">
        <v>155</v>
      </c>
      <c r="AF3" s="46" t="s">
        <v>155</v>
      </c>
      <c r="AG3" s="46" t="s">
        <v>155</v>
      </c>
      <c r="AH3" s="46" t="s">
        <v>155</v>
      </c>
      <c r="AI3" s="46" t="s">
        <v>155</v>
      </c>
      <c r="AJ3" s="46" t="s">
        <v>155</v>
      </c>
      <c r="AK3" s="46" t="s">
        <v>155</v>
      </c>
      <c r="AL3" s="46" t="s">
        <v>155</v>
      </c>
    </row>
    <row r="5" spans="1:38" ht="13.5" customHeight="1">
      <c r="A5" s="47" t="s">
        <v>3</v>
      </c>
      <c r="B5" s="48" t="s">
        <v>4</v>
      </c>
      <c r="C5" s="49" t="s">
        <v>3</v>
      </c>
      <c r="D5" s="48" t="s">
        <v>5</v>
      </c>
      <c r="E5" s="49" t="s">
        <v>3</v>
      </c>
      <c r="F5" s="48" t="s">
        <v>6</v>
      </c>
      <c r="G5" s="49" t="s">
        <v>3</v>
      </c>
      <c r="H5" s="48" t="s">
        <v>7</v>
      </c>
      <c r="I5" s="49" t="s">
        <v>3</v>
      </c>
      <c r="J5" s="48" t="s">
        <v>8</v>
      </c>
      <c r="K5" s="49" t="s">
        <v>3</v>
      </c>
      <c r="L5" s="48" t="s">
        <v>9</v>
      </c>
      <c r="M5" s="49" t="s">
        <v>3</v>
      </c>
      <c r="N5" s="48" t="s">
        <v>10</v>
      </c>
      <c r="O5" s="49" t="s">
        <v>3</v>
      </c>
      <c r="P5" s="48" t="s">
        <v>11</v>
      </c>
      <c r="Q5" s="49" t="s">
        <v>3</v>
      </c>
      <c r="R5" s="48" t="s">
        <v>12</v>
      </c>
      <c r="S5" s="49" t="s">
        <v>3</v>
      </c>
      <c r="T5" s="48" t="s">
        <v>13</v>
      </c>
      <c r="U5" s="49" t="s">
        <v>3</v>
      </c>
      <c r="V5" s="48" t="s">
        <v>14</v>
      </c>
      <c r="W5" s="49" t="s">
        <v>3</v>
      </c>
      <c r="X5" s="48" t="s">
        <v>15</v>
      </c>
      <c r="Y5" s="49" t="s">
        <v>3</v>
      </c>
      <c r="Z5" s="48" t="s">
        <v>16</v>
      </c>
      <c r="AA5" s="49" t="s">
        <v>3</v>
      </c>
      <c r="AB5" s="48" t="s">
        <v>17</v>
      </c>
      <c r="AC5" s="49" t="s">
        <v>3</v>
      </c>
      <c r="AD5" s="50" t="s">
        <v>18</v>
      </c>
      <c r="AE5" s="51" t="s">
        <v>3</v>
      </c>
      <c r="AF5" s="50" t="s">
        <v>19</v>
      </c>
      <c r="AG5" s="48" t="s">
        <v>20</v>
      </c>
      <c r="AH5" s="49" t="s">
        <v>3</v>
      </c>
      <c r="AI5" s="50" t="s">
        <v>21</v>
      </c>
      <c r="AJ5" s="51" t="s">
        <v>3</v>
      </c>
      <c r="AK5" s="50" t="s">
        <v>22</v>
      </c>
      <c r="AL5" s="51" t="s">
        <v>3</v>
      </c>
    </row>
    <row r="6" spans="1:38" ht="16.5" customHeight="1">
      <c r="A6" s="1" t="s">
        <v>23</v>
      </c>
      <c r="B6" s="2"/>
      <c r="C6" s="3"/>
      <c r="D6" s="2"/>
      <c r="E6" s="3"/>
      <c r="F6" s="2"/>
      <c r="G6" s="3"/>
      <c r="H6" s="2"/>
      <c r="I6" s="3"/>
      <c r="J6" s="2"/>
      <c r="K6" s="3"/>
      <c r="L6" s="2"/>
      <c r="M6" s="3"/>
      <c r="N6" s="2"/>
      <c r="O6" s="3"/>
      <c r="P6" s="2"/>
      <c r="Q6" s="3"/>
      <c r="R6" s="2"/>
      <c r="S6" s="3"/>
      <c r="T6" s="2"/>
      <c r="U6" s="3"/>
      <c r="V6" s="2"/>
      <c r="W6" s="3"/>
      <c r="X6" s="2"/>
      <c r="Y6" s="3"/>
      <c r="Z6" s="2"/>
      <c r="AA6" s="3"/>
      <c r="AB6" s="2"/>
      <c r="AC6" s="3"/>
      <c r="AD6" s="4"/>
      <c r="AE6" s="5"/>
      <c r="AF6" s="4"/>
      <c r="AG6" s="2"/>
      <c r="AH6" s="3"/>
      <c r="AI6" s="4"/>
      <c r="AJ6" s="5"/>
      <c r="AK6" s="4"/>
      <c r="AL6" s="5"/>
    </row>
    <row r="7" spans="1:38" ht="16.5" customHeight="1">
      <c r="A7" s="6" t="s">
        <v>23</v>
      </c>
      <c r="B7" s="7">
        <v>24888.17</v>
      </c>
      <c r="C7" s="8">
        <f>IFERROR(B7/B148, "NA")</f>
        <v>1</v>
      </c>
      <c r="D7" s="7">
        <v>31639.470000000012</v>
      </c>
      <c r="E7" s="8">
        <f>IFERROR(D7/D148, "NA")</f>
        <v>1.0000000000000004</v>
      </c>
      <c r="F7" s="7">
        <v>30080.689999999991</v>
      </c>
      <c r="G7" s="8">
        <f>IFERROR(F7/F148, "NA")</f>
        <v>0.99999999999999978</v>
      </c>
      <c r="H7" s="7">
        <v>26696.989999999998</v>
      </c>
      <c r="I7" s="8">
        <f>IFERROR(H7/H148, "NA")</f>
        <v>0.99999999999999989</v>
      </c>
      <c r="J7" s="7">
        <v>22852.069999999996</v>
      </c>
      <c r="K7" s="8">
        <f>IFERROR(J7/J148, "NA")</f>
        <v>0.99999999999999989</v>
      </c>
      <c r="L7" s="7">
        <v>26960.43</v>
      </c>
      <c r="M7" s="8">
        <f>IFERROR(L7/L148, "NA")</f>
        <v>1</v>
      </c>
      <c r="N7" s="7">
        <v>24051.489999999998</v>
      </c>
      <c r="O7" s="8">
        <f>IFERROR(N7/N148, "NA")</f>
        <v>0.99999999999999989</v>
      </c>
      <c r="P7" s="7">
        <v>25100.74</v>
      </c>
      <c r="Q7" s="8">
        <f>IFERROR(P7/P148, "NA")</f>
        <v>1</v>
      </c>
      <c r="R7" s="7">
        <v>22601.940000000002</v>
      </c>
      <c r="S7" s="8">
        <f>IFERROR(R7/R148, "NA")</f>
        <v>1.0000000000000002</v>
      </c>
      <c r="T7" s="7">
        <v>27925.389999999996</v>
      </c>
      <c r="U7" s="8">
        <f>IFERROR(T7/T148, "NA")</f>
        <v>0.99999999999999989</v>
      </c>
      <c r="V7" s="7">
        <v>27652.5</v>
      </c>
      <c r="W7" s="8">
        <f>IFERROR(V7/V148, "NA")</f>
        <v>1</v>
      </c>
      <c r="X7" s="7">
        <v>23432.869999999995</v>
      </c>
      <c r="Y7" s="8">
        <f>IFERROR(X7/X148, "NA")</f>
        <v>0.99999999999999989</v>
      </c>
      <c r="Z7" s="7">
        <v>101612.7</v>
      </c>
      <c r="AA7" s="8">
        <f>IFERROR(Z7/Z148, "NA")</f>
        <v>1</v>
      </c>
      <c r="AB7" s="9">
        <f>IFERROR((R7+T7+V7+X7)/4, "NA")</f>
        <v>25403.174999999999</v>
      </c>
      <c r="AC7" s="8">
        <f>IFERROR(AB7/AB148, "NA")</f>
        <v>1</v>
      </c>
      <c r="AD7" s="10">
        <f>IFERROR(X7-AB7, "NA")</f>
        <v>-1970.3050000000039</v>
      </c>
      <c r="AE7" s="11">
        <f>IFERROR(AD7/AD148, "NA")</f>
        <v>1.0000000000000018</v>
      </c>
      <c r="AF7" s="10">
        <f>IFERROR((X7-AB7)/AB7, "NA")</f>
        <v>-7.7561367821148502E-2</v>
      </c>
      <c r="AG7" s="9">
        <f>IFERROR((J7+L7+N7+P7+R7+T7+V7+X7)/8, "NA")</f>
        <v>25072.178749999999</v>
      </c>
      <c r="AH7" s="8">
        <f>IFERROR(AG7/AG148, "NA")</f>
        <v>1</v>
      </c>
      <c r="AI7" s="10">
        <f>IFERROR(X7-AG7, "NA")</f>
        <v>-1639.3087500000038</v>
      </c>
      <c r="AJ7" s="11">
        <f>IFERROR(AI7/AI148, "NA")</f>
        <v>1.0000000000000022</v>
      </c>
      <c r="AK7" s="10">
        <f>IFERROR((X7-AG7)/AG7, "NA")</f>
        <v>-6.5383577803345222E-2</v>
      </c>
      <c r="AL7" s="11">
        <f>IFERROR(AK7/AK148, "NA")</f>
        <v>1.0000000000000022</v>
      </c>
    </row>
    <row r="8" spans="1:38" ht="30.75" hidden="1" customHeight="1">
      <c r="A8" s="6" t="s">
        <v>24</v>
      </c>
      <c r="B8" s="7">
        <v>0</v>
      </c>
      <c r="C8" s="8">
        <f>IFERROR(B8/B148, "NA")</f>
        <v>0</v>
      </c>
      <c r="D8" s="7">
        <v>0</v>
      </c>
      <c r="E8" s="8">
        <f>IFERROR(D8/D148, "NA")</f>
        <v>0</v>
      </c>
      <c r="F8" s="7">
        <v>0</v>
      </c>
      <c r="G8" s="8">
        <f>IFERROR(F8/F148, "NA")</f>
        <v>0</v>
      </c>
      <c r="H8" s="7">
        <v>0</v>
      </c>
      <c r="I8" s="8">
        <f>IFERROR(H8/H148, "NA")</f>
        <v>0</v>
      </c>
      <c r="J8" s="7">
        <v>0</v>
      </c>
      <c r="K8" s="8">
        <f>IFERROR(J8/J148, "NA")</f>
        <v>0</v>
      </c>
      <c r="L8" s="7">
        <v>0</v>
      </c>
      <c r="M8" s="8">
        <f>IFERROR(L8/L148, "NA")</f>
        <v>0</v>
      </c>
      <c r="N8" s="7">
        <v>0</v>
      </c>
      <c r="O8" s="8">
        <f>IFERROR(N8/N148, "NA")</f>
        <v>0</v>
      </c>
      <c r="P8" s="7">
        <v>0</v>
      </c>
      <c r="Q8" s="8">
        <f>IFERROR(P8/P148, "NA")</f>
        <v>0</v>
      </c>
      <c r="R8" s="7">
        <v>0</v>
      </c>
      <c r="S8" s="8">
        <f>IFERROR(R8/R148, "NA")</f>
        <v>0</v>
      </c>
      <c r="T8" s="7">
        <v>0</v>
      </c>
      <c r="U8" s="8">
        <f>IFERROR(T8/T148, "NA")</f>
        <v>0</v>
      </c>
      <c r="V8" s="7">
        <v>0</v>
      </c>
      <c r="W8" s="8">
        <f>IFERROR(V8/V148, "NA")</f>
        <v>0</v>
      </c>
      <c r="X8" s="7">
        <v>0</v>
      </c>
      <c r="Y8" s="8">
        <f>IFERROR(X8/X148, "NA")</f>
        <v>0</v>
      </c>
      <c r="Z8" s="7">
        <v>0</v>
      </c>
      <c r="AA8" s="8">
        <f>IFERROR(Z8/Z148, "NA")</f>
        <v>0</v>
      </c>
      <c r="AB8" s="9">
        <f>IFERROR((R8+T8+V8+X8)/4, "NA")</f>
        <v>0</v>
      </c>
      <c r="AC8" s="8">
        <f>IFERROR(AB8/AB148, "NA")</f>
        <v>0</v>
      </c>
      <c r="AD8" s="10">
        <f>IFERROR(X8-AB8, "NA")</f>
        <v>0</v>
      </c>
      <c r="AE8" s="11">
        <f>IFERROR(AD8/AD148, "NA")</f>
        <v>0</v>
      </c>
      <c r="AF8" s="10" t="str">
        <f>IFERROR((X8-AB8)/AB8, "NA")</f>
        <v>NA</v>
      </c>
      <c r="AG8" s="9">
        <f>IFERROR((J8+L8+N8+P8+R8+T8+V8+X8)/8, "NA")</f>
        <v>0</v>
      </c>
      <c r="AH8" s="8">
        <f>IFERROR(AG8/AG148, "NA")</f>
        <v>0</v>
      </c>
      <c r="AI8" s="10">
        <f>IFERROR(X8-AG8, "NA")</f>
        <v>0</v>
      </c>
      <c r="AJ8" s="11">
        <f>IFERROR(AI8/AI148, "NA")</f>
        <v>0</v>
      </c>
      <c r="AK8" s="10" t="str">
        <f>IFERROR((X8-AG8)/AG8, "NA")</f>
        <v>NA</v>
      </c>
      <c r="AL8" s="11" t="str">
        <f>IFERROR(AK8/AK148, "NA")</f>
        <v>NA</v>
      </c>
    </row>
    <row r="9" spans="1:38" ht="16.5" customHeight="1">
      <c r="A9" s="12" t="s">
        <v>25</v>
      </c>
      <c r="B9" s="13">
        <f>IFERROR(B7+B8, "NA")</f>
        <v>24888.17</v>
      </c>
      <c r="C9" s="14">
        <f>IFERROR(B9/B148, "NA")</f>
        <v>1</v>
      </c>
      <c r="D9" s="13">
        <f>IFERROR(D7+D8, "NA")</f>
        <v>31639.470000000012</v>
      </c>
      <c r="E9" s="14">
        <f>IFERROR(D9/D148, "NA")</f>
        <v>1.0000000000000004</v>
      </c>
      <c r="F9" s="13">
        <f>IFERROR(F7+F8, "NA")</f>
        <v>30080.689999999991</v>
      </c>
      <c r="G9" s="14">
        <f>IFERROR(F9/F148, "NA")</f>
        <v>0.99999999999999978</v>
      </c>
      <c r="H9" s="13">
        <f>IFERROR(H7+H8, "NA")</f>
        <v>26696.989999999998</v>
      </c>
      <c r="I9" s="14">
        <f>IFERROR(H9/H148, "NA")</f>
        <v>0.99999999999999989</v>
      </c>
      <c r="J9" s="13">
        <f>IFERROR(J7+J8, "NA")</f>
        <v>22852.069999999996</v>
      </c>
      <c r="K9" s="14">
        <f>IFERROR(J9/J148, "NA")</f>
        <v>0.99999999999999989</v>
      </c>
      <c r="L9" s="13">
        <f>IFERROR(L7+L8, "NA")</f>
        <v>26960.43</v>
      </c>
      <c r="M9" s="14">
        <f>IFERROR(L9/L148, "NA")</f>
        <v>1</v>
      </c>
      <c r="N9" s="13">
        <f>IFERROR(N7+N8, "NA")</f>
        <v>24051.489999999998</v>
      </c>
      <c r="O9" s="14">
        <f>IFERROR(N9/N148, "NA")</f>
        <v>0.99999999999999989</v>
      </c>
      <c r="P9" s="13">
        <f>IFERROR(P7+P8, "NA")</f>
        <v>25100.74</v>
      </c>
      <c r="Q9" s="14">
        <f>IFERROR(P9/P148, "NA")</f>
        <v>1</v>
      </c>
      <c r="R9" s="13">
        <f>IFERROR(R7+R8, "NA")</f>
        <v>22601.940000000002</v>
      </c>
      <c r="S9" s="14">
        <f>IFERROR(R9/R148, "NA")</f>
        <v>1.0000000000000002</v>
      </c>
      <c r="T9" s="13">
        <f>IFERROR(T7+T8, "NA")</f>
        <v>27925.389999999996</v>
      </c>
      <c r="U9" s="14">
        <f>IFERROR(T9/T148, "NA")</f>
        <v>0.99999999999999989</v>
      </c>
      <c r="V9" s="13">
        <f>IFERROR(V7+V8, "NA")</f>
        <v>27652.5</v>
      </c>
      <c r="W9" s="14">
        <f>IFERROR(V9/V148, "NA")</f>
        <v>1</v>
      </c>
      <c r="X9" s="13">
        <f>IFERROR(X7+X8, "NA")</f>
        <v>23432.869999999995</v>
      </c>
      <c r="Y9" s="14">
        <f>IFERROR(X9/X148, "NA")</f>
        <v>0.99999999999999989</v>
      </c>
      <c r="Z9" s="13">
        <f>IFERROR(Z7+Z8, "NA")</f>
        <v>101612.7</v>
      </c>
      <c r="AA9" s="14">
        <f>IFERROR(Z9/Z148, "NA")</f>
        <v>1</v>
      </c>
      <c r="AB9" s="13">
        <f>IFERROR((R9+T9+V9+X9)/4, "NA")</f>
        <v>25403.174999999999</v>
      </c>
      <c r="AC9" s="14">
        <f>IFERROR(AB9/AB148, "NA")</f>
        <v>1</v>
      </c>
      <c r="AD9" s="15">
        <f>IFERROR(X9-AB9, "NA")</f>
        <v>-1970.3050000000039</v>
      </c>
      <c r="AE9" s="16">
        <f>IFERROR(AD9/AD148, "NA")</f>
        <v>1.0000000000000018</v>
      </c>
      <c r="AF9" s="15">
        <f>IFERROR((X9-AB9)/AB9, "NA")</f>
        <v>-7.7561367821148502E-2</v>
      </c>
      <c r="AG9" s="13">
        <f>IFERROR((J9+L9+N9+P9+R9+T9+V9+X9)/8, "NA")</f>
        <v>25072.178749999999</v>
      </c>
      <c r="AH9" s="14">
        <f>IFERROR(AG9/AG148, "NA")</f>
        <v>1</v>
      </c>
      <c r="AI9" s="15">
        <f>IFERROR(X9-AG9, "NA")</f>
        <v>-1639.3087500000038</v>
      </c>
      <c r="AJ9" s="16">
        <f>IFERROR(AI9/AI148, "NA")</f>
        <v>1.0000000000000022</v>
      </c>
      <c r="AK9" s="15">
        <f>IFERROR((X9-AG9)/AG9, "NA")</f>
        <v>-6.5383577803345222E-2</v>
      </c>
      <c r="AL9" s="16">
        <f>IFERROR(AK9/AK148, "NA")</f>
        <v>1.0000000000000022</v>
      </c>
    </row>
    <row r="10" spans="1:38" ht="3.75" customHeight="1">
      <c r="A10" s="17" t="s">
        <v>3</v>
      </c>
      <c r="B10" s="18"/>
      <c r="C10" s="19"/>
      <c r="D10" s="18"/>
      <c r="E10" s="19"/>
      <c r="F10" s="18"/>
      <c r="G10" s="19"/>
      <c r="H10" s="18"/>
      <c r="I10" s="19"/>
      <c r="J10" s="18"/>
      <c r="K10" s="19"/>
      <c r="L10" s="18"/>
      <c r="M10" s="19"/>
      <c r="N10" s="18"/>
      <c r="O10" s="19"/>
      <c r="P10" s="18"/>
      <c r="Q10" s="19"/>
      <c r="R10" s="18"/>
      <c r="S10" s="19"/>
      <c r="T10" s="18"/>
      <c r="U10" s="19"/>
      <c r="V10" s="18"/>
      <c r="W10" s="19"/>
      <c r="X10" s="18"/>
      <c r="Y10" s="19"/>
      <c r="Z10" s="18"/>
      <c r="AA10" s="19"/>
      <c r="AB10" s="18"/>
      <c r="AC10" s="19"/>
      <c r="AD10" s="20"/>
      <c r="AE10" s="21"/>
      <c r="AF10" s="20"/>
      <c r="AG10" s="18"/>
      <c r="AH10" s="19"/>
      <c r="AI10" s="20"/>
      <c r="AJ10" s="21"/>
      <c r="AK10" s="20"/>
      <c r="AL10" s="21"/>
    </row>
    <row r="11" spans="1:38" ht="16.5" customHeight="1">
      <c r="A11" s="1" t="s">
        <v>26</v>
      </c>
      <c r="B11" s="2"/>
      <c r="C11" s="3"/>
      <c r="D11" s="2"/>
      <c r="E11" s="3"/>
      <c r="F11" s="2"/>
      <c r="G11" s="3"/>
      <c r="H11" s="2"/>
      <c r="I11" s="3"/>
      <c r="J11" s="2"/>
      <c r="K11" s="3"/>
      <c r="L11" s="2"/>
      <c r="M11" s="3"/>
      <c r="N11" s="2"/>
      <c r="O11" s="3"/>
      <c r="P11" s="2"/>
      <c r="Q11" s="3"/>
      <c r="R11" s="2"/>
      <c r="S11" s="3"/>
      <c r="T11" s="2"/>
      <c r="U11" s="3"/>
      <c r="V11" s="2"/>
      <c r="W11" s="3"/>
      <c r="X11" s="2"/>
      <c r="Y11" s="3"/>
      <c r="Z11" s="2"/>
      <c r="AA11" s="3"/>
      <c r="AB11" s="2"/>
      <c r="AC11" s="3"/>
      <c r="AD11" s="4"/>
      <c r="AE11" s="5"/>
      <c r="AF11" s="4"/>
      <c r="AG11" s="2"/>
      <c r="AH11" s="3"/>
      <c r="AI11" s="4"/>
      <c r="AJ11" s="5"/>
      <c r="AK11" s="4"/>
      <c r="AL11" s="5"/>
    </row>
    <row r="12" spans="1:38" ht="16.5" customHeight="1">
      <c r="A12" s="22" t="s">
        <v>27</v>
      </c>
      <c r="B12" s="2"/>
      <c r="C12" s="3"/>
      <c r="D12" s="2"/>
      <c r="E12" s="3"/>
      <c r="F12" s="2"/>
      <c r="G12" s="3"/>
      <c r="H12" s="2"/>
      <c r="I12" s="3"/>
      <c r="J12" s="2"/>
      <c r="K12" s="3"/>
      <c r="L12" s="2"/>
      <c r="M12" s="3"/>
      <c r="N12" s="2"/>
      <c r="O12" s="3"/>
      <c r="P12" s="2"/>
      <c r="Q12" s="3"/>
      <c r="R12" s="2"/>
      <c r="S12" s="3"/>
      <c r="T12" s="2"/>
      <c r="U12" s="3"/>
      <c r="V12" s="2"/>
      <c r="W12" s="3"/>
      <c r="X12" s="2"/>
      <c r="Y12" s="3"/>
      <c r="Z12" s="2"/>
      <c r="AA12" s="3"/>
      <c r="AB12" s="2"/>
      <c r="AC12" s="3"/>
      <c r="AD12" s="4"/>
      <c r="AE12" s="5"/>
      <c r="AF12" s="4"/>
      <c r="AG12" s="2"/>
      <c r="AH12" s="3"/>
      <c r="AI12" s="4"/>
      <c r="AJ12" s="5"/>
      <c r="AK12" s="4"/>
      <c r="AL12" s="5"/>
    </row>
    <row r="13" spans="1:38" ht="16.5" hidden="1" customHeight="1">
      <c r="A13" s="23" t="s">
        <v>28</v>
      </c>
      <c r="B13" s="7">
        <v>0</v>
      </c>
      <c r="C13" s="8">
        <f>IFERROR(B13/B148, "NA")</f>
        <v>0</v>
      </c>
      <c r="D13" s="7">
        <v>0</v>
      </c>
      <c r="E13" s="8">
        <f>IFERROR(D13/D148, "NA")</f>
        <v>0</v>
      </c>
      <c r="F13" s="7">
        <v>0</v>
      </c>
      <c r="G13" s="8">
        <f>IFERROR(F13/F148, "NA")</f>
        <v>0</v>
      </c>
      <c r="H13" s="7">
        <v>0</v>
      </c>
      <c r="I13" s="8">
        <f>IFERROR(H13/H148, "NA")</f>
        <v>0</v>
      </c>
      <c r="J13" s="7">
        <v>0</v>
      </c>
      <c r="K13" s="8">
        <f>IFERROR(J13/J148, "NA")</f>
        <v>0</v>
      </c>
      <c r="L13" s="7">
        <v>0</v>
      </c>
      <c r="M13" s="8">
        <f>IFERROR(L13/L148, "NA")</f>
        <v>0</v>
      </c>
      <c r="N13" s="7">
        <v>0</v>
      </c>
      <c r="O13" s="8">
        <f>IFERROR(N13/N148, "NA")</f>
        <v>0</v>
      </c>
      <c r="P13" s="7">
        <v>0</v>
      </c>
      <c r="Q13" s="8">
        <f>IFERROR(P13/P148, "NA")</f>
        <v>0</v>
      </c>
      <c r="R13" s="7">
        <v>0</v>
      </c>
      <c r="S13" s="8">
        <f>IFERROR(R13/R148, "NA")</f>
        <v>0</v>
      </c>
      <c r="T13" s="7">
        <v>0</v>
      </c>
      <c r="U13" s="8">
        <f>IFERROR(T13/T148, "NA")</f>
        <v>0</v>
      </c>
      <c r="V13" s="7">
        <v>0</v>
      </c>
      <c r="W13" s="8">
        <f>IFERROR(V13/V148, "NA")</f>
        <v>0</v>
      </c>
      <c r="X13" s="7">
        <v>0</v>
      </c>
      <c r="Y13" s="8">
        <f>IFERROR(X13/X148, "NA")</f>
        <v>0</v>
      </c>
      <c r="Z13" s="7">
        <v>0</v>
      </c>
      <c r="AA13" s="8">
        <f>IFERROR(Z13/Z148, "NA")</f>
        <v>0</v>
      </c>
      <c r="AB13" s="9">
        <f>IFERROR((R13+T13+V13+X13)/4, "NA")</f>
        <v>0</v>
      </c>
      <c r="AC13" s="8">
        <f>IFERROR(AB13/AB148, "NA")</f>
        <v>0</v>
      </c>
      <c r="AD13" s="10">
        <f>IFERROR(X13-AB13, "NA")</f>
        <v>0</v>
      </c>
      <c r="AE13" s="11">
        <f>IFERROR(AD13/AD148, "NA")</f>
        <v>0</v>
      </c>
      <c r="AF13" s="10" t="str">
        <f>IFERROR((X13-AB13)/AB13, "NA")</f>
        <v>NA</v>
      </c>
      <c r="AG13" s="9">
        <f>IFERROR((J13+L13+N13+P13+R13+T13+V13+X13)/8, "NA")</f>
        <v>0</v>
      </c>
      <c r="AH13" s="8">
        <f>IFERROR(AG13/AG148, "NA")</f>
        <v>0</v>
      </c>
      <c r="AI13" s="10">
        <f>IFERROR(X13-AG13, "NA")</f>
        <v>0</v>
      </c>
      <c r="AJ13" s="11">
        <f>IFERROR(AI13/AI148, "NA")</f>
        <v>0</v>
      </c>
      <c r="AK13" s="10" t="str">
        <f>IFERROR((X13-AG13)/AG13, "NA")</f>
        <v>NA</v>
      </c>
      <c r="AL13" s="11" t="str">
        <f>IFERROR(AK13/AK148, "NA")</f>
        <v>NA</v>
      </c>
    </row>
    <row r="14" spans="1:38" ht="16.5" customHeight="1">
      <c r="A14" s="24" t="s">
        <v>29</v>
      </c>
      <c r="B14" s="2"/>
      <c r="C14" s="3"/>
      <c r="D14" s="2"/>
      <c r="E14" s="3"/>
      <c r="F14" s="2"/>
      <c r="G14" s="3"/>
      <c r="H14" s="2"/>
      <c r="I14" s="3"/>
      <c r="J14" s="2"/>
      <c r="K14" s="3"/>
      <c r="L14" s="2"/>
      <c r="M14" s="3"/>
      <c r="N14" s="2"/>
      <c r="O14" s="3"/>
      <c r="P14" s="2"/>
      <c r="Q14" s="3"/>
      <c r="R14" s="2"/>
      <c r="S14" s="3"/>
      <c r="T14" s="2"/>
      <c r="U14" s="3"/>
      <c r="V14" s="2"/>
      <c r="W14" s="3"/>
      <c r="X14" s="2"/>
      <c r="Y14" s="3"/>
      <c r="Z14" s="2"/>
      <c r="AA14" s="3"/>
      <c r="AB14" s="2"/>
      <c r="AC14" s="3"/>
      <c r="AD14" s="4"/>
      <c r="AE14" s="5"/>
      <c r="AF14" s="4"/>
      <c r="AG14" s="2"/>
      <c r="AH14" s="3"/>
      <c r="AI14" s="4"/>
      <c r="AJ14" s="5"/>
      <c r="AK14" s="4"/>
      <c r="AL14" s="5"/>
    </row>
    <row r="15" spans="1:38" ht="16.5" hidden="1" customHeight="1">
      <c r="A15" s="25" t="s">
        <v>30</v>
      </c>
      <c r="B15" s="7">
        <v>0</v>
      </c>
      <c r="C15" s="8">
        <f>IFERROR(B15/B148, "NA")</f>
        <v>0</v>
      </c>
      <c r="D15" s="7">
        <v>0</v>
      </c>
      <c r="E15" s="8">
        <f>IFERROR(D15/D148, "NA")</f>
        <v>0</v>
      </c>
      <c r="F15" s="7">
        <v>0</v>
      </c>
      <c r="G15" s="8">
        <f>IFERROR(F15/F148, "NA")</f>
        <v>0</v>
      </c>
      <c r="H15" s="7">
        <v>0</v>
      </c>
      <c r="I15" s="8">
        <f>IFERROR(H15/H148, "NA")</f>
        <v>0</v>
      </c>
      <c r="J15" s="7">
        <v>0</v>
      </c>
      <c r="K15" s="8">
        <f>IFERROR(J15/J148, "NA")</f>
        <v>0</v>
      </c>
      <c r="L15" s="7">
        <v>0</v>
      </c>
      <c r="M15" s="8">
        <f>IFERROR(L15/L148, "NA")</f>
        <v>0</v>
      </c>
      <c r="N15" s="7">
        <v>0</v>
      </c>
      <c r="O15" s="8">
        <f>IFERROR(N15/N148, "NA")</f>
        <v>0</v>
      </c>
      <c r="P15" s="7">
        <v>0</v>
      </c>
      <c r="Q15" s="8">
        <f>IFERROR(P15/P148, "NA")</f>
        <v>0</v>
      </c>
      <c r="R15" s="7">
        <v>0</v>
      </c>
      <c r="S15" s="8">
        <f>IFERROR(R15/R148, "NA")</f>
        <v>0</v>
      </c>
      <c r="T15" s="7">
        <v>0</v>
      </c>
      <c r="U15" s="8">
        <f>IFERROR(T15/T148, "NA")</f>
        <v>0</v>
      </c>
      <c r="V15" s="7">
        <v>0</v>
      </c>
      <c r="W15" s="8">
        <f>IFERROR(V15/V148, "NA")</f>
        <v>0</v>
      </c>
      <c r="X15" s="7">
        <v>0</v>
      </c>
      <c r="Y15" s="8">
        <f>IFERROR(X15/X148, "NA")</f>
        <v>0</v>
      </c>
      <c r="Z15" s="7">
        <v>0</v>
      </c>
      <c r="AA15" s="8">
        <f>IFERROR(Z15/Z148, "NA")</f>
        <v>0</v>
      </c>
      <c r="AB15" s="9">
        <f t="shared" ref="AB15:AB27" si="0">IFERROR((R15+T15+V15+X15)/4, "NA")</f>
        <v>0</v>
      </c>
      <c r="AC15" s="8">
        <f>IFERROR(AB15/AB148, "NA")</f>
        <v>0</v>
      </c>
      <c r="AD15" s="10">
        <f t="shared" ref="AD15:AD27" si="1">IFERROR(X15-AB15, "NA")</f>
        <v>0</v>
      </c>
      <c r="AE15" s="11">
        <f>IFERROR(AD15/AD148, "NA")</f>
        <v>0</v>
      </c>
      <c r="AF15" s="10" t="str">
        <f t="shared" ref="AF15:AF27" si="2">IFERROR((X15-AB15)/AB15, "NA")</f>
        <v>NA</v>
      </c>
      <c r="AG15" s="9">
        <f t="shared" ref="AG15:AG27" si="3">IFERROR((J15+L15+N15+P15+R15+T15+V15+X15)/8, "NA")</f>
        <v>0</v>
      </c>
      <c r="AH15" s="8">
        <f>IFERROR(AG15/AG148, "NA")</f>
        <v>0</v>
      </c>
      <c r="AI15" s="10">
        <f t="shared" ref="AI15:AI27" si="4">IFERROR(X15-AG15, "NA")</f>
        <v>0</v>
      </c>
      <c r="AJ15" s="11">
        <f>IFERROR(AI15/AI148, "NA")</f>
        <v>0</v>
      </c>
      <c r="AK15" s="10" t="str">
        <f t="shared" ref="AK15:AK27" si="5">IFERROR((X15-AG15)/AG15, "NA")</f>
        <v>NA</v>
      </c>
      <c r="AL15" s="11" t="str">
        <f>IFERROR(AK15/AK148, "NA")</f>
        <v>NA</v>
      </c>
    </row>
    <row r="16" spans="1:38" ht="16.5" customHeight="1">
      <c r="A16" s="25" t="s">
        <v>31</v>
      </c>
      <c r="B16" s="7">
        <v>1064.31</v>
      </c>
      <c r="C16" s="8">
        <f>IFERROR(B16/B148, "NA")</f>
        <v>4.2763690540525881E-2</v>
      </c>
      <c r="D16" s="7">
        <v>1557.6</v>
      </c>
      <c r="E16" s="8">
        <f>IFERROR(D16/D148, "NA")</f>
        <v>4.9229648916369328E-2</v>
      </c>
      <c r="F16" s="7">
        <v>1210.77</v>
      </c>
      <c r="G16" s="8">
        <f>IFERROR(F16/F148, "NA")</f>
        <v>4.0250738929193446E-2</v>
      </c>
      <c r="H16" s="7">
        <v>1128.83</v>
      </c>
      <c r="I16" s="8">
        <f>IFERROR(H16/H148, "NA")</f>
        <v>4.228304389371236E-2</v>
      </c>
      <c r="J16" s="7">
        <v>1390.83</v>
      </c>
      <c r="K16" s="8">
        <f>IFERROR(J16/J148, "NA")</f>
        <v>6.0862320131174111E-2</v>
      </c>
      <c r="L16" s="7">
        <v>937.83</v>
      </c>
      <c r="M16" s="8">
        <f>IFERROR(L16/L148, "NA")</f>
        <v>3.4785424416450335E-2</v>
      </c>
      <c r="N16" s="7">
        <v>1158.81</v>
      </c>
      <c r="O16" s="8">
        <f>IFERROR(N16/N148, "NA")</f>
        <v>4.8180383003298334E-2</v>
      </c>
      <c r="P16" s="7">
        <v>1233.2</v>
      </c>
      <c r="Q16" s="8">
        <f>IFERROR(P16/P148, "NA")</f>
        <v>4.9130025648646214E-2</v>
      </c>
      <c r="R16" s="7">
        <v>620.80999999999995</v>
      </c>
      <c r="S16" s="8">
        <f>IFERROR(R16/R148, "NA")</f>
        <v>2.7467111230274923E-2</v>
      </c>
      <c r="T16" s="7">
        <v>1466.34</v>
      </c>
      <c r="U16" s="8">
        <f>IFERROR(T16/T148, "NA")</f>
        <v>5.2509203989630937E-2</v>
      </c>
      <c r="V16" s="7">
        <v>982.39</v>
      </c>
      <c r="W16" s="8">
        <f>IFERROR(V16/V148, "NA")</f>
        <v>3.5526263448151164E-2</v>
      </c>
      <c r="X16" s="7">
        <v>1042.76</v>
      </c>
      <c r="Y16" s="8">
        <f>IFERROR(X16/X148, "NA")</f>
        <v>4.4499884137111673E-2</v>
      </c>
      <c r="Z16" s="7">
        <v>4112.3</v>
      </c>
      <c r="AA16" s="8">
        <f>IFERROR(Z16/Z148, "NA")</f>
        <v>4.0470334908923787E-2</v>
      </c>
      <c r="AB16" s="9">
        <f t="shared" si="0"/>
        <v>1028.0749999999998</v>
      </c>
      <c r="AC16" s="8">
        <f>IFERROR(AB16/AB148, "NA")</f>
        <v>4.047033490892378E-2</v>
      </c>
      <c r="AD16" s="10">
        <f t="shared" si="1"/>
        <v>14.685000000000173</v>
      </c>
      <c r="AE16" s="11">
        <f>IFERROR(AD16/AD148, "NA")</f>
        <v>-7.4531608050531113E-3</v>
      </c>
      <c r="AF16" s="10">
        <f t="shared" si="2"/>
        <v>1.4283977336284002E-2</v>
      </c>
      <c r="AG16" s="9">
        <f t="shared" si="3"/>
        <v>1104.1212499999999</v>
      </c>
      <c r="AH16" s="8">
        <f>IFERROR(AG16/AG148, "NA")</f>
        <v>4.4037706535575809E-2</v>
      </c>
      <c r="AI16" s="10">
        <f t="shared" si="4"/>
        <v>-61.361249999999927</v>
      </c>
      <c r="AJ16" s="11">
        <f>IFERROR(AI16/AI148, "NA")</f>
        <v>3.743117335279271E-2</v>
      </c>
      <c r="AK16" s="10">
        <f t="shared" si="5"/>
        <v>-5.5574738734536569E-2</v>
      </c>
      <c r="AL16" s="11">
        <f>IFERROR(AK16/AK148, "NA")</f>
        <v>0.8499800806509753</v>
      </c>
    </row>
    <row r="17" spans="1:38" ht="16.5" customHeight="1">
      <c r="A17" s="25" t="s">
        <v>32</v>
      </c>
      <c r="B17" s="7">
        <v>591.70000000000005</v>
      </c>
      <c r="C17" s="8">
        <f>IFERROR(B17/B148, "NA")</f>
        <v>2.3774347410838163E-2</v>
      </c>
      <c r="D17" s="7">
        <v>1035.24</v>
      </c>
      <c r="E17" s="8">
        <f>IFERROR(D17/D148, "NA")</f>
        <v>3.2719890693491391E-2</v>
      </c>
      <c r="F17" s="7">
        <v>689.43</v>
      </c>
      <c r="G17" s="8">
        <f>IFERROR(F17/F148, "NA")</f>
        <v>2.2919354575975485E-2</v>
      </c>
      <c r="H17" s="7">
        <v>574.75</v>
      </c>
      <c r="I17" s="8">
        <f>IFERROR(H17/H148, "NA")</f>
        <v>2.1528644240418112E-2</v>
      </c>
      <c r="J17" s="7">
        <v>707.48</v>
      </c>
      <c r="K17" s="8">
        <f>IFERROR(J17/J148, "NA")</f>
        <v>3.0959120989914702E-2</v>
      </c>
      <c r="L17" s="7">
        <v>701.24</v>
      </c>
      <c r="M17" s="8">
        <f>IFERROR(L17/L148, "NA")</f>
        <v>2.6009970909217695E-2</v>
      </c>
      <c r="N17" s="7">
        <v>666.89</v>
      </c>
      <c r="O17" s="8">
        <f>IFERROR(N17/N148, "NA")</f>
        <v>2.7727596086562618E-2</v>
      </c>
      <c r="P17" s="7">
        <v>785.74</v>
      </c>
      <c r="Q17" s="8">
        <f>IFERROR(P17/P148, "NA")</f>
        <v>3.1303459579279332E-2</v>
      </c>
      <c r="R17" s="7">
        <v>625.59</v>
      </c>
      <c r="S17" s="8">
        <f>IFERROR(R17/R148, "NA")</f>
        <v>2.767859750092249E-2</v>
      </c>
      <c r="T17" s="7">
        <v>794.19</v>
      </c>
      <c r="U17" s="8">
        <f>IFERROR(T17/T148, "NA")</f>
        <v>2.8439710242184623E-2</v>
      </c>
      <c r="V17" s="7">
        <v>747.69</v>
      </c>
      <c r="W17" s="8">
        <f>IFERROR(V17/V148, "NA")</f>
        <v>2.7038784919989154E-2</v>
      </c>
      <c r="X17" s="7">
        <v>766.17</v>
      </c>
      <c r="Y17" s="8">
        <f>IFERROR(X17/X148, "NA")</f>
        <v>3.2696379060695509E-2</v>
      </c>
      <c r="Z17" s="7">
        <v>2933.64</v>
      </c>
      <c r="AA17" s="8">
        <f>IFERROR(Z17/Z148, "NA")</f>
        <v>2.8870800598744053E-2</v>
      </c>
      <c r="AB17" s="9">
        <f t="shared" si="0"/>
        <v>733.41000000000008</v>
      </c>
      <c r="AC17" s="8">
        <f>IFERROR(AB17/AB148, "NA")</f>
        <v>2.887080059874406E-2</v>
      </c>
      <c r="AD17" s="10">
        <f t="shared" si="1"/>
        <v>32.759999999999877</v>
      </c>
      <c r="AE17" s="11">
        <f>IFERROR(AD17/AD148, "NA")</f>
        <v>-1.6626867413928235E-2</v>
      </c>
      <c r="AF17" s="10">
        <f t="shared" si="2"/>
        <v>4.4668057430359384E-2</v>
      </c>
      <c r="AG17" s="9">
        <f t="shared" si="3"/>
        <v>724.3737500000002</v>
      </c>
      <c r="AH17" s="8">
        <f>IFERROR(AG17/AG148, "NA")</f>
        <v>2.8891535802408087E-2</v>
      </c>
      <c r="AI17" s="10">
        <f t="shared" si="4"/>
        <v>41.796249999999759</v>
      </c>
      <c r="AJ17" s="11">
        <f>IFERROR(AI17/AI148, "NA")</f>
        <v>-2.5496264812836358E-2</v>
      </c>
      <c r="AK17" s="10">
        <f t="shared" si="5"/>
        <v>5.7699840724487528E-2</v>
      </c>
      <c r="AL17" s="11">
        <f>IFERROR(AK17/AK148, "NA")</f>
        <v>-0.88248215626914728</v>
      </c>
    </row>
    <row r="18" spans="1:38" ht="16.5" customHeight="1">
      <c r="A18" s="25" t="s">
        <v>33</v>
      </c>
      <c r="B18" s="7">
        <v>1064.04</v>
      </c>
      <c r="C18" s="8">
        <f>IFERROR(B18/B148, "NA")</f>
        <v>4.2752842012892069E-2</v>
      </c>
      <c r="D18" s="7">
        <v>1439.44</v>
      </c>
      <c r="E18" s="8">
        <f>IFERROR(D18/D148, "NA")</f>
        <v>4.549507308434686E-2</v>
      </c>
      <c r="F18" s="7">
        <v>741.82</v>
      </c>
      <c r="G18" s="8">
        <f>IFERROR(F18/F148, "NA")</f>
        <v>2.4661003454375552E-2</v>
      </c>
      <c r="H18" s="7">
        <v>864.7</v>
      </c>
      <c r="I18" s="8">
        <f>IFERROR(H18/H148, "NA")</f>
        <v>3.2389419181712994E-2</v>
      </c>
      <c r="J18" s="7">
        <v>1060.17</v>
      </c>
      <c r="K18" s="8">
        <f>IFERROR(J18/J148, "NA")</f>
        <v>4.6392733787354937E-2</v>
      </c>
      <c r="L18" s="7">
        <v>705.55</v>
      </c>
      <c r="M18" s="8">
        <f>IFERROR(L18/L148, "NA")</f>
        <v>2.6169834828302069E-2</v>
      </c>
      <c r="N18" s="7">
        <v>825.11</v>
      </c>
      <c r="O18" s="8">
        <f>IFERROR(N18/N148, "NA")</f>
        <v>3.4305982706268924E-2</v>
      </c>
      <c r="P18" s="7">
        <v>822.02</v>
      </c>
      <c r="Q18" s="8">
        <f>IFERROR(P18/P148, "NA")</f>
        <v>3.2748835293302109E-2</v>
      </c>
      <c r="R18" s="7">
        <v>658.77</v>
      </c>
      <c r="S18" s="8">
        <f>IFERROR(R18/R148, "NA")</f>
        <v>2.9146613078346373E-2</v>
      </c>
      <c r="T18" s="7">
        <v>907.63</v>
      </c>
      <c r="U18" s="8">
        <f>IFERROR(T18/T148, "NA")</f>
        <v>3.2501963267119995E-2</v>
      </c>
      <c r="V18" s="7">
        <v>1039.69</v>
      </c>
      <c r="W18" s="8">
        <f>IFERROR(V18/V148, "NA")</f>
        <v>3.7598408823795317E-2</v>
      </c>
      <c r="X18" s="7">
        <v>669.6</v>
      </c>
      <c r="Y18" s="8">
        <f>IFERROR(X18/X148, "NA")</f>
        <v>2.8575244944387949E-2</v>
      </c>
      <c r="Z18" s="7">
        <v>3275.69</v>
      </c>
      <c r="AA18" s="8">
        <f>IFERROR(Z18/Z148, "NA")</f>
        <v>3.2237013680376569E-2</v>
      </c>
      <c r="AB18" s="9">
        <f t="shared" si="0"/>
        <v>818.92250000000001</v>
      </c>
      <c r="AC18" s="8">
        <f>IFERROR(AB18/AB148, "NA")</f>
        <v>3.2237013680376569E-2</v>
      </c>
      <c r="AD18" s="10">
        <f t="shared" si="1"/>
        <v>-149.32249999999999</v>
      </c>
      <c r="AE18" s="11">
        <f>IFERROR(AD18/AD148, "NA")</f>
        <v>7.5786489908922713E-2</v>
      </c>
      <c r="AF18" s="10">
        <f t="shared" si="2"/>
        <v>-0.18234020923835892</v>
      </c>
      <c r="AG18" s="9">
        <f t="shared" si="3"/>
        <v>836.06750000000011</v>
      </c>
      <c r="AH18" s="8">
        <f>IFERROR(AG18/AG148, "NA")</f>
        <v>3.3346423872317045E-2</v>
      </c>
      <c r="AI18" s="10">
        <f t="shared" si="4"/>
        <v>-166.46750000000009</v>
      </c>
      <c r="AJ18" s="11">
        <f>IFERROR(AI18/AI148, "NA")</f>
        <v>0.101547374770006</v>
      </c>
      <c r="AK18" s="10">
        <f t="shared" si="5"/>
        <v>-0.1991077275459219</v>
      </c>
      <c r="AL18" s="11">
        <f>IFERROR(AK18/AK148, "NA")</f>
        <v>3.0452253338717625</v>
      </c>
    </row>
    <row r="19" spans="1:38" ht="16.5" customHeight="1">
      <c r="A19" s="25" t="s">
        <v>34</v>
      </c>
      <c r="B19" s="7">
        <v>448.49</v>
      </c>
      <c r="C19" s="8">
        <f>IFERROR(B19/B148, "NA")</f>
        <v>1.8020207994400555E-2</v>
      </c>
      <c r="D19" s="7">
        <v>675.3</v>
      </c>
      <c r="E19" s="8">
        <f>IFERROR(D19/D148, "NA")</f>
        <v>2.134359393504379E-2</v>
      </c>
      <c r="F19" s="7">
        <v>756.02</v>
      </c>
      <c r="G19" s="8">
        <f>IFERROR(F19/F148, "NA")</f>
        <v>2.5133067093873179E-2</v>
      </c>
      <c r="H19" s="7">
        <v>481.56</v>
      </c>
      <c r="I19" s="8">
        <f>IFERROR(H19/H148, "NA")</f>
        <v>1.80379885522675E-2</v>
      </c>
      <c r="J19" s="7">
        <v>496.13</v>
      </c>
      <c r="K19" s="8">
        <f>IFERROR(J19/J148, "NA")</f>
        <v>2.1710505875397721E-2</v>
      </c>
      <c r="L19" s="7">
        <v>487.62</v>
      </c>
      <c r="M19" s="8">
        <f>IFERROR(L19/L148, "NA")</f>
        <v>1.8086506780492746E-2</v>
      </c>
      <c r="N19" s="7">
        <v>547.07000000000005</v>
      </c>
      <c r="O19" s="8">
        <f>IFERROR(N19/N148, "NA")</f>
        <v>2.274578414892383E-2</v>
      </c>
      <c r="P19" s="7">
        <v>522.16999999999996</v>
      </c>
      <c r="Q19" s="8">
        <f>IFERROR(P19/P148, "NA")</f>
        <v>2.0802972342648062E-2</v>
      </c>
      <c r="R19" s="7">
        <v>634.34</v>
      </c>
      <c r="S19" s="8">
        <f>IFERROR(R19/R148, "NA")</f>
        <v>2.8065732410580687E-2</v>
      </c>
      <c r="T19" s="7">
        <v>536.92999999999995</v>
      </c>
      <c r="U19" s="8">
        <f>IFERROR(T19/T148, "NA")</f>
        <v>1.9227305330382135E-2</v>
      </c>
      <c r="V19" s="7">
        <v>559.58000000000004</v>
      </c>
      <c r="W19" s="8">
        <f>IFERROR(V19/V148, "NA")</f>
        <v>2.0236145014013201E-2</v>
      </c>
      <c r="X19" s="7">
        <v>510.75</v>
      </c>
      <c r="Y19" s="8">
        <f>IFERROR(X19/X148, "NA")</f>
        <v>2.1796305787553979E-2</v>
      </c>
      <c r="Z19" s="7">
        <v>2241.6</v>
      </c>
      <c r="AA19" s="8">
        <f>IFERROR(Z19/Z148, "NA")</f>
        <v>2.2060234596659668E-2</v>
      </c>
      <c r="AB19" s="9">
        <f t="shared" si="0"/>
        <v>560.4</v>
      </c>
      <c r="AC19" s="8">
        <f>IFERROR(AB19/AB148, "NA")</f>
        <v>2.2060234596659668E-2</v>
      </c>
      <c r="AD19" s="10">
        <f t="shared" si="1"/>
        <v>-49.649999999999977</v>
      </c>
      <c r="AE19" s="11">
        <f>IFERROR(AD19/AD148, "NA")</f>
        <v>2.519914429491879E-2</v>
      </c>
      <c r="AF19" s="10">
        <f t="shared" si="2"/>
        <v>-8.8597430406852209E-2</v>
      </c>
      <c r="AG19" s="9">
        <f t="shared" si="3"/>
        <v>536.82375000000002</v>
      </c>
      <c r="AH19" s="8">
        <f>IFERROR(AG19/AG148, "NA")</f>
        <v>2.141113284779848E-2</v>
      </c>
      <c r="AI19" s="10">
        <f t="shared" si="4"/>
        <v>-26.073750000000018</v>
      </c>
      <c r="AJ19" s="11">
        <f>IFERROR(AI19/AI148, "NA")</f>
        <v>1.5905332049255528E-2</v>
      </c>
      <c r="AK19" s="10">
        <f t="shared" si="5"/>
        <v>-4.8570410679482826E-2</v>
      </c>
      <c r="AL19" s="11">
        <f>IFERROR(AK19/AK148, "NA")</f>
        <v>0.74285336335629404</v>
      </c>
    </row>
    <row r="20" spans="1:38" ht="16.5" customHeight="1">
      <c r="A20" s="25" t="s">
        <v>35</v>
      </c>
      <c r="B20" s="7">
        <v>323.89999999999998</v>
      </c>
      <c r="C20" s="8">
        <f>IFERROR(B20/B148, "NA")</f>
        <v>1.3014215187376171E-2</v>
      </c>
      <c r="D20" s="7">
        <v>678.43</v>
      </c>
      <c r="E20" s="8">
        <f>IFERROR(D20/D148, "NA")</f>
        <v>2.1442521003038291E-2</v>
      </c>
      <c r="F20" s="7">
        <v>219.33</v>
      </c>
      <c r="G20" s="8">
        <f>IFERROR(F20/F148, "NA")</f>
        <v>7.2913885951419342E-3</v>
      </c>
      <c r="H20" s="7">
        <v>374.18</v>
      </c>
      <c r="I20" s="8">
        <f>IFERROR(H20/H148, "NA")</f>
        <v>1.4015812269473075E-2</v>
      </c>
      <c r="J20" s="7">
        <v>255.21</v>
      </c>
      <c r="K20" s="8">
        <f>IFERROR(J20/J148, "NA")</f>
        <v>1.1167916079374866E-2</v>
      </c>
      <c r="L20" s="7">
        <v>360.39</v>
      </c>
      <c r="M20" s="8">
        <f>IFERROR(L20/L148, "NA")</f>
        <v>1.3367368398797793E-2</v>
      </c>
      <c r="N20" s="7">
        <v>336.44</v>
      </c>
      <c r="O20" s="8">
        <f>IFERROR(N20/N148, "NA")</f>
        <v>1.398832255298944E-2</v>
      </c>
      <c r="P20" s="7">
        <v>357.1</v>
      </c>
      <c r="Q20" s="8">
        <f>IFERROR(P20/P148, "NA")</f>
        <v>1.4226672201696046E-2</v>
      </c>
      <c r="R20" s="7">
        <v>341.56</v>
      </c>
      <c r="S20" s="8">
        <f>IFERROR(R20/R148, "NA")</f>
        <v>1.5111977113469021E-2</v>
      </c>
      <c r="T20" s="7">
        <v>395.96</v>
      </c>
      <c r="U20" s="8">
        <f>IFERROR(T20/T148, "NA")</f>
        <v>1.4179211105019482E-2</v>
      </c>
      <c r="V20" s="7">
        <v>424.62</v>
      </c>
      <c r="W20" s="8">
        <f>IFERROR(V20/V148, "NA")</f>
        <v>1.5355573637103336E-2</v>
      </c>
      <c r="X20" s="7">
        <v>376.43</v>
      </c>
      <c r="Y20" s="8">
        <f>IFERROR(X20/X148, "NA")</f>
        <v>1.6064186759880458E-2</v>
      </c>
      <c r="Z20" s="7">
        <v>1538.57</v>
      </c>
      <c r="AA20" s="8">
        <f>IFERROR(Z20/Z148, "NA")</f>
        <v>1.5141512822708186E-2</v>
      </c>
      <c r="AB20" s="9">
        <f t="shared" si="0"/>
        <v>384.64249999999998</v>
      </c>
      <c r="AC20" s="8">
        <f>IFERROR(AB20/AB148, "NA")</f>
        <v>1.5141512822708186E-2</v>
      </c>
      <c r="AD20" s="10">
        <f t="shared" si="1"/>
        <v>-8.2124999999999773</v>
      </c>
      <c r="AE20" s="11">
        <f>IFERROR(AD20/AD148, "NA")</f>
        <v>4.1681364052773432E-3</v>
      </c>
      <c r="AF20" s="10">
        <f t="shared" si="2"/>
        <v>-2.1350994754869724E-2</v>
      </c>
      <c r="AG20" s="9">
        <f t="shared" si="3"/>
        <v>355.96374999999995</v>
      </c>
      <c r="AH20" s="8">
        <f>IFERROR(AG20/AG148, "NA")</f>
        <v>1.4197559516043253E-2</v>
      </c>
      <c r="AI20" s="10">
        <f t="shared" si="4"/>
        <v>20.466250000000059</v>
      </c>
      <c r="AJ20" s="11">
        <f>IFERROR(AI20/AI148, "NA")</f>
        <v>-1.2484682949444428E-2</v>
      </c>
      <c r="AK20" s="10">
        <f t="shared" si="5"/>
        <v>5.7495320801626747E-2</v>
      </c>
      <c r="AL20" s="11">
        <f>IFERROR(AK20/AK148, "NA")</f>
        <v>-0.87935415486983692</v>
      </c>
    </row>
    <row r="21" spans="1:38" ht="16.5" customHeight="1">
      <c r="A21" s="25" t="s">
        <v>36</v>
      </c>
      <c r="B21" s="7">
        <v>191.21</v>
      </c>
      <c r="C21" s="8">
        <f>IFERROR(B21/B148, "NA")</f>
        <v>7.6827665513374433E-3</v>
      </c>
      <c r="D21" s="7">
        <v>172.15</v>
      </c>
      <c r="E21" s="8">
        <f>IFERROR(D21/D148, "NA")</f>
        <v>5.4409887396975991E-3</v>
      </c>
      <c r="F21" s="7">
        <v>227.91</v>
      </c>
      <c r="G21" s="8">
        <f>IFERROR(F21/F148, "NA")</f>
        <v>7.5766214139369814E-3</v>
      </c>
      <c r="H21" s="7">
        <v>82.32</v>
      </c>
      <c r="I21" s="8">
        <f>IFERROR(H21/H148, "NA")</f>
        <v>3.0834936822465749E-3</v>
      </c>
      <c r="J21" s="7">
        <v>163.47999999999999</v>
      </c>
      <c r="K21" s="8">
        <f>IFERROR(J21/J148, "NA")</f>
        <v>7.1538377048556206E-3</v>
      </c>
      <c r="L21" s="7">
        <v>165.2</v>
      </c>
      <c r="M21" s="8">
        <f>IFERROR(L21/L148, "NA")</f>
        <v>6.1274987082921154E-3</v>
      </c>
      <c r="N21" s="7">
        <v>108.73</v>
      </c>
      <c r="O21" s="8">
        <f>IFERROR(N21/N148, "NA")</f>
        <v>4.5207178432604385E-3</v>
      </c>
      <c r="P21" s="7">
        <v>149.22999999999999</v>
      </c>
      <c r="Q21" s="8">
        <f>IFERROR(P21/P148, "NA")</f>
        <v>5.9452430486113149E-3</v>
      </c>
      <c r="R21" s="7">
        <v>147.18</v>
      </c>
      <c r="S21" s="8">
        <f>IFERROR(R21/R148, "NA")</f>
        <v>6.5118304003992586E-3</v>
      </c>
      <c r="T21" s="7">
        <v>84.57</v>
      </c>
      <c r="U21" s="8">
        <f>IFERROR(T21/T148, "NA")</f>
        <v>3.0284268187480996E-3</v>
      </c>
      <c r="V21" s="7">
        <v>220.59</v>
      </c>
      <c r="W21" s="8">
        <f>IFERROR(V21/V148, "NA")</f>
        <v>7.9772172497965827E-3</v>
      </c>
      <c r="X21" s="7">
        <v>186.45</v>
      </c>
      <c r="Y21" s="8">
        <f>IFERROR(X21/X148, "NA")</f>
        <v>7.9567718337531842E-3</v>
      </c>
      <c r="Z21" s="7">
        <v>638.79</v>
      </c>
      <c r="AA21" s="8">
        <f>IFERROR(Z21/Z148, "NA")</f>
        <v>6.2865173349394314E-3</v>
      </c>
      <c r="AB21" s="9">
        <f t="shared" si="0"/>
        <v>159.69749999999999</v>
      </c>
      <c r="AC21" s="8">
        <f>IFERROR(AB21/AB148, "NA")</f>
        <v>6.2865173349394314E-3</v>
      </c>
      <c r="AD21" s="10">
        <f t="shared" si="1"/>
        <v>26.752499999999998</v>
      </c>
      <c r="AE21" s="11">
        <f>IFERROR(AD21/AD148, "NA")</f>
        <v>-1.3577847084588424E-2</v>
      </c>
      <c r="AF21" s="10">
        <f t="shared" si="2"/>
        <v>0.16751984220166252</v>
      </c>
      <c r="AG21" s="9">
        <f t="shared" si="3"/>
        <v>153.17874999999998</v>
      </c>
      <c r="AH21" s="8">
        <f>IFERROR(AG21/AG148, "NA")</f>
        <v>6.1095109255313515E-3</v>
      </c>
      <c r="AI21" s="10">
        <f t="shared" si="4"/>
        <v>33.271250000000009</v>
      </c>
      <c r="AJ21" s="11">
        <f>IFERROR(AI21/AI148, "NA")</f>
        <v>-2.0295902159980544E-2</v>
      </c>
      <c r="AK21" s="10">
        <f t="shared" si="5"/>
        <v>0.21720538912871409</v>
      </c>
      <c r="AL21" s="11">
        <f>IFERROR(AK21/AK148, "NA")</f>
        <v>-3.3220174916399521</v>
      </c>
    </row>
    <row r="22" spans="1:38" ht="16.5" hidden="1" customHeight="1">
      <c r="A22" s="25" t="s">
        <v>37</v>
      </c>
      <c r="B22" s="7">
        <v>0</v>
      </c>
      <c r="C22" s="8">
        <f>IFERROR(B22/B148, "NA")</f>
        <v>0</v>
      </c>
      <c r="D22" s="7">
        <v>0</v>
      </c>
      <c r="E22" s="8">
        <f>IFERROR(D22/D148, "NA")</f>
        <v>0</v>
      </c>
      <c r="F22" s="7">
        <v>0</v>
      </c>
      <c r="G22" s="8">
        <f>IFERROR(F22/F148, "NA")</f>
        <v>0</v>
      </c>
      <c r="H22" s="7">
        <v>0</v>
      </c>
      <c r="I22" s="8">
        <f>IFERROR(H22/H148, "NA")</f>
        <v>0</v>
      </c>
      <c r="J22" s="7">
        <v>0</v>
      </c>
      <c r="K22" s="8">
        <f>IFERROR(J22/J148, "NA")</f>
        <v>0</v>
      </c>
      <c r="L22" s="7">
        <v>0</v>
      </c>
      <c r="M22" s="8">
        <f>IFERROR(L22/L148, "NA")</f>
        <v>0</v>
      </c>
      <c r="N22" s="7">
        <v>0</v>
      </c>
      <c r="O22" s="8">
        <f>IFERROR(N22/N148, "NA")</f>
        <v>0</v>
      </c>
      <c r="P22" s="7">
        <v>0</v>
      </c>
      <c r="Q22" s="8">
        <f>IFERROR(P22/P148, "NA")</f>
        <v>0</v>
      </c>
      <c r="R22" s="7">
        <v>0</v>
      </c>
      <c r="S22" s="8">
        <f>IFERROR(R22/R148, "NA")</f>
        <v>0</v>
      </c>
      <c r="T22" s="7">
        <v>0</v>
      </c>
      <c r="U22" s="8">
        <f>IFERROR(T22/T148, "NA")</f>
        <v>0</v>
      </c>
      <c r="V22" s="7">
        <v>0</v>
      </c>
      <c r="W22" s="8">
        <f>IFERROR(V22/V148, "NA")</f>
        <v>0</v>
      </c>
      <c r="X22" s="7">
        <v>0</v>
      </c>
      <c r="Y22" s="8">
        <f>IFERROR(X22/X148, "NA")</f>
        <v>0</v>
      </c>
      <c r="Z22" s="7">
        <v>0</v>
      </c>
      <c r="AA22" s="8">
        <f>IFERROR(Z22/Z148, "NA")</f>
        <v>0</v>
      </c>
      <c r="AB22" s="9">
        <f t="shared" si="0"/>
        <v>0</v>
      </c>
      <c r="AC22" s="8">
        <f>IFERROR(AB22/AB148, "NA")</f>
        <v>0</v>
      </c>
      <c r="AD22" s="10">
        <f t="shared" si="1"/>
        <v>0</v>
      </c>
      <c r="AE22" s="11">
        <f>IFERROR(AD22/AD148, "NA")</f>
        <v>0</v>
      </c>
      <c r="AF22" s="10" t="str">
        <f t="shared" si="2"/>
        <v>NA</v>
      </c>
      <c r="AG22" s="9">
        <f t="shared" si="3"/>
        <v>0</v>
      </c>
      <c r="AH22" s="8">
        <f>IFERROR(AG22/AG148, "NA")</f>
        <v>0</v>
      </c>
      <c r="AI22" s="10">
        <f t="shared" si="4"/>
        <v>0</v>
      </c>
      <c r="AJ22" s="11">
        <f>IFERROR(AI22/AI148, "NA")</f>
        <v>0</v>
      </c>
      <c r="AK22" s="10" t="str">
        <f t="shared" si="5"/>
        <v>NA</v>
      </c>
      <c r="AL22" s="11" t="str">
        <f>IFERROR(AK22/AK148, "NA")</f>
        <v>NA</v>
      </c>
    </row>
    <row r="23" spans="1:38" ht="16.5" customHeight="1">
      <c r="A23" s="25" t="s">
        <v>38</v>
      </c>
      <c r="B23" s="7">
        <v>233.65</v>
      </c>
      <c r="C23" s="8">
        <f>IFERROR(B23/B148, "NA")</f>
        <v>9.3879943764447141E-3</v>
      </c>
      <c r="D23" s="7">
        <v>183.79</v>
      </c>
      <c r="E23" s="8">
        <f>IFERROR(D23/D148, "NA")</f>
        <v>5.8088836507059058E-3</v>
      </c>
      <c r="F23" s="7">
        <v>88.56</v>
      </c>
      <c r="G23" s="8">
        <f>IFERROR(F23/F148, "NA")</f>
        <v>2.9440814023880438E-3</v>
      </c>
      <c r="H23" s="7">
        <v>76.66</v>
      </c>
      <c r="I23" s="8">
        <f>IFERROR(H23/H148, "NA")</f>
        <v>2.8714847628889995E-3</v>
      </c>
      <c r="J23" s="7">
        <v>165.99</v>
      </c>
      <c r="K23" s="8">
        <f>IFERROR(J23/J148, "NA")</f>
        <v>7.2636745817774937E-3</v>
      </c>
      <c r="L23" s="7">
        <v>121.4</v>
      </c>
      <c r="M23" s="8">
        <f>IFERROR(L23/L148, "NA")</f>
        <v>4.5028955398708406E-3</v>
      </c>
      <c r="N23" s="7">
        <v>226.67</v>
      </c>
      <c r="O23" s="8">
        <f>IFERROR(N23/N148, "NA")</f>
        <v>9.4243641454230063E-3</v>
      </c>
      <c r="P23" s="7">
        <v>113.26</v>
      </c>
      <c r="Q23" s="8">
        <f>IFERROR(P23/P148, "NA")</f>
        <v>4.512217568087634E-3</v>
      </c>
      <c r="R23" s="7">
        <v>92</v>
      </c>
      <c r="S23" s="8">
        <f>IFERROR(R23/R148, "NA")</f>
        <v>4.0704470501204768E-3</v>
      </c>
      <c r="T23" s="7">
        <v>48.15</v>
      </c>
      <c r="U23" s="8">
        <f>IFERROR(T23/T148, "NA")</f>
        <v>1.724237333838489E-3</v>
      </c>
      <c r="V23" s="7">
        <v>191.95</v>
      </c>
      <c r="W23" s="8">
        <f>IFERROR(V23/V148, "NA")</f>
        <v>6.9415061929301147E-3</v>
      </c>
      <c r="X23" s="7">
        <v>239.75</v>
      </c>
      <c r="Y23" s="8">
        <f>IFERROR(X23/X148, "NA")</f>
        <v>1.0231354503310948E-2</v>
      </c>
      <c r="Z23" s="7">
        <v>571.85</v>
      </c>
      <c r="AA23" s="8">
        <f>IFERROR(Z23/Z148, "NA")</f>
        <v>5.6277414142129872E-3</v>
      </c>
      <c r="AB23" s="9">
        <f t="shared" si="0"/>
        <v>142.96250000000001</v>
      </c>
      <c r="AC23" s="8">
        <f>IFERROR(AB23/AB148, "NA")</f>
        <v>5.6277414142129872E-3</v>
      </c>
      <c r="AD23" s="10">
        <f t="shared" si="1"/>
        <v>96.787499999999994</v>
      </c>
      <c r="AE23" s="11">
        <f>IFERROR(AD23/AD148, "NA")</f>
        <v>-4.9123105306031291E-2</v>
      </c>
      <c r="AF23" s="10">
        <f t="shared" si="2"/>
        <v>0.67701320276296229</v>
      </c>
      <c r="AG23" s="9">
        <f t="shared" si="3"/>
        <v>149.89624999999998</v>
      </c>
      <c r="AH23" s="8">
        <f>IFERROR(AG23/AG148, "NA")</f>
        <v>5.9785889170082592E-3</v>
      </c>
      <c r="AI23" s="10">
        <f t="shared" si="4"/>
        <v>89.853750000000019</v>
      </c>
      <c r="AJ23" s="11">
        <f>IFERROR(AI23/AI148, "NA")</f>
        <v>-5.4811974864405505E-2</v>
      </c>
      <c r="AK23" s="10">
        <f t="shared" si="5"/>
        <v>0.59943961239857591</v>
      </c>
      <c r="AL23" s="11">
        <f>IFERROR(AK23/AK148, "NA")</f>
        <v>-9.1680454410359307</v>
      </c>
    </row>
    <row r="24" spans="1:38" ht="16.5" customHeight="1">
      <c r="A24" s="25" t="s">
        <v>39</v>
      </c>
      <c r="B24" s="7">
        <v>2170.73</v>
      </c>
      <c r="C24" s="8">
        <f>IFERROR(B24/B148, "NA")</f>
        <v>8.7219349594606602E-2</v>
      </c>
      <c r="D24" s="7">
        <v>1835.14</v>
      </c>
      <c r="E24" s="8">
        <f>IFERROR(D24/D148, "NA")</f>
        <v>5.8001603693108639E-2</v>
      </c>
      <c r="F24" s="7">
        <v>1723.82</v>
      </c>
      <c r="G24" s="8">
        <f>IFERROR(F24/F148, "NA")</f>
        <v>5.730653119991596E-2</v>
      </c>
      <c r="H24" s="7">
        <v>1584.58</v>
      </c>
      <c r="I24" s="8">
        <f>IFERROR(H24/H148, "NA")</f>
        <v>5.9354256790746816E-2</v>
      </c>
      <c r="J24" s="7">
        <v>1387.28</v>
      </c>
      <c r="K24" s="8">
        <f>IFERROR(J24/J148, "NA")</f>
        <v>6.0706973153854336E-2</v>
      </c>
      <c r="L24" s="7">
        <v>2000.62</v>
      </c>
      <c r="M24" s="8">
        <f>IFERROR(L24/L148, "NA")</f>
        <v>7.4205789744451398E-2</v>
      </c>
      <c r="N24" s="7">
        <v>1487.37</v>
      </c>
      <c r="O24" s="8">
        <f>IFERROR(N24/N148, "NA")</f>
        <v>6.1841075126738504E-2</v>
      </c>
      <c r="P24" s="7">
        <v>1514.4</v>
      </c>
      <c r="Q24" s="8">
        <f>IFERROR(P24/P148, "NA")</f>
        <v>6.033288261620972E-2</v>
      </c>
      <c r="R24" s="7">
        <v>1316.19</v>
      </c>
      <c r="S24" s="8">
        <f>IFERROR(R24/R148, "NA")</f>
        <v>5.82334967706312E-2</v>
      </c>
      <c r="T24" s="7">
        <v>1725.76</v>
      </c>
      <c r="U24" s="8">
        <f>IFERROR(T24/T148, "NA")</f>
        <v>6.179895786594207E-2</v>
      </c>
      <c r="V24" s="7">
        <v>1641.1</v>
      </c>
      <c r="W24" s="8">
        <f>IFERROR(V24/V148, "NA")</f>
        <v>5.9347256125124308E-2</v>
      </c>
      <c r="X24" s="7">
        <v>1478.17</v>
      </c>
      <c r="Y24" s="8">
        <f>IFERROR(X24/X148, "NA")</f>
        <v>6.3081048117452118E-2</v>
      </c>
      <c r="Z24" s="7">
        <v>6161.22</v>
      </c>
      <c r="AA24" s="8">
        <f>IFERROR(Z24/Z148, "NA")</f>
        <v>6.0634349840128256E-2</v>
      </c>
      <c r="AB24" s="9">
        <f t="shared" si="0"/>
        <v>1540.3049999999998</v>
      </c>
      <c r="AC24" s="8">
        <f>IFERROR(AB24/AB148, "NA")</f>
        <v>6.0634349840128249E-2</v>
      </c>
      <c r="AD24" s="10">
        <f t="shared" si="1"/>
        <v>-62.134999999999764</v>
      </c>
      <c r="AE24" s="11">
        <f>IFERROR(AD24/AD148, "NA")</f>
        <v>3.1535726702210956E-2</v>
      </c>
      <c r="AF24" s="10">
        <f t="shared" si="2"/>
        <v>-4.0339413298015506E-2</v>
      </c>
      <c r="AG24" s="9">
        <f t="shared" si="3"/>
        <v>1568.8612500000002</v>
      </c>
      <c r="AH24" s="8">
        <f>IFERROR(AG24/AG148, "NA")</f>
        <v>6.257379008196487E-2</v>
      </c>
      <c r="AI24" s="10">
        <f t="shared" si="4"/>
        <v>-90.691250000000082</v>
      </c>
      <c r="AJ24" s="11">
        <f>IFERROR(AI24/AI148, "NA")</f>
        <v>5.5322860931474975E-2</v>
      </c>
      <c r="AK24" s="10">
        <f t="shared" si="5"/>
        <v>-5.7807055913963123E-2</v>
      </c>
      <c r="AL24" s="11">
        <f>IFERROR(AK24/AK148, "NA")</f>
        <v>0.88412194401215016</v>
      </c>
    </row>
    <row r="25" spans="1:38" ht="16.5" hidden="1" customHeight="1">
      <c r="A25" s="25" t="s">
        <v>40</v>
      </c>
      <c r="B25" s="7">
        <v>0</v>
      </c>
      <c r="C25" s="8">
        <f>IFERROR(B25/B148, "NA")</f>
        <v>0</v>
      </c>
      <c r="D25" s="7">
        <v>0</v>
      </c>
      <c r="E25" s="8">
        <f>IFERROR(D25/D148, "NA")</f>
        <v>0</v>
      </c>
      <c r="F25" s="7">
        <v>0</v>
      </c>
      <c r="G25" s="8">
        <f>IFERROR(F25/F148, "NA")</f>
        <v>0</v>
      </c>
      <c r="H25" s="7">
        <v>0</v>
      </c>
      <c r="I25" s="8">
        <f>IFERROR(H25/H148, "NA")</f>
        <v>0</v>
      </c>
      <c r="J25" s="7">
        <v>0</v>
      </c>
      <c r="K25" s="8">
        <f>IFERROR(J25/J148, "NA")</f>
        <v>0</v>
      </c>
      <c r="L25" s="7">
        <v>0</v>
      </c>
      <c r="M25" s="8">
        <f>IFERROR(L25/L148, "NA")</f>
        <v>0</v>
      </c>
      <c r="N25" s="7">
        <v>0</v>
      </c>
      <c r="O25" s="8">
        <f>IFERROR(N25/N148, "NA")</f>
        <v>0</v>
      </c>
      <c r="P25" s="7">
        <v>0</v>
      </c>
      <c r="Q25" s="8">
        <f>IFERROR(P25/P148, "NA")</f>
        <v>0</v>
      </c>
      <c r="R25" s="7">
        <v>0</v>
      </c>
      <c r="S25" s="8">
        <f>IFERROR(R25/R148, "NA")</f>
        <v>0</v>
      </c>
      <c r="T25" s="7">
        <v>0</v>
      </c>
      <c r="U25" s="8">
        <f>IFERROR(T25/T148, "NA")</f>
        <v>0</v>
      </c>
      <c r="V25" s="7">
        <v>0</v>
      </c>
      <c r="W25" s="8">
        <f>IFERROR(V25/V148, "NA")</f>
        <v>0</v>
      </c>
      <c r="X25" s="7">
        <v>0</v>
      </c>
      <c r="Y25" s="8">
        <f>IFERROR(X25/X148, "NA")</f>
        <v>0</v>
      </c>
      <c r="Z25" s="7">
        <v>0</v>
      </c>
      <c r="AA25" s="8">
        <f>IFERROR(Z25/Z148, "NA")</f>
        <v>0</v>
      </c>
      <c r="AB25" s="9">
        <f t="shared" si="0"/>
        <v>0</v>
      </c>
      <c r="AC25" s="8">
        <f>IFERROR(AB25/AB148, "NA")</f>
        <v>0</v>
      </c>
      <c r="AD25" s="10">
        <f t="shared" si="1"/>
        <v>0</v>
      </c>
      <c r="AE25" s="11">
        <f>IFERROR(AD25/AD148, "NA")</f>
        <v>0</v>
      </c>
      <c r="AF25" s="10" t="str">
        <f t="shared" si="2"/>
        <v>NA</v>
      </c>
      <c r="AG25" s="9">
        <f t="shared" si="3"/>
        <v>0</v>
      </c>
      <c r="AH25" s="8">
        <f>IFERROR(AG25/AG148, "NA")</f>
        <v>0</v>
      </c>
      <c r="AI25" s="10">
        <f t="shared" si="4"/>
        <v>0</v>
      </c>
      <c r="AJ25" s="11">
        <f>IFERROR(AI25/AI148, "NA")</f>
        <v>0</v>
      </c>
      <c r="AK25" s="10" t="str">
        <f t="shared" si="5"/>
        <v>NA</v>
      </c>
      <c r="AL25" s="11" t="str">
        <f>IFERROR(AK25/AK148, "NA")</f>
        <v>NA</v>
      </c>
    </row>
    <row r="26" spans="1:38" ht="16.5" hidden="1" customHeight="1">
      <c r="A26" s="25" t="s">
        <v>41</v>
      </c>
      <c r="B26" s="7">
        <v>0</v>
      </c>
      <c r="C26" s="8">
        <f>IFERROR(B26/B148, "NA")</f>
        <v>0</v>
      </c>
      <c r="D26" s="7">
        <v>0</v>
      </c>
      <c r="E26" s="8">
        <f>IFERROR(D26/D148, "NA")</f>
        <v>0</v>
      </c>
      <c r="F26" s="7">
        <v>0</v>
      </c>
      <c r="G26" s="8">
        <f>IFERROR(F26/F148, "NA")</f>
        <v>0</v>
      </c>
      <c r="H26" s="7">
        <v>0</v>
      </c>
      <c r="I26" s="8">
        <f>IFERROR(H26/H148, "NA")</f>
        <v>0</v>
      </c>
      <c r="J26" s="7">
        <v>0</v>
      </c>
      <c r="K26" s="8">
        <f>IFERROR(J26/J148, "NA")</f>
        <v>0</v>
      </c>
      <c r="L26" s="7">
        <v>0</v>
      </c>
      <c r="M26" s="8">
        <f>IFERROR(L26/L148, "NA")</f>
        <v>0</v>
      </c>
      <c r="N26" s="7">
        <v>0</v>
      </c>
      <c r="O26" s="8">
        <f>IFERROR(N26/N148, "NA")</f>
        <v>0</v>
      </c>
      <c r="P26" s="7">
        <v>0</v>
      </c>
      <c r="Q26" s="8">
        <f>IFERROR(P26/P148, "NA")</f>
        <v>0</v>
      </c>
      <c r="R26" s="7">
        <v>0</v>
      </c>
      <c r="S26" s="8">
        <f>IFERROR(R26/R148, "NA")</f>
        <v>0</v>
      </c>
      <c r="T26" s="7">
        <v>0</v>
      </c>
      <c r="U26" s="8">
        <f>IFERROR(T26/T148, "NA")</f>
        <v>0</v>
      </c>
      <c r="V26" s="7">
        <v>0</v>
      </c>
      <c r="W26" s="8">
        <f>IFERROR(V26/V148, "NA")</f>
        <v>0</v>
      </c>
      <c r="X26" s="7">
        <v>0</v>
      </c>
      <c r="Y26" s="8">
        <f>IFERROR(X26/X148, "NA")</f>
        <v>0</v>
      </c>
      <c r="Z26" s="7">
        <v>0</v>
      </c>
      <c r="AA26" s="8">
        <f>IFERROR(Z26/Z148, "NA")</f>
        <v>0</v>
      </c>
      <c r="AB26" s="9">
        <f t="shared" si="0"/>
        <v>0</v>
      </c>
      <c r="AC26" s="8">
        <f>IFERROR(AB26/AB148, "NA")</f>
        <v>0</v>
      </c>
      <c r="AD26" s="10">
        <f t="shared" si="1"/>
        <v>0</v>
      </c>
      <c r="AE26" s="11">
        <f>IFERROR(AD26/AD148, "NA")</f>
        <v>0</v>
      </c>
      <c r="AF26" s="10" t="str">
        <f t="shared" si="2"/>
        <v>NA</v>
      </c>
      <c r="AG26" s="9">
        <f t="shared" si="3"/>
        <v>0</v>
      </c>
      <c r="AH26" s="8">
        <f>IFERROR(AG26/AG148, "NA")</f>
        <v>0</v>
      </c>
      <c r="AI26" s="10">
        <f t="shared" si="4"/>
        <v>0</v>
      </c>
      <c r="AJ26" s="11">
        <f>IFERROR(AI26/AI148, "NA")</f>
        <v>0</v>
      </c>
      <c r="AK26" s="10" t="str">
        <f t="shared" si="5"/>
        <v>NA</v>
      </c>
      <c r="AL26" s="11" t="str">
        <f>IFERROR(AK26/AK148, "NA")</f>
        <v>NA</v>
      </c>
    </row>
    <row r="27" spans="1:38" ht="16.5" customHeight="1">
      <c r="A27" s="26" t="s">
        <v>42</v>
      </c>
      <c r="B27" s="13">
        <f>IFERROR(B15+B16+B17+B18+B19+B20+B21+B22+B23+B24+B25+B26, "NA")</f>
        <v>6088.0300000000007</v>
      </c>
      <c r="C27" s="14">
        <f>IFERROR(B27/B148, "NA")</f>
        <v>0.24461541366842163</v>
      </c>
      <c r="D27" s="13">
        <f>IFERROR(D15+D16+D17+D18+D19+D20+D21+D22+D23+D24+D25+D26, "NA")</f>
        <v>7577.09</v>
      </c>
      <c r="E27" s="14">
        <f>IFERROR(D27/D148, "NA")</f>
        <v>0.23948220371580181</v>
      </c>
      <c r="F27" s="13">
        <f>IFERROR(F15+F16+F17+F18+F19+F20+F21+F22+F23+F24+F25+F26, "NA")</f>
        <v>5657.66</v>
      </c>
      <c r="G27" s="14">
        <f>IFERROR(F27/F148, "NA")</f>
        <v>0.18808278666480058</v>
      </c>
      <c r="H27" s="13">
        <f>IFERROR(H15+H16+H17+H18+H19+H20+H21+H22+H23+H24+H25+H26, "NA")</f>
        <v>5167.58</v>
      </c>
      <c r="I27" s="14">
        <f>IFERROR(H27/H148, "NA")</f>
        <v>0.19356414337346645</v>
      </c>
      <c r="J27" s="13">
        <f>IFERROR(J15+J16+J17+J18+J19+J20+J21+J22+J23+J24+J25+J26, "NA")</f>
        <v>5626.57</v>
      </c>
      <c r="K27" s="14">
        <f>IFERROR(J27/J148, "NA")</f>
        <v>0.24621708230370376</v>
      </c>
      <c r="L27" s="13">
        <f>IFERROR(L15+L16+L17+L18+L19+L20+L21+L22+L23+L24+L25+L26, "NA")</f>
        <v>5479.8499999999995</v>
      </c>
      <c r="M27" s="14">
        <f>IFERROR(L27/L148, "NA")</f>
        <v>0.20325528932587497</v>
      </c>
      <c r="N27" s="13">
        <f>IFERROR(N15+N16+N17+N18+N19+N20+N21+N22+N23+N24+N25+N26, "NA")</f>
        <v>5357.09</v>
      </c>
      <c r="O27" s="14">
        <f>IFERROR(N27/N148, "NA")</f>
        <v>0.22273422561346509</v>
      </c>
      <c r="P27" s="13">
        <f>IFERROR(P15+P16+P17+P18+P19+P20+P21+P22+P23+P24+P25+P26, "NA")</f>
        <v>5497.1200000000008</v>
      </c>
      <c r="Q27" s="14">
        <f>IFERROR(P27/P148, "NA")</f>
        <v>0.21900230829848047</v>
      </c>
      <c r="R27" s="13">
        <f>IFERROR(R15+R16+R17+R18+R19+R20+R21+R22+R23+R24+R25+R26, "NA")</f>
        <v>4436.4400000000005</v>
      </c>
      <c r="S27" s="14">
        <f>IFERROR(R27/R148, "NA")</f>
        <v>0.19628580555474445</v>
      </c>
      <c r="T27" s="13">
        <f>IFERROR(T15+T16+T17+T18+T19+T20+T21+T22+T23+T24+T25+T26, "NA")</f>
        <v>5959.5299999999988</v>
      </c>
      <c r="U27" s="14">
        <f>IFERROR(T27/T148, "NA")</f>
        <v>0.21340901595286579</v>
      </c>
      <c r="V27" s="13">
        <f>IFERROR(V15+V16+V17+V18+V19+V20+V21+V22+V23+V24+V25+V26, "NA")</f>
        <v>5807.6100000000006</v>
      </c>
      <c r="W27" s="14">
        <f>IFERROR(V27/V148, "NA")</f>
        <v>0.21002115541090319</v>
      </c>
      <c r="X27" s="13">
        <f>IFERROR(X15+X16+X17+X18+X19+X20+X21+X22+X23+X24+X25+X26, "NA")</f>
        <v>5270.08</v>
      </c>
      <c r="Y27" s="14">
        <f>IFERROR(X27/X148, "NA")</f>
        <v>0.22490117514414582</v>
      </c>
      <c r="Z27" s="13">
        <f>IFERROR(Z15+Z16+Z17+Z18+Z19+Z20+Z21+Z22+Z23+Z24+Z25+Z26, "NA")</f>
        <v>21473.66</v>
      </c>
      <c r="AA27" s="14">
        <f>IFERROR(Z27/Z148, "NA")</f>
        <v>0.21132850519669294</v>
      </c>
      <c r="AB27" s="13">
        <f t="shared" si="0"/>
        <v>5368.415</v>
      </c>
      <c r="AC27" s="14">
        <f>IFERROR(AB27/AB148, "NA")</f>
        <v>0.21132850519669294</v>
      </c>
      <c r="AD27" s="15">
        <f t="shared" si="1"/>
        <v>-98.335000000000036</v>
      </c>
      <c r="AE27" s="16">
        <f>IFERROR(AD27/AD148, "NA")</f>
        <v>4.9908516701728932E-2</v>
      </c>
      <c r="AF27" s="15">
        <f t="shared" si="2"/>
        <v>-1.8317324573454183E-2</v>
      </c>
      <c r="AG27" s="13">
        <f t="shared" si="3"/>
        <v>5429.2862500000001</v>
      </c>
      <c r="AH27" s="14">
        <f>IFERROR(AG27/AG148, "NA")</f>
        <v>0.21654624849864715</v>
      </c>
      <c r="AI27" s="15">
        <f t="shared" si="4"/>
        <v>-159.20625000000018</v>
      </c>
      <c r="AJ27" s="16">
        <f>IFERROR(AI27/AI148, "NA")</f>
        <v>9.7117916316862313E-2</v>
      </c>
      <c r="AK27" s="15">
        <f t="shared" si="5"/>
        <v>-2.9323605842296523E-2</v>
      </c>
      <c r="AL27" s="16">
        <f>IFERROR(AK27/AK148, "NA")</f>
        <v>0.44848579455981225</v>
      </c>
    </row>
    <row r="28" spans="1:38" ht="16.5" customHeight="1">
      <c r="A28" s="24" t="s">
        <v>43</v>
      </c>
      <c r="B28" s="2"/>
      <c r="C28" s="3"/>
      <c r="D28" s="2"/>
      <c r="E28" s="3"/>
      <c r="F28" s="2"/>
      <c r="G28" s="3"/>
      <c r="H28" s="2"/>
      <c r="I28" s="3"/>
      <c r="J28" s="2"/>
      <c r="K28" s="3"/>
      <c r="L28" s="2"/>
      <c r="M28" s="3"/>
      <c r="N28" s="2"/>
      <c r="O28" s="3"/>
      <c r="P28" s="2"/>
      <c r="Q28" s="3"/>
      <c r="R28" s="2"/>
      <c r="S28" s="3"/>
      <c r="T28" s="2"/>
      <c r="U28" s="3"/>
      <c r="V28" s="2"/>
      <c r="W28" s="3"/>
      <c r="X28" s="2"/>
      <c r="Y28" s="3"/>
      <c r="Z28" s="2"/>
      <c r="AA28" s="3"/>
      <c r="AB28" s="2"/>
      <c r="AC28" s="3"/>
      <c r="AD28" s="4"/>
      <c r="AE28" s="5"/>
      <c r="AF28" s="4"/>
      <c r="AG28" s="2"/>
      <c r="AH28" s="3"/>
      <c r="AI28" s="4"/>
      <c r="AJ28" s="5"/>
      <c r="AK28" s="4"/>
      <c r="AL28" s="5"/>
    </row>
    <row r="29" spans="1:38" ht="16.5" hidden="1" customHeight="1">
      <c r="A29" s="25" t="s">
        <v>44</v>
      </c>
      <c r="B29" s="7">
        <v>0</v>
      </c>
      <c r="C29" s="8">
        <f>IFERROR(B29/B148, "NA")</f>
        <v>0</v>
      </c>
      <c r="D29" s="7">
        <v>0</v>
      </c>
      <c r="E29" s="8">
        <f>IFERROR(D29/D148, "NA")</f>
        <v>0</v>
      </c>
      <c r="F29" s="7">
        <v>0</v>
      </c>
      <c r="G29" s="8">
        <f>IFERROR(F29/F148, "NA")</f>
        <v>0</v>
      </c>
      <c r="H29" s="7">
        <v>0</v>
      </c>
      <c r="I29" s="8">
        <f>IFERROR(H29/H148, "NA")</f>
        <v>0</v>
      </c>
      <c r="J29" s="7">
        <v>0</v>
      </c>
      <c r="K29" s="8">
        <f>IFERROR(J29/J148, "NA")</f>
        <v>0</v>
      </c>
      <c r="L29" s="7">
        <v>0</v>
      </c>
      <c r="M29" s="8">
        <f>IFERROR(L29/L148, "NA")</f>
        <v>0</v>
      </c>
      <c r="N29" s="7">
        <v>0</v>
      </c>
      <c r="O29" s="8">
        <f>IFERROR(N29/N148, "NA")</f>
        <v>0</v>
      </c>
      <c r="P29" s="7">
        <v>0</v>
      </c>
      <c r="Q29" s="8">
        <f>IFERROR(P29/P148, "NA")</f>
        <v>0</v>
      </c>
      <c r="R29" s="7">
        <v>0</v>
      </c>
      <c r="S29" s="8">
        <f>IFERROR(R29/R148, "NA")</f>
        <v>0</v>
      </c>
      <c r="T29" s="7">
        <v>0</v>
      </c>
      <c r="U29" s="8">
        <f>IFERROR(T29/T148, "NA")</f>
        <v>0</v>
      </c>
      <c r="V29" s="7">
        <v>0</v>
      </c>
      <c r="W29" s="8">
        <f>IFERROR(V29/V148, "NA")</f>
        <v>0</v>
      </c>
      <c r="X29" s="7">
        <v>0</v>
      </c>
      <c r="Y29" s="8">
        <f>IFERROR(X29/X148, "NA")</f>
        <v>0</v>
      </c>
      <c r="Z29" s="7">
        <v>0</v>
      </c>
      <c r="AA29" s="8">
        <f>IFERROR(Z29/Z148, "NA")</f>
        <v>0</v>
      </c>
      <c r="AB29" s="9">
        <f t="shared" ref="AB29:AB35" si="6">IFERROR((R29+T29+V29+X29)/4, "NA")</f>
        <v>0</v>
      </c>
      <c r="AC29" s="8">
        <f>IFERROR(AB29/AB148, "NA")</f>
        <v>0</v>
      </c>
      <c r="AD29" s="10">
        <f t="shared" ref="AD29:AD35" si="7">IFERROR(X29-AB29, "NA")</f>
        <v>0</v>
      </c>
      <c r="AE29" s="11">
        <f>IFERROR(AD29/AD148, "NA")</f>
        <v>0</v>
      </c>
      <c r="AF29" s="10" t="str">
        <f t="shared" ref="AF29:AF35" si="8">IFERROR((X29-AB29)/AB29, "NA")</f>
        <v>NA</v>
      </c>
      <c r="AG29" s="9">
        <f t="shared" ref="AG29:AG35" si="9">IFERROR((J29+L29+N29+P29+R29+T29+V29+X29)/8, "NA")</f>
        <v>0</v>
      </c>
      <c r="AH29" s="8">
        <f>IFERROR(AG29/AG148, "NA")</f>
        <v>0</v>
      </c>
      <c r="AI29" s="10">
        <f t="shared" ref="AI29:AI35" si="10">IFERROR(X29-AG29, "NA")</f>
        <v>0</v>
      </c>
      <c r="AJ29" s="11">
        <f>IFERROR(AI29/AI148, "NA")</f>
        <v>0</v>
      </c>
      <c r="AK29" s="10" t="str">
        <f t="shared" ref="AK29:AK35" si="11">IFERROR((X29-AG29)/AG29, "NA")</f>
        <v>NA</v>
      </c>
      <c r="AL29" s="11" t="str">
        <f>IFERROR(AK29/AK148, "NA")</f>
        <v>NA</v>
      </c>
    </row>
    <row r="30" spans="1:38" ht="16.5" customHeight="1">
      <c r="A30" s="25" t="s">
        <v>45</v>
      </c>
      <c r="B30" s="7">
        <v>312.8</v>
      </c>
      <c r="C30" s="8">
        <f>IFERROR(B30/B148, "NA")</f>
        <v>1.2568220162430586E-2</v>
      </c>
      <c r="D30" s="7">
        <v>341.14</v>
      </c>
      <c r="E30" s="8">
        <f>IFERROR(D30/D148, "NA")</f>
        <v>1.0782102228640365E-2</v>
      </c>
      <c r="F30" s="7">
        <v>289.75</v>
      </c>
      <c r="G30" s="8">
        <f>IFERROR(F30/F148, "NA")</f>
        <v>9.6324253200308907E-3</v>
      </c>
      <c r="H30" s="7">
        <v>291.43</v>
      </c>
      <c r="I30" s="8">
        <f>IFERROR(H30/H148, "NA")</f>
        <v>1.0916211902540324E-2</v>
      </c>
      <c r="J30" s="7">
        <v>209.55</v>
      </c>
      <c r="K30" s="8">
        <f>IFERROR(J30/J148, "NA")</f>
        <v>9.1698476330590618E-3</v>
      </c>
      <c r="L30" s="7">
        <v>282.5</v>
      </c>
      <c r="M30" s="8">
        <f>IFERROR(L30/L148, "NA")</f>
        <v>1.0478319522351832E-2</v>
      </c>
      <c r="N30" s="7">
        <v>223.03</v>
      </c>
      <c r="O30" s="8">
        <f>IFERROR(N30/N148, "NA")</f>
        <v>9.273022170352023E-3</v>
      </c>
      <c r="P30" s="7">
        <v>262.33</v>
      </c>
      <c r="Q30" s="8">
        <f>IFERROR(P30/P148, "NA")</f>
        <v>1.0451086302634902E-2</v>
      </c>
      <c r="R30" s="7">
        <v>235.09</v>
      </c>
      <c r="S30" s="8">
        <f>IFERROR(R30/R148, "NA")</f>
        <v>1.0401319532748074E-2</v>
      </c>
      <c r="T30" s="7">
        <v>238.79</v>
      </c>
      <c r="U30" s="8">
        <f>IFERROR(T30/T148, "NA")</f>
        <v>8.5509996458420102E-3</v>
      </c>
      <c r="V30" s="7">
        <v>154.09</v>
      </c>
      <c r="W30" s="8">
        <f>IFERROR(V30/V148, "NA")</f>
        <v>5.5723713949914115E-3</v>
      </c>
      <c r="X30" s="7">
        <v>230.53</v>
      </c>
      <c r="Y30" s="8">
        <f>IFERROR(X30/X148, "NA")</f>
        <v>9.8378901090647453E-3</v>
      </c>
      <c r="Z30" s="7">
        <v>858.5</v>
      </c>
      <c r="AA30" s="8">
        <f>IFERROR(Z30/Z148, "NA")</f>
        <v>8.4487470562242713E-3</v>
      </c>
      <c r="AB30" s="9">
        <f t="shared" si="6"/>
        <v>214.625</v>
      </c>
      <c r="AC30" s="8">
        <f>IFERROR(AB30/AB148, "NA")</f>
        <v>8.4487470562242713E-3</v>
      </c>
      <c r="AD30" s="10">
        <f t="shared" si="7"/>
        <v>15.905000000000001</v>
      </c>
      <c r="AE30" s="11">
        <f>IFERROR(AD30/AD148, "NA")</f>
        <v>-8.0723542801748958E-3</v>
      </c>
      <c r="AF30" s="10">
        <f t="shared" si="8"/>
        <v>7.4105998835177642E-2</v>
      </c>
      <c r="AG30" s="9">
        <f t="shared" si="9"/>
        <v>229.48874999999998</v>
      </c>
      <c r="AH30" s="8">
        <f>IFERROR(AG30/AG148, "NA")</f>
        <v>9.1531235593157213E-3</v>
      </c>
      <c r="AI30" s="10">
        <f t="shared" si="10"/>
        <v>1.0412500000000193</v>
      </c>
      <c r="AJ30" s="11">
        <f>IFERROR(AI30/AI148, "NA")</f>
        <v>-6.351762595057333E-4</v>
      </c>
      <c r="AK30" s="10">
        <f t="shared" si="11"/>
        <v>4.5372594517161273E-3</v>
      </c>
      <c r="AL30" s="11">
        <f>IFERROR(AK30/AK148, "NA")</f>
        <v>-6.9394481063163801E-2</v>
      </c>
    </row>
    <row r="31" spans="1:38" ht="16.5" customHeight="1">
      <c r="A31" s="25" t="s">
        <v>46</v>
      </c>
      <c r="B31" s="7">
        <v>11.33</v>
      </c>
      <c r="C31" s="8">
        <f>IFERROR(B31/B148, "NA")</f>
        <v>4.5523636330031499E-4</v>
      </c>
      <c r="D31" s="7">
        <v>27.42</v>
      </c>
      <c r="E31" s="8">
        <f>IFERROR(D31/D148, "NA")</f>
        <v>8.6663904294224903E-4</v>
      </c>
      <c r="F31" s="7">
        <v>1.36</v>
      </c>
      <c r="G31" s="8">
        <f>IFERROR(F31/F148, "NA")</f>
        <v>4.5211728853294258E-5</v>
      </c>
      <c r="H31" s="7">
        <v>9.1199999999999992</v>
      </c>
      <c r="I31" s="8">
        <f>IFERROR(H31/H148, "NA")</f>
        <v>3.4161154497192373E-4</v>
      </c>
      <c r="J31" s="7">
        <v>2.79</v>
      </c>
      <c r="K31" s="8">
        <f>IFERROR(J31/J148, "NA")</f>
        <v>1.2208959625976991E-4</v>
      </c>
      <c r="L31" s="7">
        <v>8.42</v>
      </c>
      <c r="M31" s="8">
        <f>IFERROR(L31/L148, "NA")</f>
        <v>3.1230955886089352E-4</v>
      </c>
      <c r="N31" s="7">
        <v>8.42</v>
      </c>
      <c r="O31" s="8">
        <f>IFERROR(N31/N148, "NA")</f>
        <v>3.5008226101584559E-4</v>
      </c>
      <c r="P31" s="7">
        <v>6.93</v>
      </c>
      <c r="Q31" s="8">
        <f>IFERROR(P31/P148, "NA")</f>
        <v>2.7608747789905795E-4</v>
      </c>
      <c r="R31" s="7">
        <v>9.98</v>
      </c>
      <c r="S31" s="8">
        <f>IFERROR(R31/R148, "NA")</f>
        <v>4.4155501695872126E-4</v>
      </c>
      <c r="T31" s="7">
        <v>4.1900000000000004</v>
      </c>
      <c r="U31" s="8">
        <f>IFERROR(T31/T148, "NA")</f>
        <v>1.5004266726445004E-4</v>
      </c>
      <c r="V31" s="7">
        <v>5.58</v>
      </c>
      <c r="W31" s="8">
        <f>IFERROR(V31/V148, "NA")</f>
        <v>2.0179007323026851E-4</v>
      </c>
      <c r="X31" s="7">
        <v>1.4</v>
      </c>
      <c r="Y31" s="8">
        <f>IFERROR(X31/X148, "NA")</f>
        <v>5.9745135785757358E-5</v>
      </c>
      <c r="Z31" s="7">
        <v>21.15</v>
      </c>
      <c r="AA31" s="8">
        <f>IFERROR(Z31/Z148, "NA")</f>
        <v>2.08143273429404E-4</v>
      </c>
      <c r="AB31" s="9">
        <f t="shared" si="6"/>
        <v>5.2874999999999996</v>
      </c>
      <c r="AC31" s="8">
        <f>IFERROR(AB31/AB148, "NA")</f>
        <v>2.08143273429404E-4</v>
      </c>
      <c r="AD31" s="10">
        <f t="shared" si="7"/>
        <v>-3.8874999999999997</v>
      </c>
      <c r="AE31" s="11">
        <f>IFERROR(AD31/AD148, "NA")</f>
        <v>1.9730447824067845E-3</v>
      </c>
      <c r="AF31" s="10">
        <f t="shared" si="8"/>
        <v>-0.73522458628841603</v>
      </c>
      <c r="AG31" s="9">
        <f t="shared" si="9"/>
        <v>5.9637500000000001</v>
      </c>
      <c r="AH31" s="8">
        <f>IFERROR(AG31/AG148, "NA")</f>
        <v>2.3786325310878699E-4</v>
      </c>
      <c r="AI31" s="10">
        <f t="shared" si="10"/>
        <v>-4.5637500000000006</v>
      </c>
      <c r="AJ31" s="11">
        <f>IFERROR(AI31/AI148, "NA")</f>
        <v>2.7839478072693752E-3</v>
      </c>
      <c r="AK31" s="10">
        <f t="shared" si="11"/>
        <v>-0.76524837560259917</v>
      </c>
      <c r="AL31" s="11">
        <f>IFERROR(AK31/AK148, "NA")</f>
        <v>11.703984414928245</v>
      </c>
    </row>
    <row r="32" spans="1:38" ht="16.5" hidden="1" customHeight="1">
      <c r="A32" s="25" t="s">
        <v>47</v>
      </c>
      <c r="B32" s="7">
        <v>0</v>
      </c>
      <c r="C32" s="8">
        <f>IFERROR(B32/B148, "NA")</f>
        <v>0</v>
      </c>
      <c r="D32" s="7">
        <v>0</v>
      </c>
      <c r="E32" s="8">
        <f>IFERROR(D32/D148, "NA")</f>
        <v>0</v>
      </c>
      <c r="F32" s="7">
        <v>0</v>
      </c>
      <c r="G32" s="8">
        <f>IFERROR(F32/F148, "NA")</f>
        <v>0</v>
      </c>
      <c r="H32" s="7">
        <v>0</v>
      </c>
      <c r="I32" s="8">
        <f>IFERROR(H32/H148, "NA")</f>
        <v>0</v>
      </c>
      <c r="J32" s="7">
        <v>0</v>
      </c>
      <c r="K32" s="8">
        <f>IFERROR(J32/J148, "NA")</f>
        <v>0</v>
      </c>
      <c r="L32" s="7">
        <v>0</v>
      </c>
      <c r="M32" s="8">
        <f>IFERROR(L32/L148, "NA")</f>
        <v>0</v>
      </c>
      <c r="N32" s="7">
        <v>0</v>
      </c>
      <c r="O32" s="8">
        <f>IFERROR(N32/N148, "NA")</f>
        <v>0</v>
      </c>
      <c r="P32" s="7">
        <v>0</v>
      </c>
      <c r="Q32" s="8">
        <f>IFERROR(P32/P148, "NA")</f>
        <v>0</v>
      </c>
      <c r="R32" s="7">
        <v>0</v>
      </c>
      <c r="S32" s="8">
        <f>IFERROR(R32/R148, "NA")</f>
        <v>0</v>
      </c>
      <c r="T32" s="7">
        <v>0</v>
      </c>
      <c r="U32" s="8">
        <f>IFERROR(T32/T148, "NA")</f>
        <v>0</v>
      </c>
      <c r="V32" s="7">
        <v>0</v>
      </c>
      <c r="W32" s="8">
        <f>IFERROR(V32/V148, "NA")</f>
        <v>0</v>
      </c>
      <c r="X32" s="7">
        <v>0</v>
      </c>
      <c r="Y32" s="8">
        <f>IFERROR(X32/X148, "NA")</f>
        <v>0</v>
      </c>
      <c r="Z32" s="7">
        <v>0</v>
      </c>
      <c r="AA32" s="8">
        <f>IFERROR(Z32/Z148, "NA")</f>
        <v>0</v>
      </c>
      <c r="AB32" s="9">
        <f t="shared" si="6"/>
        <v>0</v>
      </c>
      <c r="AC32" s="8">
        <f>IFERROR(AB32/AB148, "NA")</f>
        <v>0</v>
      </c>
      <c r="AD32" s="10">
        <f t="shared" si="7"/>
        <v>0</v>
      </c>
      <c r="AE32" s="11">
        <f>IFERROR(AD32/AD148, "NA")</f>
        <v>0</v>
      </c>
      <c r="AF32" s="10" t="str">
        <f t="shared" si="8"/>
        <v>NA</v>
      </c>
      <c r="AG32" s="9">
        <f t="shared" si="9"/>
        <v>0</v>
      </c>
      <c r="AH32" s="8">
        <f>IFERROR(AG32/AG148, "NA")</f>
        <v>0</v>
      </c>
      <c r="AI32" s="10">
        <f t="shared" si="10"/>
        <v>0</v>
      </c>
      <c r="AJ32" s="11">
        <f>IFERROR(AI32/AI148, "NA")</f>
        <v>0</v>
      </c>
      <c r="AK32" s="10" t="str">
        <f t="shared" si="11"/>
        <v>NA</v>
      </c>
      <c r="AL32" s="11" t="str">
        <f>IFERROR(AK32/AK148, "NA")</f>
        <v>NA</v>
      </c>
    </row>
    <row r="33" spans="1:38" ht="16.5" customHeight="1">
      <c r="A33" s="25" t="s">
        <v>48</v>
      </c>
      <c r="B33" s="7">
        <v>0</v>
      </c>
      <c r="C33" s="8">
        <f>IFERROR(B33/B148, "NA")</f>
        <v>0</v>
      </c>
      <c r="D33" s="7">
        <v>0</v>
      </c>
      <c r="E33" s="8">
        <f>IFERROR(D33/D148, "NA")</f>
        <v>0</v>
      </c>
      <c r="F33" s="7">
        <v>0</v>
      </c>
      <c r="G33" s="8">
        <f>IFERROR(F33/F148, "NA")</f>
        <v>0</v>
      </c>
      <c r="H33" s="7">
        <v>0</v>
      </c>
      <c r="I33" s="8">
        <f>IFERROR(H33/H148, "NA")</f>
        <v>0</v>
      </c>
      <c r="J33" s="7">
        <v>0</v>
      </c>
      <c r="K33" s="8">
        <f>IFERROR(J33/J148, "NA")</f>
        <v>0</v>
      </c>
      <c r="L33" s="7">
        <v>-15.19</v>
      </c>
      <c r="M33" s="8">
        <f>IFERROR(L33/L148, "NA")</f>
        <v>-5.6341831343194445E-4</v>
      </c>
      <c r="N33" s="7">
        <v>15.19</v>
      </c>
      <c r="O33" s="8">
        <f>IFERROR(N33/N148, "NA")</f>
        <v>6.3156170366160261E-4</v>
      </c>
      <c r="P33" s="7">
        <v>0</v>
      </c>
      <c r="Q33" s="8">
        <f>IFERROR(P33/P148, "NA")</f>
        <v>0</v>
      </c>
      <c r="R33" s="7">
        <v>0</v>
      </c>
      <c r="S33" s="8">
        <f>IFERROR(R33/R148, "NA")</f>
        <v>0</v>
      </c>
      <c r="T33" s="7">
        <v>0</v>
      </c>
      <c r="U33" s="8">
        <f>IFERROR(T33/T148, "NA")</f>
        <v>0</v>
      </c>
      <c r="V33" s="7">
        <v>0</v>
      </c>
      <c r="W33" s="8">
        <f>IFERROR(V33/V148, "NA")</f>
        <v>0</v>
      </c>
      <c r="X33" s="7">
        <v>0</v>
      </c>
      <c r="Y33" s="8">
        <f>IFERROR(X33/X148, "NA")</f>
        <v>0</v>
      </c>
      <c r="Z33" s="7">
        <v>0</v>
      </c>
      <c r="AA33" s="8">
        <f>IFERROR(Z33/Z148, "NA")</f>
        <v>0</v>
      </c>
      <c r="AB33" s="9">
        <f t="shared" si="6"/>
        <v>0</v>
      </c>
      <c r="AC33" s="8">
        <f>IFERROR(AB33/AB148, "NA")</f>
        <v>0</v>
      </c>
      <c r="AD33" s="10">
        <f t="shared" si="7"/>
        <v>0</v>
      </c>
      <c r="AE33" s="11">
        <f>IFERROR(AD33/AD148, "NA")</f>
        <v>0</v>
      </c>
      <c r="AF33" s="10" t="str">
        <f t="shared" si="8"/>
        <v>NA</v>
      </c>
      <c r="AG33" s="9">
        <f t="shared" si="9"/>
        <v>0</v>
      </c>
      <c r="AH33" s="8">
        <f>IFERROR(AG33/AG148, "NA")</f>
        <v>0</v>
      </c>
      <c r="AI33" s="10">
        <f t="shared" si="10"/>
        <v>0</v>
      </c>
      <c r="AJ33" s="11">
        <f>IFERROR(AI33/AI148, "NA")</f>
        <v>0</v>
      </c>
      <c r="AK33" s="10" t="str">
        <f t="shared" si="11"/>
        <v>NA</v>
      </c>
      <c r="AL33" s="11" t="str">
        <f>IFERROR(AK33/AK148, "NA")</f>
        <v>NA</v>
      </c>
    </row>
    <row r="34" spans="1:38" ht="16.5" customHeight="1">
      <c r="A34" s="26" t="s">
        <v>49</v>
      </c>
      <c r="B34" s="13">
        <f>IFERROR(B29+B30+B31+B32+B33, "NA")</f>
        <v>324.13</v>
      </c>
      <c r="C34" s="14">
        <f>IFERROR(B34/B148, "NA")</f>
        <v>1.3023456525730901E-2</v>
      </c>
      <c r="D34" s="13">
        <f>IFERROR(D29+D30+D31+D32+D33, "NA")</f>
        <v>368.56</v>
      </c>
      <c r="E34" s="14">
        <f>IFERROR(D34/D148, "NA")</f>
        <v>1.1648741271582615E-2</v>
      </c>
      <c r="F34" s="13">
        <f>IFERROR(F29+F30+F31+F32+F33, "NA")</f>
        <v>291.11</v>
      </c>
      <c r="G34" s="14">
        <f>IFERROR(F34/F148, "NA")</f>
        <v>9.677637048884186E-3</v>
      </c>
      <c r="H34" s="13">
        <f>IFERROR(H29+H30+H31+H32+H33, "NA")</f>
        <v>300.55</v>
      </c>
      <c r="I34" s="14">
        <f>IFERROR(H34/H148, "NA")</f>
        <v>1.1257823447512248E-2</v>
      </c>
      <c r="J34" s="13">
        <f>IFERROR(J29+J30+J31+J32+J33, "NA")</f>
        <v>212.34</v>
      </c>
      <c r="K34" s="14">
        <f>IFERROR(J34/J148, "NA")</f>
        <v>9.2919372293188314E-3</v>
      </c>
      <c r="L34" s="13">
        <f>IFERROR(L29+L30+L31+L32+L33, "NA")</f>
        <v>275.73</v>
      </c>
      <c r="M34" s="14">
        <f>IFERROR(L34/L148, "NA")</f>
        <v>1.0227210767780782E-2</v>
      </c>
      <c r="N34" s="13">
        <f>IFERROR(N29+N30+N31+N32+N33, "NA")</f>
        <v>246.64</v>
      </c>
      <c r="O34" s="14">
        <f>IFERROR(N34/N148, "NA")</f>
        <v>1.0254666135029471E-2</v>
      </c>
      <c r="P34" s="13">
        <f>IFERROR(P29+P30+P31+P32+P33, "NA")</f>
        <v>269.26</v>
      </c>
      <c r="Q34" s="14">
        <f>IFERROR(P34/P148, "NA")</f>
        <v>1.072717378053396E-2</v>
      </c>
      <c r="R34" s="13">
        <f>IFERROR(R29+R30+R31+R32+R33, "NA")</f>
        <v>245.07</v>
      </c>
      <c r="S34" s="14">
        <f>IFERROR(R34/R148, "NA")</f>
        <v>1.0842874549706795E-2</v>
      </c>
      <c r="T34" s="13">
        <f>IFERROR(T29+T30+T31+T32+T33, "NA")</f>
        <v>242.98</v>
      </c>
      <c r="U34" s="14">
        <f>IFERROR(T34/T148, "NA")</f>
        <v>8.70104231310646E-3</v>
      </c>
      <c r="V34" s="13">
        <f>IFERROR(V29+V30+V31+V32+V33, "NA")</f>
        <v>159.67000000000002</v>
      </c>
      <c r="W34" s="14">
        <f>IFERROR(V34/V148, "NA")</f>
        <v>5.7741614682216801E-3</v>
      </c>
      <c r="X34" s="13">
        <f>IFERROR(X29+X30+X31+X32+X33, "NA")</f>
        <v>231.93</v>
      </c>
      <c r="Y34" s="14">
        <f>IFERROR(X34/X148, "NA")</f>
        <v>9.8976352448505028E-3</v>
      </c>
      <c r="Z34" s="13">
        <f>IFERROR(Z29+Z30+Z31+Z32+Z33, "NA")</f>
        <v>879.65</v>
      </c>
      <c r="AA34" s="14">
        <f>IFERROR(Z34/Z148, "NA")</f>
        <v>8.6568903296536746E-3</v>
      </c>
      <c r="AB34" s="13">
        <f t="shared" si="6"/>
        <v>219.91250000000002</v>
      </c>
      <c r="AC34" s="14">
        <f>IFERROR(AB34/AB148, "NA")</f>
        <v>8.6568903296536763E-3</v>
      </c>
      <c r="AD34" s="15">
        <f t="shared" si="7"/>
        <v>12.017499999999984</v>
      </c>
      <c r="AE34" s="16">
        <f>IFERROR(AD34/AD148, "NA")</f>
        <v>-6.0993094977681035E-3</v>
      </c>
      <c r="AF34" s="15">
        <f t="shared" si="8"/>
        <v>5.4646734496674738E-2</v>
      </c>
      <c r="AG34" s="13">
        <f t="shared" si="9"/>
        <v>235.45250000000001</v>
      </c>
      <c r="AH34" s="14">
        <f>IFERROR(AG34/AG148, "NA")</f>
        <v>9.3909868124245101E-3</v>
      </c>
      <c r="AI34" s="15">
        <f t="shared" si="10"/>
        <v>-3.522500000000008</v>
      </c>
      <c r="AJ34" s="16">
        <f>IFERROR(AI34/AI148, "NA")</f>
        <v>2.1487715477636581E-3</v>
      </c>
      <c r="AK34" s="15">
        <f t="shared" si="11"/>
        <v>-1.4960554676633325E-2</v>
      </c>
      <c r="AL34" s="16">
        <f>IFERROR(AK34/AK148, "NA")</f>
        <v>0.22881211428396214</v>
      </c>
    </row>
    <row r="35" spans="1:38" ht="16.5" customHeight="1">
      <c r="A35" s="27" t="s">
        <v>50</v>
      </c>
      <c r="B35" s="13">
        <f>IFERROR(B13+B15+B16+B17+B18+B19+B20+B21+B22+B23+B24+B25+B26+B29+B30+B31+B32+B33, "NA")</f>
        <v>6412.1600000000008</v>
      </c>
      <c r="C35" s="14">
        <f>IFERROR(B35/B148, "NA")</f>
        <v>0.25763887019415255</v>
      </c>
      <c r="D35" s="13">
        <f>IFERROR(D13+D15+D16+D17+D18+D19+D20+D21+D22+D23+D24+D25+D26+D29+D30+D31+D32+D33, "NA")</f>
        <v>7945.6500000000005</v>
      </c>
      <c r="E35" s="14">
        <f>IFERROR(D35/D148, "NA")</f>
        <v>0.25113094498738442</v>
      </c>
      <c r="F35" s="13">
        <f>IFERROR(F13+F15+F16+F17+F18+F19+F20+F21+F22+F23+F24+F25+F26+F29+F30+F31+F32+F33, "NA")</f>
        <v>5948.7699999999995</v>
      </c>
      <c r="G35" s="14">
        <f>IFERROR(F35/F148, "NA")</f>
        <v>0.19776042371368474</v>
      </c>
      <c r="H35" s="13">
        <f>IFERROR(H13+H15+H16+H17+H18+H19+H20+H21+H22+H23+H24+H25+H26+H29+H30+H31+H32+H33, "NA")</f>
        <v>5468.13</v>
      </c>
      <c r="I35" s="14">
        <f>IFERROR(H35/H148, "NA")</f>
        <v>0.2048219668209787</v>
      </c>
      <c r="J35" s="13">
        <f>IFERROR(J13+J15+J16+J17+J18+J19+J20+J21+J22+J23+J24+J25+J26+J29+J30+J31+J32+J33, "NA")</f>
        <v>5838.91</v>
      </c>
      <c r="K35" s="14">
        <f>IFERROR(J35/J148, "NA")</f>
        <v>0.25550901953302263</v>
      </c>
      <c r="L35" s="13">
        <f>IFERROR(L13+L15+L16+L17+L18+L19+L20+L21+L22+L23+L24+L25+L26+L29+L30+L31+L32+L33, "NA")</f>
        <v>5755.58</v>
      </c>
      <c r="M35" s="14">
        <f>IFERROR(L35/L148, "NA")</f>
        <v>0.21348250009365577</v>
      </c>
      <c r="N35" s="13">
        <f>IFERROR(N13+N15+N16+N17+N18+N19+N20+N21+N22+N23+N24+N25+N26+N29+N30+N31+N32+N33, "NA")</f>
        <v>5603.73</v>
      </c>
      <c r="O35" s="14">
        <f>IFERROR(N35/N148, "NA")</f>
        <v>0.23298889174849455</v>
      </c>
      <c r="P35" s="13">
        <f>IFERROR(P13+P15+P16+P17+P18+P19+P20+P21+P22+P23+P24+P25+P26+P29+P30+P31+P32+P33, "NA")</f>
        <v>5766.380000000001</v>
      </c>
      <c r="Q35" s="14">
        <f>IFERROR(P35/P148, "NA")</f>
        <v>0.22972948207901442</v>
      </c>
      <c r="R35" s="13">
        <f>IFERROR(R13+R15+R16+R17+R18+R19+R20+R21+R22+R23+R24+R25+R26+R29+R30+R31+R32+R33, "NA")</f>
        <v>4681.51</v>
      </c>
      <c r="S35" s="14">
        <f>IFERROR(R35/R148, "NA")</f>
        <v>0.20712868010445123</v>
      </c>
      <c r="T35" s="13">
        <f>IFERROR(T13+T15+T16+T17+T18+T19+T20+T21+T22+T23+T24+T25+T26+T29+T30+T31+T32+T33, "NA")</f>
        <v>6202.5099999999984</v>
      </c>
      <c r="U35" s="14">
        <f>IFERROR(T35/T148, "NA")</f>
        <v>0.22211005826597224</v>
      </c>
      <c r="V35" s="13">
        <f>IFERROR(V13+V15+V16+V17+V18+V19+V20+V21+V22+V23+V24+V25+V26+V29+V30+V31+V32+V33, "NA")</f>
        <v>5967.2800000000007</v>
      </c>
      <c r="W35" s="14">
        <f>IFERROR(V35/V148, "NA")</f>
        <v>0.21579531687912487</v>
      </c>
      <c r="X35" s="13">
        <f>IFERROR(X13+X15+X16+X17+X18+X19+X20+X21+X22+X23+X24+X25+X26+X29+X30+X31+X32+X33, "NA")</f>
        <v>5502.0099999999993</v>
      </c>
      <c r="Y35" s="14">
        <f>IFERROR(X35/X148, "NA")</f>
        <v>0.2347988103889963</v>
      </c>
      <c r="Z35" s="13">
        <f>IFERROR(Z13+Z15+Z16+Z17+Z18+Z19+Z20+Z21+Z22+Z23+Z24+Z25+Z26+Z29+Z30+Z31+Z32+Z33, "NA")</f>
        <v>22353.31</v>
      </c>
      <c r="AA35" s="14">
        <f>IFERROR(Z35/Z148, "NA")</f>
        <v>0.21998539552634663</v>
      </c>
      <c r="AB35" s="13">
        <f t="shared" si="6"/>
        <v>5588.3274999999994</v>
      </c>
      <c r="AC35" s="14">
        <f>IFERROR(AB35/AB148, "NA")</f>
        <v>0.21998539552634661</v>
      </c>
      <c r="AD35" s="15">
        <f t="shared" si="7"/>
        <v>-86.317500000000109</v>
      </c>
      <c r="AE35" s="16">
        <f>IFERROR(AD35/AD148, "NA")</f>
        <v>4.3809207203960858E-2</v>
      </c>
      <c r="AF35" s="15">
        <f t="shared" si="8"/>
        <v>-1.5446034614113098E-2</v>
      </c>
      <c r="AG35" s="13">
        <f t="shared" si="9"/>
        <v>5664.7387499999995</v>
      </c>
      <c r="AH35" s="14">
        <f>IFERROR(AG35/AG148, "NA")</f>
        <v>0.22593723531107163</v>
      </c>
      <c r="AI35" s="15">
        <f t="shared" si="10"/>
        <v>-162.72875000000022</v>
      </c>
      <c r="AJ35" s="16">
        <f>IFERROR(AI35/AI148, "NA")</f>
        <v>9.9266687864625988E-2</v>
      </c>
      <c r="AK35" s="15">
        <f t="shared" si="11"/>
        <v>-2.8726611619997521E-2</v>
      </c>
      <c r="AL35" s="16">
        <f>IFERROR(AK35/AK148, "NA")</f>
        <v>0.43935514979615942</v>
      </c>
    </row>
    <row r="36" spans="1:38" ht="16.5" customHeight="1">
      <c r="A36" s="22" t="s">
        <v>51</v>
      </c>
      <c r="B36" s="2"/>
      <c r="C36" s="3"/>
      <c r="D36" s="2"/>
      <c r="E36" s="3"/>
      <c r="F36" s="2"/>
      <c r="G36" s="3"/>
      <c r="H36" s="2"/>
      <c r="I36" s="3"/>
      <c r="J36" s="2"/>
      <c r="K36" s="3"/>
      <c r="L36" s="2"/>
      <c r="M36" s="3"/>
      <c r="N36" s="2"/>
      <c r="O36" s="3"/>
      <c r="P36" s="2"/>
      <c r="Q36" s="3"/>
      <c r="R36" s="2"/>
      <c r="S36" s="3"/>
      <c r="T36" s="2"/>
      <c r="U36" s="3"/>
      <c r="V36" s="2"/>
      <c r="W36" s="3"/>
      <c r="X36" s="2"/>
      <c r="Y36" s="3"/>
      <c r="Z36" s="2"/>
      <c r="AA36" s="3"/>
      <c r="AB36" s="2"/>
      <c r="AC36" s="3"/>
      <c r="AD36" s="4"/>
      <c r="AE36" s="5"/>
      <c r="AF36" s="4"/>
      <c r="AG36" s="2"/>
      <c r="AH36" s="3"/>
      <c r="AI36" s="4"/>
      <c r="AJ36" s="5"/>
      <c r="AK36" s="4"/>
      <c r="AL36" s="5"/>
    </row>
    <row r="37" spans="1:38" ht="16.5" hidden="1" customHeight="1">
      <c r="A37" s="23" t="s">
        <v>52</v>
      </c>
      <c r="B37" s="7">
        <v>0</v>
      </c>
      <c r="C37" s="8">
        <f>IFERROR(B37/B148, "NA")</f>
        <v>0</v>
      </c>
      <c r="D37" s="7">
        <v>0</v>
      </c>
      <c r="E37" s="8">
        <f>IFERROR(D37/D148, "NA")</f>
        <v>0</v>
      </c>
      <c r="F37" s="7">
        <v>0</v>
      </c>
      <c r="G37" s="8">
        <f>IFERROR(F37/F148, "NA")</f>
        <v>0</v>
      </c>
      <c r="H37" s="7">
        <v>0</v>
      </c>
      <c r="I37" s="8">
        <f>IFERROR(H37/H148, "NA")</f>
        <v>0</v>
      </c>
      <c r="J37" s="7">
        <v>0</v>
      </c>
      <c r="K37" s="8">
        <f>IFERROR(J37/J148, "NA")</f>
        <v>0</v>
      </c>
      <c r="L37" s="7">
        <v>0</v>
      </c>
      <c r="M37" s="8">
        <f>IFERROR(L37/L148, "NA")</f>
        <v>0</v>
      </c>
      <c r="N37" s="7">
        <v>0</v>
      </c>
      <c r="O37" s="8">
        <f>IFERROR(N37/N148, "NA")</f>
        <v>0</v>
      </c>
      <c r="P37" s="7">
        <v>0</v>
      </c>
      <c r="Q37" s="8">
        <f>IFERROR(P37/P148, "NA")</f>
        <v>0</v>
      </c>
      <c r="R37" s="7">
        <v>0</v>
      </c>
      <c r="S37" s="8">
        <f>IFERROR(R37/R148, "NA")</f>
        <v>0</v>
      </c>
      <c r="T37" s="7">
        <v>0</v>
      </c>
      <c r="U37" s="8">
        <f>IFERROR(T37/T148, "NA")</f>
        <v>0</v>
      </c>
      <c r="V37" s="7">
        <v>0</v>
      </c>
      <c r="W37" s="8">
        <f>IFERROR(V37/V148, "NA")</f>
        <v>0</v>
      </c>
      <c r="X37" s="7">
        <v>0</v>
      </c>
      <c r="Y37" s="8">
        <f>IFERROR(X37/X148, "NA")</f>
        <v>0</v>
      </c>
      <c r="Z37" s="7">
        <v>0</v>
      </c>
      <c r="AA37" s="8">
        <f>IFERROR(Z37/Z148, "NA")</f>
        <v>0</v>
      </c>
      <c r="AB37" s="9">
        <f>IFERROR((R37+T37+V37+X37)/4, "NA")</f>
        <v>0</v>
      </c>
      <c r="AC37" s="8">
        <f>IFERROR(AB37/AB148, "NA")</f>
        <v>0</v>
      </c>
      <c r="AD37" s="10">
        <f>IFERROR(X37-AB37, "NA")</f>
        <v>0</v>
      </c>
      <c r="AE37" s="11">
        <f>IFERROR(AD37/AD148, "NA")</f>
        <v>0</v>
      </c>
      <c r="AF37" s="10" t="str">
        <f>IFERROR((X37-AB37)/AB37, "NA")</f>
        <v>NA</v>
      </c>
      <c r="AG37" s="9">
        <f>IFERROR((J37+L37+N37+P37+R37+T37+V37+X37)/8, "NA")</f>
        <v>0</v>
      </c>
      <c r="AH37" s="8">
        <f>IFERROR(AG37/AG148, "NA")</f>
        <v>0</v>
      </c>
      <c r="AI37" s="10">
        <f>IFERROR(X37-AG37, "NA")</f>
        <v>0</v>
      </c>
      <c r="AJ37" s="11">
        <f>IFERROR(AI37/AI148, "NA")</f>
        <v>0</v>
      </c>
      <c r="AK37" s="10" t="str">
        <f>IFERROR((X37-AG37)/AG37, "NA")</f>
        <v>NA</v>
      </c>
      <c r="AL37" s="11" t="str">
        <f>IFERROR(AK37/AK148, "NA")</f>
        <v>NA</v>
      </c>
    </row>
    <row r="38" spans="1:38" ht="16.5" customHeight="1">
      <c r="A38" s="24" t="s">
        <v>53</v>
      </c>
      <c r="B38" s="2"/>
      <c r="C38" s="3"/>
      <c r="D38" s="2"/>
      <c r="E38" s="3"/>
      <c r="F38" s="2"/>
      <c r="G38" s="3"/>
      <c r="H38" s="2"/>
      <c r="I38" s="3"/>
      <c r="J38" s="2"/>
      <c r="K38" s="3"/>
      <c r="L38" s="2"/>
      <c r="M38" s="3"/>
      <c r="N38" s="2"/>
      <c r="O38" s="3"/>
      <c r="P38" s="2"/>
      <c r="Q38" s="3"/>
      <c r="R38" s="2"/>
      <c r="S38" s="3"/>
      <c r="T38" s="2"/>
      <c r="U38" s="3"/>
      <c r="V38" s="2"/>
      <c r="W38" s="3"/>
      <c r="X38" s="2"/>
      <c r="Y38" s="3"/>
      <c r="Z38" s="2"/>
      <c r="AA38" s="3"/>
      <c r="AB38" s="2"/>
      <c r="AC38" s="3"/>
      <c r="AD38" s="4"/>
      <c r="AE38" s="5"/>
      <c r="AF38" s="4"/>
      <c r="AG38" s="2"/>
      <c r="AH38" s="3"/>
      <c r="AI38" s="4"/>
      <c r="AJ38" s="5"/>
      <c r="AK38" s="4"/>
      <c r="AL38" s="5"/>
    </row>
    <row r="39" spans="1:38" ht="16.5" hidden="1" customHeight="1">
      <c r="A39" s="25" t="s">
        <v>54</v>
      </c>
      <c r="B39" s="7">
        <v>0</v>
      </c>
      <c r="C39" s="8">
        <f>IFERROR(B39/B148, "NA")</f>
        <v>0</v>
      </c>
      <c r="D39" s="7">
        <v>0</v>
      </c>
      <c r="E39" s="8">
        <f>IFERROR(D39/D148, "NA")</f>
        <v>0</v>
      </c>
      <c r="F39" s="7">
        <v>0</v>
      </c>
      <c r="G39" s="8">
        <f>IFERROR(F39/F148, "NA")</f>
        <v>0</v>
      </c>
      <c r="H39" s="7">
        <v>0</v>
      </c>
      <c r="I39" s="8">
        <f>IFERROR(H39/H148, "NA")</f>
        <v>0</v>
      </c>
      <c r="J39" s="7">
        <v>0</v>
      </c>
      <c r="K39" s="8">
        <f>IFERROR(J39/J148, "NA")</f>
        <v>0</v>
      </c>
      <c r="L39" s="7">
        <v>0</v>
      </c>
      <c r="M39" s="8">
        <f>IFERROR(L39/L148, "NA")</f>
        <v>0</v>
      </c>
      <c r="N39" s="7">
        <v>0</v>
      </c>
      <c r="O39" s="8">
        <f>IFERROR(N39/N148, "NA")</f>
        <v>0</v>
      </c>
      <c r="P39" s="7">
        <v>0</v>
      </c>
      <c r="Q39" s="8">
        <f>IFERROR(P39/P148, "NA")</f>
        <v>0</v>
      </c>
      <c r="R39" s="7">
        <v>0</v>
      </c>
      <c r="S39" s="8">
        <f>IFERROR(R39/R148, "NA")</f>
        <v>0</v>
      </c>
      <c r="T39" s="7">
        <v>0</v>
      </c>
      <c r="U39" s="8">
        <f>IFERROR(T39/T148, "NA")</f>
        <v>0</v>
      </c>
      <c r="V39" s="7">
        <v>0</v>
      </c>
      <c r="W39" s="8">
        <f>IFERROR(V39/V148, "NA")</f>
        <v>0</v>
      </c>
      <c r="X39" s="7">
        <v>0</v>
      </c>
      <c r="Y39" s="8">
        <f>IFERROR(X39/X148, "NA")</f>
        <v>0</v>
      </c>
      <c r="Z39" s="7">
        <v>0</v>
      </c>
      <c r="AA39" s="8">
        <f>IFERROR(Z39/Z148, "NA")</f>
        <v>0</v>
      </c>
      <c r="AB39" s="9">
        <f t="shared" ref="AB39:AB44" si="12">IFERROR((R39+T39+V39+X39)/4, "NA")</f>
        <v>0</v>
      </c>
      <c r="AC39" s="8">
        <f>IFERROR(AB39/AB148, "NA")</f>
        <v>0</v>
      </c>
      <c r="AD39" s="10">
        <f t="shared" ref="AD39:AD44" si="13">IFERROR(X39-AB39, "NA")</f>
        <v>0</v>
      </c>
      <c r="AE39" s="11">
        <f>IFERROR(AD39/AD148, "NA")</f>
        <v>0</v>
      </c>
      <c r="AF39" s="10" t="str">
        <f t="shared" ref="AF39:AF44" si="14">IFERROR((X39-AB39)/AB39, "NA")</f>
        <v>NA</v>
      </c>
      <c r="AG39" s="9">
        <f t="shared" ref="AG39:AG44" si="15">IFERROR((J39+L39+N39+P39+R39+T39+V39+X39)/8, "NA")</f>
        <v>0</v>
      </c>
      <c r="AH39" s="8">
        <f>IFERROR(AG39/AG148, "NA")</f>
        <v>0</v>
      </c>
      <c r="AI39" s="10">
        <f t="shared" ref="AI39:AI44" si="16">IFERROR(X39-AG39, "NA")</f>
        <v>0</v>
      </c>
      <c r="AJ39" s="11">
        <f>IFERROR(AI39/AI148, "NA")</f>
        <v>0</v>
      </c>
      <c r="AK39" s="10" t="str">
        <f t="shared" ref="AK39:AK44" si="17">IFERROR((X39-AG39)/AG39, "NA")</f>
        <v>NA</v>
      </c>
      <c r="AL39" s="11" t="str">
        <f>IFERROR(AK39/AK148, "NA")</f>
        <v>NA</v>
      </c>
    </row>
    <row r="40" spans="1:38" ht="16.5" customHeight="1">
      <c r="A40" s="25" t="s">
        <v>55</v>
      </c>
      <c r="B40" s="7">
        <v>838.65</v>
      </c>
      <c r="C40" s="8">
        <f>IFERROR(B40/B148, "NA")</f>
        <v>3.3696732222578039E-2</v>
      </c>
      <c r="D40" s="7">
        <v>795.43</v>
      </c>
      <c r="E40" s="8">
        <f>IFERROR(D40/D148, "NA")</f>
        <v>2.5140433768327974E-2</v>
      </c>
      <c r="F40" s="7">
        <v>867.54</v>
      </c>
      <c r="G40" s="8">
        <f>IFERROR(F40/F148, "NA")</f>
        <v>2.8840428859843309E-2</v>
      </c>
      <c r="H40" s="7">
        <v>769.11</v>
      </c>
      <c r="I40" s="8">
        <f>IFERROR(H40/H148, "NA")</f>
        <v>2.8808865718569769E-2</v>
      </c>
      <c r="J40" s="7">
        <v>773.49</v>
      </c>
      <c r="K40" s="8">
        <f>IFERROR(J40/J148, "NA")</f>
        <v>3.3847699573824164E-2</v>
      </c>
      <c r="L40" s="7">
        <v>632.12</v>
      </c>
      <c r="M40" s="8">
        <f>IFERROR(L40/L148, "NA")</f>
        <v>2.3446213580421382E-2</v>
      </c>
      <c r="N40" s="7">
        <v>793.98</v>
      </c>
      <c r="O40" s="8">
        <f>IFERROR(N40/N148, "NA")</f>
        <v>3.301167619968659E-2</v>
      </c>
      <c r="P40" s="7">
        <v>805.91</v>
      </c>
      <c r="Q40" s="8">
        <f>IFERROR(P40/P148, "NA")</f>
        <v>3.2107021545978325E-2</v>
      </c>
      <c r="R40" s="7">
        <v>628.97</v>
      </c>
      <c r="S40" s="8">
        <f>IFERROR(R40/R148, "NA")</f>
        <v>2.7828142186024741E-2</v>
      </c>
      <c r="T40" s="7">
        <v>672.84</v>
      </c>
      <c r="U40" s="8">
        <f>IFERROR(T40/T148, "NA")</f>
        <v>2.4094202444442138E-2</v>
      </c>
      <c r="V40" s="7">
        <v>801.04</v>
      </c>
      <c r="W40" s="8">
        <f>IFERROR(V40/V148, "NA")</f>
        <v>2.8968086068167434E-2</v>
      </c>
      <c r="X40" s="7">
        <v>756.94</v>
      </c>
      <c r="Y40" s="8">
        <f>IFERROR(X40/X148, "NA")</f>
        <v>3.2302487915479412E-2</v>
      </c>
      <c r="Z40" s="7">
        <v>2859.79</v>
      </c>
      <c r="AA40" s="8">
        <f>IFERROR(Z40/Z148, "NA")</f>
        <v>2.8144021367407814E-2</v>
      </c>
      <c r="AB40" s="9">
        <f t="shared" si="12"/>
        <v>714.94749999999999</v>
      </c>
      <c r="AC40" s="8">
        <f>IFERROR(AB40/AB148, "NA")</f>
        <v>2.8144021367407814E-2</v>
      </c>
      <c r="AD40" s="10">
        <f t="shared" si="13"/>
        <v>41.992500000000064</v>
      </c>
      <c r="AE40" s="11">
        <f>IFERROR(AD40/AD148, "NA")</f>
        <v>-2.1312690167258397E-2</v>
      </c>
      <c r="AF40" s="10">
        <f t="shared" si="14"/>
        <v>5.8735081946576589E-2</v>
      </c>
      <c r="AG40" s="9">
        <f t="shared" si="15"/>
        <v>733.16125000000011</v>
      </c>
      <c r="AH40" s="8">
        <f>IFERROR(AG40/AG148, "NA")</f>
        <v>2.9242023890723903E-2</v>
      </c>
      <c r="AI40" s="10">
        <f t="shared" si="16"/>
        <v>23.778749999999945</v>
      </c>
      <c r="AJ40" s="11">
        <f>IFERROR(AI40/AI148, "NA")</f>
        <v>-1.4505351722181647E-2</v>
      </c>
      <c r="AK40" s="10">
        <f t="shared" si="17"/>
        <v>3.2433178922099251E-2</v>
      </c>
      <c r="AL40" s="11">
        <f>IFERROR(AK40/AK148, "NA")</f>
        <v>-0.49604472578189107</v>
      </c>
    </row>
    <row r="41" spans="1:38" ht="16.5" customHeight="1">
      <c r="A41" s="25" t="s">
        <v>56</v>
      </c>
      <c r="B41" s="7">
        <v>248.12</v>
      </c>
      <c r="C41" s="8">
        <f>IFERROR(B41/B148, "NA")</f>
        <v>9.9693950981530593E-3</v>
      </c>
      <c r="D41" s="7">
        <v>439.62</v>
      </c>
      <c r="E41" s="8">
        <f>IFERROR(D41/D148, "NA")</f>
        <v>1.3894670169885905E-2</v>
      </c>
      <c r="F41" s="7">
        <v>257.66000000000003</v>
      </c>
      <c r="G41" s="8">
        <f>IFERROR(F41/F148, "NA")</f>
        <v>8.5656279826027935E-3</v>
      </c>
      <c r="H41" s="7">
        <v>-0.57999999999999996</v>
      </c>
      <c r="I41" s="8">
        <f>IFERROR(H41/H148, "NA")</f>
        <v>-2.1725295623214448E-5</v>
      </c>
      <c r="J41" s="7">
        <v>139.15</v>
      </c>
      <c r="K41" s="8">
        <f>IFERROR(J41/J148, "NA")</f>
        <v>6.0891639138161225E-3</v>
      </c>
      <c r="L41" s="7">
        <v>118.1</v>
      </c>
      <c r="M41" s="8">
        <f>IFERROR(L41/L148, "NA")</f>
        <v>4.3804939312911554E-3</v>
      </c>
      <c r="N41" s="7">
        <v>140.34</v>
      </c>
      <c r="O41" s="8">
        <f>IFERROR(N41/N148, "NA")</f>
        <v>5.8349815333686187E-3</v>
      </c>
      <c r="P41" s="7">
        <v>34.340000000000003</v>
      </c>
      <c r="Q41" s="8">
        <f>IFERROR(P41/P148, "NA")</f>
        <v>1.3680871559961978E-3</v>
      </c>
      <c r="R41" s="7">
        <v>154.06</v>
      </c>
      <c r="S41" s="8">
        <f>IFERROR(R41/R148, "NA")</f>
        <v>6.8162290493647892E-3</v>
      </c>
      <c r="T41" s="7">
        <v>358.94</v>
      </c>
      <c r="U41" s="8">
        <f>IFERROR(T41/T148, "NA")</f>
        <v>1.2853535796635248E-2</v>
      </c>
      <c r="V41" s="7">
        <v>319.52</v>
      </c>
      <c r="W41" s="8">
        <f>IFERROR(V41/V148, "NA")</f>
        <v>1.1554832293644336E-2</v>
      </c>
      <c r="X41" s="7">
        <v>213.8</v>
      </c>
      <c r="Y41" s="8">
        <f>IFERROR(X41/X148, "NA")</f>
        <v>9.123935736424945E-3</v>
      </c>
      <c r="Z41" s="7">
        <v>1046.32</v>
      </c>
      <c r="AA41" s="8">
        <f>IFERROR(Z41/Z148, "NA")</f>
        <v>1.0297138054593568E-2</v>
      </c>
      <c r="AB41" s="9">
        <f t="shared" si="12"/>
        <v>261.58</v>
      </c>
      <c r="AC41" s="8">
        <f>IFERROR(AB41/AB148, "NA")</f>
        <v>1.0297138054593568E-2</v>
      </c>
      <c r="AD41" s="10">
        <f t="shared" si="13"/>
        <v>-47.779999999999973</v>
      </c>
      <c r="AE41" s="11">
        <f>IFERROR(AD41/AD148, "NA")</f>
        <v>2.425005265682215E-2</v>
      </c>
      <c r="AF41" s="10">
        <f t="shared" si="14"/>
        <v>-0.18265922471136928</v>
      </c>
      <c r="AG41" s="9">
        <f t="shared" si="15"/>
        <v>184.78125</v>
      </c>
      <c r="AH41" s="8">
        <f>IFERROR(AG41/AG148, "NA")</f>
        <v>7.3699717859581713E-3</v>
      </c>
      <c r="AI41" s="10">
        <f t="shared" si="16"/>
        <v>29.018750000000011</v>
      </c>
      <c r="AJ41" s="11">
        <f>IFERROR(AI41/AI148, "NA")</f>
        <v>-1.7701820965696675E-2</v>
      </c>
      <c r="AK41" s="10">
        <f t="shared" si="17"/>
        <v>0.15704380179266031</v>
      </c>
      <c r="AL41" s="11">
        <f>IFERROR(AK41/AK148, "NA")</f>
        <v>-2.4018844955992269</v>
      </c>
    </row>
    <row r="42" spans="1:38" ht="16.5" hidden="1" customHeight="1">
      <c r="A42" s="25" t="s">
        <v>57</v>
      </c>
      <c r="B42" s="7">
        <v>0</v>
      </c>
      <c r="C42" s="8">
        <f>IFERROR(B42/B148, "NA")</f>
        <v>0</v>
      </c>
      <c r="D42" s="7">
        <v>0</v>
      </c>
      <c r="E42" s="8">
        <f>IFERROR(D42/D148, "NA")</f>
        <v>0</v>
      </c>
      <c r="F42" s="7">
        <v>0</v>
      </c>
      <c r="G42" s="8">
        <f>IFERROR(F42/F148, "NA")</f>
        <v>0</v>
      </c>
      <c r="H42" s="7">
        <v>0</v>
      </c>
      <c r="I42" s="8">
        <f>IFERROR(H42/H148, "NA")</f>
        <v>0</v>
      </c>
      <c r="J42" s="7">
        <v>0</v>
      </c>
      <c r="K42" s="8">
        <f>IFERROR(J42/J148, "NA")</f>
        <v>0</v>
      </c>
      <c r="L42" s="7">
        <v>0</v>
      </c>
      <c r="M42" s="8">
        <f>IFERROR(L42/L148, "NA")</f>
        <v>0</v>
      </c>
      <c r="N42" s="7">
        <v>0</v>
      </c>
      <c r="O42" s="8">
        <f>IFERROR(N42/N148, "NA")</f>
        <v>0</v>
      </c>
      <c r="P42" s="7">
        <v>0</v>
      </c>
      <c r="Q42" s="8">
        <f>IFERROR(P42/P148, "NA")</f>
        <v>0</v>
      </c>
      <c r="R42" s="7">
        <v>0</v>
      </c>
      <c r="S42" s="8">
        <f>IFERROR(R42/R148, "NA")</f>
        <v>0</v>
      </c>
      <c r="T42" s="7">
        <v>0</v>
      </c>
      <c r="U42" s="8">
        <f>IFERROR(T42/T148, "NA")</f>
        <v>0</v>
      </c>
      <c r="V42" s="7">
        <v>0</v>
      </c>
      <c r="W42" s="8">
        <f>IFERROR(V42/V148, "NA")</f>
        <v>0</v>
      </c>
      <c r="X42" s="7">
        <v>0</v>
      </c>
      <c r="Y42" s="8">
        <f>IFERROR(X42/X148, "NA")</f>
        <v>0</v>
      </c>
      <c r="Z42" s="7">
        <v>0</v>
      </c>
      <c r="AA42" s="8">
        <f>IFERROR(Z42/Z148, "NA")</f>
        <v>0</v>
      </c>
      <c r="AB42" s="9">
        <f t="shared" si="12"/>
        <v>0</v>
      </c>
      <c r="AC42" s="8">
        <f>IFERROR(AB42/AB148, "NA")</f>
        <v>0</v>
      </c>
      <c r="AD42" s="10">
        <f t="shared" si="13"/>
        <v>0</v>
      </c>
      <c r="AE42" s="11">
        <f>IFERROR(AD42/AD148, "NA")</f>
        <v>0</v>
      </c>
      <c r="AF42" s="10" t="str">
        <f t="shared" si="14"/>
        <v>NA</v>
      </c>
      <c r="AG42" s="9">
        <f t="shared" si="15"/>
        <v>0</v>
      </c>
      <c r="AH42" s="8">
        <f>IFERROR(AG42/AG148, "NA")</f>
        <v>0</v>
      </c>
      <c r="AI42" s="10">
        <f t="shared" si="16"/>
        <v>0</v>
      </c>
      <c r="AJ42" s="11">
        <f>IFERROR(AI42/AI148, "NA")</f>
        <v>0</v>
      </c>
      <c r="AK42" s="10" t="str">
        <f t="shared" si="17"/>
        <v>NA</v>
      </c>
      <c r="AL42" s="11" t="str">
        <f>IFERROR(AK42/AK148, "NA")</f>
        <v>NA</v>
      </c>
    </row>
    <row r="43" spans="1:38" ht="16.5" hidden="1" customHeight="1">
      <c r="A43" s="25" t="s">
        <v>58</v>
      </c>
      <c r="B43" s="7">
        <v>0</v>
      </c>
      <c r="C43" s="8">
        <f>IFERROR(B43/B148, "NA")</f>
        <v>0</v>
      </c>
      <c r="D43" s="7">
        <v>0</v>
      </c>
      <c r="E43" s="8">
        <f>IFERROR(D43/D148, "NA")</f>
        <v>0</v>
      </c>
      <c r="F43" s="7">
        <v>0</v>
      </c>
      <c r="G43" s="8">
        <f>IFERROR(F43/F148, "NA")</f>
        <v>0</v>
      </c>
      <c r="H43" s="7">
        <v>0</v>
      </c>
      <c r="I43" s="8">
        <f>IFERROR(H43/H148, "NA")</f>
        <v>0</v>
      </c>
      <c r="J43" s="7">
        <v>0</v>
      </c>
      <c r="K43" s="8">
        <f>IFERROR(J43/J148, "NA")</f>
        <v>0</v>
      </c>
      <c r="L43" s="7">
        <v>0</v>
      </c>
      <c r="M43" s="8">
        <f>IFERROR(L43/L148, "NA")</f>
        <v>0</v>
      </c>
      <c r="N43" s="7">
        <v>0</v>
      </c>
      <c r="O43" s="8">
        <f>IFERROR(N43/N148, "NA")</f>
        <v>0</v>
      </c>
      <c r="P43" s="7">
        <v>0</v>
      </c>
      <c r="Q43" s="8">
        <f>IFERROR(P43/P148, "NA")</f>
        <v>0</v>
      </c>
      <c r="R43" s="7">
        <v>0</v>
      </c>
      <c r="S43" s="8">
        <f>IFERROR(R43/R148, "NA")</f>
        <v>0</v>
      </c>
      <c r="T43" s="7">
        <v>0</v>
      </c>
      <c r="U43" s="8">
        <f>IFERROR(T43/T148, "NA")</f>
        <v>0</v>
      </c>
      <c r="V43" s="7">
        <v>0</v>
      </c>
      <c r="W43" s="8">
        <f>IFERROR(V43/V148, "NA")</f>
        <v>0</v>
      </c>
      <c r="X43" s="7">
        <v>0</v>
      </c>
      <c r="Y43" s="8">
        <f>IFERROR(X43/X148, "NA")</f>
        <v>0</v>
      </c>
      <c r="Z43" s="7">
        <v>0</v>
      </c>
      <c r="AA43" s="8">
        <f>IFERROR(Z43/Z148, "NA")</f>
        <v>0</v>
      </c>
      <c r="AB43" s="9">
        <f t="shared" si="12"/>
        <v>0</v>
      </c>
      <c r="AC43" s="8">
        <f>IFERROR(AB43/AB148, "NA")</f>
        <v>0</v>
      </c>
      <c r="AD43" s="10">
        <f t="shared" si="13"/>
        <v>0</v>
      </c>
      <c r="AE43" s="11">
        <f>IFERROR(AD43/AD148, "NA")</f>
        <v>0</v>
      </c>
      <c r="AF43" s="10" t="str">
        <f t="shared" si="14"/>
        <v>NA</v>
      </c>
      <c r="AG43" s="9">
        <f t="shared" si="15"/>
        <v>0</v>
      </c>
      <c r="AH43" s="8">
        <f>IFERROR(AG43/AG148, "NA")</f>
        <v>0</v>
      </c>
      <c r="AI43" s="10">
        <f t="shared" si="16"/>
        <v>0</v>
      </c>
      <c r="AJ43" s="11">
        <f>IFERROR(AI43/AI148, "NA")</f>
        <v>0</v>
      </c>
      <c r="AK43" s="10" t="str">
        <f t="shared" si="17"/>
        <v>NA</v>
      </c>
      <c r="AL43" s="11" t="str">
        <f>IFERROR(AK43/AK148, "NA")</f>
        <v>NA</v>
      </c>
    </row>
    <row r="44" spans="1:38" ht="16.5" customHeight="1">
      <c r="A44" s="26" t="s">
        <v>59</v>
      </c>
      <c r="B44" s="13">
        <f>IFERROR(B39+B40+B41+B42+B43, "NA")</f>
        <v>1086.77</v>
      </c>
      <c r="C44" s="14">
        <f>IFERROR(B44/B148, "NA")</f>
        <v>4.3666127320731093E-2</v>
      </c>
      <c r="D44" s="13">
        <f>IFERROR(D39+D40+D41+D42+D43, "NA")</f>
        <v>1235.05</v>
      </c>
      <c r="E44" s="14">
        <f>IFERROR(D44/D148, "NA")</f>
        <v>3.9035103938213883E-2</v>
      </c>
      <c r="F44" s="13">
        <f>IFERROR(F39+F40+F41+F42+F43, "NA")</f>
        <v>1125.2</v>
      </c>
      <c r="G44" s="14">
        <f>IFERROR(F44/F148, "NA")</f>
        <v>3.7406056842446106E-2</v>
      </c>
      <c r="H44" s="13">
        <f>IFERROR(H39+H40+H41+H42+H43, "NA")</f>
        <v>768.53</v>
      </c>
      <c r="I44" s="14">
        <f>IFERROR(H44/H148, "NA")</f>
        <v>2.8787140422946556E-2</v>
      </c>
      <c r="J44" s="13">
        <f>IFERROR(J39+J40+J41+J42+J43, "NA")</f>
        <v>912.64</v>
      </c>
      <c r="K44" s="14">
        <f>IFERROR(J44/J148, "NA")</f>
        <v>3.9936863487640285E-2</v>
      </c>
      <c r="L44" s="13">
        <f>IFERROR(L39+L40+L41+L42+L43, "NA")</f>
        <v>750.22</v>
      </c>
      <c r="M44" s="14">
        <f>IFERROR(L44/L148, "NA")</f>
        <v>2.7826707511712536E-2</v>
      </c>
      <c r="N44" s="13">
        <f>IFERROR(N39+N40+N41+N42+N43, "NA")</f>
        <v>934.32</v>
      </c>
      <c r="O44" s="14">
        <f>IFERROR(N44/N148, "NA")</f>
        <v>3.8846657733055207E-2</v>
      </c>
      <c r="P44" s="13">
        <f>IFERROR(P39+P40+P41+P42+P43, "NA")</f>
        <v>840.25</v>
      </c>
      <c r="Q44" s="14">
        <f>IFERROR(P44/P148, "NA")</f>
        <v>3.3475108701974524E-2</v>
      </c>
      <c r="R44" s="13">
        <f>IFERROR(R39+R40+R41+R42+R43, "NA")</f>
        <v>783.03</v>
      </c>
      <c r="S44" s="14">
        <f>IFERROR(R44/R148, "NA")</f>
        <v>3.4644371235389528E-2</v>
      </c>
      <c r="T44" s="13">
        <f>IFERROR(T39+T40+T41+T42+T43, "NA")</f>
        <v>1031.78</v>
      </c>
      <c r="U44" s="14">
        <f>IFERROR(T44/T148, "NA")</f>
        <v>3.6947738241077388E-2</v>
      </c>
      <c r="V44" s="13">
        <f>IFERROR(V39+V40+V41+V42+V43, "NA")</f>
        <v>1120.56</v>
      </c>
      <c r="W44" s="14">
        <f>IFERROR(V44/V148, "NA")</f>
        <v>4.0522918361811766E-2</v>
      </c>
      <c r="X44" s="13">
        <f>IFERROR(X39+X40+X41+X42+X43, "NA")</f>
        <v>970.74</v>
      </c>
      <c r="Y44" s="14">
        <f>IFERROR(X44/X148, "NA")</f>
        <v>4.1426423651904354E-2</v>
      </c>
      <c r="Z44" s="13">
        <f>IFERROR(Z39+Z40+Z41+Z42+Z43, "NA")</f>
        <v>3906.1099999999997</v>
      </c>
      <c r="AA44" s="14">
        <f>IFERROR(Z44/Z148, "NA")</f>
        <v>3.8441159422001381E-2</v>
      </c>
      <c r="AB44" s="13">
        <f t="shared" si="12"/>
        <v>976.52749999999992</v>
      </c>
      <c r="AC44" s="14">
        <f>IFERROR(AB44/AB148, "NA")</f>
        <v>3.8441159422001381E-2</v>
      </c>
      <c r="AD44" s="15">
        <f t="shared" si="13"/>
        <v>-5.7874999999999091</v>
      </c>
      <c r="AE44" s="16">
        <f>IFERROR(AD44/AD148, "NA")</f>
        <v>2.9373624895637517E-3</v>
      </c>
      <c r="AF44" s="15">
        <f t="shared" si="14"/>
        <v>-5.9266124097886739E-3</v>
      </c>
      <c r="AG44" s="13">
        <f t="shared" si="15"/>
        <v>917.94249999999988</v>
      </c>
      <c r="AH44" s="14">
        <f>IFERROR(AG44/AG148, "NA")</f>
        <v>3.6611995676682066E-2</v>
      </c>
      <c r="AI44" s="15">
        <f t="shared" si="16"/>
        <v>52.797500000000127</v>
      </c>
      <c r="AJ44" s="16">
        <f>IFERROR(AI44/AI148, "NA")</f>
        <v>-3.2207172687878427E-2</v>
      </c>
      <c r="AK44" s="15">
        <f t="shared" si="17"/>
        <v>5.7517219215800698E-2</v>
      </c>
      <c r="AL44" s="16">
        <f>IFERROR(AK44/AK148, "NA")</f>
        <v>-0.87968907710734157</v>
      </c>
    </row>
    <row r="45" spans="1:38" ht="16.5" customHeight="1">
      <c r="A45" s="24" t="s">
        <v>60</v>
      </c>
      <c r="B45" s="2"/>
      <c r="C45" s="3"/>
      <c r="D45" s="2"/>
      <c r="E45" s="3"/>
      <c r="F45" s="2"/>
      <c r="G45" s="3"/>
      <c r="H45" s="2"/>
      <c r="I45" s="3"/>
      <c r="J45" s="2"/>
      <c r="K45" s="3"/>
      <c r="L45" s="2"/>
      <c r="M45" s="3"/>
      <c r="N45" s="2"/>
      <c r="O45" s="3"/>
      <c r="P45" s="2"/>
      <c r="Q45" s="3"/>
      <c r="R45" s="2"/>
      <c r="S45" s="3"/>
      <c r="T45" s="2"/>
      <c r="U45" s="3"/>
      <c r="V45" s="2"/>
      <c r="W45" s="3"/>
      <c r="X45" s="2"/>
      <c r="Y45" s="3"/>
      <c r="Z45" s="2"/>
      <c r="AA45" s="3"/>
      <c r="AB45" s="2"/>
      <c r="AC45" s="3"/>
      <c r="AD45" s="4"/>
      <c r="AE45" s="5"/>
      <c r="AF45" s="4"/>
      <c r="AG45" s="2"/>
      <c r="AH45" s="3"/>
      <c r="AI45" s="4"/>
      <c r="AJ45" s="5"/>
      <c r="AK45" s="4"/>
      <c r="AL45" s="5"/>
    </row>
    <row r="46" spans="1:38" ht="16.5" hidden="1" customHeight="1">
      <c r="A46" s="25" t="s">
        <v>61</v>
      </c>
      <c r="B46" s="7">
        <v>0</v>
      </c>
      <c r="C46" s="8">
        <f>IFERROR(B46/B148, "NA")</f>
        <v>0</v>
      </c>
      <c r="D46" s="7">
        <v>0</v>
      </c>
      <c r="E46" s="8">
        <f>IFERROR(D46/D148, "NA")</f>
        <v>0</v>
      </c>
      <c r="F46" s="7">
        <v>0</v>
      </c>
      <c r="G46" s="8">
        <f>IFERROR(F46/F148, "NA")</f>
        <v>0</v>
      </c>
      <c r="H46" s="7">
        <v>0</v>
      </c>
      <c r="I46" s="8">
        <f>IFERROR(H46/H148, "NA")</f>
        <v>0</v>
      </c>
      <c r="J46" s="7">
        <v>0</v>
      </c>
      <c r="K46" s="8">
        <f>IFERROR(J46/J148, "NA")</f>
        <v>0</v>
      </c>
      <c r="L46" s="7">
        <v>0</v>
      </c>
      <c r="M46" s="8">
        <f>IFERROR(L46/L148, "NA")</f>
        <v>0</v>
      </c>
      <c r="N46" s="7">
        <v>0</v>
      </c>
      <c r="O46" s="8">
        <f>IFERROR(N46/N148, "NA")</f>
        <v>0</v>
      </c>
      <c r="P46" s="7">
        <v>0</v>
      </c>
      <c r="Q46" s="8">
        <f>IFERROR(P46/P148, "NA")</f>
        <v>0</v>
      </c>
      <c r="R46" s="7">
        <v>0</v>
      </c>
      <c r="S46" s="8">
        <f>IFERROR(R46/R148, "NA")</f>
        <v>0</v>
      </c>
      <c r="T46" s="7">
        <v>0</v>
      </c>
      <c r="U46" s="8">
        <f>IFERROR(T46/T148, "NA")</f>
        <v>0</v>
      </c>
      <c r="V46" s="7">
        <v>0</v>
      </c>
      <c r="W46" s="8">
        <f>IFERROR(V46/V148, "NA")</f>
        <v>0</v>
      </c>
      <c r="X46" s="7">
        <v>0</v>
      </c>
      <c r="Y46" s="8">
        <f>IFERROR(X46/X148, "NA")</f>
        <v>0</v>
      </c>
      <c r="Z46" s="7">
        <v>0</v>
      </c>
      <c r="AA46" s="8">
        <f>IFERROR(Z46/Z148, "NA")</f>
        <v>0</v>
      </c>
      <c r="AB46" s="9">
        <f t="shared" ref="AB46:AB57" si="18">IFERROR((R46+T46+V46+X46)/4, "NA")</f>
        <v>0</v>
      </c>
      <c r="AC46" s="8">
        <f>IFERROR(AB46/AB148, "NA")</f>
        <v>0</v>
      </c>
      <c r="AD46" s="10">
        <f t="shared" ref="AD46:AD57" si="19">IFERROR(X46-AB46, "NA")</f>
        <v>0</v>
      </c>
      <c r="AE46" s="11">
        <f>IFERROR(AD46/AD148, "NA")</f>
        <v>0</v>
      </c>
      <c r="AF46" s="10" t="str">
        <f t="shared" ref="AF46:AF57" si="20">IFERROR((X46-AB46)/AB46, "NA")</f>
        <v>NA</v>
      </c>
      <c r="AG46" s="9">
        <f t="shared" ref="AG46:AG57" si="21">IFERROR((J46+L46+N46+P46+R46+T46+V46+X46)/8, "NA")</f>
        <v>0</v>
      </c>
      <c r="AH46" s="8">
        <f>IFERROR(AG46/AG148, "NA")</f>
        <v>0</v>
      </c>
      <c r="AI46" s="10">
        <f t="shared" ref="AI46:AI57" si="22">IFERROR(X46-AG46, "NA")</f>
        <v>0</v>
      </c>
      <c r="AJ46" s="11">
        <f>IFERROR(AI46/AI148, "NA")</f>
        <v>0</v>
      </c>
      <c r="AK46" s="10" t="str">
        <f t="shared" ref="AK46:AK57" si="23">IFERROR((X46-AG46)/AG46, "NA")</f>
        <v>NA</v>
      </c>
      <c r="AL46" s="11" t="str">
        <f>IFERROR(AK46/AK148, "NA")</f>
        <v>NA</v>
      </c>
    </row>
    <row r="47" spans="1:38" ht="16.5" customHeight="1">
      <c r="A47" s="25" t="s">
        <v>62</v>
      </c>
      <c r="B47" s="7">
        <v>113.62</v>
      </c>
      <c r="C47" s="8">
        <f>IFERROR(B47/B148, "NA")</f>
        <v>4.5652211472358159E-3</v>
      </c>
      <c r="D47" s="7">
        <v>81.19</v>
      </c>
      <c r="E47" s="8">
        <f>IFERROR(D47/D148, "NA")</f>
        <v>2.5660986103749526E-3</v>
      </c>
      <c r="F47" s="7">
        <v>138.65</v>
      </c>
      <c r="G47" s="8">
        <f>IFERROR(F47/F148, "NA")</f>
        <v>4.6092692687568007E-3</v>
      </c>
      <c r="H47" s="7">
        <v>142.69</v>
      </c>
      <c r="I47" s="8">
        <f>IFERROR(H47/H148, "NA")</f>
        <v>5.3447972973732242E-3</v>
      </c>
      <c r="J47" s="7">
        <v>184.49</v>
      </c>
      <c r="K47" s="8">
        <f>IFERROR(J47/J148, "NA")</f>
        <v>8.0732292523171875E-3</v>
      </c>
      <c r="L47" s="7">
        <v>190.87</v>
      </c>
      <c r="M47" s="8">
        <f>IFERROR(L47/L148, "NA")</f>
        <v>7.0796348574559088E-3</v>
      </c>
      <c r="N47" s="7">
        <v>177.7</v>
      </c>
      <c r="O47" s="8">
        <f>IFERROR(N47/N148, "NA")</f>
        <v>7.3883156511301371E-3</v>
      </c>
      <c r="P47" s="7">
        <v>194.62</v>
      </c>
      <c r="Q47" s="8">
        <f>IFERROR(P47/P148, "NA")</f>
        <v>7.7535562696557951E-3</v>
      </c>
      <c r="R47" s="7">
        <v>109.65</v>
      </c>
      <c r="S47" s="8">
        <f>IFERROR(R47/R148, "NA")</f>
        <v>4.8513534678881554E-3</v>
      </c>
      <c r="T47" s="7">
        <v>162.41999999999999</v>
      </c>
      <c r="U47" s="8">
        <f>IFERROR(T47/T148, "NA")</f>
        <v>5.8162124145804224E-3</v>
      </c>
      <c r="V47" s="7">
        <v>160.47</v>
      </c>
      <c r="W47" s="8">
        <f>IFERROR(V47/V148, "NA")</f>
        <v>5.8030919446704641E-3</v>
      </c>
      <c r="X47" s="7">
        <v>127.76</v>
      </c>
      <c r="Y47" s="8">
        <f>IFERROR(X47/X148, "NA")</f>
        <v>5.4521703914202574E-3</v>
      </c>
      <c r="Z47" s="7">
        <v>560.29999999999995</v>
      </c>
      <c r="AA47" s="8">
        <f>IFERROR(Z47/Z148, "NA")</f>
        <v>5.5140745202125318E-3</v>
      </c>
      <c r="AB47" s="9">
        <f t="shared" si="18"/>
        <v>140.07499999999999</v>
      </c>
      <c r="AC47" s="8">
        <f>IFERROR(AB47/AB148, "NA")</f>
        <v>5.5140745202125318E-3</v>
      </c>
      <c r="AD47" s="10">
        <f t="shared" si="19"/>
        <v>-12.314999999999984</v>
      </c>
      <c r="AE47" s="11">
        <f>IFERROR(AD47/AD148, "NA")</f>
        <v>6.2503013492834769E-3</v>
      </c>
      <c r="AF47" s="10">
        <f t="shared" si="20"/>
        <v>-8.7917187221131426E-2</v>
      </c>
      <c r="AG47" s="9">
        <f t="shared" si="21"/>
        <v>163.49749999999997</v>
      </c>
      <c r="AH47" s="8">
        <f>IFERROR(AG47/AG148, "NA")</f>
        <v>6.5210726849975085E-3</v>
      </c>
      <c r="AI47" s="10">
        <f t="shared" si="22"/>
        <v>-35.737499999999969</v>
      </c>
      <c r="AJ47" s="11">
        <f>IFERROR(AI47/AI148, "NA")</f>
        <v>2.1800347250022282E-2</v>
      </c>
      <c r="AK47" s="10">
        <f t="shared" si="23"/>
        <v>-0.21858132387345355</v>
      </c>
      <c r="AL47" s="11">
        <f>IFERROR(AK47/AK148, "NA")</f>
        <v>3.3430615334462583</v>
      </c>
    </row>
    <row r="48" spans="1:38" ht="16.5" hidden="1" customHeight="1">
      <c r="A48" s="25" t="s">
        <v>63</v>
      </c>
      <c r="B48" s="7">
        <v>0</v>
      </c>
      <c r="C48" s="8">
        <f>IFERROR(B48/B148, "NA")</f>
        <v>0</v>
      </c>
      <c r="D48" s="7">
        <v>0</v>
      </c>
      <c r="E48" s="8">
        <f>IFERROR(D48/D148, "NA")</f>
        <v>0</v>
      </c>
      <c r="F48" s="7">
        <v>0</v>
      </c>
      <c r="G48" s="8">
        <f>IFERROR(F48/F148, "NA")</f>
        <v>0</v>
      </c>
      <c r="H48" s="7">
        <v>0</v>
      </c>
      <c r="I48" s="8">
        <f>IFERROR(H48/H148, "NA")</f>
        <v>0</v>
      </c>
      <c r="J48" s="7">
        <v>0</v>
      </c>
      <c r="K48" s="8">
        <f>IFERROR(J48/J148, "NA")</f>
        <v>0</v>
      </c>
      <c r="L48" s="7">
        <v>0</v>
      </c>
      <c r="M48" s="8">
        <f>IFERROR(L48/L148, "NA")</f>
        <v>0</v>
      </c>
      <c r="N48" s="7">
        <v>0</v>
      </c>
      <c r="O48" s="8">
        <f>IFERROR(N48/N148, "NA")</f>
        <v>0</v>
      </c>
      <c r="P48" s="7">
        <v>0</v>
      </c>
      <c r="Q48" s="8">
        <f>IFERROR(P48/P148, "NA")</f>
        <v>0</v>
      </c>
      <c r="R48" s="7">
        <v>0</v>
      </c>
      <c r="S48" s="8">
        <f>IFERROR(R48/R148, "NA")</f>
        <v>0</v>
      </c>
      <c r="T48" s="7">
        <v>0</v>
      </c>
      <c r="U48" s="8">
        <f>IFERROR(T48/T148, "NA")</f>
        <v>0</v>
      </c>
      <c r="V48" s="7">
        <v>0</v>
      </c>
      <c r="W48" s="8">
        <f>IFERROR(V48/V148, "NA")</f>
        <v>0</v>
      </c>
      <c r="X48" s="7">
        <v>0</v>
      </c>
      <c r="Y48" s="8">
        <f>IFERROR(X48/X148, "NA")</f>
        <v>0</v>
      </c>
      <c r="Z48" s="7">
        <v>0</v>
      </c>
      <c r="AA48" s="8">
        <f>IFERROR(Z48/Z148, "NA")</f>
        <v>0</v>
      </c>
      <c r="AB48" s="9">
        <f t="shared" si="18"/>
        <v>0</v>
      </c>
      <c r="AC48" s="8">
        <f>IFERROR(AB48/AB148, "NA")</f>
        <v>0</v>
      </c>
      <c r="AD48" s="10">
        <f t="shared" si="19"/>
        <v>0</v>
      </c>
      <c r="AE48" s="11">
        <f>IFERROR(AD48/AD148, "NA")</f>
        <v>0</v>
      </c>
      <c r="AF48" s="10" t="str">
        <f t="shared" si="20"/>
        <v>NA</v>
      </c>
      <c r="AG48" s="9">
        <f t="shared" si="21"/>
        <v>0</v>
      </c>
      <c r="AH48" s="8">
        <f>IFERROR(AG48/AG148, "NA")</f>
        <v>0</v>
      </c>
      <c r="AI48" s="10">
        <f t="shared" si="22"/>
        <v>0</v>
      </c>
      <c r="AJ48" s="11">
        <f>IFERROR(AI48/AI148, "NA")</f>
        <v>0</v>
      </c>
      <c r="AK48" s="10" t="str">
        <f t="shared" si="23"/>
        <v>NA</v>
      </c>
      <c r="AL48" s="11" t="str">
        <f>IFERROR(AK48/AK148, "NA")</f>
        <v>NA</v>
      </c>
    </row>
    <row r="49" spans="1:38" ht="16.5" hidden="1" customHeight="1">
      <c r="A49" s="25" t="s">
        <v>64</v>
      </c>
      <c r="B49" s="7">
        <v>0</v>
      </c>
      <c r="C49" s="8">
        <f>IFERROR(B49/B148, "NA")</f>
        <v>0</v>
      </c>
      <c r="D49" s="7">
        <v>0</v>
      </c>
      <c r="E49" s="8">
        <f>IFERROR(D49/D148, "NA")</f>
        <v>0</v>
      </c>
      <c r="F49" s="7">
        <v>0</v>
      </c>
      <c r="G49" s="8">
        <f>IFERROR(F49/F148, "NA")</f>
        <v>0</v>
      </c>
      <c r="H49" s="7">
        <v>0</v>
      </c>
      <c r="I49" s="8">
        <f>IFERROR(H49/H148, "NA")</f>
        <v>0</v>
      </c>
      <c r="J49" s="7">
        <v>0</v>
      </c>
      <c r="K49" s="8">
        <f>IFERROR(J49/J148, "NA")</f>
        <v>0</v>
      </c>
      <c r="L49" s="7">
        <v>0</v>
      </c>
      <c r="M49" s="8">
        <f>IFERROR(L49/L148, "NA")</f>
        <v>0</v>
      </c>
      <c r="N49" s="7">
        <v>0</v>
      </c>
      <c r="O49" s="8">
        <f>IFERROR(N49/N148, "NA")</f>
        <v>0</v>
      </c>
      <c r="P49" s="7">
        <v>0</v>
      </c>
      <c r="Q49" s="8">
        <f>IFERROR(P49/P148, "NA")</f>
        <v>0</v>
      </c>
      <c r="R49" s="7">
        <v>0</v>
      </c>
      <c r="S49" s="8">
        <f>IFERROR(R49/R148, "NA")</f>
        <v>0</v>
      </c>
      <c r="T49" s="7">
        <v>0</v>
      </c>
      <c r="U49" s="8">
        <f>IFERROR(T49/T148, "NA")</f>
        <v>0</v>
      </c>
      <c r="V49" s="7">
        <v>0</v>
      </c>
      <c r="W49" s="8">
        <f>IFERROR(V49/V148, "NA")</f>
        <v>0</v>
      </c>
      <c r="X49" s="7">
        <v>0</v>
      </c>
      <c r="Y49" s="8">
        <f>IFERROR(X49/X148, "NA")</f>
        <v>0</v>
      </c>
      <c r="Z49" s="7">
        <v>0</v>
      </c>
      <c r="AA49" s="8">
        <f>IFERROR(Z49/Z148, "NA")</f>
        <v>0</v>
      </c>
      <c r="AB49" s="9">
        <f t="shared" si="18"/>
        <v>0</v>
      </c>
      <c r="AC49" s="8">
        <f>IFERROR(AB49/AB148, "NA")</f>
        <v>0</v>
      </c>
      <c r="AD49" s="10">
        <f t="shared" si="19"/>
        <v>0</v>
      </c>
      <c r="AE49" s="11">
        <f>IFERROR(AD49/AD148, "NA")</f>
        <v>0</v>
      </c>
      <c r="AF49" s="10" t="str">
        <f t="shared" si="20"/>
        <v>NA</v>
      </c>
      <c r="AG49" s="9">
        <f t="shared" si="21"/>
        <v>0</v>
      </c>
      <c r="AH49" s="8">
        <f>IFERROR(AG49/AG148, "NA")</f>
        <v>0</v>
      </c>
      <c r="AI49" s="10">
        <f t="shared" si="22"/>
        <v>0</v>
      </c>
      <c r="AJ49" s="11">
        <f>IFERROR(AI49/AI148, "NA")</f>
        <v>0</v>
      </c>
      <c r="AK49" s="10" t="str">
        <f t="shared" si="23"/>
        <v>NA</v>
      </c>
      <c r="AL49" s="11" t="str">
        <f>IFERROR(AK49/AK148, "NA")</f>
        <v>NA</v>
      </c>
    </row>
    <row r="50" spans="1:38" ht="16.5" hidden="1" customHeight="1">
      <c r="A50" s="25" t="s">
        <v>65</v>
      </c>
      <c r="B50" s="7">
        <v>0</v>
      </c>
      <c r="C50" s="8">
        <f>IFERROR(B50/B148, "NA")</f>
        <v>0</v>
      </c>
      <c r="D50" s="7">
        <v>0</v>
      </c>
      <c r="E50" s="8">
        <f>IFERROR(D50/D148, "NA")</f>
        <v>0</v>
      </c>
      <c r="F50" s="7">
        <v>0</v>
      </c>
      <c r="G50" s="8">
        <f>IFERROR(F50/F148, "NA")</f>
        <v>0</v>
      </c>
      <c r="H50" s="7">
        <v>0</v>
      </c>
      <c r="I50" s="8">
        <f>IFERROR(H50/H148, "NA")</f>
        <v>0</v>
      </c>
      <c r="J50" s="7">
        <v>0</v>
      </c>
      <c r="K50" s="8">
        <f>IFERROR(J50/J148, "NA")</f>
        <v>0</v>
      </c>
      <c r="L50" s="7">
        <v>0</v>
      </c>
      <c r="M50" s="8">
        <f>IFERROR(L50/L148, "NA")</f>
        <v>0</v>
      </c>
      <c r="N50" s="7">
        <v>0</v>
      </c>
      <c r="O50" s="8">
        <f>IFERROR(N50/N148, "NA")</f>
        <v>0</v>
      </c>
      <c r="P50" s="7">
        <v>0</v>
      </c>
      <c r="Q50" s="8">
        <f>IFERROR(P50/P148, "NA")</f>
        <v>0</v>
      </c>
      <c r="R50" s="7">
        <v>0</v>
      </c>
      <c r="S50" s="8">
        <f>IFERROR(R50/R148, "NA")</f>
        <v>0</v>
      </c>
      <c r="T50" s="7">
        <v>0</v>
      </c>
      <c r="U50" s="8">
        <f>IFERROR(T50/T148, "NA")</f>
        <v>0</v>
      </c>
      <c r="V50" s="7">
        <v>0</v>
      </c>
      <c r="W50" s="8">
        <f>IFERROR(V50/V148, "NA")</f>
        <v>0</v>
      </c>
      <c r="X50" s="7">
        <v>0</v>
      </c>
      <c r="Y50" s="8">
        <f>IFERROR(X50/X148, "NA")</f>
        <v>0</v>
      </c>
      <c r="Z50" s="7">
        <v>0</v>
      </c>
      <c r="AA50" s="8">
        <f>IFERROR(Z50/Z148, "NA")</f>
        <v>0</v>
      </c>
      <c r="AB50" s="9">
        <f t="shared" si="18"/>
        <v>0</v>
      </c>
      <c r="AC50" s="8">
        <f>IFERROR(AB50/AB148, "NA")</f>
        <v>0</v>
      </c>
      <c r="AD50" s="10">
        <f t="shared" si="19"/>
        <v>0</v>
      </c>
      <c r="AE50" s="11">
        <f>IFERROR(AD50/AD148, "NA")</f>
        <v>0</v>
      </c>
      <c r="AF50" s="10" t="str">
        <f t="shared" si="20"/>
        <v>NA</v>
      </c>
      <c r="AG50" s="9">
        <f t="shared" si="21"/>
        <v>0</v>
      </c>
      <c r="AH50" s="8">
        <f>IFERROR(AG50/AG148, "NA")</f>
        <v>0</v>
      </c>
      <c r="AI50" s="10">
        <f t="shared" si="22"/>
        <v>0</v>
      </c>
      <c r="AJ50" s="11">
        <f>IFERROR(AI50/AI148, "NA")</f>
        <v>0</v>
      </c>
      <c r="AK50" s="10" t="str">
        <f t="shared" si="23"/>
        <v>NA</v>
      </c>
      <c r="AL50" s="11" t="str">
        <f>IFERROR(AK50/AK148, "NA")</f>
        <v>NA</v>
      </c>
    </row>
    <row r="51" spans="1:38" ht="16.5" hidden="1" customHeight="1">
      <c r="A51" s="25" t="s">
        <v>66</v>
      </c>
      <c r="B51" s="7">
        <v>0</v>
      </c>
      <c r="C51" s="8">
        <f>IFERROR(B51/B148, "NA")</f>
        <v>0</v>
      </c>
      <c r="D51" s="7">
        <v>0</v>
      </c>
      <c r="E51" s="8">
        <f>IFERROR(D51/D148, "NA")</f>
        <v>0</v>
      </c>
      <c r="F51" s="7">
        <v>0</v>
      </c>
      <c r="G51" s="8">
        <f>IFERROR(F51/F148, "NA")</f>
        <v>0</v>
      </c>
      <c r="H51" s="7">
        <v>0</v>
      </c>
      <c r="I51" s="8">
        <f>IFERROR(H51/H148, "NA")</f>
        <v>0</v>
      </c>
      <c r="J51" s="7">
        <v>0</v>
      </c>
      <c r="K51" s="8">
        <f>IFERROR(J51/J148, "NA")</f>
        <v>0</v>
      </c>
      <c r="L51" s="7">
        <v>0</v>
      </c>
      <c r="M51" s="8">
        <f>IFERROR(L51/L148, "NA")</f>
        <v>0</v>
      </c>
      <c r="N51" s="7">
        <v>0</v>
      </c>
      <c r="O51" s="8">
        <f>IFERROR(N51/N148, "NA")</f>
        <v>0</v>
      </c>
      <c r="P51" s="7">
        <v>0</v>
      </c>
      <c r="Q51" s="8">
        <f>IFERROR(P51/P148, "NA")</f>
        <v>0</v>
      </c>
      <c r="R51" s="7">
        <v>0</v>
      </c>
      <c r="S51" s="8">
        <f>IFERROR(R51/R148, "NA")</f>
        <v>0</v>
      </c>
      <c r="T51" s="7">
        <v>0</v>
      </c>
      <c r="U51" s="8">
        <f>IFERROR(T51/T148, "NA")</f>
        <v>0</v>
      </c>
      <c r="V51" s="7">
        <v>0</v>
      </c>
      <c r="W51" s="8">
        <f>IFERROR(V51/V148, "NA")</f>
        <v>0</v>
      </c>
      <c r="X51" s="7">
        <v>0</v>
      </c>
      <c r="Y51" s="8">
        <f>IFERROR(X51/X148, "NA")</f>
        <v>0</v>
      </c>
      <c r="Z51" s="7">
        <v>0</v>
      </c>
      <c r="AA51" s="8">
        <f>IFERROR(Z51/Z148, "NA")</f>
        <v>0</v>
      </c>
      <c r="AB51" s="9">
        <f t="shared" si="18"/>
        <v>0</v>
      </c>
      <c r="AC51" s="8">
        <f>IFERROR(AB51/AB148, "NA")</f>
        <v>0</v>
      </c>
      <c r="AD51" s="10">
        <f t="shared" si="19"/>
        <v>0</v>
      </c>
      <c r="AE51" s="11">
        <f>IFERROR(AD51/AD148, "NA")</f>
        <v>0</v>
      </c>
      <c r="AF51" s="10" t="str">
        <f t="shared" si="20"/>
        <v>NA</v>
      </c>
      <c r="AG51" s="9">
        <f t="shared" si="21"/>
        <v>0</v>
      </c>
      <c r="AH51" s="8">
        <f>IFERROR(AG51/AG148, "NA")</f>
        <v>0</v>
      </c>
      <c r="AI51" s="10">
        <f t="shared" si="22"/>
        <v>0</v>
      </c>
      <c r="AJ51" s="11">
        <f>IFERROR(AI51/AI148, "NA")</f>
        <v>0</v>
      </c>
      <c r="AK51" s="10" t="str">
        <f t="shared" si="23"/>
        <v>NA</v>
      </c>
      <c r="AL51" s="11" t="str">
        <f>IFERROR(AK51/AK148, "NA")</f>
        <v>NA</v>
      </c>
    </row>
    <row r="52" spans="1:38" ht="16.5" customHeight="1">
      <c r="A52" s="26" t="s">
        <v>67</v>
      </c>
      <c r="B52" s="13">
        <f>IFERROR(B46+B47+B48+B49+B50+B51, "NA")</f>
        <v>113.62</v>
      </c>
      <c r="C52" s="14">
        <f>IFERROR(B52/B148, "NA")</f>
        <v>4.5652211472358159E-3</v>
      </c>
      <c r="D52" s="13">
        <f>IFERROR(D46+D47+D48+D49+D50+D51, "NA")</f>
        <v>81.19</v>
      </c>
      <c r="E52" s="14">
        <f>IFERROR(D52/D148, "NA")</f>
        <v>2.5660986103749526E-3</v>
      </c>
      <c r="F52" s="13">
        <f>IFERROR(F46+F47+F48+F49+F50+F51, "NA")</f>
        <v>138.65</v>
      </c>
      <c r="G52" s="14">
        <f>IFERROR(F52/F148, "NA")</f>
        <v>4.6092692687568007E-3</v>
      </c>
      <c r="H52" s="13">
        <f>IFERROR(H46+H47+H48+H49+H50+H51, "NA")</f>
        <v>142.69</v>
      </c>
      <c r="I52" s="14">
        <f>IFERROR(H52/H148, "NA")</f>
        <v>5.3447972973732242E-3</v>
      </c>
      <c r="J52" s="13">
        <f>IFERROR(J46+J47+J48+J49+J50+J51, "NA")</f>
        <v>184.49</v>
      </c>
      <c r="K52" s="14">
        <f>IFERROR(J52/J148, "NA")</f>
        <v>8.0732292523171875E-3</v>
      </c>
      <c r="L52" s="13">
        <f>IFERROR(L46+L47+L48+L49+L50+L51, "NA")</f>
        <v>190.87</v>
      </c>
      <c r="M52" s="14">
        <f>IFERROR(L52/L148, "NA")</f>
        <v>7.0796348574559088E-3</v>
      </c>
      <c r="N52" s="13">
        <f>IFERROR(N46+N47+N48+N49+N50+N51, "NA")</f>
        <v>177.7</v>
      </c>
      <c r="O52" s="14">
        <f>IFERROR(N52/N148, "NA")</f>
        <v>7.3883156511301371E-3</v>
      </c>
      <c r="P52" s="13">
        <f>IFERROR(P46+P47+P48+P49+P50+P51, "NA")</f>
        <v>194.62</v>
      </c>
      <c r="Q52" s="14">
        <f>IFERROR(P52/P148, "NA")</f>
        <v>7.7535562696557951E-3</v>
      </c>
      <c r="R52" s="13">
        <f>IFERROR(R46+R47+R48+R49+R50+R51, "NA")</f>
        <v>109.65</v>
      </c>
      <c r="S52" s="14">
        <f>IFERROR(R52/R148, "NA")</f>
        <v>4.8513534678881554E-3</v>
      </c>
      <c r="T52" s="13">
        <f>IFERROR(T46+T47+T48+T49+T50+T51, "NA")</f>
        <v>162.41999999999999</v>
      </c>
      <c r="U52" s="14">
        <f>IFERROR(T52/T148, "NA")</f>
        <v>5.8162124145804224E-3</v>
      </c>
      <c r="V52" s="13">
        <f>IFERROR(V46+V47+V48+V49+V50+V51, "NA")</f>
        <v>160.47</v>
      </c>
      <c r="W52" s="14">
        <f>IFERROR(V52/V148, "NA")</f>
        <v>5.8030919446704641E-3</v>
      </c>
      <c r="X52" s="13">
        <f>IFERROR(X46+X47+X48+X49+X50+X51, "NA")</f>
        <v>127.76</v>
      </c>
      <c r="Y52" s="14">
        <f>IFERROR(X52/X148, "NA")</f>
        <v>5.4521703914202574E-3</v>
      </c>
      <c r="Z52" s="13">
        <f>IFERROR(Z46+Z47+Z48+Z49+Z50+Z51, "NA")</f>
        <v>560.29999999999995</v>
      </c>
      <c r="AA52" s="14">
        <f>IFERROR(Z52/Z148, "NA")</f>
        <v>5.5140745202125318E-3</v>
      </c>
      <c r="AB52" s="13">
        <f t="shared" si="18"/>
        <v>140.07499999999999</v>
      </c>
      <c r="AC52" s="14">
        <f>IFERROR(AB52/AB148, "NA")</f>
        <v>5.5140745202125318E-3</v>
      </c>
      <c r="AD52" s="15">
        <f t="shared" si="19"/>
        <v>-12.314999999999984</v>
      </c>
      <c r="AE52" s="16">
        <f>IFERROR(AD52/AD148, "NA")</f>
        <v>6.2503013492834769E-3</v>
      </c>
      <c r="AF52" s="15">
        <f t="shared" si="20"/>
        <v>-8.7917187221131426E-2</v>
      </c>
      <c r="AG52" s="13">
        <f t="shared" si="21"/>
        <v>163.49749999999997</v>
      </c>
      <c r="AH52" s="14">
        <f>IFERROR(AG52/AG148, "NA")</f>
        <v>6.5210726849975085E-3</v>
      </c>
      <c r="AI52" s="15">
        <f t="shared" si="22"/>
        <v>-35.737499999999969</v>
      </c>
      <c r="AJ52" s="16">
        <f>IFERROR(AI52/AI148, "NA")</f>
        <v>2.1800347250022282E-2</v>
      </c>
      <c r="AK52" s="15">
        <f t="shared" si="23"/>
        <v>-0.21858132387345355</v>
      </c>
      <c r="AL52" s="16">
        <f>IFERROR(AK52/AK148, "NA")</f>
        <v>3.3430615334462583</v>
      </c>
    </row>
    <row r="53" spans="1:38" ht="16.5" customHeight="1">
      <c r="A53" s="23" t="s">
        <v>68</v>
      </c>
      <c r="B53" s="7">
        <v>33.17</v>
      </c>
      <c r="C53" s="8">
        <f>IFERROR(B53/B148, "NA")</f>
        <v>1.3327617096797395E-3</v>
      </c>
      <c r="D53" s="7">
        <v>44.24</v>
      </c>
      <c r="E53" s="8">
        <f>IFERROR(D53/D148, "NA")</f>
        <v>1.3982535105676549E-3</v>
      </c>
      <c r="F53" s="7">
        <v>21.3</v>
      </c>
      <c r="G53" s="8">
        <f>IFERROR(F53/F148, "NA")</f>
        <v>7.0809545924644681E-4</v>
      </c>
      <c r="H53" s="7">
        <v>33.29</v>
      </c>
      <c r="I53" s="8">
        <f>IFERROR(H53/H148, "NA")</f>
        <v>1.2469570539600156E-3</v>
      </c>
      <c r="J53" s="7">
        <v>7.97</v>
      </c>
      <c r="K53" s="8">
        <f>IFERROR(J53/J148, "NA")</f>
        <v>3.4876490401088389E-4</v>
      </c>
      <c r="L53" s="7">
        <v>20.260000000000002</v>
      </c>
      <c r="M53" s="8">
        <f>IFERROR(L53/L148, "NA")</f>
        <v>7.5147169388618807E-4</v>
      </c>
      <c r="N53" s="7">
        <v>19.75</v>
      </c>
      <c r="O53" s="8">
        <f>IFERROR(N53/N148, "NA")</f>
        <v>8.2115494715711993E-4</v>
      </c>
      <c r="P53" s="7">
        <v>41.27</v>
      </c>
      <c r="Q53" s="8">
        <f>IFERROR(P53/P148, "NA")</f>
        <v>1.6441746338952557E-3</v>
      </c>
      <c r="R53" s="7">
        <v>28.65</v>
      </c>
      <c r="S53" s="8">
        <f>IFERROR(R53/R148, "NA")</f>
        <v>1.2675903041951266E-3</v>
      </c>
      <c r="T53" s="7">
        <v>13.96</v>
      </c>
      <c r="U53" s="8">
        <f>IFERROR(T53/T148, "NA")</f>
        <v>4.9990349284289323E-4</v>
      </c>
      <c r="V53" s="7">
        <v>24.68</v>
      </c>
      <c r="W53" s="8">
        <f>IFERROR(V53/V148, "NA")</f>
        <v>8.9250519844498693E-4</v>
      </c>
      <c r="X53" s="7">
        <v>22.13</v>
      </c>
      <c r="Y53" s="8">
        <f>IFERROR(X53/X148, "NA")</f>
        <v>9.4439989638486451E-4</v>
      </c>
      <c r="Z53" s="7">
        <v>89.42</v>
      </c>
      <c r="AA53" s="8">
        <f>IFERROR(Z53/Z148, "NA")</f>
        <v>8.8000810922256767E-4</v>
      </c>
      <c r="AB53" s="9">
        <f t="shared" si="18"/>
        <v>22.354999999999997</v>
      </c>
      <c r="AC53" s="8">
        <f>IFERROR(AB53/AB148, "NA")</f>
        <v>8.8000810922256756E-4</v>
      </c>
      <c r="AD53" s="10">
        <f t="shared" si="19"/>
        <v>-0.22499999999999787</v>
      </c>
      <c r="AE53" s="11">
        <f>IFERROR(AD53/AD148, "NA")</f>
        <v>1.1419551795280317E-4</v>
      </c>
      <c r="AF53" s="10">
        <f t="shared" si="20"/>
        <v>-1.0064862446879798E-2</v>
      </c>
      <c r="AG53" s="9">
        <f t="shared" si="21"/>
        <v>22.333750000000002</v>
      </c>
      <c r="AH53" s="8">
        <f>IFERROR(AG53/AG148, "NA")</f>
        <v>8.9077818974946489E-4</v>
      </c>
      <c r="AI53" s="10">
        <f t="shared" si="22"/>
        <v>-0.20375000000000298</v>
      </c>
      <c r="AJ53" s="11">
        <f>IFERROR(AI53/AI148, "NA")</f>
        <v>1.2429019243629546E-4</v>
      </c>
      <c r="AK53" s="10">
        <f t="shared" si="23"/>
        <v>-9.1229641238037926E-3</v>
      </c>
      <c r="AL53" s="11">
        <f>IFERROR(AK53/AK148, "NA")</f>
        <v>0.13952990078400165</v>
      </c>
    </row>
    <row r="54" spans="1:38" ht="16.5" customHeight="1">
      <c r="A54" s="23" t="s">
        <v>69</v>
      </c>
      <c r="B54" s="7">
        <v>37</v>
      </c>
      <c r="C54" s="8">
        <f>IFERROR(B54/B148, "NA")</f>
        <v>1.4866500831519553E-3</v>
      </c>
      <c r="D54" s="7">
        <v>23.25</v>
      </c>
      <c r="E54" s="8">
        <f>IFERROR(D54/D148, "NA")</f>
        <v>7.3484163925628329E-4</v>
      </c>
      <c r="F54" s="7">
        <v>39.31</v>
      </c>
      <c r="G54" s="8">
        <f>IFERROR(F54/F148, "NA")</f>
        <v>1.3068184273698511E-3</v>
      </c>
      <c r="H54" s="7">
        <v>33</v>
      </c>
      <c r="I54" s="8">
        <f>IFERROR(H54/H148, "NA")</f>
        <v>1.2360944061484084E-3</v>
      </c>
      <c r="J54" s="7">
        <v>30</v>
      </c>
      <c r="K54" s="8">
        <f>IFERROR(J54/J148, "NA")</f>
        <v>1.3127913576319345E-3</v>
      </c>
      <c r="L54" s="7">
        <v>18</v>
      </c>
      <c r="M54" s="8">
        <f>IFERROR(L54/L148, "NA")</f>
        <v>6.676451377073733E-4</v>
      </c>
      <c r="N54" s="7">
        <v>28</v>
      </c>
      <c r="O54" s="8">
        <f>IFERROR(N54/N148, "NA")</f>
        <v>1.1641690390075624E-3</v>
      </c>
      <c r="P54" s="7">
        <v>33</v>
      </c>
      <c r="Q54" s="8">
        <f>IFERROR(P54/P148, "NA")</f>
        <v>1.3147022757097997E-3</v>
      </c>
      <c r="R54" s="7">
        <v>37</v>
      </c>
      <c r="S54" s="8">
        <f>IFERROR(R54/R148, "NA")</f>
        <v>1.6370276179832352E-3</v>
      </c>
      <c r="T54" s="7">
        <v>31</v>
      </c>
      <c r="U54" s="8">
        <f>IFERROR(T54/T148, "NA")</f>
        <v>1.110100879522184E-3</v>
      </c>
      <c r="V54" s="7">
        <v>35</v>
      </c>
      <c r="W54" s="8">
        <f>IFERROR(V54/V148, "NA")</f>
        <v>1.2657083446343006E-3</v>
      </c>
      <c r="X54" s="7">
        <v>35</v>
      </c>
      <c r="Y54" s="8">
        <f>IFERROR(X54/X148, "NA")</f>
        <v>1.493628394643934E-3</v>
      </c>
      <c r="Z54" s="7">
        <v>138</v>
      </c>
      <c r="AA54" s="8">
        <f>IFERROR(Z54/Z148, "NA")</f>
        <v>1.3580979542911467E-3</v>
      </c>
      <c r="AB54" s="9">
        <f t="shared" si="18"/>
        <v>34.5</v>
      </c>
      <c r="AC54" s="8">
        <f>IFERROR(AB54/AB148, "NA")</f>
        <v>1.3580979542911467E-3</v>
      </c>
      <c r="AD54" s="10">
        <f t="shared" si="19"/>
        <v>0.5</v>
      </c>
      <c r="AE54" s="11">
        <f>IFERROR(AD54/AD148, "NA")</f>
        <v>-2.5376781767289831E-4</v>
      </c>
      <c r="AF54" s="10">
        <f t="shared" si="20"/>
        <v>1.4492753623188406E-2</v>
      </c>
      <c r="AG54" s="9">
        <f t="shared" si="21"/>
        <v>30.875</v>
      </c>
      <c r="AH54" s="8">
        <f>IFERROR(AG54/AG148, "NA")</f>
        <v>1.2314446346231478E-3</v>
      </c>
      <c r="AI54" s="10">
        <f t="shared" si="22"/>
        <v>4.125</v>
      </c>
      <c r="AJ54" s="11">
        <f>IFERROR(AI54/AI148, "NA")</f>
        <v>-2.5163045094464356E-3</v>
      </c>
      <c r="AK54" s="10">
        <f t="shared" si="23"/>
        <v>0.13360323886639677</v>
      </c>
      <c r="AL54" s="11">
        <f>IFERROR(AK54/AK148, "NA")</f>
        <v>-2.0433760793610398</v>
      </c>
    </row>
    <row r="55" spans="1:38" ht="16.5" customHeight="1">
      <c r="A55" s="23" t="s">
        <v>70</v>
      </c>
      <c r="B55" s="7">
        <v>-210.01</v>
      </c>
      <c r="C55" s="8">
        <f>IFERROR(B55/B148, "NA")</f>
        <v>-8.4381455125065452E-3</v>
      </c>
      <c r="D55" s="7">
        <v>-233.82</v>
      </c>
      <c r="E55" s="8">
        <f>IFERROR(D55/D148, "NA")</f>
        <v>-7.3901364340173831E-3</v>
      </c>
      <c r="F55" s="7">
        <v>-188.18</v>
      </c>
      <c r="G55" s="8">
        <f>IFERROR(F55/F148, "NA")</f>
        <v>-6.2558405408918482E-3</v>
      </c>
      <c r="H55" s="7">
        <v>-194.74</v>
      </c>
      <c r="I55" s="8">
        <f>IFERROR(H55/H148, "NA")</f>
        <v>-7.2944552925254865E-3</v>
      </c>
      <c r="J55" s="7">
        <v>-215.72</v>
      </c>
      <c r="K55" s="8">
        <f>IFERROR(J55/J148, "NA")</f>
        <v>-9.4398450556120294E-3</v>
      </c>
      <c r="L55" s="7">
        <v>-208.72</v>
      </c>
      <c r="M55" s="8">
        <f>IFERROR(L55/L148, "NA")</f>
        <v>-7.7417162856823867E-3</v>
      </c>
      <c r="N55" s="7">
        <v>-346.4</v>
      </c>
      <c r="O55" s="8">
        <f>IFERROR(N55/N148, "NA")</f>
        <v>-1.44024341111507E-2</v>
      </c>
      <c r="P55" s="7">
        <v>-377.58</v>
      </c>
      <c r="Q55" s="8">
        <f>IFERROR(P55/P148, "NA")</f>
        <v>-1.5042584401894125E-2</v>
      </c>
      <c r="R55" s="7">
        <v>-341.95</v>
      </c>
      <c r="S55" s="8">
        <f>IFERROR(R55/R148, "NA")</f>
        <v>-1.5129232269442358E-2</v>
      </c>
      <c r="T55" s="7">
        <v>-372.79</v>
      </c>
      <c r="U55" s="8">
        <f>IFERROR(T55/T148, "NA")</f>
        <v>-1.3349500221841129E-2</v>
      </c>
      <c r="V55" s="7">
        <v>-380.52</v>
      </c>
      <c r="W55" s="8">
        <f>IFERROR(V55/V148, "NA")</f>
        <v>-1.3760781122864116E-2</v>
      </c>
      <c r="X55" s="7">
        <v>-440.2</v>
      </c>
      <c r="Y55" s="8">
        <f>IFERROR(X55/X148, "NA")</f>
        <v>-1.8785577694921705E-2</v>
      </c>
      <c r="Z55" s="7">
        <v>-1535.46</v>
      </c>
      <c r="AA55" s="8">
        <f>IFERROR(Z55/Z148, "NA")</f>
        <v>-1.5110906412289016E-2</v>
      </c>
      <c r="AB55" s="9">
        <f t="shared" si="18"/>
        <v>-383.86500000000001</v>
      </c>
      <c r="AC55" s="8">
        <f>IFERROR(AB55/AB148, "NA")</f>
        <v>-1.5110906412289016E-2</v>
      </c>
      <c r="AD55" s="10">
        <f t="shared" si="19"/>
        <v>-56.33499999999998</v>
      </c>
      <c r="AE55" s="11">
        <f>IFERROR(AD55/AD148, "NA")</f>
        <v>2.8592020017205445E-2</v>
      </c>
      <c r="AF55" s="10">
        <f t="shared" si="20"/>
        <v>0.14675732353822302</v>
      </c>
      <c r="AG55" s="9">
        <f t="shared" si="21"/>
        <v>-335.48499999999996</v>
      </c>
      <c r="AH55" s="8">
        <f>IFERROR(AG55/AG148, "NA")</f>
        <v>-1.3380767716487342E-2</v>
      </c>
      <c r="AI55" s="10">
        <f t="shared" si="22"/>
        <v>-104.71500000000003</v>
      </c>
      <c r="AJ55" s="11">
        <f>IFERROR(AI55/AI148, "NA")</f>
        <v>6.3877533747074805E-2</v>
      </c>
      <c r="AK55" s="10">
        <f t="shared" si="23"/>
        <v>0.31213019956182853</v>
      </c>
      <c r="AL55" s="11">
        <f>IFERROR(AK55/AK148, "NA")</f>
        <v>-4.7738317487095312</v>
      </c>
    </row>
    <row r="56" spans="1:38" ht="16.5" customHeight="1">
      <c r="A56" s="27" t="s">
        <v>71</v>
      </c>
      <c r="B56" s="13">
        <f>IFERROR(B37+B39+B40+B41+B42+B43+B46+B47+B48+B49+B50+B51+B53+B54+B55, "NA")</f>
        <v>1060.55</v>
      </c>
      <c r="C56" s="14">
        <f>IFERROR(B56/B148, "NA")</f>
        <v>4.261261474829206E-2</v>
      </c>
      <c r="D56" s="13">
        <f>IFERROR(D37+D39+D40+D41+D42+D43+D46+D47+D48+D49+D50+D51+D53+D54+D55, "NA")</f>
        <v>1149.9100000000001</v>
      </c>
      <c r="E56" s="14">
        <f>IFERROR(D56/D148, "NA")</f>
        <v>3.6344161264395394E-2</v>
      </c>
      <c r="F56" s="13">
        <f>IFERROR(F37+F39+F40+F41+F42+F43+F46+F47+F48+F49+F50+F51+F53+F54+F55, "NA")</f>
        <v>1136.28</v>
      </c>
      <c r="G56" s="14">
        <f>IFERROR(F56/F148, "NA")</f>
        <v>3.777439945692735E-2</v>
      </c>
      <c r="H56" s="13">
        <f>IFERROR(H37+H39+H40+H41+H42+H43+H46+H47+H48+H49+H50+H51+H53+H54+H55, "NA")</f>
        <v>782.77</v>
      </c>
      <c r="I56" s="14">
        <f>IFERROR(H56/H148, "NA")</f>
        <v>2.9320533887902716E-2</v>
      </c>
      <c r="J56" s="13">
        <f>IFERROR(J37+J39+J40+J41+J42+J43+J46+J47+J48+J49+J50+J51+J53+J54+J55, "NA")</f>
        <v>919.38000000000011</v>
      </c>
      <c r="K56" s="14">
        <f>IFERROR(J56/J148, "NA")</f>
        <v>4.023180394598827E-2</v>
      </c>
      <c r="L56" s="13">
        <f>IFERROR(L37+L39+L40+L41+L42+L43+L46+L47+L48+L49+L50+L51+L53+L54+L55, "NA")</f>
        <v>770.63</v>
      </c>
      <c r="M56" s="14">
        <f>IFERROR(L56/L148, "NA")</f>
        <v>2.8583742915079619E-2</v>
      </c>
      <c r="N56" s="13">
        <f>IFERROR(N37+N39+N40+N41+N42+N43+N46+N47+N48+N49+N50+N51+N53+N54+N55, "NA")</f>
        <v>813.37</v>
      </c>
      <c r="O56" s="14">
        <f>IFERROR(N56/N148, "NA")</f>
        <v>3.3817863259199325E-2</v>
      </c>
      <c r="P56" s="13">
        <f>IFERROR(P37+P39+P40+P41+P42+P43+P46+P47+P48+P49+P50+P51+P53+P54+P55, "NA")</f>
        <v>731.56</v>
      </c>
      <c r="Q56" s="14">
        <f>IFERROR(P56/P148, "NA")</f>
        <v>2.9144957479341243E-2</v>
      </c>
      <c r="R56" s="13">
        <f>IFERROR(R37+R39+R40+R41+R42+R43+R46+R47+R48+R49+R50+R51+R53+R54+R55, "NA")</f>
        <v>616.37999999999988</v>
      </c>
      <c r="S56" s="14">
        <f>IFERROR(R56/R148, "NA")</f>
        <v>2.7271110356013685E-2</v>
      </c>
      <c r="T56" s="13">
        <f>IFERROR(T37+T39+T40+T41+T42+T43+T46+T47+T48+T49+T50+T51+T53+T54+T55, "NA")</f>
        <v>866.37000000000012</v>
      </c>
      <c r="U56" s="14">
        <f>IFERROR(T56/T148, "NA")</f>
        <v>3.1024454806181764E-2</v>
      </c>
      <c r="V56" s="13">
        <f>IFERROR(V37+V39+V40+V41+V42+V43+V46+V47+V48+V49+V50+V51+V53+V54+V55, "NA")</f>
        <v>960.19</v>
      </c>
      <c r="W56" s="14">
        <f>IFERROR(V56/V148, "NA")</f>
        <v>3.4723442726697404E-2</v>
      </c>
      <c r="X56" s="13">
        <f>IFERROR(X37+X39+X40+X41+X42+X43+X46+X47+X48+X49+X50+X51+X53+X54+X55, "NA")</f>
        <v>715.43000000000006</v>
      </c>
      <c r="Y56" s="14">
        <f>IFERROR(X56/X148, "NA")</f>
        <v>3.0531044639431709E-2</v>
      </c>
      <c r="Z56" s="13">
        <f>IFERROR(Z37+Z39+Z40+Z41+Z42+Z43+Z46+Z47+Z48+Z49+Z50+Z51+Z53+Z54+Z55, "NA")</f>
        <v>3158.37</v>
      </c>
      <c r="AA56" s="14">
        <f>IFERROR(Z56/Z148, "NA")</f>
        <v>3.1082433593438614E-2</v>
      </c>
      <c r="AB56" s="13">
        <f t="shared" si="18"/>
        <v>789.59249999999997</v>
      </c>
      <c r="AC56" s="14">
        <f>IFERROR(AB56/AB148, "NA")</f>
        <v>3.1082433593438614E-2</v>
      </c>
      <c r="AD56" s="15">
        <f t="shared" si="19"/>
        <v>-74.162499999999909</v>
      </c>
      <c r="AE56" s="16">
        <f>IFERROR(AD56/AD148, "NA")</f>
        <v>3.7640111556332595E-2</v>
      </c>
      <c r="AF56" s="15">
        <f t="shared" si="20"/>
        <v>-9.3925030949508659E-2</v>
      </c>
      <c r="AG56" s="13">
        <f t="shared" si="21"/>
        <v>799.16374999999994</v>
      </c>
      <c r="AH56" s="14">
        <f>IFERROR(AG56/AG148, "NA")</f>
        <v>3.1874523469564847E-2</v>
      </c>
      <c r="AI56" s="15">
        <f t="shared" si="22"/>
        <v>-83.733749999999873</v>
      </c>
      <c r="AJ56" s="16">
        <f>IFERROR(AI56/AI148, "NA")</f>
        <v>5.1078693992208525E-2</v>
      </c>
      <c r="AK56" s="15">
        <f t="shared" si="23"/>
        <v>-0.10477671190666478</v>
      </c>
      <c r="AL56" s="16">
        <f>IFERROR(AK56/AK148, "NA")</f>
        <v>1.6024927883543305</v>
      </c>
    </row>
    <row r="57" spans="1:38" ht="16.5" customHeight="1">
      <c r="A57" s="12" t="s">
        <v>72</v>
      </c>
      <c r="B57" s="28">
        <f>IFERROR(B13+B15+B16+B17+B18+B19+B20+B21+B22+B23+B24+B25+B26+B29+B30+B31+B32+B33+B37+B39+B40+B41+B42+B43+B46+B47+B48+B49+B50+B51+B53+B54+B55, "NA")</f>
        <v>7472.71</v>
      </c>
      <c r="C57" s="29">
        <f>IFERROR(B57/B148, "NA")</f>
        <v>0.30025148494244458</v>
      </c>
      <c r="D57" s="28">
        <f>IFERROR(D13+D15+D16+D17+D18+D19+D20+D21+D22+D23+D24+D25+D26+D29+D30+D31+D32+D33+D37+D39+D40+D41+D42+D43+D46+D47+D48+D49+D50+D51+D53+D54+D55, "NA")</f>
        <v>9095.5600000000013</v>
      </c>
      <c r="E57" s="29">
        <f>IFERROR(D57/D148, "NA")</f>
        <v>0.28747510625177985</v>
      </c>
      <c r="F57" s="28">
        <f>IFERROR(F13+F15+F16+F17+F18+F19+F20+F21+F22+F23+F24+F25+F26+F29+F30+F31+F32+F33+F37+F39+F40+F41+F42+F43+F46+F47+F48+F49+F50+F51+F53+F54+F55, "NA")</f>
        <v>7085.0499999999993</v>
      </c>
      <c r="G57" s="29">
        <f>IFERROR(F57/F148, "NA")</f>
        <v>0.23553482317061208</v>
      </c>
      <c r="H57" s="28">
        <f>IFERROR(H13+H15+H16+H17+H18+H19+H20+H21+H22+H23+H24+H25+H26+H29+H30+H31+H32+H33+H37+H39+H40+H41+H42+H43+H46+H47+H48+H49+H50+H51+H53+H54+H55, "NA")</f>
        <v>6250.9</v>
      </c>
      <c r="I57" s="29">
        <f>IFERROR(H57/H148, "NA")</f>
        <v>0.23414250070888137</v>
      </c>
      <c r="J57" s="28">
        <f>IFERROR(J13+J15+J16+J17+J18+J19+J20+J21+J22+J23+J24+J25+J26+J29+J30+J31+J32+J33+J37+J39+J40+J41+J42+J43+J46+J47+J48+J49+J50+J51+J53+J54+J55, "NA")</f>
        <v>6758.2899999999991</v>
      </c>
      <c r="K57" s="29">
        <f>IFERROR(J57/J148, "NA")</f>
        <v>0.29574082347901082</v>
      </c>
      <c r="L57" s="28">
        <f>IFERROR(L13+L15+L16+L17+L18+L19+L20+L21+L22+L23+L24+L25+L26+L29+L30+L31+L32+L33+L37+L39+L40+L41+L42+L43+L46+L47+L48+L49+L50+L51+L53+L54+L55, "NA")</f>
        <v>6526.21</v>
      </c>
      <c r="M57" s="29">
        <f>IFERROR(L57/L148, "NA")</f>
        <v>0.24206624300873539</v>
      </c>
      <c r="N57" s="28">
        <f>IFERROR(N13+N15+N16+N17+N18+N19+N20+N21+N22+N23+N24+N25+N26+N29+N30+N31+N32+N33+N37+N39+N40+N41+N42+N43+N46+N47+N48+N49+N50+N51+N53+N54+N55, "NA")</f>
        <v>6417.0999999999995</v>
      </c>
      <c r="O57" s="29">
        <f>IFERROR(N57/N148, "NA")</f>
        <v>0.26680675500769385</v>
      </c>
      <c r="P57" s="28">
        <f>IFERROR(P13+P15+P16+P17+P18+P19+P20+P21+P22+P23+P24+P25+P26+P29+P30+P31+P32+P33+P37+P39+P40+P41+P42+P43+P46+P47+P48+P49+P50+P51+P53+P54+P55, "NA")</f>
        <v>6497.9400000000014</v>
      </c>
      <c r="Q57" s="29">
        <f>IFERROR(P57/P148, "NA")</f>
        <v>0.25887443955835571</v>
      </c>
      <c r="R57" s="28">
        <f>IFERROR(R13+R15+R16+R17+R18+R19+R20+R21+R22+R23+R24+R25+R26+R29+R30+R31+R32+R33+R37+R39+R40+R41+R42+R43+R46+R47+R48+R49+R50+R51+R53+R54+R55, "NA")</f>
        <v>5297.89</v>
      </c>
      <c r="S57" s="29">
        <f>IFERROR(R57/R148, "NA")</f>
        <v>0.23439979046046491</v>
      </c>
      <c r="T57" s="28">
        <f>IFERROR(T13+T15+T16+T17+T18+T19+T20+T21+T22+T23+T24+T25+T26+T29+T30+T31+T32+T33+T37+T39+T40+T41+T42+T43+T46+T47+T48+T49+T50+T51+T53+T54+T55, "NA")</f>
        <v>7068.8799999999983</v>
      </c>
      <c r="U57" s="29">
        <f>IFERROR(T57/T148, "NA")</f>
        <v>0.25313451307215401</v>
      </c>
      <c r="V57" s="28">
        <f>IFERROR(V13+V15+V16+V17+V18+V19+V20+V21+V22+V23+V24+V25+V26+V29+V30+V31+V32+V33+V37+V39+V40+V41+V42+V43+V46+V47+V48+V49+V50+V51+V53+V54+V55, "NA")</f>
        <v>6927.4700000000012</v>
      </c>
      <c r="W57" s="29">
        <f>IFERROR(V57/V148, "NA")</f>
        <v>0.25051875960582232</v>
      </c>
      <c r="X57" s="28">
        <f>IFERROR(X13+X15+X16+X17+X18+X19+X20+X21+X22+X23+X24+X25+X26+X29+X30+X31+X32+X33+X37+X39+X40+X41+X42+X43+X46+X47+X48+X49+X50+X51+X53+X54+X55, "NA")</f>
        <v>6217.44</v>
      </c>
      <c r="Y57" s="29">
        <f>IFERROR(X57/X148, "NA")</f>
        <v>0.26532985502842799</v>
      </c>
      <c r="Z57" s="28">
        <f>IFERROR(Z13+Z15+Z16+Z17+Z18+Z19+Z20+Z21+Z22+Z23+Z24+Z25+Z26+Z29+Z30+Z31+Z32+Z33+Z37+Z39+Z40+Z41+Z42+Z43+Z46+Z47+Z48+Z49+Z50+Z51+Z53+Z54+Z55, "NA")</f>
        <v>25511.68</v>
      </c>
      <c r="AA57" s="29">
        <f>IFERROR(Z57/Z148, "NA")</f>
        <v>0.25106782911978526</v>
      </c>
      <c r="AB57" s="28">
        <f t="shared" si="18"/>
        <v>6377.9199999999992</v>
      </c>
      <c r="AC57" s="29">
        <f>IFERROR(AB57/AB148, "NA")</f>
        <v>0.2510678291197852</v>
      </c>
      <c r="AD57" s="30">
        <f t="shared" si="19"/>
        <v>-160.47999999999956</v>
      </c>
      <c r="AE57" s="31">
        <f>IFERROR(AD57/AD148, "NA")</f>
        <v>8.1449318760293224E-2</v>
      </c>
      <c r="AF57" s="30">
        <f t="shared" si="20"/>
        <v>-2.5161808238422494E-2</v>
      </c>
      <c r="AG57" s="28">
        <f t="shared" si="21"/>
        <v>6463.9025000000001</v>
      </c>
      <c r="AH57" s="29">
        <f>IFERROR(AG57/AG148, "NA")</f>
        <v>0.2578117587806365</v>
      </c>
      <c r="AI57" s="30">
        <f t="shared" si="22"/>
        <v>-246.46250000000055</v>
      </c>
      <c r="AJ57" s="31">
        <f>IFERROR(AI57/AI148, "NA")</f>
        <v>0.1503453818568348</v>
      </c>
      <c r="AK57" s="30">
        <f t="shared" si="23"/>
        <v>-3.8129055937957068E-2</v>
      </c>
      <c r="AL57" s="31">
        <f>IFERROR(AK57/AK148, "NA")</f>
        <v>0.58315952138070903</v>
      </c>
    </row>
    <row r="58" spans="1:38" ht="3.75" customHeight="1">
      <c r="A58" s="17" t="s">
        <v>3</v>
      </c>
      <c r="B58" s="18"/>
      <c r="C58" s="19"/>
      <c r="D58" s="18"/>
      <c r="E58" s="19"/>
      <c r="F58" s="18"/>
      <c r="G58" s="19"/>
      <c r="H58" s="18"/>
      <c r="I58" s="19"/>
      <c r="J58" s="18"/>
      <c r="K58" s="19"/>
      <c r="L58" s="18"/>
      <c r="M58" s="19"/>
      <c r="N58" s="18"/>
      <c r="O58" s="19"/>
      <c r="P58" s="18"/>
      <c r="Q58" s="19"/>
      <c r="R58" s="18"/>
      <c r="S58" s="19"/>
      <c r="T58" s="18"/>
      <c r="U58" s="19"/>
      <c r="V58" s="18"/>
      <c r="W58" s="19"/>
      <c r="X58" s="18"/>
      <c r="Y58" s="19"/>
      <c r="Z58" s="18"/>
      <c r="AA58" s="19"/>
      <c r="AB58" s="18"/>
      <c r="AC58" s="19"/>
      <c r="AD58" s="20"/>
      <c r="AE58" s="21"/>
      <c r="AF58" s="20"/>
      <c r="AG58" s="18"/>
      <c r="AH58" s="19"/>
      <c r="AI58" s="20"/>
      <c r="AJ58" s="21"/>
      <c r="AK58" s="20"/>
      <c r="AL58" s="21"/>
    </row>
    <row r="59" spans="1:38" ht="16.5" customHeight="1">
      <c r="A59" s="32" t="s">
        <v>73</v>
      </c>
      <c r="B59" s="33">
        <f>IFERROR(B9-B57, "NA")</f>
        <v>17415.46</v>
      </c>
      <c r="C59" s="34">
        <f>IFERROR(B59/B148, "NA")</f>
        <v>0.69974851505755542</v>
      </c>
      <c r="D59" s="33">
        <f>IFERROR(D9-D57, "NA")</f>
        <v>22543.910000000011</v>
      </c>
      <c r="E59" s="34">
        <f>IFERROR(D59/D148, "NA")</f>
        <v>0.71252489374822048</v>
      </c>
      <c r="F59" s="33">
        <f>IFERROR(F9-F57, "NA")</f>
        <v>22995.639999999992</v>
      </c>
      <c r="G59" s="34">
        <f>IFERROR(F59/F148, "NA")</f>
        <v>0.76446517682938764</v>
      </c>
      <c r="H59" s="33">
        <f>IFERROR(H9-H57, "NA")</f>
        <v>20446.089999999997</v>
      </c>
      <c r="I59" s="34">
        <f>IFERROR(H59/H148, "NA")</f>
        <v>0.76585749929111846</v>
      </c>
      <c r="J59" s="33">
        <f>IFERROR(J9-J57, "NA")</f>
        <v>16093.779999999997</v>
      </c>
      <c r="K59" s="34">
        <f>IFERROR(J59/J148, "NA")</f>
        <v>0.70425917652098902</v>
      </c>
      <c r="L59" s="33">
        <f>IFERROR(L9-L57, "NA")</f>
        <v>20434.22</v>
      </c>
      <c r="M59" s="34">
        <f>IFERROR(L59/L148, "NA")</f>
        <v>0.75793375699126464</v>
      </c>
      <c r="N59" s="33">
        <f>IFERROR(N9-N57, "NA")</f>
        <v>17634.39</v>
      </c>
      <c r="O59" s="34">
        <f>IFERROR(N59/N148, "NA")</f>
        <v>0.73319324499230598</v>
      </c>
      <c r="P59" s="33">
        <f>IFERROR(P9-P57, "NA")</f>
        <v>18602.8</v>
      </c>
      <c r="Q59" s="34">
        <f>IFERROR(P59/P148, "NA")</f>
        <v>0.74112556044164424</v>
      </c>
      <c r="R59" s="33">
        <f>IFERROR(R9-R57, "NA")</f>
        <v>17304.050000000003</v>
      </c>
      <c r="S59" s="34">
        <f>IFERROR(R59/R148, "NA")</f>
        <v>0.76560020953953523</v>
      </c>
      <c r="T59" s="33">
        <f>IFERROR(T9-T57, "NA")</f>
        <v>20856.509999999998</v>
      </c>
      <c r="U59" s="34">
        <f>IFERROR(T59/T148, "NA")</f>
        <v>0.74686548692784593</v>
      </c>
      <c r="V59" s="33">
        <f>IFERROR(V9-V57, "NA")</f>
        <v>20725.03</v>
      </c>
      <c r="W59" s="34">
        <f>IFERROR(V59/V148, "NA")</f>
        <v>0.74948124039417774</v>
      </c>
      <c r="X59" s="33">
        <f>IFERROR(X9-X57, "NA")</f>
        <v>17215.429999999997</v>
      </c>
      <c r="Y59" s="34">
        <f>IFERROR(X59/X148, "NA")</f>
        <v>0.7346701449715719</v>
      </c>
      <c r="Z59" s="33">
        <f>IFERROR(Z9-Z57, "NA")</f>
        <v>76101.01999999999</v>
      </c>
      <c r="AA59" s="34">
        <f>IFERROR(Z59/Z148, "NA")</f>
        <v>0.74893217088021469</v>
      </c>
      <c r="AB59" s="33">
        <f>IFERROR((R59+T59+V59+X59)/4, "NA")</f>
        <v>19025.254999999997</v>
      </c>
      <c r="AC59" s="34">
        <f>IFERROR(AB59/AB148, "NA")</f>
        <v>0.74893217088021469</v>
      </c>
      <c r="AD59" s="15">
        <f>IFERROR(X59-AB59, "NA")</f>
        <v>-1809.8250000000007</v>
      </c>
      <c r="AE59" s="16">
        <f>IFERROR(AD59/AD148, "NA")</f>
        <v>0.91855068123970673</v>
      </c>
      <c r="AF59" s="15">
        <f>IFERROR((X59-AB59)/AB59, "NA")</f>
        <v>-9.5127502890237262E-2</v>
      </c>
      <c r="AG59" s="33">
        <f>IFERROR((J59+L59+N59+P59+R59+T59+V59+X59)/8, "NA")</f>
        <v>18608.276249999999</v>
      </c>
      <c r="AH59" s="34">
        <f>IFERROR(AG59/AG148, "NA")</f>
        <v>0.74218824121936355</v>
      </c>
      <c r="AI59" s="15">
        <f>IFERROR(X59-AG59, "NA")</f>
        <v>-1392.8462500000023</v>
      </c>
      <c r="AJ59" s="16">
        <f>IFERROR(AI59/AI148, "NA")</f>
        <v>0.8496546181431669</v>
      </c>
      <c r="AK59" s="15">
        <f>IFERROR((X59-AG59)/AG59, "NA")</f>
        <v>-7.4850901356325383E-2</v>
      </c>
      <c r="AL59" s="16">
        <f>IFERROR(AK59/AK148, "NA")</f>
        <v>1.1447966579842919</v>
      </c>
    </row>
    <row r="60" spans="1:38" ht="3.75" customHeight="1">
      <c r="A60" s="35" t="s">
        <v>3</v>
      </c>
      <c r="B60" s="36"/>
      <c r="C60" s="19"/>
      <c r="D60" s="36"/>
      <c r="E60" s="19"/>
      <c r="F60" s="36"/>
      <c r="G60" s="19"/>
      <c r="H60" s="36"/>
      <c r="I60" s="19"/>
      <c r="J60" s="36"/>
      <c r="K60" s="19"/>
      <c r="L60" s="36"/>
      <c r="M60" s="19"/>
      <c r="N60" s="36"/>
      <c r="O60" s="19"/>
      <c r="P60" s="36"/>
      <c r="Q60" s="19"/>
      <c r="R60" s="36"/>
      <c r="S60" s="19"/>
      <c r="T60" s="36"/>
      <c r="U60" s="19"/>
      <c r="V60" s="36"/>
      <c r="W60" s="19"/>
      <c r="X60" s="36"/>
      <c r="Y60" s="19"/>
      <c r="Z60" s="36"/>
      <c r="AA60" s="19"/>
      <c r="AB60" s="36"/>
      <c r="AC60" s="19"/>
      <c r="AD60" s="37"/>
      <c r="AE60" s="21"/>
      <c r="AF60" s="37"/>
      <c r="AG60" s="36"/>
      <c r="AH60" s="19"/>
      <c r="AI60" s="37"/>
      <c r="AJ60" s="21"/>
      <c r="AK60" s="37"/>
      <c r="AL60" s="21"/>
    </row>
    <row r="61" spans="1:38" ht="16.5" customHeight="1">
      <c r="A61" s="1" t="s">
        <v>74</v>
      </c>
      <c r="B61" s="2"/>
      <c r="C61" s="3"/>
      <c r="D61" s="2"/>
      <c r="E61" s="3"/>
      <c r="F61" s="2"/>
      <c r="G61" s="3"/>
      <c r="H61" s="2"/>
      <c r="I61" s="3"/>
      <c r="J61" s="2"/>
      <c r="K61" s="3"/>
      <c r="L61" s="2"/>
      <c r="M61" s="3"/>
      <c r="N61" s="2"/>
      <c r="O61" s="3"/>
      <c r="P61" s="2"/>
      <c r="Q61" s="3"/>
      <c r="R61" s="2"/>
      <c r="S61" s="3"/>
      <c r="T61" s="2"/>
      <c r="U61" s="3"/>
      <c r="V61" s="2"/>
      <c r="W61" s="3"/>
      <c r="X61" s="2"/>
      <c r="Y61" s="3"/>
      <c r="Z61" s="2"/>
      <c r="AA61" s="3"/>
      <c r="AB61" s="2"/>
      <c r="AC61" s="3"/>
      <c r="AD61" s="4"/>
      <c r="AE61" s="5"/>
      <c r="AF61" s="4"/>
      <c r="AG61" s="2"/>
      <c r="AH61" s="3"/>
      <c r="AI61" s="4"/>
      <c r="AJ61" s="5"/>
      <c r="AK61" s="4"/>
      <c r="AL61" s="5"/>
    </row>
    <row r="62" spans="1:38" ht="16.5" customHeight="1">
      <c r="A62" s="22" t="s">
        <v>74</v>
      </c>
      <c r="B62" s="2"/>
      <c r="C62" s="3"/>
      <c r="D62" s="2"/>
      <c r="E62" s="3"/>
      <c r="F62" s="2"/>
      <c r="G62" s="3"/>
      <c r="H62" s="2"/>
      <c r="I62" s="3"/>
      <c r="J62" s="2"/>
      <c r="K62" s="3"/>
      <c r="L62" s="2"/>
      <c r="M62" s="3"/>
      <c r="N62" s="2"/>
      <c r="O62" s="3"/>
      <c r="P62" s="2"/>
      <c r="Q62" s="3"/>
      <c r="R62" s="2"/>
      <c r="S62" s="3"/>
      <c r="T62" s="2"/>
      <c r="U62" s="3"/>
      <c r="V62" s="2"/>
      <c r="W62" s="3"/>
      <c r="X62" s="2"/>
      <c r="Y62" s="3"/>
      <c r="Z62" s="2"/>
      <c r="AA62" s="3"/>
      <c r="AB62" s="2"/>
      <c r="AC62" s="3"/>
      <c r="AD62" s="4"/>
      <c r="AE62" s="5"/>
      <c r="AF62" s="4"/>
      <c r="AG62" s="2"/>
      <c r="AH62" s="3"/>
      <c r="AI62" s="4"/>
      <c r="AJ62" s="5"/>
      <c r="AK62" s="4"/>
      <c r="AL62" s="5"/>
    </row>
    <row r="63" spans="1:38" ht="16.5" hidden="1" customHeight="1">
      <c r="A63" s="23" t="s">
        <v>75</v>
      </c>
      <c r="B63" s="7">
        <v>0</v>
      </c>
      <c r="C63" s="8">
        <f>IFERROR(B63/B148, "NA")</f>
        <v>0</v>
      </c>
      <c r="D63" s="7">
        <v>0</v>
      </c>
      <c r="E63" s="8">
        <f>IFERROR(D63/D148, "NA")</f>
        <v>0</v>
      </c>
      <c r="F63" s="7">
        <v>0</v>
      </c>
      <c r="G63" s="8">
        <f>IFERROR(F63/F148, "NA")</f>
        <v>0</v>
      </c>
      <c r="H63" s="7">
        <v>0</v>
      </c>
      <c r="I63" s="8">
        <f>IFERROR(H63/H148, "NA")</f>
        <v>0</v>
      </c>
      <c r="J63" s="7">
        <v>0</v>
      </c>
      <c r="K63" s="8">
        <f>IFERROR(J63/J148, "NA")</f>
        <v>0</v>
      </c>
      <c r="L63" s="7">
        <v>0</v>
      </c>
      <c r="M63" s="8">
        <f>IFERROR(L63/L148, "NA")</f>
        <v>0</v>
      </c>
      <c r="N63" s="7">
        <v>0</v>
      </c>
      <c r="O63" s="8">
        <f>IFERROR(N63/N148, "NA")</f>
        <v>0</v>
      </c>
      <c r="P63" s="7">
        <v>0</v>
      </c>
      <c r="Q63" s="8">
        <f>IFERROR(P63/P148, "NA")</f>
        <v>0</v>
      </c>
      <c r="R63" s="7">
        <v>0</v>
      </c>
      <c r="S63" s="8">
        <f>IFERROR(R63/R148, "NA")</f>
        <v>0</v>
      </c>
      <c r="T63" s="7">
        <v>0</v>
      </c>
      <c r="U63" s="8">
        <f>IFERROR(T63/T148, "NA")</f>
        <v>0</v>
      </c>
      <c r="V63" s="7">
        <v>0</v>
      </c>
      <c r="W63" s="8">
        <f>IFERROR(V63/V148, "NA")</f>
        <v>0</v>
      </c>
      <c r="X63" s="7">
        <v>0</v>
      </c>
      <c r="Y63" s="8">
        <f>IFERROR(X63/X148, "NA")</f>
        <v>0</v>
      </c>
      <c r="Z63" s="7">
        <v>0</v>
      </c>
      <c r="AA63" s="8">
        <f>IFERROR(Z63/Z148, "NA")</f>
        <v>0</v>
      </c>
      <c r="AB63" s="9">
        <f>IFERROR((R63+T63+V63+X63)/4, "NA")</f>
        <v>0</v>
      </c>
      <c r="AC63" s="8">
        <f>IFERROR(AB63/AB148, "NA")</f>
        <v>0</v>
      </c>
      <c r="AD63" s="10">
        <f>IFERROR(X63-AB63, "NA")</f>
        <v>0</v>
      </c>
      <c r="AE63" s="11">
        <f>IFERROR(AD63/AD148, "NA")</f>
        <v>0</v>
      </c>
      <c r="AF63" s="10" t="str">
        <f>IFERROR((X63-AB63)/AB63, "NA")</f>
        <v>NA</v>
      </c>
      <c r="AG63" s="9">
        <f>IFERROR((J63+L63+N63+P63+R63+T63+V63+X63)/8, "NA")</f>
        <v>0</v>
      </c>
      <c r="AH63" s="8">
        <f>IFERROR(AG63/AG148, "NA")</f>
        <v>0</v>
      </c>
      <c r="AI63" s="10">
        <f>IFERROR(X63-AG63, "NA")</f>
        <v>0</v>
      </c>
      <c r="AJ63" s="11">
        <f>IFERROR(AI63/AI148, "NA")</f>
        <v>0</v>
      </c>
      <c r="AK63" s="10" t="str">
        <f>IFERROR((X63-AG63)/AG63, "NA")</f>
        <v>NA</v>
      </c>
      <c r="AL63" s="11" t="str">
        <f>IFERROR(AK63/AK148, "NA")</f>
        <v>NA</v>
      </c>
    </row>
    <row r="64" spans="1:38" ht="16.5" customHeight="1">
      <c r="A64" s="24" t="s">
        <v>76</v>
      </c>
      <c r="B64" s="2"/>
      <c r="C64" s="3"/>
      <c r="D64" s="2"/>
      <c r="E64" s="3"/>
      <c r="F64" s="2"/>
      <c r="G64" s="3"/>
      <c r="H64" s="2"/>
      <c r="I64" s="3"/>
      <c r="J64" s="2"/>
      <c r="K64" s="3"/>
      <c r="L64" s="2"/>
      <c r="M64" s="3"/>
      <c r="N64" s="2"/>
      <c r="O64" s="3"/>
      <c r="P64" s="2"/>
      <c r="Q64" s="3"/>
      <c r="R64" s="2"/>
      <c r="S64" s="3"/>
      <c r="T64" s="2"/>
      <c r="U64" s="3"/>
      <c r="V64" s="2"/>
      <c r="W64" s="3"/>
      <c r="X64" s="2"/>
      <c r="Y64" s="3"/>
      <c r="Z64" s="2"/>
      <c r="AA64" s="3"/>
      <c r="AB64" s="2"/>
      <c r="AC64" s="3"/>
      <c r="AD64" s="4"/>
      <c r="AE64" s="5"/>
      <c r="AF64" s="4"/>
      <c r="AG64" s="2"/>
      <c r="AH64" s="3"/>
      <c r="AI64" s="4"/>
      <c r="AJ64" s="5"/>
      <c r="AK64" s="4"/>
      <c r="AL64" s="5"/>
    </row>
    <row r="65" spans="1:38" ht="16.5" hidden="1" customHeight="1">
      <c r="A65" s="25" t="s">
        <v>77</v>
      </c>
      <c r="B65" s="7">
        <v>0</v>
      </c>
      <c r="C65" s="8">
        <f>IFERROR(B65/B148, "NA")</f>
        <v>0</v>
      </c>
      <c r="D65" s="7">
        <v>0</v>
      </c>
      <c r="E65" s="8">
        <f>IFERROR(D65/D148, "NA")</f>
        <v>0</v>
      </c>
      <c r="F65" s="7">
        <v>0</v>
      </c>
      <c r="G65" s="8">
        <f>IFERROR(F65/F148, "NA")</f>
        <v>0</v>
      </c>
      <c r="H65" s="7">
        <v>0</v>
      </c>
      <c r="I65" s="8">
        <f>IFERROR(H65/H148, "NA")</f>
        <v>0</v>
      </c>
      <c r="J65" s="7">
        <v>0</v>
      </c>
      <c r="K65" s="8">
        <f>IFERROR(J65/J148, "NA")</f>
        <v>0</v>
      </c>
      <c r="L65" s="7">
        <v>0</v>
      </c>
      <c r="M65" s="8">
        <f>IFERROR(L65/L148, "NA")</f>
        <v>0</v>
      </c>
      <c r="N65" s="7">
        <v>0</v>
      </c>
      <c r="O65" s="8">
        <f>IFERROR(N65/N148, "NA")</f>
        <v>0</v>
      </c>
      <c r="P65" s="7">
        <v>0</v>
      </c>
      <c r="Q65" s="8">
        <f>IFERROR(P65/P148, "NA")</f>
        <v>0</v>
      </c>
      <c r="R65" s="7">
        <v>0</v>
      </c>
      <c r="S65" s="8">
        <f>IFERROR(R65/R148, "NA")</f>
        <v>0</v>
      </c>
      <c r="T65" s="7">
        <v>0</v>
      </c>
      <c r="U65" s="8">
        <f>IFERROR(T65/T148, "NA")</f>
        <v>0</v>
      </c>
      <c r="V65" s="7">
        <v>0</v>
      </c>
      <c r="W65" s="8">
        <f>IFERROR(V65/V148, "NA")</f>
        <v>0</v>
      </c>
      <c r="X65" s="7">
        <v>0</v>
      </c>
      <c r="Y65" s="8">
        <f>IFERROR(X65/X148, "NA")</f>
        <v>0</v>
      </c>
      <c r="Z65" s="7">
        <v>0</v>
      </c>
      <c r="AA65" s="8">
        <f>IFERROR(Z65/Z148, "NA")</f>
        <v>0</v>
      </c>
      <c r="AB65" s="9">
        <f t="shared" ref="AB65:AB72" si="24">IFERROR((R65+T65+V65+X65)/4, "NA")</f>
        <v>0</v>
      </c>
      <c r="AC65" s="8">
        <f>IFERROR(AB65/AB148, "NA")</f>
        <v>0</v>
      </c>
      <c r="AD65" s="10">
        <f t="shared" ref="AD65:AD72" si="25">IFERROR(X65-AB65, "NA")</f>
        <v>0</v>
      </c>
      <c r="AE65" s="11">
        <f>IFERROR(AD65/AD148, "NA")</f>
        <v>0</v>
      </c>
      <c r="AF65" s="10" t="str">
        <f t="shared" ref="AF65:AF72" si="26">IFERROR((X65-AB65)/AB65, "NA")</f>
        <v>NA</v>
      </c>
      <c r="AG65" s="9">
        <f t="shared" ref="AG65:AG72" si="27">IFERROR((J65+L65+N65+P65+R65+T65+V65+X65)/8, "NA")</f>
        <v>0</v>
      </c>
      <c r="AH65" s="8">
        <f>IFERROR(AG65/AG148, "NA")</f>
        <v>0</v>
      </c>
      <c r="AI65" s="10">
        <f t="shared" ref="AI65:AI72" si="28">IFERROR(X65-AG65, "NA")</f>
        <v>0</v>
      </c>
      <c r="AJ65" s="11">
        <f>IFERROR(AI65/AI148, "NA")</f>
        <v>0</v>
      </c>
      <c r="AK65" s="10" t="str">
        <f t="shared" ref="AK65:AK72" si="29">IFERROR((X65-AG65)/AG65, "NA")</f>
        <v>NA</v>
      </c>
      <c r="AL65" s="11" t="str">
        <f>IFERROR(AK65/AK148, "NA")</f>
        <v>NA</v>
      </c>
    </row>
    <row r="66" spans="1:38" ht="16.5" customHeight="1">
      <c r="A66" s="25" t="s">
        <v>78</v>
      </c>
      <c r="B66" s="7">
        <v>1298.08</v>
      </c>
      <c r="C66" s="8">
        <f>IFERROR(B66/B148, "NA")</f>
        <v>5.2156506484807845E-2</v>
      </c>
      <c r="D66" s="7">
        <v>1298.08</v>
      </c>
      <c r="E66" s="8">
        <f>IFERROR(D66/D148, "NA")</f>
        <v>4.1027235917668652E-2</v>
      </c>
      <c r="F66" s="7">
        <v>1298.08</v>
      </c>
      <c r="G66" s="8">
        <f>IFERROR(F66/F148, "NA")</f>
        <v>4.3153265433738389E-2</v>
      </c>
      <c r="H66" s="7">
        <v>1298.08</v>
      </c>
      <c r="I66" s="8">
        <f>IFERROR(H66/H148, "NA")</f>
        <v>4.8622709901003813E-2</v>
      </c>
      <c r="J66" s="7">
        <v>1298.08</v>
      </c>
      <c r="K66" s="8">
        <f>IFERROR(J66/J148, "NA")</f>
        <v>5.6803606850495382E-2</v>
      </c>
      <c r="L66" s="7">
        <v>1298.08</v>
      </c>
      <c r="M66" s="8">
        <f>IFERROR(L66/L148, "NA")</f>
        <v>4.8147600019732617E-2</v>
      </c>
      <c r="N66" s="7">
        <v>1298.08</v>
      </c>
      <c r="O66" s="8">
        <f>IFERROR(N66/N148, "NA")</f>
        <v>5.3970876648390592E-2</v>
      </c>
      <c r="P66" s="7">
        <v>1298.08</v>
      </c>
      <c r="Q66" s="8">
        <f>IFERROR(P66/P148, "NA")</f>
        <v>5.1714810001617477E-2</v>
      </c>
      <c r="R66" s="7">
        <v>1298.08</v>
      </c>
      <c r="S66" s="8">
        <f>IFERROR(R66/R148, "NA")</f>
        <v>5.7432238117612916E-2</v>
      </c>
      <c r="T66" s="7">
        <v>1298.08</v>
      </c>
      <c r="U66" s="8">
        <f>IFERROR(T66/T148, "NA")</f>
        <v>4.6483862893230851E-2</v>
      </c>
      <c r="V66" s="7">
        <v>1298.08</v>
      </c>
      <c r="W66" s="8">
        <f>IFERROR(V66/V148, "NA")</f>
        <v>4.6942591085796945E-2</v>
      </c>
      <c r="X66" s="7">
        <v>1298.08</v>
      </c>
      <c r="Y66" s="8">
        <f>IFERROR(X66/X148, "NA")</f>
        <v>5.5395689900554219E-2</v>
      </c>
      <c r="Z66" s="7">
        <v>5192.32</v>
      </c>
      <c r="AA66" s="8">
        <f>IFERROR(Z66/Z148, "NA")</f>
        <v>5.1099124420471063E-2</v>
      </c>
      <c r="AB66" s="9">
        <f t="shared" si="24"/>
        <v>1298.08</v>
      </c>
      <c r="AC66" s="8">
        <f>IFERROR(AB66/AB148, "NA")</f>
        <v>5.1099124420471063E-2</v>
      </c>
      <c r="AD66" s="10">
        <f t="shared" si="25"/>
        <v>0</v>
      </c>
      <c r="AE66" s="11">
        <f>IFERROR(AD66/AD148, "NA")</f>
        <v>0</v>
      </c>
      <c r="AF66" s="10">
        <f t="shared" si="26"/>
        <v>0</v>
      </c>
      <c r="AG66" s="9">
        <f t="shared" si="27"/>
        <v>1298.08</v>
      </c>
      <c r="AH66" s="8">
        <f>IFERROR(AG66/AG148, "NA")</f>
        <v>5.1773721499971358E-2</v>
      </c>
      <c r="AI66" s="10">
        <f t="shared" si="28"/>
        <v>0</v>
      </c>
      <c r="AJ66" s="11">
        <f>IFERROR(AI66/AI148, "NA")</f>
        <v>0</v>
      </c>
      <c r="AK66" s="10">
        <f t="shared" si="29"/>
        <v>0</v>
      </c>
      <c r="AL66" s="11">
        <f>IFERROR(AK66/AK148, "NA")</f>
        <v>0</v>
      </c>
    </row>
    <row r="67" spans="1:38" ht="16.5" hidden="1" customHeight="1">
      <c r="A67" s="25" t="s">
        <v>79</v>
      </c>
      <c r="B67" s="7">
        <v>0</v>
      </c>
      <c r="C67" s="8">
        <f>IFERROR(B67/B148, "NA")</f>
        <v>0</v>
      </c>
      <c r="D67" s="7">
        <v>0</v>
      </c>
      <c r="E67" s="8">
        <f>IFERROR(D67/D148, "NA")</f>
        <v>0</v>
      </c>
      <c r="F67" s="7">
        <v>0</v>
      </c>
      <c r="G67" s="8">
        <f>IFERROR(F67/F148, "NA")</f>
        <v>0</v>
      </c>
      <c r="H67" s="7">
        <v>0</v>
      </c>
      <c r="I67" s="8">
        <f>IFERROR(H67/H148, "NA")</f>
        <v>0</v>
      </c>
      <c r="J67" s="7">
        <v>0</v>
      </c>
      <c r="K67" s="8">
        <f>IFERROR(J67/J148, "NA")</f>
        <v>0</v>
      </c>
      <c r="L67" s="7">
        <v>0</v>
      </c>
      <c r="M67" s="8">
        <f>IFERROR(L67/L148, "NA")</f>
        <v>0</v>
      </c>
      <c r="N67" s="7">
        <v>0</v>
      </c>
      <c r="O67" s="8">
        <f>IFERROR(N67/N148, "NA")</f>
        <v>0</v>
      </c>
      <c r="P67" s="7">
        <v>0</v>
      </c>
      <c r="Q67" s="8">
        <f>IFERROR(P67/P148, "NA")</f>
        <v>0</v>
      </c>
      <c r="R67" s="7">
        <v>0</v>
      </c>
      <c r="S67" s="8">
        <f>IFERROR(R67/R148, "NA")</f>
        <v>0</v>
      </c>
      <c r="T67" s="7">
        <v>0</v>
      </c>
      <c r="U67" s="8">
        <f>IFERROR(T67/T148, "NA")</f>
        <v>0</v>
      </c>
      <c r="V67" s="7">
        <v>0</v>
      </c>
      <c r="W67" s="8">
        <f>IFERROR(V67/V148, "NA")</f>
        <v>0</v>
      </c>
      <c r="X67" s="7">
        <v>0</v>
      </c>
      <c r="Y67" s="8">
        <f>IFERROR(X67/X148, "NA")</f>
        <v>0</v>
      </c>
      <c r="Z67" s="7">
        <v>0</v>
      </c>
      <c r="AA67" s="8">
        <f>IFERROR(Z67/Z148, "NA")</f>
        <v>0</v>
      </c>
      <c r="AB67" s="9">
        <f t="shared" si="24"/>
        <v>0</v>
      </c>
      <c r="AC67" s="8">
        <f>IFERROR(AB67/AB148, "NA")</f>
        <v>0</v>
      </c>
      <c r="AD67" s="10">
        <f t="shared" si="25"/>
        <v>0</v>
      </c>
      <c r="AE67" s="11">
        <f>IFERROR(AD67/AD148, "NA")</f>
        <v>0</v>
      </c>
      <c r="AF67" s="10" t="str">
        <f t="shared" si="26"/>
        <v>NA</v>
      </c>
      <c r="AG67" s="9">
        <f t="shared" si="27"/>
        <v>0</v>
      </c>
      <c r="AH67" s="8">
        <f>IFERROR(AG67/AG148, "NA")</f>
        <v>0</v>
      </c>
      <c r="AI67" s="10">
        <f t="shared" si="28"/>
        <v>0</v>
      </c>
      <c r="AJ67" s="11">
        <f>IFERROR(AI67/AI148, "NA")</f>
        <v>0</v>
      </c>
      <c r="AK67" s="10" t="str">
        <f t="shared" si="29"/>
        <v>NA</v>
      </c>
      <c r="AL67" s="11" t="str">
        <f>IFERROR(AK67/AK148, "NA")</f>
        <v>NA</v>
      </c>
    </row>
    <row r="68" spans="1:38" ht="16.5" customHeight="1">
      <c r="A68" s="25" t="s">
        <v>80</v>
      </c>
      <c r="B68" s="7">
        <v>4873.3999999999996</v>
      </c>
      <c r="C68" s="8">
        <f>IFERROR(B68/B148, "NA")</f>
        <v>0.19581190581710106</v>
      </c>
      <c r="D68" s="7">
        <v>6079.82</v>
      </c>
      <c r="E68" s="8">
        <f>IFERROR(D68/D148, "NA")</f>
        <v>0.19215935033045747</v>
      </c>
      <c r="F68" s="7">
        <v>6198.51</v>
      </c>
      <c r="G68" s="8">
        <f>IFERROR(F68/F148, "NA")</f>
        <v>0.20606275986355369</v>
      </c>
      <c r="H68" s="7">
        <v>5639.93</v>
      </c>
      <c r="I68" s="8">
        <f>IFERROR(H68/H148, "NA")</f>
        <v>0.2112571492141998</v>
      </c>
      <c r="J68" s="7">
        <v>6116.84</v>
      </c>
      <c r="K68" s="8">
        <f>IFERROR(J68/J148, "NA")</f>
        <v>0.26767115626724408</v>
      </c>
      <c r="L68" s="7">
        <v>5143.54</v>
      </c>
      <c r="M68" s="8">
        <f>IFERROR(L68/L148, "NA")</f>
        <v>0.19078108175574351</v>
      </c>
      <c r="N68" s="7">
        <v>6607.72</v>
      </c>
      <c r="O68" s="8">
        <f>IFERROR(N68/N148, "NA")</f>
        <v>0.27473225151539465</v>
      </c>
      <c r="P68" s="7">
        <v>4847.05</v>
      </c>
      <c r="Q68" s="8">
        <f>IFERROR(P68/P148, "NA")</f>
        <v>0.19310386865088439</v>
      </c>
      <c r="R68" s="7">
        <v>5263.34</v>
      </c>
      <c r="S68" s="8">
        <f>IFERROR(R68/R148, "NA")</f>
        <v>0.23287116061718599</v>
      </c>
      <c r="T68" s="7">
        <v>5181.5200000000004</v>
      </c>
      <c r="U68" s="8">
        <f>IFERROR(T68/T148, "NA")</f>
        <v>0.18554870675038024</v>
      </c>
      <c r="V68" s="7">
        <v>5697.83</v>
      </c>
      <c r="W68" s="8">
        <f>IFERROR(V68/V148, "NA")</f>
        <v>0.20605117078021878</v>
      </c>
      <c r="X68" s="7">
        <v>5643.45</v>
      </c>
      <c r="Y68" s="8">
        <f>IFERROR(X68/X148, "NA")</f>
        <v>0.24083477610723741</v>
      </c>
      <c r="Z68" s="7">
        <v>21786.14</v>
      </c>
      <c r="AA68" s="8">
        <f>IFERROR(Z68/Z148, "NA")</f>
        <v>0.21440371134710523</v>
      </c>
      <c r="AB68" s="9">
        <f t="shared" si="24"/>
        <v>5446.5349999999999</v>
      </c>
      <c r="AC68" s="8">
        <f>IFERROR(AB68/AB148, "NA")</f>
        <v>0.21440371134710523</v>
      </c>
      <c r="AD68" s="10">
        <f t="shared" si="25"/>
        <v>196.91499999999996</v>
      </c>
      <c r="AE68" s="11">
        <f>IFERROR(AD68/AD148, "NA")</f>
        <v>-9.9941379634117533E-2</v>
      </c>
      <c r="AF68" s="10">
        <f t="shared" si="26"/>
        <v>3.6154178757687221E-2</v>
      </c>
      <c r="AG68" s="9">
        <f t="shared" si="27"/>
        <v>5562.6612500000001</v>
      </c>
      <c r="AH68" s="8">
        <f>IFERROR(AG68/AG148, "NA")</f>
        <v>0.22186588989598682</v>
      </c>
      <c r="AI68" s="10">
        <f t="shared" si="28"/>
        <v>80.788749999999709</v>
      </c>
      <c r="AJ68" s="11">
        <f>IFERROR(AI68/AI148, "NA")</f>
        <v>-4.928220507576727E-2</v>
      </c>
      <c r="AK68" s="10">
        <f t="shared" si="29"/>
        <v>1.4523399209326238E-2</v>
      </c>
      <c r="AL68" s="11">
        <f>IFERROR(AK68/AK148, "NA")</f>
        <v>-0.22212610103730371</v>
      </c>
    </row>
    <row r="69" spans="1:38" ht="16.5" customHeight="1">
      <c r="A69" s="25" t="s">
        <v>81</v>
      </c>
      <c r="B69" s="7">
        <v>0</v>
      </c>
      <c r="C69" s="8">
        <f>IFERROR(B69/B148, "NA")</f>
        <v>0</v>
      </c>
      <c r="D69" s="7">
        <v>68.260000000000005</v>
      </c>
      <c r="E69" s="8">
        <f>IFERROR(D69/D148, "NA")</f>
        <v>2.1574318406724262E-3</v>
      </c>
      <c r="F69" s="7">
        <v>13.35</v>
      </c>
      <c r="G69" s="8">
        <f>IFERROR(F69/F148, "NA")</f>
        <v>4.4380630896432232E-4</v>
      </c>
      <c r="H69" s="7">
        <v>0</v>
      </c>
      <c r="I69" s="8">
        <f>IFERROR(H69/H148, "NA")</f>
        <v>0</v>
      </c>
      <c r="J69" s="7">
        <v>0</v>
      </c>
      <c r="K69" s="8">
        <f>IFERROR(J69/J148, "NA")</f>
        <v>0</v>
      </c>
      <c r="L69" s="7">
        <v>0</v>
      </c>
      <c r="M69" s="8">
        <f>IFERROR(L69/L148, "NA")</f>
        <v>0</v>
      </c>
      <c r="N69" s="7">
        <v>23.26</v>
      </c>
      <c r="O69" s="8">
        <f>IFERROR(N69/N148, "NA")</f>
        <v>9.6709185168985373E-4</v>
      </c>
      <c r="P69" s="7">
        <v>0</v>
      </c>
      <c r="Q69" s="8">
        <f>IFERROR(P69/P148, "NA")</f>
        <v>0</v>
      </c>
      <c r="R69" s="7">
        <v>0</v>
      </c>
      <c r="S69" s="8">
        <f>IFERROR(R69/R148, "NA")</f>
        <v>0</v>
      </c>
      <c r="T69" s="7">
        <v>0</v>
      </c>
      <c r="U69" s="8">
        <f>IFERROR(T69/T148, "NA")</f>
        <v>0</v>
      </c>
      <c r="V69" s="7">
        <v>0</v>
      </c>
      <c r="W69" s="8">
        <f>IFERROR(V69/V148, "NA")</f>
        <v>0</v>
      </c>
      <c r="X69" s="7">
        <v>0</v>
      </c>
      <c r="Y69" s="8">
        <f>IFERROR(X69/X148, "NA")</f>
        <v>0</v>
      </c>
      <c r="Z69" s="7">
        <v>0</v>
      </c>
      <c r="AA69" s="8">
        <f>IFERROR(Z69/Z148, "NA")</f>
        <v>0</v>
      </c>
      <c r="AB69" s="9">
        <f t="shared" si="24"/>
        <v>0</v>
      </c>
      <c r="AC69" s="8">
        <f>IFERROR(AB69/AB148, "NA")</f>
        <v>0</v>
      </c>
      <c r="AD69" s="10">
        <f t="shared" si="25"/>
        <v>0</v>
      </c>
      <c r="AE69" s="11">
        <f>IFERROR(AD69/AD148, "NA")</f>
        <v>0</v>
      </c>
      <c r="AF69" s="10" t="str">
        <f t="shared" si="26"/>
        <v>NA</v>
      </c>
      <c r="AG69" s="9">
        <f t="shared" si="27"/>
        <v>2.9075000000000002</v>
      </c>
      <c r="AH69" s="8">
        <f>IFERROR(AG69/AG148, "NA")</f>
        <v>1.1596519109851992E-4</v>
      </c>
      <c r="AI69" s="10">
        <f t="shared" si="28"/>
        <v>-2.9075000000000002</v>
      </c>
      <c r="AJ69" s="11">
        <f>IFERROR(AI69/AI148, "NA")</f>
        <v>1.7736134209007301E-3</v>
      </c>
      <c r="AK69" s="10">
        <f t="shared" si="29"/>
        <v>-1</v>
      </c>
      <c r="AL69" s="11">
        <f>IFERROR(AK69/AK148, "NA")</f>
        <v>15.294360351581114</v>
      </c>
    </row>
    <row r="70" spans="1:38" ht="16.5" customHeight="1">
      <c r="A70" s="26" t="s">
        <v>82</v>
      </c>
      <c r="B70" s="13">
        <f>IFERROR(B65+B66+B67+B68+B69, "NA")</f>
        <v>6171.48</v>
      </c>
      <c r="C70" s="14">
        <f>IFERROR(B70/B148, "NA")</f>
        <v>0.24796841230190889</v>
      </c>
      <c r="D70" s="13">
        <f>IFERROR(D65+D66+D67+D68+D69, "NA")</f>
        <v>7446.16</v>
      </c>
      <c r="E70" s="14">
        <f>IFERROR(D70/D148, "NA")</f>
        <v>0.23534401808879857</v>
      </c>
      <c r="F70" s="13">
        <f>IFERROR(F65+F66+F67+F68+F69, "NA")</f>
        <v>7509.9400000000005</v>
      </c>
      <c r="G70" s="14">
        <f>IFERROR(F70/F148, "NA")</f>
        <v>0.2496598316062564</v>
      </c>
      <c r="H70" s="13">
        <f>IFERROR(H65+H66+H67+H68+H69, "NA")</f>
        <v>6938.01</v>
      </c>
      <c r="I70" s="14">
        <f>IFERROR(H70/H148, "NA")</f>
        <v>0.25987985911520362</v>
      </c>
      <c r="J70" s="13">
        <f>IFERROR(J65+J66+J67+J68+J69, "NA")</f>
        <v>7414.92</v>
      </c>
      <c r="K70" s="14">
        <f>IFERROR(J70/J148, "NA")</f>
        <v>0.32447476311773943</v>
      </c>
      <c r="L70" s="13">
        <f>IFERROR(L65+L66+L67+L68+L69, "NA")</f>
        <v>6441.62</v>
      </c>
      <c r="M70" s="14">
        <f>IFERROR(L70/L148, "NA")</f>
        <v>0.23892868177547613</v>
      </c>
      <c r="N70" s="13">
        <f>IFERROR(N65+N66+N67+N68+N69, "NA")</f>
        <v>7929.06</v>
      </c>
      <c r="O70" s="14">
        <f>IFERROR(N70/N148, "NA")</f>
        <v>0.32967022001547513</v>
      </c>
      <c r="P70" s="13">
        <f>IFERROR(P65+P66+P67+P68+P69, "NA")</f>
        <v>6145.13</v>
      </c>
      <c r="Q70" s="14">
        <f>IFERROR(P70/P148, "NA")</f>
        <v>0.24481867865250187</v>
      </c>
      <c r="R70" s="13">
        <f>IFERROR(R65+R66+R67+R68+R69, "NA")</f>
        <v>6561.42</v>
      </c>
      <c r="S70" s="14">
        <f>IFERROR(R70/R148, "NA")</f>
        <v>0.29030339873479888</v>
      </c>
      <c r="T70" s="13">
        <f>IFERROR(T65+T66+T67+T68+T69, "NA")</f>
        <v>6479.6</v>
      </c>
      <c r="U70" s="14">
        <f>IFERROR(T70/T148, "NA")</f>
        <v>0.23203256964361108</v>
      </c>
      <c r="V70" s="13">
        <f>IFERROR(V65+V66+V67+V68+V69, "NA")</f>
        <v>6995.91</v>
      </c>
      <c r="W70" s="14">
        <f>IFERROR(V70/V148, "NA")</f>
        <v>0.25299376186601574</v>
      </c>
      <c r="X70" s="13">
        <f>IFERROR(X65+X66+X67+X68+X69, "NA")</f>
        <v>6941.53</v>
      </c>
      <c r="Y70" s="14">
        <f>IFERROR(X70/X148, "NA")</f>
        <v>0.29623046600779163</v>
      </c>
      <c r="Z70" s="13">
        <f>IFERROR(Z65+Z66+Z67+Z68+Z69, "NA")</f>
        <v>26978.46</v>
      </c>
      <c r="AA70" s="14">
        <f>IFERROR(Z70/Z148, "NA")</f>
        <v>0.26550283576757627</v>
      </c>
      <c r="AB70" s="13">
        <f t="shared" si="24"/>
        <v>6744.6149999999998</v>
      </c>
      <c r="AC70" s="14">
        <f>IFERROR(AB70/AB148, "NA")</f>
        <v>0.26550283576757627</v>
      </c>
      <c r="AD70" s="15">
        <f t="shared" si="25"/>
        <v>196.91499999999996</v>
      </c>
      <c r="AE70" s="16">
        <f>IFERROR(AD70/AD148, "NA")</f>
        <v>-9.9941379634117533E-2</v>
      </c>
      <c r="AF70" s="15">
        <f t="shared" si="26"/>
        <v>2.9195884420385742E-2</v>
      </c>
      <c r="AG70" s="13">
        <f t="shared" si="27"/>
        <v>6863.6487500000003</v>
      </c>
      <c r="AH70" s="14">
        <f>IFERROR(AG70/AG148, "NA")</f>
        <v>0.27375557658705668</v>
      </c>
      <c r="AI70" s="15">
        <f t="shared" si="28"/>
        <v>77.881249999999454</v>
      </c>
      <c r="AJ70" s="16">
        <f>IFERROR(AI70/AI148, "NA")</f>
        <v>-4.7508591654866386E-2</v>
      </c>
      <c r="AK70" s="15">
        <f t="shared" si="29"/>
        <v>1.1346916609041139E-2</v>
      </c>
      <c r="AL70" s="16">
        <f>IFERROR(AK70/AK148, "NA")</f>
        <v>-0.173543831498016</v>
      </c>
    </row>
    <row r="71" spans="1:38" ht="16.5" hidden="1" customHeight="1">
      <c r="A71" s="23" t="s">
        <v>83</v>
      </c>
      <c r="B71" s="7">
        <v>0</v>
      </c>
      <c r="C71" s="8">
        <f>IFERROR(B71/B148, "NA")</f>
        <v>0</v>
      </c>
      <c r="D71" s="7">
        <v>0</v>
      </c>
      <c r="E71" s="8">
        <f>IFERROR(D71/D148, "NA")</f>
        <v>0</v>
      </c>
      <c r="F71" s="7">
        <v>0</v>
      </c>
      <c r="G71" s="8">
        <f>IFERROR(F71/F148, "NA")</f>
        <v>0</v>
      </c>
      <c r="H71" s="7">
        <v>0</v>
      </c>
      <c r="I71" s="8">
        <f>IFERROR(H71/H148, "NA")</f>
        <v>0</v>
      </c>
      <c r="J71" s="7">
        <v>0</v>
      </c>
      <c r="K71" s="8">
        <f>IFERROR(J71/J148, "NA")</f>
        <v>0</v>
      </c>
      <c r="L71" s="7">
        <v>0</v>
      </c>
      <c r="M71" s="8">
        <f>IFERROR(L71/L148, "NA")</f>
        <v>0</v>
      </c>
      <c r="N71" s="7">
        <v>0</v>
      </c>
      <c r="O71" s="8">
        <f>IFERROR(N71/N148, "NA")</f>
        <v>0</v>
      </c>
      <c r="P71" s="7">
        <v>0</v>
      </c>
      <c r="Q71" s="8">
        <f>IFERROR(P71/P148, "NA")</f>
        <v>0</v>
      </c>
      <c r="R71" s="7">
        <v>0</v>
      </c>
      <c r="S71" s="8">
        <f>IFERROR(R71/R148, "NA")</f>
        <v>0</v>
      </c>
      <c r="T71" s="7">
        <v>0</v>
      </c>
      <c r="U71" s="8">
        <f>IFERROR(T71/T148, "NA")</f>
        <v>0</v>
      </c>
      <c r="V71" s="7">
        <v>0</v>
      </c>
      <c r="W71" s="8">
        <f>IFERROR(V71/V148, "NA")</f>
        <v>0</v>
      </c>
      <c r="X71" s="7">
        <v>0</v>
      </c>
      <c r="Y71" s="8">
        <f>IFERROR(X71/X148, "NA")</f>
        <v>0</v>
      </c>
      <c r="Z71" s="7">
        <v>0</v>
      </c>
      <c r="AA71" s="8">
        <f>IFERROR(Z71/Z148, "NA")</f>
        <v>0</v>
      </c>
      <c r="AB71" s="9">
        <f t="shared" si="24"/>
        <v>0</v>
      </c>
      <c r="AC71" s="8">
        <f>IFERROR(AB71/AB148, "NA")</f>
        <v>0</v>
      </c>
      <c r="AD71" s="10">
        <f t="shared" si="25"/>
        <v>0</v>
      </c>
      <c r="AE71" s="11">
        <f>IFERROR(AD71/AD148, "NA")</f>
        <v>0</v>
      </c>
      <c r="AF71" s="10" t="str">
        <f t="shared" si="26"/>
        <v>NA</v>
      </c>
      <c r="AG71" s="9">
        <f t="shared" si="27"/>
        <v>0</v>
      </c>
      <c r="AH71" s="8">
        <f>IFERROR(AG71/AG148, "NA")</f>
        <v>0</v>
      </c>
      <c r="AI71" s="10">
        <f t="shared" si="28"/>
        <v>0</v>
      </c>
      <c r="AJ71" s="11">
        <f>IFERROR(AI71/AI148, "NA")</f>
        <v>0</v>
      </c>
      <c r="AK71" s="10" t="str">
        <f t="shared" si="29"/>
        <v>NA</v>
      </c>
      <c r="AL71" s="11" t="str">
        <f>IFERROR(AK71/AK148, "NA")</f>
        <v>NA</v>
      </c>
    </row>
    <row r="72" spans="1:38" ht="16.5" customHeight="1">
      <c r="A72" s="23" t="s">
        <v>84</v>
      </c>
      <c r="B72" s="7">
        <v>0</v>
      </c>
      <c r="C72" s="8">
        <f>IFERROR(B72/B148, "NA")</f>
        <v>0</v>
      </c>
      <c r="D72" s="7">
        <v>0</v>
      </c>
      <c r="E72" s="8">
        <f>IFERROR(D72/D148, "NA")</f>
        <v>0</v>
      </c>
      <c r="F72" s="7">
        <v>0</v>
      </c>
      <c r="G72" s="8">
        <f>IFERROR(F72/F148, "NA")</f>
        <v>0</v>
      </c>
      <c r="H72" s="7">
        <v>-813</v>
      </c>
      <c r="I72" s="8">
        <f>IFERROR(H72/H148, "NA")</f>
        <v>-3.0452871278747153E-2</v>
      </c>
      <c r="J72" s="7">
        <v>0</v>
      </c>
      <c r="K72" s="8">
        <f>IFERROR(J72/J148, "NA")</f>
        <v>0</v>
      </c>
      <c r="L72" s="7">
        <v>0</v>
      </c>
      <c r="M72" s="8">
        <f>IFERROR(L72/L148, "NA")</f>
        <v>0</v>
      </c>
      <c r="N72" s="7">
        <v>0</v>
      </c>
      <c r="O72" s="8">
        <f>IFERROR(N72/N148, "NA")</f>
        <v>0</v>
      </c>
      <c r="P72" s="7">
        <v>325</v>
      </c>
      <c r="Q72" s="8">
        <f>IFERROR(P72/P148, "NA")</f>
        <v>1.2947825442596513E-2</v>
      </c>
      <c r="R72" s="7">
        <v>0</v>
      </c>
      <c r="S72" s="8">
        <f>IFERROR(R72/R148, "NA")</f>
        <v>0</v>
      </c>
      <c r="T72" s="7">
        <v>0</v>
      </c>
      <c r="U72" s="8">
        <f>IFERROR(T72/T148, "NA")</f>
        <v>0</v>
      </c>
      <c r="V72" s="7">
        <v>0</v>
      </c>
      <c r="W72" s="8">
        <f>IFERROR(V72/V148, "NA")</f>
        <v>0</v>
      </c>
      <c r="X72" s="7">
        <v>0</v>
      </c>
      <c r="Y72" s="8">
        <f>IFERROR(X72/X148, "NA")</f>
        <v>0</v>
      </c>
      <c r="Z72" s="7">
        <v>0</v>
      </c>
      <c r="AA72" s="8">
        <f>IFERROR(Z72/Z148, "NA")</f>
        <v>0</v>
      </c>
      <c r="AB72" s="9">
        <f t="shared" si="24"/>
        <v>0</v>
      </c>
      <c r="AC72" s="8">
        <f>IFERROR(AB72/AB148, "NA")</f>
        <v>0</v>
      </c>
      <c r="AD72" s="10">
        <f t="shared" si="25"/>
        <v>0</v>
      </c>
      <c r="AE72" s="11">
        <f>IFERROR(AD72/AD148, "NA")</f>
        <v>0</v>
      </c>
      <c r="AF72" s="10" t="str">
        <f t="shared" si="26"/>
        <v>NA</v>
      </c>
      <c r="AG72" s="9">
        <f t="shared" si="27"/>
        <v>40.625</v>
      </c>
      <c r="AH72" s="8">
        <f>IFERROR(AG72/AG148, "NA")</f>
        <v>1.6203218876620366E-3</v>
      </c>
      <c r="AI72" s="10">
        <f t="shared" si="28"/>
        <v>-40.625</v>
      </c>
      <c r="AJ72" s="11">
        <f>IFERROR(AI72/AI148, "NA")</f>
        <v>2.4781786835457321E-2</v>
      </c>
      <c r="AK72" s="10">
        <f t="shared" si="29"/>
        <v>-1</v>
      </c>
      <c r="AL72" s="11">
        <f>IFERROR(AK72/AK148, "NA")</f>
        <v>15.294360351581114</v>
      </c>
    </row>
    <row r="73" spans="1:38" ht="16.5" customHeight="1">
      <c r="A73" s="24" t="s">
        <v>85</v>
      </c>
      <c r="B73" s="2"/>
      <c r="C73" s="3"/>
      <c r="D73" s="2"/>
      <c r="E73" s="3"/>
      <c r="F73" s="2"/>
      <c r="G73" s="3"/>
      <c r="H73" s="2"/>
      <c r="I73" s="3"/>
      <c r="J73" s="2"/>
      <c r="K73" s="3"/>
      <c r="L73" s="2"/>
      <c r="M73" s="3"/>
      <c r="N73" s="2"/>
      <c r="O73" s="3"/>
      <c r="P73" s="2"/>
      <c r="Q73" s="3"/>
      <c r="R73" s="2"/>
      <c r="S73" s="3"/>
      <c r="T73" s="2"/>
      <c r="U73" s="3"/>
      <c r="V73" s="2"/>
      <c r="W73" s="3"/>
      <c r="X73" s="2"/>
      <c r="Y73" s="3"/>
      <c r="Z73" s="2"/>
      <c r="AA73" s="3"/>
      <c r="AB73" s="2"/>
      <c r="AC73" s="3"/>
      <c r="AD73" s="4"/>
      <c r="AE73" s="5"/>
      <c r="AF73" s="4"/>
      <c r="AG73" s="2"/>
      <c r="AH73" s="3"/>
      <c r="AI73" s="4"/>
      <c r="AJ73" s="5"/>
      <c r="AK73" s="4"/>
      <c r="AL73" s="5"/>
    </row>
    <row r="74" spans="1:38" ht="16.5" customHeight="1">
      <c r="A74" s="25" t="s">
        <v>86</v>
      </c>
      <c r="B74" s="7">
        <v>548.44000000000005</v>
      </c>
      <c r="C74" s="8">
        <f>IFERROR(B74/B148, "NA")</f>
        <v>2.2036172205509689E-2</v>
      </c>
      <c r="D74" s="7">
        <v>652.21</v>
      </c>
      <c r="E74" s="8">
        <f>IFERROR(D74/D148, "NA")</f>
        <v>2.0613809270509272E-2</v>
      </c>
      <c r="F74" s="7">
        <v>663.13</v>
      </c>
      <c r="G74" s="8">
        <f>IFERROR(F74/F148, "NA")</f>
        <v>2.2045039525356632E-2</v>
      </c>
      <c r="H74" s="7">
        <v>621.16</v>
      </c>
      <c r="I74" s="8">
        <f>IFERROR(H74/H148, "NA")</f>
        <v>2.3267042464337737E-2</v>
      </c>
      <c r="J74" s="7">
        <v>634.97</v>
      </c>
      <c r="K74" s="8">
        <f>IFERROR(J74/J148, "NA")</f>
        <v>2.7786104278518315E-2</v>
      </c>
      <c r="L74" s="7">
        <v>555.4</v>
      </c>
      <c r="M74" s="8">
        <f>IFERROR(L74/L148, "NA")</f>
        <v>2.0600561637926396E-2</v>
      </c>
      <c r="N74" s="7">
        <v>692.95</v>
      </c>
      <c r="O74" s="8">
        <f>IFERROR(N74/N148, "NA")</f>
        <v>2.881110484215323E-2</v>
      </c>
      <c r="P74" s="7">
        <v>536.48</v>
      </c>
      <c r="Q74" s="8">
        <f>IFERROR(P74/P148, "NA")</f>
        <v>2.1373075056751314E-2</v>
      </c>
      <c r="R74" s="7">
        <v>564.29999999999995</v>
      </c>
      <c r="S74" s="8">
        <f>IFERROR(R74/R148, "NA")</f>
        <v>2.4966883373728096E-2</v>
      </c>
      <c r="T74" s="7">
        <v>567.59</v>
      </c>
      <c r="U74" s="8">
        <f>IFERROR(T74/T148, "NA")</f>
        <v>2.032523090993537E-2</v>
      </c>
      <c r="V74" s="7">
        <v>611.20000000000005</v>
      </c>
      <c r="W74" s="8">
        <f>IFERROR(V74/V148, "NA")</f>
        <v>2.210288400687099E-2</v>
      </c>
      <c r="X74" s="7">
        <v>601.4</v>
      </c>
      <c r="Y74" s="8">
        <f>IFERROR(X74/X148, "NA")</f>
        <v>2.5664803329681768E-2</v>
      </c>
      <c r="Z74" s="7">
        <v>2344.4899999999998</v>
      </c>
      <c r="AA74" s="8">
        <f>IFERROR(Z74/Z148, "NA")</f>
        <v>2.3072804875768481E-2</v>
      </c>
      <c r="AB74" s="9">
        <f t="shared" ref="AB74:AB85" si="30">IFERROR((R74+T74+V74+X74)/4, "NA")</f>
        <v>586.12249999999995</v>
      </c>
      <c r="AC74" s="8">
        <f>IFERROR(AB74/AB148, "NA")</f>
        <v>2.3072804875768481E-2</v>
      </c>
      <c r="AD74" s="10">
        <f t="shared" ref="AD74:AD85" si="31">IFERROR(X74-AB74, "NA")</f>
        <v>15.277500000000032</v>
      </c>
      <c r="AE74" s="11">
        <f>IFERROR(AD74/AD148, "NA")</f>
        <v>-7.7538756689954245E-3</v>
      </c>
      <c r="AF74" s="10">
        <f t="shared" ref="AF74:AF85" si="32">IFERROR((X74-AB74)/AB74, "NA")</f>
        <v>2.6065370293752641E-2</v>
      </c>
      <c r="AG74" s="9">
        <f t="shared" ref="AG74:AG85" si="33">IFERROR((J74+L74+N74+P74+R74+T74+V74+X74)/8, "NA")</f>
        <v>595.53625</v>
      </c>
      <c r="AH74" s="8">
        <f>IFERROR(AG74/AG148, "NA")</f>
        <v>2.3752871895905737E-2</v>
      </c>
      <c r="AI74" s="10">
        <f t="shared" ref="AI74:AI85" si="34">IFERROR(X74-AG74, "NA")</f>
        <v>5.8637499999999818</v>
      </c>
      <c r="AJ74" s="11">
        <f>IFERROR(AI74/AI148, "NA")</f>
        <v>-3.5769649860039978E-3</v>
      </c>
      <c r="AK74" s="10">
        <f t="shared" ref="AK74:AK85" si="35">IFERROR((X74-AG74)/AG74, "NA")</f>
        <v>9.8461680544215096E-3</v>
      </c>
      <c r="AL74" s="11">
        <f>IFERROR(AK74/AK148, "NA")</f>
        <v>-0.1505908423065489</v>
      </c>
    </row>
    <row r="75" spans="1:38" ht="16.5" hidden="1" customHeight="1">
      <c r="A75" s="25" t="s">
        <v>87</v>
      </c>
      <c r="B75" s="7">
        <v>0</v>
      </c>
      <c r="C75" s="8">
        <f>IFERROR(B75/B148, "NA")</f>
        <v>0</v>
      </c>
      <c r="D75" s="7">
        <v>0</v>
      </c>
      <c r="E75" s="8">
        <f>IFERROR(D75/D148, "NA")</f>
        <v>0</v>
      </c>
      <c r="F75" s="7">
        <v>0</v>
      </c>
      <c r="G75" s="8">
        <f>IFERROR(F75/F148, "NA")</f>
        <v>0</v>
      </c>
      <c r="H75" s="7">
        <v>0</v>
      </c>
      <c r="I75" s="8">
        <f>IFERROR(H75/H148, "NA")</f>
        <v>0</v>
      </c>
      <c r="J75" s="7">
        <v>0</v>
      </c>
      <c r="K75" s="8">
        <f>IFERROR(J75/J148, "NA")</f>
        <v>0</v>
      </c>
      <c r="L75" s="7">
        <v>0</v>
      </c>
      <c r="M75" s="8">
        <f>IFERROR(L75/L148, "NA")</f>
        <v>0</v>
      </c>
      <c r="N75" s="7">
        <v>0</v>
      </c>
      <c r="O75" s="8">
        <f>IFERROR(N75/N148, "NA")</f>
        <v>0</v>
      </c>
      <c r="P75" s="7">
        <v>0</v>
      </c>
      <c r="Q75" s="8">
        <f>IFERROR(P75/P148, "NA")</f>
        <v>0</v>
      </c>
      <c r="R75" s="7">
        <v>0</v>
      </c>
      <c r="S75" s="8">
        <f>IFERROR(R75/R148, "NA")</f>
        <v>0</v>
      </c>
      <c r="T75" s="7">
        <v>0</v>
      </c>
      <c r="U75" s="8">
        <f>IFERROR(T75/T148, "NA")</f>
        <v>0</v>
      </c>
      <c r="V75" s="7">
        <v>0</v>
      </c>
      <c r="W75" s="8">
        <f>IFERROR(V75/V148, "NA")</f>
        <v>0</v>
      </c>
      <c r="X75" s="7">
        <v>0</v>
      </c>
      <c r="Y75" s="8">
        <f>IFERROR(X75/X148, "NA")</f>
        <v>0</v>
      </c>
      <c r="Z75" s="7">
        <v>0</v>
      </c>
      <c r="AA75" s="8">
        <f>IFERROR(Z75/Z148, "NA")</f>
        <v>0</v>
      </c>
      <c r="AB75" s="9">
        <f t="shared" si="30"/>
        <v>0</v>
      </c>
      <c r="AC75" s="8">
        <f>IFERROR(AB75/AB148, "NA")</f>
        <v>0</v>
      </c>
      <c r="AD75" s="10">
        <f t="shared" si="31"/>
        <v>0</v>
      </c>
      <c r="AE75" s="11">
        <f>IFERROR(AD75/AD148, "NA")</f>
        <v>0</v>
      </c>
      <c r="AF75" s="10" t="str">
        <f t="shared" si="32"/>
        <v>NA</v>
      </c>
      <c r="AG75" s="9">
        <f t="shared" si="33"/>
        <v>0</v>
      </c>
      <c r="AH75" s="8">
        <f>IFERROR(AG75/AG148, "NA")</f>
        <v>0</v>
      </c>
      <c r="AI75" s="10">
        <f t="shared" si="34"/>
        <v>0</v>
      </c>
      <c r="AJ75" s="11">
        <f>IFERROR(AI75/AI148, "NA")</f>
        <v>0</v>
      </c>
      <c r="AK75" s="10" t="str">
        <f t="shared" si="35"/>
        <v>NA</v>
      </c>
      <c r="AL75" s="11" t="str">
        <f>IFERROR(AK75/AK148, "NA")</f>
        <v>NA</v>
      </c>
    </row>
    <row r="76" spans="1:38" ht="16.5" hidden="1" customHeight="1">
      <c r="A76" s="25" t="s">
        <v>88</v>
      </c>
      <c r="B76" s="7">
        <v>0</v>
      </c>
      <c r="C76" s="8">
        <f>IFERROR(B76/B148, "NA")</f>
        <v>0</v>
      </c>
      <c r="D76" s="7">
        <v>0</v>
      </c>
      <c r="E76" s="8">
        <f>IFERROR(D76/D148, "NA")</f>
        <v>0</v>
      </c>
      <c r="F76" s="7">
        <v>0</v>
      </c>
      <c r="G76" s="8">
        <f>IFERROR(F76/F148, "NA")</f>
        <v>0</v>
      </c>
      <c r="H76" s="7">
        <v>0</v>
      </c>
      <c r="I76" s="8">
        <f>IFERROR(H76/H148, "NA")</f>
        <v>0</v>
      </c>
      <c r="J76" s="7">
        <v>0</v>
      </c>
      <c r="K76" s="8">
        <f>IFERROR(J76/J148, "NA")</f>
        <v>0</v>
      </c>
      <c r="L76" s="7">
        <v>0</v>
      </c>
      <c r="M76" s="8">
        <f>IFERROR(L76/L148, "NA")</f>
        <v>0</v>
      </c>
      <c r="N76" s="7">
        <v>0</v>
      </c>
      <c r="O76" s="8">
        <f>IFERROR(N76/N148, "NA")</f>
        <v>0</v>
      </c>
      <c r="P76" s="7">
        <v>0</v>
      </c>
      <c r="Q76" s="8">
        <f>IFERROR(P76/P148, "NA")</f>
        <v>0</v>
      </c>
      <c r="R76" s="7">
        <v>0</v>
      </c>
      <c r="S76" s="8">
        <f>IFERROR(R76/R148, "NA")</f>
        <v>0</v>
      </c>
      <c r="T76" s="7">
        <v>0</v>
      </c>
      <c r="U76" s="8">
        <f>IFERROR(T76/T148, "NA")</f>
        <v>0</v>
      </c>
      <c r="V76" s="7">
        <v>0</v>
      </c>
      <c r="W76" s="8">
        <f>IFERROR(V76/V148, "NA")</f>
        <v>0</v>
      </c>
      <c r="X76" s="7">
        <v>0</v>
      </c>
      <c r="Y76" s="8">
        <f>IFERROR(X76/X148, "NA")</f>
        <v>0</v>
      </c>
      <c r="Z76" s="7">
        <v>0</v>
      </c>
      <c r="AA76" s="8">
        <f>IFERROR(Z76/Z148, "NA")</f>
        <v>0</v>
      </c>
      <c r="AB76" s="9">
        <f t="shared" si="30"/>
        <v>0</v>
      </c>
      <c r="AC76" s="8">
        <f>IFERROR(AB76/AB148, "NA")</f>
        <v>0</v>
      </c>
      <c r="AD76" s="10">
        <f t="shared" si="31"/>
        <v>0</v>
      </c>
      <c r="AE76" s="11">
        <f>IFERROR(AD76/AD148, "NA")</f>
        <v>0</v>
      </c>
      <c r="AF76" s="10" t="str">
        <f t="shared" si="32"/>
        <v>NA</v>
      </c>
      <c r="AG76" s="9">
        <f t="shared" si="33"/>
        <v>0</v>
      </c>
      <c r="AH76" s="8">
        <f>IFERROR(AG76/AG148, "NA")</f>
        <v>0</v>
      </c>
      <c r="AI76" s="10">
        <f t="shared" si="34"/>
        <v>0</v>
      </c>
      <c r="AJ76" s="11">
        <f>IFERROR(AI76/AI148, "NA")</f>
        <v>0</v>
      </c>
      <c r="AK76" s="10" t="str">
        <f t="shared" si="35"/>
        <v>NA</v>
      </c>
      <c r="AL76" s="11" t="str">
        <f>IFERROR(AK76/AK148, "NA")</f>
        <v>NA</v>
      </c>
    </row>
    <row r="77" spans="1:38" ht="16.5" hidden="1" customHeight="1">
      <c r="A77" s="25" t="s">
        <v>89</v>
      </c>
      <c r="B77" s="7">
        <v>0</v>
      </c>
      <c r="C77" s="8">
        <f>IFERROR(B77/B148, "NA")</f>
        <v>0</v>
      </c>
      <c r="D77" s="7">
        <v>0</v>
      </c>
      <c r="E77" s="8">
        <f>IFERROR(D77/D148, "NA")</f>
        <v>0</v>
      </c>
      <c r="F77" s="7">
        <v>0</v>
      </c>
      <c r="G77" s="8">
        <f>IFERROR(F77/F148, "NA")</f>
        <v>0</v>
      </c>
      <c r="H77" s="7">
        <v>0</v>
      </c>
      <c r="I77" s="8">
        <f>IFERROR(H77/H148, "NA")</f>
        <v>0</v>
      </c>
      <c r="J77" s="7">
        <v>0</v>
      </c>
      <c r="K77" s="8">
        <f>IFERROR(J77/J148, "NA")</f>
        <v>0</v>
      </c>
      <c r="L77" s="7">
        <v>0</v>
      </c>
      <c r="M77" s="8">
        <f>IFERROR(L77/L148, "NA")</f>
        <v>0</v>
      </c>
      <c r="N77" s="7">
        <v>0</v>
      </c>
      <c r="O77" s="8">
        <f>IFERROR(N77/N148, "NA")</f>
        <v>0</v>
      </c>
      <c r="P77" s="7">
        <v>0</v>
      </c>
      <c r="Q77" s="8">
        <f>IFERROR(P77/P148, "NA")</f>
        <v>0</v>
      </c>
      <c r="R77" s="7">
        <v>0</v>
      </c>
      <c r="S77" s="8">
        <f>IFERROR(R77/R148, "NA")</f>
        <v>0</v>
      </c>
      <c r="T77" s="7">
        <v>0</v>
      </c>
      <c r="U77" s="8">
        <f>IFERROR(T77/T148, "NA")</f>
        <v>0</v>
      </c>
      <c r="V77" s="7">
        <v>0</v>
      </c>
      <c r="W77" s="8">
        <f>IFERROR(V77/V148, "NA")</f>
        <v>0</v>
      </c>
      <c r="X77" s="7">
        <v>0</v>
      </c>
      <c r="Y77" s="8">
        <f>IFERROR(X77/X148, "NA")</f>
        <v>0</v>
      </c>
      <c r="Z77" s="7">
        <v>0</v>
      </c>
      <c r="AA77" s="8">
        <f>IFERROR(Z77/Z148, "NA")</f>
        <v>0</v>
      </c>
      <c r="AB77" s="9">
        <f t="shared" si="30"/>
        <v>0</v>
      </c>
      <c r="AC77" s="8">
        <f>IFERROR(AB77/AB148, "NA")</f>
        <v>0</v>
      </c>
      <c r="AD77" s="10">
        <f t="shared" si="31"/>
        <v>0</v>
      </c>
      <c r="AE77" s="11">
        <f>IFERROR(AD77/AD148, "NA")</f>
        <v>0</v>
      </c>
      <c r="AF77" s="10" t="str">
        <f t="shared" si="32"/>
        <v>NA</v>
      </c>
      <c r="AG77" s="9">
        <f t="shared" si="33"/>
        <v>0</v>
      </c>
      <c r="AH77" s="8">
        <f>IFERROR(AG77/AG148, "NA")</f>
        <v>0</v>
      </c>
      <c r="AI77" s="10">
        <f t="shared" si="34"/>
        <v>0</v>
      </c>
      <c r="AJ77" s="11">
        <f>IFERROR(AI77/AI148, "NA")</f>
        <v>0</v>
      </c>
      <c r="AK77" s="10" t="str">
        <f t="shared" si="35"/>
        <v>NA</v>
      </c>
      <c r="AL77" s="11" t="str">
        <f>IFERROR(AK77/AK148, "NA")</f>
        <v>NA</v>
      </c>
    </row>
    <row r="78" spans="1:38" ht="16.5" hidden="1" customHeight="1">
      <c r="A78" s="25" t="s">
        <v>90</v>
      </c>
      <c r="B78" s="7">
        <v>0</v>
      </c>
      <c r="C78" s="8">
        <f>IFERROR(B78/B148, "NA")</f>
        <v>0</v>
      </c>
      <c r="D78" s="7">
        <v>0</v>
      </c>
      <c r="E78" s="8">
        <f>IFERROR(D78/D148, "NA")</f>
        <v>0</v>
      </c>
      <c r="F78" s="7">
        <v>0</v>
      </c>
      <c r="G78" s="8">
        <f>IFERROR(F78/F148, "NA")</f>
        <v>0</v>
      </c>
      <c r="H78" s="7">
        <v>0</v>
      </c>
      <c r="I78" s="8">
        <f>IFERROR(H78/H148, "NA")</f>
        <v>0</v>
      </c>
      <c r="J78" s="7">
        <v>0</v>
      </c>
      <c r="K78" s="8">
        <f>IFERROR(J78/J148, "NA")</f>
        <v>0</v>
      </c>
      <c r="L78" s="7">
        <v>0</v>
      </c>
      <c r="M78" s="8">
        <f>IFERROR(L78/L148, "NA")</f>
        <v>0</v>
      </c>
      <c r="N78" s="7">
        <v>0</v>
      </c>
      <c r="O78" s="8">
        <f>IFERROR(N78/N148, "NA")</f>
        <v>0</v>
      </c>
      <c r="P78" s="7">
        <v>0</v>
      </c>
      <c r="Q78" s="8">
        <f>IFERROR(P78/P148, "NA")</f>
        <v>0</v>
      </c>
      <c r="R78" s="7">
        <v>0</v>
      </c>
      <c r="S78" s="8">
        <f>IFERROR(R78/R148, "NA")</f>
        <v>0</v>
      </c>
      <c r="T78" s="7">
        <v>0</v>
      </c>
      <c r="U78" s="8">
        <f>IFERROR(T78/T148, "NA")</f>
        <v>0</v>
      </c>
      <c r="V78" s="7">
        <v>0</v>
      </c>
      <c r="W78" s="8">
        <f>IFERROR(V78/V148, "NA")</f>
        <v>0</v>
      </c>
      <c r="X78" s="7">
        <v>0</v>
      </c>
      <c r="Y78" s="8">
        <f>IFERROR(X78/X148, "NA")</f>
        <v>0</v>
      </c>
      <c r="Z78" s="7">
        <v>0</v>
      </c>
      <c r="AA78" s="8">
        <f>IFERROR(Z78/Z148, "NA")</f>
        <v>0</v>
      </c>
      <c r="AB78" s="9">
        <f t="shared" si="30"/>
        <v>0</v>
      </c>
      <c r="AC78" s="8">
        <f>IFERROR(AB78/AB148, "NA")</f>
        <v>0</v>
      </c>
      <c r="AD78" s="10">
        <f t="shared" si="31"/>
        <v>0</v>
      </c>
      <c r="AE78" s="11">
        <f>IFERROR(AD78/AD148, "NA")</f>
        <v>0</v>
      </c>
      <c r="AF78" s="10" t="str">
        <f t="shared" si="32"/>
        <v>NA</v>
      </c>
      <c r="AG78" s="9">
        <f t="shared" si="33"/>
        <v>0</v>
      </c>
      <c r="AH78" s="8">
        <f>IFERROR(AG78/AG148, "NA")</f>
        <v>0</v>
      </c>
      <c r="AI78" s="10">
        <f t="shared" si="34"/>
        <v>0</v>
      </c>
      <c r="AJ78" s="11">
        <f>IFERROR(AI78/AI148, "NA")</f>
        <v>0</v>
      </c>
      <c r="AK78" s="10" t="str">
        <f t="shared" si="35"/>
        <v>NA</v>
      </c>
      <c r="AL78" s="11" t="str">
        <f>IFERROR(AK78/AK148, "NA")</f>
        <v>NA</v>
      </c>
    </row>
    <row r="79" spans="1:38" ht="16.5" hidden="1" customHeight="1">
      <c r="A79" s="25" t="s">
        <v>91</v>
      </c>
      <c r="B79" s="7">
        <v>0</v>
      </c>
      <c r="C79" s="8">
        <f>IFERROR(B79/B148, "NA")</f>
        <v>0</v>
      </c>
      <c r="D79" s="7">
        <v>0</v>
      </c>
      <c r="E79" s="8">
        <f>IFERROR(D79/D148, "NA")</f>
        <v>0</v>
      </c>
      <c r="F79" s="7">
        <v>0</v>
      </c>
      <c r="G79" s="8">
        <f>IFERROR(F79/F148, "NA")</f>
        <v>0</v>
      </c>
      <c r="H79" s="7">
        <v>0</v>
      </c>
      <c r="I79" s="8">
        <f>IFERROR(H79/H148, "NA")</f>
        <v>0</v>
      </c>
      <c r="J79" s="7">
        <v>0</v>
      </c>
      <c r="K79" s="8">
        <f>IFERROR(J79/J148, "NA")</f>
        <v>0</v>
      </c>
      <c r="L79" s="7">
        <v>0</v>
      </c>
      <c r="M79" s="8">
        <f>IFERROR(L79/L148, "NA")</f>
        <v>0</v>
      </c>
      <c r="N79" s="7">
        <v>0</v>
      </c>
      <c r="O79" s="8">
        <f>IFERROR(N79/N148, "NA")</f>
        <v>0</v>
      </c>
      <c r="P79" s="7">
        <v>0</v>
      </c>
      <c r="Q79" s="8">
        <f>IFERROR(P79/P148, "NA")</f>
        <v>0</v>
      </c>
      <c r="R79" s="7">
        <v>0</v>
      </c>
      <c r="S79" s="8">
        <f>IFERROR(R79/R148, "NA")</f>
        <v>0</v>
      </c>
      <c r="T79" s="7">
        <v>0</v>
      </c>
      <c r="U79" s="8">
        <f>IFERROR(T79/T148, "NA")</f>
        <v>0</v>
      </c>
      <c r="V79" s="7">
        <v>0</v>
      </c>
      <c r="W79" s="8">
        <f>IFERROR(V79/V148, "NA")</f>
        <v>0</v>
      </c>
      <c r="X79" s="7">
        <v>0</v>
      </c>
      <c r="Y79" s="8">
        <f>IFERROR(X79/X148, "NA")</f>
        <v>0</v>
      </c>
      <c r="Z79" s="7">
        <v>0</v>
      </c>
      <c r="AA79" s="8">
        <f>IFERROR(Z79/Z148, "NA")</f>
        <v>0</v>
      </c>
      <c r="AB79" s="9">
        <f t="shared" si="30"/>
        <v>0</v>
      </c>
      <c r="AC79" s="8">
        <f>IFERROR(AB79/AB148, "NA")</f>
        <v>0</v>
      </c>
      <c r="AD79" s="10">
        <f t="shared" si="31"/>
        <v>0</v>
      </c>
      <c r="AE79" s="11">
        <f>IFERROR(AD79/AD148, "NA")</f>
        <v>0</v>
      </c>
      <c r="AF79" s="10" t="str">
        <f t="shared" si="32"/>
        <v>NA</v>
      </c>
      <c r="AG79" s="9">
        <f t="shared" si="33"/>
        <v>0</v>
      </c>
      <c r="AH79" s="8">
        <f>IFERROR(AG79/AG148, "NA")</f>
        <v>0</v>
      </c>
      <c r="AI79" s="10">
        <f t="shared" si="34"/>
        <v>0</v>
      </c>
      <c r="AJ79" s="11">
        <f>IFERROR(AI79/AI148, "NA")</f>
        <v>0</v>
      </c>
      <c r="AK79" s="10" t="str">
        <f t="shared" si="35"/>
        <v>NA</v>
      </c>
      <c r="AL79" s="11" t="str">
        <f>IFERROR(AK79/AK148, "NA")</f>
        <v>NA</v>
      </c>
    </row>
    <row r="80" spans="1:38" ht="16.5" hidden="1" customHeight="1">
      <c r="A80" s="25" t="s">
        <v>92</v>
      </c>
      <c r="B80" s="7">
        <v>0</v>
      </c>
      <c r="C80" s="8">
        <f>IFERROR(B80/B148, "NA")</f>
        <v>0</v>
      </c>
      <c r="D80" s="7">
        <v>0</v>
      </c>
      <c r="E80" s="8">
        <f>IFERROR(D80/D148, "NA")</f>
        <v>0</v>
      </c>
      <c r="F80" s="7">
        <v>0</v>
      </c>
      <c r="G80" s="8">
        <f>IFERROR(F80/F148, "NA")</f>
        <v>0</v>
      </c>
      <c r="H80" s="7">
        <v>0</v>
      </c>
      <c r="I80" s="8">
        <f>IFERROR(H80/H148, "NA")</f>
        <v>0</v>
      </c>
      <c r="J80" s="7">
        <v>0</v>
      </c>
      <c r="K80" s="8">
        <f>IFERROR(J80/J148, "NA")</f>
        <v>0</v>
      </c>
      <c r="L80" s="7">
        <v>0</v>
      </c>
      <c r="M80" s="8">
        <f>IFERROR(L80/L148, "NA")</f>
        <v>0</v>
      </c>
      <c r="N80" s="7">
        <v>0</v>
      </c>
      <c r="O80" s="8">
        <f>IFERROR(N80/N148, "NA")</f>
        <v>0</v>
      </c>
      <c r="P80" s="7">
        <v>0</v>
      </c>
      <c r="Q80" s="8">
        <f>IFERROR(P80/P148, "NA")</f>
        <v>0</v>
      </c>
      <c r="R80" s="7">
        <v>0</v>
      </c>
      <c r="S80" s="8">
        <f>IFERROR(R80/R148, "NA")</f>
        <v>0</v>
      </c>
      <c r="T80" s="7">
        <v>0</v>
      </c>
      <c r="U80" s="8">
        <f>IFERROR(T80/T148, "NA")</f>
        <v>0</v>
      </c>
      <c r="V80" s="7">
        <v>0</v>
      </c>
      <c r="W80" s="8">
        <f>IFERROR(V80/V148, "NA")</f>
        <v>0</v>
      </c>
      <c r="X80" s="7">
        <v>0</v>
      </c>
      <c r="Y80" s="8">
        <f>IFERROR(X80/X148, "NA")</f>
        <v>0</v>
      </c>
      <c r="Z80" s="7">
        <v>0</v>
      </c>
      <c r="AA80" s="8">
        <f>IFERROR(Z80/Z148, "NA")</f>
        <v>0</v>
      </c>
      <c r="AB80" s="9">
        <f t="shared" si="30"/>
        <v>0</v>
      </c>
      <c r="AC80" s="8">
        <f>IFERROR(AB80/AB148, "NA")</f>
        <v>0</v>
      </c>
      <c r="AD80" s="10">
        <f t="shared" si="31"/>
        <v>0</v>
      </c>
      <c r="AE80" s="11">
        <f>IFERROR(AD80/AD148, "NA")</f>
        <v>0</v>
      </c>
      <c r="AF80" s="10" t="str">
        <f t="shared" si="32"/>
        <v>NA</v>
      </c>
      <c r="AG80" s="9">
        <f t="shared" si="33"/>
        <v>0</v>
      </c>
      <c r="AH80" s="8">
        <f>IFERROR(AG80/AG148, "NA")</f>
        <v>0</v>
      </c>
      <c r="AI80" s="10">
        <f t="shared" si="34"/>
        <v>0</v>
      </c>
      <c r="AJ80" s="11">
        <f>IFERROR(AI80/AI148, "NA")</f>
        <v>0</v>
      </c>
      <c r="AK80" s="10" t="str">
        <f t="shared" si="35"/>
        <v>NA</v>
      </c>
      <c r="AL80" s="11" t="str">
        <f>IFERROR(AK80/AK148, "NA")</f>
        <v>NA</v>
      </c>
    </row>
    <row r="81" spans="1:38" ht="16.5" customHeight="1">
      <c r="A81" s="26" t="s">
        <v>93</v>
      </c>
      <c r="B81" s="13">
        <f>IFERROR(B74+B75+B76+B77+B78+B79+B80, "NA")</f>
        <v>548.44000000000005</v>
      </c>
      <c r="C81" s="14">
        <f>IFERROR(B81/B148, "NA")</f>
        <v>2.2036172205509689E-2</v>
      </c>
      <c r="D81" s="13">
        <f>IFERROR(D74+D75+D76+D77+D78+D79+D80, "NA")</f>
        <v>652.21</v>
      </c>
      <c r="E81" s="14">
        <f>IFERROR(D81/D148, "NA")</f>
        <v>2.0613809270509272E-2</v>
      </c>
      <c r="F81" s="13">
        <f>IFERROR(F74+F75+F76+F77+F78+F79+F80, "NA")</f>
        <v>663.13</v>
      </c>
      <c r="G81" s="14">
        <f>IFERROR(F81/F148, "NA")</f>
        <v>2.2045039525356632E-2</v>
      </c>
      <c r="H81" s="13">
        <f>IFERROR(H74+H75+H76+H77+H78+H79+H80, "NA")</f>
        <v>621.16</v>
      </c>
      <c r="I81" s="14">
        <f>IFERROR(H81/H148, "NA")</f>
        <v>2.3267042464337737E-2</v>
      </c>
      <c r="J81" s="13">
        <f>IFERROR(J74+J75+J76+J77+J78+J79+J80, "NA")</f>
        <v>634.97</v>
      </c>
      <c r="K81" s="14">
        <f>IFERROR(J81/J148, "NA")</f>
        <v>2.7786104278518315E-2</v>
      </c>
      <c r="L81" s="13">
        <f>IFERROR(L74+L75+L76+L77+L78+L79+L80, "NA")</f>
        <v>555.4</v>
      </c>
      <c r="M81" s="14">
        <f>IFERROR(L81/L148, "NA")</f>
        <v>2.0600561637926396E-2</v>
      </c>
      <c r="N81" s="13">
        <f>IFERROR(N74+N75+N76+N77+N78+N79+N80, "NA")</f>
        <v>692.95</v>
      </c>
      <c r="O81" s="14">
        <f>IFERROR(N81/N148, "NA")</f>
        <v>2.881110484215323E-2</v>
      </c>
      <c r="P81" s="13">
        <f>IFERROR(P74+P75+P76+P77+P78+P79+P80, "NA")</f>
        <v>536.48</v>
      </c>
      <c r="Q81" s="14">
        <f>IFERROR(P81/P148, "NA")</f>
        <v>2.1373075056751314E-2</v>
      </c>
      <c r="R81" s="13">
        <f>IFERROR(R74+R75+R76+R77+R78+R79+R80, "NA")</f>
        <v>564.29999999999995</v>
      </c>
      <c r="S81" s="14">
        <f>IFERROR(R81/R148, "NA")</f>
        <v>2.4966883373728096E-2</v>
      </c>
      <c r="T81" s="13">
        <f>IFERROR(T74+T75+T76+T77+T78+T79+T80, "NA")</f>
        <v>567.59</v>
      </c>
      <c r="U81" s="14">
        <f>IFERROR(T81/T148, "NA")</f>
        <v>2.032523090993537E-2</v>
      </c>
      <c r="V81" s="13">
        <f>IFERROR(V74+V75+V76+V77+V78+V79+V80, "NA")</f>
        <v>611.20000000000005</v>
      </c>
      <c r="W81" s="14">
        <f>IFERROR(V81/V148, "NA")</f>
        <v>2.210288400687099E-2</v>
      </c>
      <c r="X81" s="13">
        <f>IFERROR(X74+X75+X76+X77+X78+X79+X80, "NA")</f>
        <v>601.4</v>
      </c>
      <c r="Y81" s="14">
        <f>IFERROR(X81/X148, "NA")</f>
        <v>2.5664803329681768E-2</v>
      </c>
      <c r="Z81" s="13">
        <f>IFERROR(Z74+Z75+Z76+Z77+Z78+Z79+Z80, "NA")</f>
        <v>2344.4899999999998</v>
      </c>
      <c r="AA81" s="14">
        <f>IFERROR(Z81/Z148, "NA")</f>
        <v>2.3072804875768481E-2</v>
      </c>
      <c r="AB81" s="13">
        <f t="shared" si="30"/>
        <v>586.12249999999995</v>
      </c>
      <c r="AC81" s="14">
        <f>IFERROR(AB81/AB148, "NA")</f>
        <v>2.3072804875768481E-2</v>
      </c>
      <c r="AD81" s="15">
        <f t="shared" si="31"/>
        <v>15.277500000000032</v>
      </c>
      <c r="AE81" s="16">
        <f>IFERROR(AD81/AD148, "NA")</f>
        <v>-7.7538756689954245E-3</v>
      </c>
      <c r="AF81" s="15">
        <f t="shared" si="32"/>
        <v>2.6065370293752641E-2</v>
      </c>
      <c r="AG81" s="13">
        <f t="shared" si="33"/>
        <v>595.53625</v>
      </c>
      <c r="AH81" s="14">
        <f>IFERROR(AG81/AG148, "NA")</f>
        <v>2.3752871895905737E-2</v>
      </c>
      <c r="AI81" s="15">
        <f t="shared" si="34"/>
        <v>5.8637499999999818</v>
      </c>
      <c r="AJ81" s="16">
        <f>IFERROR(AI81/AI148, "NA")</f>
        <v>-3.5769649860039978E-3</v>
      </c>
      <c r="AK81" s="15">
        <f t="shared" si="35"/>
        <v>9.8461680544215096E-3</v>
      </c>
      <c r="AL81" s="16">
        <f>IFERROR(AK81/AK148, "NA")</f>
        <v>-0.1505908423065489</v>
      </c>
    </row>
    <row r="82" spans="1:38" ht="16.5" customHeight="1">
      <c r="A82" s="23" t="s">
        <v>94</v>
      </c>
      <c r="B82" s="7">
        <v>288.32</v>
      </c>
      <c r="C82" s="8">
        <f>IFERROR(B82/B148, "NA")</f>
        <v>1.158462032363167E-2</v>
      </c>
      <c r="D82" s="7">
        <v>0</v>
      </c>
      <c r="E82" s="8">
        <f>IFERROR(D82/D148, "NA")</f>
        <v>0</v>
      </c>
      <c r="F82" s="7">
        <v>0</v>
      </c>
      <c r="G82" s="8">
        <f>IFERROR(F82/F148, "NA")</f>
        <v>0</v>
      </c>
      <c r="H82" s="7">
        <v>0</v>
      </c>
      <c r="I82" s="8">
        <f>IFERROR(H82/H148, "NA")</f>
        <v>0</v>
      </c>
      <c r="J82" s="7">
        <v>301.04000000000002</v>
      </c>
      <c r="K82" s="8">
        <f>IFERROR(J82/J148, "NA")</f>
        <v>1.3173423676717252E-2</v>
      </c>
      <c r="L82" s="7">
        <v>0</v>
      </c>
      <c r="M82" s="8">
        <f>IFERROR(L82/L148, "NA")</f>
        <v>0</v>
      </c>
      <c r="N82" s="7">
        <v>0</v>
      </c>
      <c r="O82" s="8">
        <f>IFERROR(N82/N148, "NA")</f>
        <v>0</v>
      </c>
      <c r="P82" s="7">
        <v>0</v>
      </c>
      <c r="Q82" s="8">
        <f>IFERROR(P82/P148, "NA")</f>
        <v>0</v>
      </c>
      <c r="R82" s="7">
        <v>0</v>
      </c>
      <c r="S82" s="8">
        <f>IFERROR(R82/R148, "NA")</f>
        <v>0</v>
      </c>
      <c r="T82" s="7">
        <v>301.04000000000002</v>
      </c>
      <c r="U82" s="8">
        <f>IFERROR(T82/T148, "NA")</f>
        <v>1.0780153831334138E-2</v>
      </c>
      <c r="V82" s="7">
        <v>0</v>
      </c>
      <c r="W82" s="8">
        <f>IFERROR(V82/V148, "NA")</f>
        <v>0</v>
      </c>
      <c r="X82" s="7">
        <v>0</v>
      </c>
      <c r="Y82" s="8">
        <f>IFERROR(X82/X148, "NA")</f>
        <v>0</v>
      </c>
      <c r="Z82" s="7">
        <v>301.04000000000002</v>
      </c>
      <c r="AA82" s="8">
        <f>IFERROR(Z82/Z148, "NA")</f>
        <v>2.9626217982594697E-3</v>
      </c>
      <c r="AB82" s="9">
        <f t="shared" si="30"/>
        <v>75.260000000000005</v>
      </c>
      <c r="AC82" s="8">
        <f>IFERROR(AB82/AB148, "NA")</f>
        <v>2.9626217982594697E-3</v>
      </c>
      <c r="AD82" s="10">
        <f t="shared" si="31"/>
        <v>-75.260000000000005</v>
      </c>
      <c r="AE82" s="11">
        <f>IFERROR(AD82/AD148, "NA")</f>
        <v>3.8197131916124658E-2</v>
      </c>
      <c r="AF82" s="10">
        <f t="shared" si="32"/>
        <v>-1</v>
      </c>
      <c r="AG82" s="9">
        <f t="shared" si="33"/>
        <v>75.260000000000005</v>
      </c>
      <c r="AH82" s="8">
        <f>IFERROR(AG82/AG148, "NA")</f>
        <v>3.0017335449955664E-3</v>
      </c>
      <c r="AI82" s="10">
        <f t="shared" si="34"/>
        <v>-75.260000000000005</v>
      </c>
      <c r="AJ82" s="11">
        <f>IFERROR(AI82/AI148, "NA")</f>
        <v>4.5909594516591212E-2</v>
      </c>
      <c r="AK82" s="10">
        <f t="shared" si="35"/>
        <v>-1</v>
      </c>
      <c r="AL82" s="11">
        <f>IFERROR(AK82/AK148, "NA")</f>
        <v>15.294360351581114</v>
      </c>
    </row>
    <row r="83" spans="1:38" ht="16.5" hidden="1" customHeight="1">
      <c r="A83" s="23" t="s">
        <v>95</v>
      </c>
      <c r="B83" s="7">
        <v>0</v>
      </c>
      <c r="C83" s="8">
        <f>IFERROR(B83/B148, "NA")</f>
        <v>0</v>
      </c>
      <c r="D83" s="7">
        <v>0</v>
      </c>
      <c r="E83" s="8">
        <f>IFERROR(D83/D148, "NA")</f>
        <v>0</v>
      </c>
      <c r="F83" s="7">
        <v>0</v>
      </c>
      <c r="G83" s="8">
        <f>IFERROR(F83/F148, "NA")</f>
        <v>0</v>
      </c>
      <c r="H83" s="7">
        <v>0</v>
      </c>
      <c r="I83" s="8">
        <f>IFERROR(H83/H148, "NA")</f>
        <v>0</v>
      </c>
      <c r="J83" s="7">
        <v>0</v>
      </c>
      <c r="K83" s="8">
        <f>IFERROR(J83/J148, "NA")</f>
        <v>0</v>
      </c>
      <c r="L83" s="7">
        <v>0</v>
      </c>
      <c r="M83" s="8">
        <f>IFERROR(L83/L148, "NA")</f>
        <v>0</v>
      </c>
      <c r="N83" s="7">
        <v>0</v>
      </c>
      <c r="O83" s="8">
        <f>IFERROR(N83/N148, "NA")</f>
        <v>0</v>
      </c>
      <c r="P83" s="7">
        <v>0</v>
      </c>
      <c r="Q83" s="8">
        <f>IFERROR(P83/P148, "NA")</f>
        <v>0</v>
      </c>
      <c r="R83" s="7">
        <v>0</v>
      </c>
      <c r="S83" s="8">
        <f>IFERROR(R83/R148, "NA")</f>
        <v>0</v>
      </c>
      <c r="T83" s="7">
        <v>0</v>
      </c>
      <c r="U83" s="8">
        <f>IFERROR(T83/T148, "NA")</f>
        <v>0</v>
      </c>
      <c r="V83" s="7">
        <v>0</v>
      </c>
      <c r="W83" s="8">
        <f>IFERROR(V83/V148, "NA")</f>
        <v>0</v>
      </c>
      <c r="X83" s="7">
        <v>0</v>
      </c>
      <c r="Y83" s="8">
        <f>IFERROR(X83/X148, "NA")</f>
        <v>0</v>
      </c>
      <c r="Z83" s="7">
        <v>0</v>
      </c>
      <c r="AA83" s="8">
        <f>IFERROR(Z83/Z148, "NA")</f>
        <v>0</v>
      </c>
      <c r="AB83" s="9">
        <f t="shared" si="30"/>
        <v>0</v>
      </c>
      <c r="AC83" s="8">
        <f>IFERROR(AB83/AB148, "NA")</f>
        <v>0</v>
      </c>
      <c r="AD83" s="10">
        <f t="shared" si="31"/>
        <v>0</v>
      </c>
      <c r="AE83" s="11">
        <f>IFERROR(AD83/AD148, "NA")</f>
        <v>0</v>
      </c>
      <c r="AF83" s="10" t="str">
        <f t="shared" si="32"/>
        <v>NA</v>
      </c>
      <c r="AG83" s="9">
        <f t="shared" si="33"/>
        <v>0</v>
      </c>
      <c r="AH83" s="8">
        <f>IFERROR(AG83/AG148, "NA")</f>
        <v>0</v>
      </c>
      <c r="AI83" s="10">
        <f t="shared" si="34"/>
        <v>0</v>
      </c>
      <c r="AJ83" s="11">
        <f>IFERROR(AI83/AI148, "NA")</f>
        <v>0</v>
      </c>
      <c r="AK83" s="10" t="str">
        <f t="shared" si="35"/>
        <v>NA</v>
      </c>
      <c r="AL83" s="11" t="str">
        <f>IFERROR(AK83/AK148, "NA")</f>
        <v>NA</v>
      </c>
    </row>
    <row r="84" spans="1:38" ht="16.5" customHeight="1">
      <c r="A84" s="27" t="s">
        <v>96</v>
      </c>
      <c r="B84" s="13">
        <f>IFERROR(B63+B65+B66+B67+B68+B69+B71+B72+B74+B75+B76+B77+B78+B79+B80+B82+B83, "NA")</f>
        <v>7008.24</v>
      </c>
      <c r="C84" s="14">
        <f>IFERROR(B84/B148, "NA")</f>
        <v>0.28158920483105027</v>
      </c>
      <c r="D84" s="13">
        <f>IFERROR(D63+D65+D66+D67+D68+D69+D71+D72+D74+D75+D76+D77+D78+D79+D80+D82+D83, "NA")</f>
        <v>8098.37</v>
      </c>
      <c r="E84" s="14">
        <f>IFERROR(D84/D148, "NA")</f>
        <v>0.25595782735930783</v>
      </c>
      <c r="F84" s="13">
        <f>IFERROR(F63+F65+F66+F67+F68+F69+F71+F72+F74+F75+F76+F77+F78+F79+F80+F82+F83, "NA")</f>
        <v>8173.0700000000006</v>
      </c>
      <c r="G84" s="14">
        <f>IFERROR(F84/F148, "NA")</f>
        <v>0.27170487113161301</v>
      </c>
      <c r="H84" s="13">
        <f>IFERROR(H63+H65+H66+H67+H68+H69+H71+H72+H74+H75+H76+H77+H78+H79+H80+H82+H83, "NA")</f>
        <v>6746.17</v>
      </c>
      <c r="I84" s="14">
        <f>IFERROR(H84/H148, "NA")</f>
        <v>0.25269403030079418</v>
      </c>
      <c r="J84" s="13">
        <f>IFERROR(J63+J65+J66+J67+J68+J69+J71+J72+J74+J75+J76+J77+J78+J79+J80+J82+J83, "NA")</f>
        <v>8350.93</v>
      </c>
      <c r="K84" s="14">
        <f>IFERROR(J84/J148, "NA")</f>
        <v>0.36543429107297504</v>
      </c>
      <c r="L84" s="13">
        <f>IFERROR(L63+L65+L66+L67+L68+L69+L71+L72+L74+L75+L76+L77+L78+L79+L80+L82+L83, "NA")</f>
        <v>6997.0199999999995</v>
      </c>
      <c r="M84" s="14">
        <f>IFERROR(L84/L148, "NA")</f>
        <v>0.2595292434134025</v>
      </c>
      <c r="N84" s="13">
        <f>IFERROR(N63+N65+N66+N67+N68+N69+N71+N72+N74+N75+N76+N77+N78+N79+N80+N82+N83, "NA")</f>
        <v>8622.01</v>
      </c>
      <c r="O84" s="14">
        <f>IFERROR(N84/N148, "NA")</f>
        <v>0.35848132485762835</v>
      </c>
      <c r="P84" s="13">
        <f>IFERROR(P63+P65+P66+P67+P68+P69+P71+P72+P74+P75+P76+P77+P78+P79+P80+P82+P83, "NA")</f>
        <v>7006.6100000000006</v>
      </c>
      <c r="Q84" s="14">
        <f>IFERROR(P84/P148, "NA")</f>
        <v>0.27913957915184973</v>
      </c>
      <c r="R84" s="13">
        <f>IFERROR(R63+R65+R66+R67+R68+R69+R71+R72+R74+R75+R76+R77+R78+R79+R80+R82+R83, "NA")</f>
        <v>7125.72</v>
      </c>
      <c r="S84" s="14">
        <f>IFERROR(R84/R148, "NA")</f>
        <v>0.31527028210852698</v>
      </c>
      <c r="T84" s="13">
        <f>IFERROR(T63+T65+T66+T67+T68+T69+T71+T72+T74+T75+T76+T77+T78+T79+T80+T82+T83, "NA")</f>
        <v>7348.2300000000005</v>
      </c>
      <c r="U84" s="14">
        <f>IFERROR(T84/T148, "NA")</f>
        <v>0.26313795438488058</v>
      </c>
      <c r="V84" s="13">
        <f>IFERROR(V63+V65+V66+V67+V68+V69+V71+V72+V74+V75+V76+V77+V78+V79+V80+V82+V83, "NA")</f>
        <v>7607.11</v>
      </c>
      <c r="W84" s="14">
        <f>IFERROR(V84/V148, "NA")</f>
        <v>0.27509664587288668</v>
      </c>
      <c r="X84" s="13">
        <f>IFERROR(X63+X65+X66+X67+X68+X69+X71+X72+X74+X75+X76+X77+X78+X79+X80+X82+X83, "NA")</f>
        <v>7542.9299999999994</v>
      </c>
      <c r="Y84" s="14">
        <f>IFERROR(X84/X148, "NA")</f>
        <v>0.32189526933747337</v>
      </c>
      <c r="Z84" s="13">
        <f>IFERROR(Z63+Z65+Z66+Z67+Z68+Z69+Z71+Z72+Z74+Z75+Z76+Z77+Z78+Z79+Z80+Z82+Z83, "NA")</f>
        <v>29623.989999999998</v>
      </c>
      <c r="AA84" s="14">
        <f>IFERROR(Z84/Z148, "NA")</f>
        <v>0.29153826244160425</v>
      </c>
      <c r="AB84" s="13">
        <f t="shared" si="30"/>
        <v>7405.9975000000004</v>
      </c>
      <c r="AC84" s="14">
        <f>IFERROR(AB84/AB148, "NA")</f>
        <v>0.29153826244160425</v>
      </c>
      <c r="AD84" s="15">
        <f t="shared" si="31"/>
        <v>136.93249999999898</v>
      </c>
      <c r="AE84" s="16">
        <f>IFERROR(AD84/AD148, "NA")</f>
        <v>-6.9498123386987784E-2</v>
      </c>
      <c r="AF84" s="15">
        <f t="shared" si="32"/>
        <v>1.8489406727452848E-2</v>
      </c>
      <c r="AG84" s="13">
        <f t="shared" si="33"/>
        <v>7575.0700000000006</v>
      </c>
      <c r="AH84" s="14">
        <f>IFERROR(AG84/AG148, "NA")</f>
        <v>0.30213050391562007</v>
      </c>
      <c r="AI84" s="15">
        <f t="shared" si="34"/>
        <v>-32.140000000001237</v>
      </c>
      <c r="AJ84" s="16">
        <f>IFERROR(AI84/AI148, "NA")</f>
        <v>1.9605824711178558E-2</v>
      </c>
      <c r="AK84" s="15">
        <f t="shared" si="35"/>
        <v>-4.2428650824350451E-3</v>
      </c>
      <c r="AL84" s="16">
        <f>IFERROR(AK84/AK148, "NA")</f>
        <v>6.4891907493902487E-2</v>
      </c>
    </row>
    <row r="85" spans="1:38" ht="16.5" customHeight="1">
      <c r="A85" s="12" t="s">
        <v>96</v>
      </c>
      <c r="B85" s="28">
        <f>IFERROR(B63+B65+B66+B67+B68+B69+B71+B72+B74+B75+B76+B77+B78+B79+B80+B82+B83, "NA")</f>
        <v>7008.24</v>
      </c>
      <c r="C85" s="29">
        <f>IFERROR(B85/B148, "NA")</f>
        <v>0.28158920483105027</v>
      </c>
      <c r="D85" s="28">
        <f>IFERROR(D63+D65+D66+D67+D68+D69+D71+D72+D74+D75+D76+D77+D78+D79+D80+D82+D83, "NA")</f>
        <v>8098.37</v>
      </c>
      <c r="E85" s="29">
        <f>IFERROR(D85/D148, "NA")</f>
        <v>0.25595782735930783</v>
      </c>
      <c r="F85" s="28">
        <f>IFERROR(F63+F65+F66+F67+F68+F69+F71+F72+F74+F75+F76+F77+F78+F79+F80+F82+F83, "NA")</f>
        <v>8173.0700000000006</v>
      </c>
      <c r="G85" s="29">
        <f>IFERROR(F85/F148, "NA")</f>
        <v>0.27170487113161301</v>
      </c>
      <c r="H85" s="28">
        <f>IFERROR(H63+H65+H66+H67+H68+H69+H71+H72+H74+H75+H76+H77+H78+H79+H80+H82+H83, "NA")</f>
        <v>6746.17</v>
      </c>
      <c r="I85" s="29">
        <f>IFERROR(H85/H148, "NA")</f>
        <v>0.25269403030079418</v>
      </c>
      <c r="J85" s="28">
        <f>IFERROR(J63+J65+J66+J67+J68+J69+J71+J72+J74+J75+J76+J77+J78+J79+J80+J82+J83, "NA")</f>
        <v>8350.93</v>
      </c>
      <c r="K85" s="29">
        <f>IFERROR(J85/J148, "NA")</f>
        <v>0.36543429107297504</v>
      </c>
      <c r="L85" s="28">
        <f>IFERROR(L63+L65+L66+L67+L68+L69+L71+L72+L74+L75+L76+L77+L78+L79+L80+L82+L83, "NA")</f>
        <v>6997.0199999999995</v>
      </c>
      <c r="M85" s="29">
        <f>IFERROR(L85/L148, "NA")</f>
        <v>0.2595292434134025</v>
      </c>
      <c r="N85" s="28">
        <f>IFERROR(N63+N65+N66+N67+N68+N69+N71+N72+N74+N75+N76+N77+N78+N79+N80+N82+N83, "NA")</f>
        <v>8622.01</v>
      </c>
      <c r="O85" s="29">
        <f>IFERROR(N85/N148, "NA")</f>
        <v>0.35848132485762835</v>
      </c>
      <c r="P85" s="28">
        <f>IFERROR(P63+P65+P66+P67+P68+P69+P71+P72+P74+P75+P76+P77+P78+P79+P80+P82+P83, "NA")</f>
        <v>7006.6100000000006</v>
      </c>
      <c r="Q85" s="29">
        <f>IFERROR(P85/P148, "NA")</f>
        <v>0.27913957915184973</v>
      </c>
      <c r="R85" s="28">
        <f>IFERROR(R63+R65+R66+R67+R68+R69+R71+R72+R74+R75+R76+R77+R78+R79+R80+R82+R83, "NA")</f>
        <v>7125.72</v>
      </c>
      <c r="S85" s="29">
        <f>IFERROR(R85/R148, "NA")</f>
        <v>0.31527028210852698</v>
      </c>
      <c r="T85" s="28">
        <f>IFERROR(T63+T65+T66+T67+T68+T69+T71+T72+T74+T75+T76+T77+T78+T79+T80+T82+T83, "NA")</f>
        <v>7348.2300000000005</v>
      </c>
      <c r="U85" s="29">
        <f>IFERROR(T85/T148, "NA")</f>
        <v>0.26313795438488058</v>
      </c>
      <c r="V85" s="28">
        <f>IFERROR(V63+V65+V66+V67+V68+V69+V71+V72+V74+V75+V76+V77+V78+V79+V80+V82+V83, "NA")</f>
        <v>7607.11</v>
      </c>
      <c r="W85" s="29">
        <f>IFERROR(V85/V148, "NA")</f>
        <v>0.27509664587288668</v>
      </c>
      <c r="X85" s="28">
        <f>IFERROR(X63+X65+X66+X67+X68+X69+X71+X72+X74+X75+X76+X77+X78+X79+X80+X82+X83, "NA")</f>
        <v>7542.9299999999994</v>
      </c>
      <c r="Y85" s="29">
        <f>IFERROR(X85/X148, "NA")</f>
        <v>0.32189526933747337</v>
      </c>
      <c r="Z85" s="28">
        <f>IFERROR(Z63+Z65+Z66+Z67+Z68+Z69+Z71+Z72+Z74+Z75+Z76+Z77+Z78+Z79+Z80+Z82+Z83, "NA")</f>
        <v>29623.989999999998</v>
      </c>
      <c r="AA85" s="29">
        <f>IFERROR(Z85/Z148, "NA")</f>
        <v>0.29153826244160425</v>
      </c>
      <c r="AB85" s="28">
        <f t="shared" si="30"/>
        <v>7405.9975000000004</v>
      </c>
      <c r="AC85" s="29">
        <f>IFERROR(AB85/AB148, "NA")</f>
        <v>0.29153826244160425</v>
      </c>
      <c r="AD85" s="30">
        <f t="shared" si="31"/>
        <v>136.93249999999898</v>
      </c>
      <c r="AE85" s="31">
        <f>IFERROR(AD85/AD148, "NA")</f>
        <v>-6.9498123386987784E-2</v>
      </c>
      <c r="AF85" s="30">
        <f t="shared" si="32"/>
        <v>1.8489406727452848E-2</v>
      </c>
      <c r="AG85" s="28">
        <f t="shared" si="33"/>
        <v>7575.0700000000006</v>
      </c>
      <c r="AH85" s="29">
        <f>IFERROR(AG85/AG148, "NA")</f>
        <v>0.30213050391562007</v>
      </c>
      <c r="AI85" s="30">
        <f t="shared" si="34"/>
        <v>-32.140000000001237</v>
      </c>
      <c r="AJ85" s="31">
        <f>IFERROR(AI85/AI148, "NA")</f>
        <v>1.9605824711178558E-2</v>
      </c>
      <c r="AK85" s="30">
        <f t="shared" si="35"/>
        <v>-4.2428650824350451E-3</v>
      </c>
      <c r="AL85" s="31">
        <f>IFERROR(AK85/AK148, "NA")</f>
        <v>6.4891907493902487E-2</v>
      </c>
    </row>
    <row r="86" spans="1:38" ht="3.75" customHeight="1">
      <c r="A86" s="35" t="s">
        <v>3</v>
      </c>
      <c r="B86" s="36"/>
      <c r="C86" s="19"/>
      <c r="D86" s="36"/>
      <c r="E86" s="19"/>
      <c r="F86" s="36"/>
      <c r="G86" s="19"/>
      <c r="H86" s="36"/>
      <c r="I86" s="19"/>
      <c r="J86" s="36"/>
      <c r="K86" s="19"/>
      <c r="L86" s="36"/>
      <c r="M86" s="19"/>
      <c r="N86" s="36"/>
      <c r="O86" s="19"/>
      <c r="P86" s="36"/>
      <c r="Q86" s="19"/>
      <c r="R86" s="36"/>
      <c r="S86" s="19"/>
      <c r="T86" s="36"/>
      <c r="U86" s="19"/>
      <c r="V86" s="36"/>
      <c r="W86" s="19"/>
      <c r="X86" s="36"/>
      <c r="Y86" s="19"/>
      <c r="Z86" s="36"/>
      <c r="AA86" s="19"/>
      <c r="AB86" s="36"/>
      <c r="AC86" s="19"/>
      <c r="AD86" s="37"/>
      <c r="AE86" s="21"/>
      <c r="AF86" s="37"/>
      <c r="AG86" s="36"/>
      <c r="AH86" s="19"/>
      <c r="AI86" s="37"/>
      <c r="AJ86" s="21"/>
      <c r="AK86" s="37"/>
      <c r="AL86" s="21"/>
    </row>
    <row r="87" spans="1:38" ht="16.5" customHeight="1">
      <c r="A87" s="32" t="s">
        <v>97</v>
      </c>
      <c r="B87" s="33">
        <f>IFERROR(B59-B85, "NA")</f>
        <v>10407.219999999999</v>
      </c>
      <c r="C87" s="34">
        <f>IFERROR(B87/B148, "NA")</f>
        <v>0.41815931022650521</v>
      </c>
      <c r="D87" s="33">
        <f>IFERROR(D59-D85, "NA")</f>
        <v>14445.540000000012</v>
      </c>
      <c r="E87" s="34">
        <f>IFERROR(D87/D148, "NA")</f>
        <v>0.4565670663889127</v>
      </c>
      <c r="F87" s="33">
        <f>IFERROR(F59-F85, "NA")</f>
        <v>14822.569999999992</v>
      </c>
      <c r="G87" s="34">
        <f>IFERROR(F87/F148, "NA")</f>
        <v>0.49276030569777468</v>
      </c>
      <c r="H87" s="33">
        <f>IFERROR(H59-H85, "NA")</f>
        <v>13699.919999999996</v>
      </c>
      <c r="I87" s="34">
        <f>IFERROR(H87/H148, "NA")</f>
        <v>0.51316346899032417</v>
      </c>
      <c r="J87" s="33">
        <f>IFERROR(J59-J85, "NA")</f>
        <v>7742.8499999999967</v>
      </c>
      <c r="K87" s="34">
        <f>IFERROR(J87/J148, "NA")</f>
        <v>0.33882488544801398</v>
      </c>
      <c r="L87" s="33">
        <f>IFERROR(L59-L85, "NA")</f>
        <v>13437.2</v>
      </c>
      <c r="M87" s="34">
        <f>IFERROR(L87/L148, "NA")</f>
        <v>0.49840451357786208</v>
      </c>
      <c r="N87" s="33">
        <f>IFERROR(N59-N85, "NA")</f>
        <v>9012.3799999999992</v>
      </c>
      <c r="O87" s="34">
        <f>IFERROR(N87/N148, "NA")</f>
        <v>0.37471192013467769</v>
      </c>
      <c r="P87" s="33">
        <f>IFERROR(P59-P85, "NA")</f>
        <v>11596.189999999999</v>
      </c>
      <c r="Q87" s="34">
        <f>IFERROR(P87/P148, "NA")</f>
        <v>0.46198598128979457</v>
      </c>
      <c r="R87" s="33">
        <f>IFERROR(R59-R85, "NA")</f>
        <v>10178.330000000002</v>
      </c>
      <c r="S87" s="34">
        <f>IFERROR(R87/R148, "NA")</f>
        <v>0.45032992743100825</v>
      </c>
      <c r="T87" s="33">
        <f>IFERROR(T59-T85, "NA")</f>
        <v>13508.279999999999</v>
      </c>
      <c r="U87" s="34">
        <f>IFERROR(T87/T148, "NA")</f>
        <v>0.48372753254296535</v>
      </c>
      <c r="V87" s="33">
        <f>IFERROR(V59-V85, "NA")</f>
        <v>13117.919999999998</v>
      </c>
      <c r="W87" s="34">
        <f>IFERROR(V87/V148, "NA")</f>
        <v>0.47438459452129095</v>
      </c>
      <c r="X87" s="33">
        <f>IFERROR(X59-X85, "NA")</f>
        <v>9672.4999999999964</v>
      </c>
      <c r="Y87" s="34">
        <f>IFERROR(X87/X148, "NA")</f>
        <v>0.41277487563409848</v>
      </c>
      <c r="Z87" s="33">
        <f>IFERROR(Z59-Z85, "NA")</f>
        <v>46477.029999999992</v>
      </c>
      <c r="AA87" s="34">
        <f>IFERROR(Z87/Z148, "NA")</f>
        <v>0.45739390843861044</v>
      </c>
      <c r="AB87" s="33">
        <f>IFERROR((R87+T87+V87+X87)/4, "NA")</f>
        <v>11619.2575</v>
      </c>
      <c r="AC87" s="34">
        <f>IFERROR(AB87/AB148, "NA")</f>
        <v>0.45739390843861055</v>
      </c>
      <c r="AD87" s="15">
        <f>IFERROR(X87-AB87, "NA")</f>
        <v>-1946.7575000000033</v>
      </c>
      <c r="AE87" s="16">
        <f>IFERROR(AD87/AD148, "NA")</f>
        <v>0.98804880462669642</v>
      </c>
      <c r="AF87" s="15">
        <f>IFERROR((X87-AB87)/AB87, "NA")</f>
        <v>-0.1675457747622861</v>
      </c>
      <c r="AG87" s="33">
        <f>IFERROR((J87+L87+N87+P87+R87+T87+V87+X87)/8, "NA")</f>
        <v>11033.206249999999</v>
      </c>
      <c r="AH87" s="34">
        <f>IFERROR(AG87/AG148, "NA")</f>
        <v>0.44005773730374348</v>
      </c>
      <c r="AI87" s="15">
        <f>IFERROR(X87-AG87, "NA")</f>
        <v>-1360.7062500000029</v>
      </c>
      <c r="AJ87" s="16">
        <f>IFERROR(AI87/AI148, "NA")</f>
        <v>0.83004879343198945</v>
      </c>
      <c r="AK87" s="15">
        <f>IFERROR((X87-AG87)/AG87, "NA")</f>
        <v>-0.12332827096384634</v>
      </c>
      <c r="AL87" s="16">
        <f>IFERROR(AK87/AK148, "NA")</f>
        <v>1.8862270176585036</v>
      </c>
    </row>
    <row r="88" spans="1:38" ht="3.75" customHeight="1">
      <c r="A88" s="35" t="s">
        <v>3</v>
      </c>
      <c r="B88" s="36"/>
      <c r="C88" s="19"/>
      <c r="D88" s="36"/>
      <c r="E88" s="19"/>
      <c r="F88" s="36"/>
      <c r="G88" s="19"/>
      <c r="H88" s="36"/>
      <c r="I88" s="19"/>
      <c r="J88" s="36"/>
      <c r="K88" s="19"/>
      <c r="L88" s="36"/>
      <c r="M88" s="19"/>
      <c r="N88" s="36"/>
      <c r="O88" s="19"/>
      <c r="P88" s="36"/>
      <c r="Q88" s="19"/>
      <c r="R88" s="36"/>
      <c r="S88" s="19"/>
      <c r="T88" s="36"/>
      <c r="U88" s="19"/>
      <c r="V88" s="36"/>
      <c r="W88" s="19"/>
      <c r="X88" s="36"/>
      <c r="Y88" s="19"/>
      <c r="Z88" s="36"/>
      <c r="AA88" s="19"/>
      <c r="AB88" s="36"/>
      <c r="AC88" s="19"/>
      <c r="AD88" s="37"/>
      <c r="AE88" s="21"/>
      <c r="AF88" s="37"/>
      <c r="AG88" s="36"/>
      <c r="AH88" s="19"/>
      <c r="AI88" s="37"/>
      <c r="AJ88" s="21"/>
      <c r="AK88" s="37"/>
      <c r="AL88" s="21"/>
    </row>
    <row r="89" spans="1:38" ht="16.5" hidden="1" customHeight="1">
      <c r="A89" s="1" t="s">
        <v>98</v>
      </c>
      <c r="B89" s="2"/>
      <c r="C89" s="3"/>
      <c r="D89" s="2"/>
      <c r="E89" s="3"/>
      <c r="F89" s="2"/>
      <c r="G89" s="3"/>
      <c r="H89" s="2"/>
      <c r="I89" s="3"/>
      <c r="J89" s="2"/>
      <c r="K89" s="3"/>
      <c r="L89" s="2"/>
      <c r="M89" s="3"/>
      <c r="N89" s="2"/>
      <c r="O89" s="3"/>
      <c r="P89" s="2"/>
      <c r="Q89" s="3"/>
      <c r="R89" s="2"/>
      <c r="S89" s="3"/>
      <c r="T89" s="2"/>
      <c r="U89" s="3"/>
      <c r="V89" s="2"/>
      <c r="W89" s="3"/>
      <c r="X89" s="2"/>
      <c r="Y89" s="3"/>
      <c r="Z89" s="2"/>
      <c r="AA89" s="3"/>
      <c r="AB89" s="2"/>
      <c r="AC89" s="3"/>
      <c r="AD89" s="4"/>
      <c r="AE89" s="5"/>
      <c r="AF89" s="4"/>
      <c r="AG89" s="2"/>
      <c r="AH89" s="3"/>
      <c r="AI89" s="4"/>
      <c r="AJ89" s="5"/>
      <c r="AK89" s="4"/>
      <c r="AL89" s="5"/>
    </row>
    <row r="90" spans="1:38" ht="16.5" hidden="1" customHeight="1">
      <c r="A90" s="6" t="s">
        <v>99</v>
      </c>
      <c r="B90" s="7">
        <v>686.5200000000001</v>
      </c>
      <c r="C90" s="8">
        <f>IFERROR(B90/B148, "NA")</f>
        <v>2.7584189596904882E-2</v>
      </c>
      <c r="D90" s="7">
        <v>495.75</v>
      </c>
      <c r="E90" s="8">
        <f>IFERROR(D90/D148, "NA")</f>
        <v>1.5668720114464622E-2</v>
      </c>
      <c r="F90" s="7">
        <v>498.71999999999997</v>
      </c>
      <c r="G90" s="8">
        <f>IFERROR(F90/F148, "NA")</f>
        <v>1.6579406921849199E-2</v>
      </c>
      <c r="H90" s="7">
        <v>746.65</v>
      </c>
      <c r="I90" s="8">
        <f>IFERROR(H90/H148, "NA")</f>
        <v>2.7967572374263911E-2</v>
      </c>
      <c r="J90" s="7">
        <v>630.65000000000009</v>
      </c>
      <c r="K90" s="8">
        <f>IFERROR(J90/J148, "NA")</f>
        <v>2.7597062323019318E-2</v>
      </c>
      <c r="L90" s="7">
        <v>206.54</v>
      </c>
      <c r="M90" s="8">
        <f>IFERROR(L90/L148, "NA")</f>
        <v>7.6608570412267157E-3</v>
      </c>
      <c r="N90" s="7">
        <v>271.68</v>
      </c>
      <c r="O90" s="8">
        <f>IFERROR(N90/N148, "NA")</f>
        <v>1.1295765875627663E-2</v>
      </c>
      <c r="P90" s="7">
        <v>667.75000000000011</v>
      </c>
      <c r="Q90" s="8">
        <f>IFERROR(P90/P148, "NA")</f>
        <v>2.66028013516733E-2</v>
      </c>
      <c r="R90" s="7">
        <v>507.36999999999995</v>
      </c>
      <c r="S90" s="8">
        <f>IFERROR(R90/R148, "NA")</f>
        <v>2.2448073041517674E-2</v>
      </c>
      <c r="T90" s="7">
        <v>510.21</v>
      </c>
      <c r="U90" s="8">
        <f>IFERROR(T90/T148, "NA")</f>
        <v>1.8270469991645596E-2</v>
      </c>
      <c r="V90" s="7">
        <v>608.22</v>
      </c>
      <c r="W90" s="8">
        <f>IFERROR(V90/V148, "NA")</f>
        <v>2.1995117982099268E-2</v>
      </c>
      <c r="X90" s="7">
        <v>564.68999999999994</v>
      </c>
      <c r="Y90" s="8">
        <f>IFERROR(X90/X148, "NA")</f>
        <v>2.409820051918523E-2</v>
      </c>
      <c r="Z90" s="7">
        <v>2190.4899999999998</v>
      </c>
      <c r="AA90" s="8">
        <f>IFERROR(Z90/Z148, "NA")</f>
        <v>2.1557246289095753E-2</v>
      </c>
      <c r="AB90" s="9">
        <f t="shared" ref="AB90:AB99" si="36">IFERROR((R90+T90+V90+X90)/4, "NA")</f>
        <v>547.62249999999995</v>
      </c>
      <c r="AC90" s="8">
        <f>IFERROR(AB90/AB148, "NA")</f>
        <v>2.1557246289095753E-2</v>
      </c>
      <c r="AD90" s="10">
        <f t="shared" ref="AD90:AD99" si="37">IFERROR(X90-AB90, "NA")</f>
        <v>17.067499999999995</v>
      </c>
      <c r="AE90" s="11">
        <f>IFERROR(AD90/AD148, "NA")</f>
        <v>-8.6623644562643827E-3</v>
      </c>
      <c r="AF90" s="10">
        <f t="shared" ref="AF90:AF99" si="38">IFERROR((X90-AB90)/AB90, "NA")</f>
        <v>3.1166542645709401E-2</v>
      </c>
      <c r="AG90" s="9">
        <f t="shared" ref="AG90:AG99" si="39">IFERROR((J90+L90+N90+P90+R90+T90+V90+X90)/8, "NA")</f>
        <v>495.88875000000002</v>
      </c>
      <c r="AH90" s="8">
        <f>IFERROR(AG90/AG148, "NA")</f>
        <v>1.9778446657732131E-2</v>
      </c>
      <c r="AI90" s="10">
        <f t="shared" ref="AI90:AI99" si="40">IFERROR(X90-AG90, "NA")</f>
        <v>68.801249999999925</v>
      </c>
      <c r="AJ90" s="11">
        <f>IFERROR(AI90/AI148, "NA")</f>
        <v>-4.1969671668012458E-2</v>
      </c>
      <c r="AK90" s="10">
        <f t="shared" ref="AK90:AK99" si="41">IFERROR((X90-AG90)/AG90, "NA")</f>
        <v>0.13874331692340253</v>
      </c>
      <c r="AL90" s="11">
        <f>IFERROR(AK90/AK148, "NA")</f>
        <v>-2.1219902854001407</v>
      </c>
    </row>
    <row r="91" spans="1:38" ht="16.5" hidden="1" customHeight="1">
      <c r="A91" s="6" t="s">
        <v>100</v>
      </c>
      <c r="B91" s="7">
        <v>1877.9</v>
      </c>
      <c r="C91" s="8">
        <f>IFERROR(B91/B148, "NA")</f>
        <v>7.5453518679758302E-2</v>
      </c>
      <c r="D91" s="7">
        <v>2098.5099999999998</v>
      </c>
      <c r="E91" s="8">
        <f>IFERROR(D91/D148, "NA")</f>
        <v>6.6325700146051741E-2</v>
      </c>
      <c r="F91" s="7">
        <v>2348.48</v>
      </c>
      <c r="G91" s="8">
        <f>IFERROR(F91/F148, "NA")</f>
        <v>7.8072677189253314E-2</v>
      </c>
      <c r="H91" s="7">
        <v>470.75</v>
      </c>
      <c r="I91" s="8">
        <f>IFERROR(H91/H148, "NA")</f>
        <v>1.7633073990738282E-2</v>
      </c>
      <c r="J91" s="7">
        <v>864.56</v>
      </c>
      <c r="K91" s="8">
        <f>IFERROR(J91/J148, "NA")</f>
        <v>3.7832896538475505E-2</v>
      </c>
      <c r="L91" s="7">
        <v>887.07000000000016</v>
      </c>
      <c r="M91" s="8">
        <f>IFERROR(L91/L148, "NA")</f>
        <v>3.2902665128115544E-2</v>
      </c>
      <c r="N91" s="7">
        <v>561.47</v>
      </c>
      <c r="O91" s="8">
        <f>IFERROR(N91/N148, "NA")</f>
        <v>2.3344499654699147E-2</v>
      </c>
      <c r="P91" s="7">
        <v>1084.8699999999999</v>
      </c>
      <c r="Q91" s="8">
        <f>IFERROR(P91/P148, "NA")</f>
        <v>4.3220638116645158E-2</v>
      </c>
      <c r="R91" s="7">
        <v>1294</v>
      </c>
      <c r="S91" s="8">
        <f>IFERROR(R91/R148, "NA")</f>
        <v>5.7251722639738011E-2</v>
      </c>
      <c r="T91" s="7">
        <v>486.81</v>
      </c>
      <c r="U91" s="8">
        <f>IFERROR(T91/T148, "NA")</f>
        <v>1.7432522876135302E-2</v>
      </c>
      <c r="V91" s="7">
        <v>421.82</v>
      </c>
      <c r="W91" s="8">
        <f>IFERROR(V91/V148, "NA")</f>
        <v>1.5254316969532592E-2</v>
      </c>
      <c r="X91" s="7">
        <v>293.66000000000003</v>
      </c>
      <c r="Y91" s="8">
        <f>IFERROR(X91/X148, "NA")</f>
        <v>1.2531968982032505E-2</v>
      </c>
      <c r="Z91" s="7">
        <v>2496.29</v>
      </c>
      <c r="AA91" s="8">
        <f>IFERROR(Z91/Z148, "NA")</f>
        <v>2.4566712625488745E-2</v>
      </c>
      <c r="AB91" s="9">
        <f t="shared" si="36"/>
        <v>624.07249999999999</v>
      </c>
      <c r="AC91" s="8">
        <f>IFERROR(AB91/AB148, "NA")</f>
        <v>2.4566712625488745E-2</v>
      </c>
      <c r="AD91" s="10">
        <f t="shared" si="37"/>
        <v>-330.41249999999997</v>
      </c>
      <c r="AE91" s="11">
        <f>IFERROR(AD91/AD148, "NA")</f>
        <v>0.167696118113693</v>
      </c>
      <c r="AF91" s="10">
        <f t="shared" si="38"/>
        <v>-0.52944569741496372</v>
      </c>
      <c r="AG91" s="9">
        <f t="shared" si="39"/>
        <v>736.78250000000003</v>
      </c>
      <c r="AH91" s="8">
        <f>IFERROR(AG91/AG148, "NA")</f>
        <v>2.9386456890987189E-2</v>
      </c>
      <c r="AI91" s="10">
        <f t="shared" si="40"/>
        <v>-443.1225</v>
      </c>
      <c r="AJ91" s="11">
        <f>IFERROR(AI91/AI148, "NA")</f>
        <v>0.27031058060295227</v>
      </c>
      <c r="AK91" s="10">
        <f t="shared" si="41"/>
        <v>-0.60142918703959447</v>
      </c>
      <c r="AL91" s="11">
        <f>IFERROR(AK91/AK148, "NA")</f>
        <v>9.1984747125420352</v>
      </c>
    </row>
    <row r="92" spans="1:38" ht="16.5" hidden="1" customHeight="1">
      <c r="A92" s="6" t="s">
        <v>101</v>
      </c>
      <c r="B92" s="7">
        <v>223.78</v>
      </c>
      <c r="C92" s="8">
        <f>IFERROR(B92/B148, "NA")</f>
        <v>8.9914204218309347E-3</v>
      </c>
      <c r="D92" s="7">
        <v>408.2</v>
      </c>
      <c r="E92" s="8">
        <f>IFERROR(D92/D148, "NA")</f>
        <v>1.2901606758899564E-2</v>
      </c>
      <c r="F92" s="7">
        <v>332.44</v>
      </c>
      <c r="G92" s="8">
        <f>IFERROR(F92/F148, "NA")</f>
        <v>1.1051608191168488E-2</v>
      </c>
      <c r="H92" s="7">
        <v>231.6</v>
      </c>
      <c r="I92" s="8">
        <f>IFERROR(H92/H148, "NA")</f>
        <v>8.6751352867870113E-3</v>
      </c>
      <c r="J92" s="7">
        <v>155.82</v>
      </c>
      <c r="K92" s="8">
        <f>IFERROR(J92/J148, "NA")</f>
        <v>6.8186383115402677E-3</v>
      </c>
      <c r="L92" s="7">
        <v>377.34999999999997</v>
      </c>
      <c r="M92" s="8">
        <f>IFERROR(L92/L148, "NA")</f>
        <v>1.3996438484104295E-2</v>
      </c>
      <c r="N92" s="7">
        <v>153.05000000000001</v>
      </c>
      <c r="O92" s="8">
        <f>IFERROR(N92/N148, "NA")</f>
        <v>6.3634311221466948E-3</v>
      </c>
      <c r="P92" s="7">
        <v>183.82</v>
      </c>
      <c r="Q92" s="8">
        <f>IFERROR(P92/P148, "NA")</f>
        <v>7.3232900703325866E-3</v>
      </c>
      <c r="R92" s="7">
        <v>139.76</v>
      </c>
      <c r="S92" s="8">
        <f>IFERROR(R92/R148, "NA")</f>
        <v>6.1835399970091064E-3</v>
      </c>
      <c r="T92" s="7">
        <v>346.3</v>
      </c>
      <c r="U92" s="8">
        <f>IFERROR(T92/T148, "NA")</f>
        <v>1.2400901115436526E-2</v>
      </c>
      <c r="V92" s="7">
        <v>274.28999999999996</v>
      </c>
      <c r="W92" s="8">
        <f>IFERROR(V92/V148, "NA")</f>
        <v>9.919175481421209E-3</v>
      </c>
      <c r="X92" s="7">
        <v>287.53000000000003</v>
      </c>
      <c r="Y92" s="8">
        <f>IFERROR(X92/X148, "NA")</f>
        <v>1.2270370637484868E-2</v>
      </c>
      <c r="Z92" s="7">
        <v>1047.8799999999999</v>
      </c>
      <c r="AA92" s="8">
        <f>IFERROR(Z92/Z148, "NA")</f>
        <v>1.0312490466250773E-2</v>
      </c>
      <c r="AB92" s="9">
        <f t="shared" si="36"/>
        <v>261.96999999999997</v>
      </c>
      <c r="AC92" s="8">
        <f>IFERROR(AB92/AB148, "NA")</f>
        <v>1.0312490466250773E-2</v>
      </c>
      <c r="AD92" s="10">
        <f t="shared" si="37"/>
        <v>25.560000000000059</v>
      </c>
      <c r="AE92" s="11">
        <f>IFERROR(AD92/AD148, "NA")</f>
        <v>-1.2972610839438592E-2</v>
      </c>
      <c r="AF92" s="10">
        <f t="shared" si="38"/>
        <v>9.7568423865328324E-2</v>
      </c>
      <c r="AG92" s="9">
        <f t="shared" si="39"/>
        <v>239.73999999999998</v>
      </c>
      <c r="AH92" s="8">
        <f>IFERROR(AG92/AG148, "NA")</f>
        <v>9.5619930916454546E-3</v>
      </c>
      <c r="AI92" s="10">
        <f t="shared" si="40"/>
        <v>47.790000000000049</v>
      </c>
      <c r="AJ92" s="11">
        <f>IFERROR(AI92/AI148, "NA")</f>
        <v>-2.9152531516714007E-2</v>
      </c>
      <c r="AK92" s="10">
        <f t="shared" si="41"/>
        <v>0.19934095269875721</v>
      </c>
      <c r="AL92" s="11">
        <f>IFERROR(AK92/AK148, "NA")</f>
        <v>-3.0487923634022782</v>
      </c>
    </row>
    <row r="93" spans="1:38" ht="16.5" hidden="1" customHeight="1">
      <c r="A93" s="6" t="s">
        <v>102</v>
      </c>
      <c r="B93" s="7">
        <v>2017.51</v>
      </c>
      <c r="C93" s="8">
        <f>IFERROR(B93/B148, "NA")</f>
        <v>8.1063011061078424E-2</v>
      </c>
      <c r="D93" s="7">
        <v>2318.8000000000002</v>
      </c>
      <c r="E93" s="8">
        <f>IFERROR(D93/D148, "NA")</f>
        <v>7.3288206155160004E-2</v>
      </c>
      <c r="F93" s="7">
        <v>2663.27</v>
      </c>
      <c r="G93" s="8">
        <f>IFERROR(F93/F148, "NA")</f>
        <v>8.8537530222877206E-2</v>
      </c>
      <c r="H93" s="7">
        <v>2008.33</v>
      </c>
      <c r="I93" s="8">
        <f>IFERROR(H93/H148, "NA")</f>
        <v>7.5226832687879788E-2</v>
      </c>
      <c r="J93" s="7">
        <v>1688.7200000000003</v>
      </c>
      <c r="K93" s="8">
        <f>IFERROR(J93/J148, "NA")</f>
        <v>7.3897900715340026E-2</v>
      </c>
      <c r="L93" s="7">
        <v>2494.86</v>
      </c>
      <c r="M93" s="8">
        <f>IFERROR(L93/L148, "NA")</f>
        <v>9.2537841570034307E-2</v>
      </c>
      <c r="N93" s="7">
        <v>1622.19</v>
      </c>
      <c r="O93" s="8">
        <f>IFERROR(N93/N148, "NA")</f>
        <v>6.744654904955992E-2</v>
      </c>
      <c r="P93" s="7">
        <v>1946.97</v>
      </c>
      <c r="Q93" s="8">
        <f>IFERROR(P93/P148, "NA")</f>
        <v>7.7566239082991179E-2</v>
      </c>
      <c r="R93" s="7">
        <v>1734.57</v>
      </c>
      <c r="S93" s="8">
        <f>IFERROR(R93/R148, "NA")</f>
        <v>7.6744297170950812E-2</v>
      </c>
      <c r="T93" s="7">
        <v>1829.4400000000003</v>
      </c>
      <c r="U93" s="8">
        <f>IFERROR(T93/T148, "NA")</f>
        <v>6.5511708162356921E-2</v>
      </c>
      <c r="V93" s="7">
        <v>1997.86</v>
      </c>
      <c r="W93" s="8">
        <f>IFERROR(V93/V148, "NA")</f>
        <v>7.2248802097459541E-2</v>
      </c>
      <c r="X93" s="7">
        <v>1473.13</v>
      </c>
      <c r="Y93" s="8">
        <f>IFERROR(X93/X148, "NA")</f>
        <v>6.2865965628623385E-2</v>
      </c>
      <c r="Z93" s="7">
        <v>7035</v>
      </c>
      <c r="AA93" s="8">
        <f>IFERROR(Z93/Z148, "NA")</f>
        <v>6.9233471800276933E-2</v>
      </c>
      <c r="AB93" s="9">
        <f t="shared" si="36"/>
        <v>1758.75</v>
      </c>
      <c r="AC93" s="8">
        <f>IFERROR(AB93/AB148, "NA")</f>
        <v>6.9233471800276933E-2</v>
      </c>
      <c r="AD93" s="10">
        <f t="shared" si="37"/>
        <v>-285.61999999999989</v>
      </c>
      <c r="AE93" s="11">
        <f>IFERROR(AD93/AD148, "NA")</f>
        <v>0.14496232816746638</v>
      </c>
      <c r="AF93" s="10">
        <f t="shared" si="38"/>
        <v>-0.16239943141435673</v>
      </c>
      <c r="AG93" s="9">
        <f t="shared" si="39"/>
        <v>1848.4675000000002</v>
      </c>
      <c r="AH93" s="8">
        <f>IFERROR(AG93/AG148, "NA")</f>
        <v>7.3725842434016642E-2</v>
      </c>
      <c r="AI93" s="10">
        <f t="shared" si="40"/>
        <v>-375.33750000000009</v>
      </c>
      <c r="AJ93" s="11">
        <f>IFERROR(AI93/AI148, "NA")</f>
        <v>0.22896083486408528</v>
      </c>
      <c r="AK93" s="10">
        <f t="shared" si="41"/>
        <v>-0.20305334013175783</v>
      </c>
      <c r="AL93" s="11">
        <f>IFERROR(AK93/AK148, "NA")</f>
        <v>3.1055709545672712</v>
      </c>
    </row>
    <row r="94" spans="1:38" ht="16.5" hidden="1" customHeight="1">
      <c r="A94" s="6" t="s">
        <v>103</v>
      </c>
      <c r="B94" s="7">
        <v>668.43</v>
      </c>
      <c r="C94" s="8">
        <f>IFERROR(B94/B148, "NA")</f>
        <v>2.68573382454395E-2</v>
      </c>
      <c r="D94" s="7">
        <v>938.05</v>
      </c>
      <c r="E94" s="8">
        <f>IFERROR(D94/D148, "NA")</f>
        <v>2.9648094610940066E-2</v>
      </c>
      <c r="F94" s="7">
        <v>748.84</v>
      </c>
      <c r="G94" s="8">
        <f>IFERROR(F94/F148, "NA")</f>
        <v>2.4894375760662408E-2</v>
      </c>
      <c r="H94" s="7">
        <v>751.16</v>
      </c>
      <c r="I94" s="8">
        <f>IFERROR(H94/H148, "NA")</f>
        <v>2.8136505276437528E-2</v>
      </c>
      <c r="J94" s="7">
        <v>478.17</v>
      </c>
      <c r="K94" s="8">
        <f>IFERROR(J94/J148, "NA")</f>
        <v>2.0924581449295404E-2</v>
      </c>
      <c r="L94" s="7">
        <v>753.05</v>
      </c>
      <c r="M94" s="8">
        <f>IFERROR(L94/L148, "NA")</f>
        <v>2.7931676163918749E-2</v>
      </c>
      <c r="N94" s="7">
        <v>497.17</v>
      </c>
      <c r="O94" s="8">
        <f>IFERROR(N94/N148, "NA")</f>
        <v>2.0671068611549638E-2</v>
      </c>
      <c r="P94" s="7">
        <v>737.94</v>
      </c>
      <c r="Q94" s="8">
        <f>IFERROR(P94/P148, "NA")</f>
        <v>2.9399133252645142E-2</v>
      </c>
      <c r="R94" s="7">
        <v>693.27</v>
      </c>
      <c r="S94" s="8">
        <f>IFERROR(R94/R148, "NA")</f>
        <v>3.0673030722141552E-2</v>
      </c>
      <c r="T94" s="7">
        <v>682.56</v>
      </c>
      <c r="U94" s="8">
        <f>IFERROR(T94/T148, "NA")</f>
        <v>2.4442272784731028E-2</v>
      </c>
      <c r="V94" s="7">
        <v>686.77</v>
      </c>
      <c r="W94" s="8">
        <f>IFERROR(V94/V148, "NA")</f>
        <v>2.4835729138414246E-2</v>
      </c>
      <c r="X94" s="7">
        <v>718.6</v>
      </c>
      <c r="Y94" s="8">
        <f>IFERROR(X94/X148, "NA")</f>
        <v>3.0666324696889458E-2</v>
      </c>
      <c r="Z94" s="7">
        <v>2781.2</v>
      </c>
      <c r="AA94" s="8">
        <f>IFERROR(Z94/Z148, "NA")</f>
        <v>2.737059442372853E-2</v>
      </c>
      <c r="AB94" s="9">
        <f t="shared" si="36"/>
        <v>695.3</v>
      </c>
      <c r="AC94" s="8">
        <f>IFERROR(AB94/AB148, "NA")</f>
        <v>2.737059442372853E-2</v>
      </c>
      <c r="AD94" s="10">
        <f t="shared" si="37"/>
        <v>23.300000000000068</v>
      </c>
      <c r="AE94" s="11">
        <f>IFERROR(AD94/AD148, "NA")</f>
        <v>-1.1825580303557097E-2</v>
      </c>
      <c r="AF94" s="10">
        <f t="shared" si="38"/>
        <v>3.3510714799367278E-2</v>
      </c>
      <c r="AG94" s="9">
        <f t="shared" si="39"/>
        <v>655.94125000000008</v>
      </c>
      <c r="AH94" s="8">
        <f>IFERROR(AG94/AG148, "NA")</f>
        <v>2.6162116046655901E-2</v>
      </c>
      <c r="AI94" s="10">
        <f t="shared" si="40"/>
        <v>62.658749999999941</v>
      </c>
      <c r="AJ94" s="11">
        <f>IFERROR(AI94/AI148, "NA")</f>
        <v>-3.8222665498491321E-2</v>
      </c>
      <c r="AK94" s="10">
        <f t="shared" si="41"/>
        <v>9.5524942210906738E-2</v>
      </c>
      <c r="AL94" s="11">
        <f>IFERROR(AK94/AK148, "NA")</f>
        <v>-1.4609928887375692</v>
      </c>
    </row>
    <row r="95" spans="1:38" ht="16.5" hidden="1" customHeight="1">
      <c r="A95" s="6" t="s">
        <v>104</v>
      </c>
      <c r="B95" s="7">
        <v>0</v>
      </c>
      <c r="C95" s="8">
        <f>IFERROR(B95/B148, "NA")</f>
        <v>0</v>
      </c>
      <c r="D95" s="7">
        <v>0</v>
      </c>
      <c r="E95" s="8">
        <f>IFERROR(D95/D148, "NA")</f>
        <v>0</v>
      </c>
      <c r="F95" s="7">
        <v>0</v>
      </c>
      <c r="G95" s="8">
        <f>IFERROR(F95/F148, "NA")</f>
        <v>0</v>
      </c>
      <c r="H95" s="7">
        <v>572.02</v>
      </c>
      <c r="I95" s="8">
        <f>IFERROR(H95/H148, "NA")</f>
        <v>2.1426385521364017E-2</v>
      </c>
      <c r="J95" s="7">
        <v>0</v>
      </c>
      <c r="K95" s="8">
        <f>IFERROR(J95/J148, "NA")</f>
        <v>0</v>
      </c>
      <c r="L95" s="7">
        <v>0</v>
      </c>
      <c r="M95" s="8">
        <f>IFERROR(L95/L148, "NA")</f>
        <v>0</v>
      </c>
      <c r="N95" s="7">
        <v>0</v>
      </c>
      <c r="O95" s="8">
        <f>IFERROR(N95/N148, "NA")</f>
        <v>0</v>
      </c>
      <c r="P95" s="7">
        <v>572.02</v>
      </c>
      <c r="Q95" s="8">
        <f>IFERROR(P95/P148, "NA")</f>
        <v>2.2788969568227867E-2</v>
      </c>
      <c r="R95" s="7">
        <v>0</v>
      </c>
      <c r="S95" s="8">
        <f>IFERROR(R95/R148, "NA")</f>
        <v>0</v>
      </c>
      <c r="T95" s="7">
        <v>0</v>
      </c>
      <c r="U95" s="8">
        <f>IFERROR(T95/T148, "NA")</f>
        <v>0</v>
      </c>
      <c r="V95" s="7">
        <v>0</v>
      </c>
      <c r="W95" s="8">
        <f>IFERROR(V95/V148, "NA")</f>
        <v>0</v>
      </c>
      <c r="X95" s="7">
        <v>0</v>
      </c>
      <c r="Y95" s="8">
        <f>IFERROR(X95/X148, "NA")</f>
        <v>0</v>
      </c>
      <c r="Z95" s="7">
        <v>0</v>
      </c>
      <c r="AA95" s="8">
        <f>IFERROR(Z95/Z148, "NA")</f>
        <v>0</v>
      </c>
      <c r="AB95" s="9">
        <f t="shared" si="36"/>
        <v>0</v>
      </c>
      <c r="AC95" s="8">
        <f>IFERROR(AB95/AB148, "NA")</f>
        <v>0</v>
      </c>
      <c r="AD95" s="10">
        <f t="shared" si="37"/>
        <v>0</v>
      </c>
      <c r="AE95" s="11">
        <f>IFERROR(AD95/AD148, "NA")</f>
        <v>0</v>
      </c>
      <c r="AF95" s="10" t="str">
        <f t="shared" si="38"/>
        <v>NA</v>
      </c>
      <c r="AG95" s="9">
        <f t="shared" si="39"/>
        <v>71.502499999999998</v>
      </c>
      <c r="AH95" s="8">
        <f>IFERROR(AG95/AG148, "NA")</f>
        <v>2.8518662344013484E-3</v>
      </c>
      <c r="AI95" s="10">
        <f t="shared" si="40"/>
        <v>-71.502499999999998</v>
      </c>
      <c r="AJ95" s="11">
        <f>IFERROR(AI95/AI148, "NA")</f>
        <v>4.3617469863440915E-2</v>
      </c>
      <c r="AK95" s="10">
        <f t="shared" si="41"/>
        <v>-1</v>
      </c>
      <c r="AL95" s="11">
        <f>IFERROR(AK95/AK148, "NA")</f>
        <v>15.294360351581114</v>
      </c>
    </row>
    <row r="96" spans="1:38" ht="16.5" hidden="1" customHeight="1">
      <c r="A96" s="6" t="s">
        <v>105</v>
      </c>
      <c r="B96" s="7">
        <v>0</v>
      </c>
      <c r="C96" s="8">
        <f>IFERROR(B96/B148, "NA")</f>
        <v>0</v>
      </c>
      <c r="D96" s="7">
        <v>0</v>
      </c>
      <c r="E96" s="8">
        <f>IFERROR(D96/D148, "NA")</f>
        <v>0</v>
      </c>
      <c r="F96" s="7">
        <v>0</v>
      </c>
      <c r="G96" s="8">
        <f>IFERROR(F96/F148, "NA")</f>
        <v>0</v>
      </c>
      <c r="H96" s="7">
        <v>0</v>
      </c>
      <c r="I96" s="8">
        <f>IFERROR(H96/H148, "NA")</f>
        <v>0</v>
      </c>
      <c r="J96" s="7">
        <v>0</v>
      </c>
      <c r="K96" s="8">
        <f>IFERROR(J96/J148, "NA")</f>
        <v>0</v>
      </c>
      <c r="L96" s="7">
        <v>0</v>
      </c>
      <c r="M96" s="8">
        <f>IFERROR(L96/L148, "NA")</f>
        <v>0</v>
      </c>
      <c r="N96" s="7">
        <v>0</v>
      </c>
      <c r="O96" s="8">
        <f>IFERROR(N96/N148, "NA")</f>
        <v>0</v>
      </c>
      <c r="P96" s="7">
        <v>0</v>
      </c>
      <c r="Q96" s="8">
        <f>IFERROR(P96/P148, "NA")</f>
        <v>0</v>
      </c>
      <c r="R96" s="7">
        <v>0</v>
      </c>
      <c r="S96" s="8">
        <f>IFERROR(R96/R148, "NA")</f>
        <v>0</v>
      </c>
      <c r="T96" s="7">
        <v>0</v>
      </c>
      <c r="U96" s="8">
        <f>IFERROR(T96/T148, "NA")</f>
        <v>0</v>
      </c>
      <c r="V96" s="7">
        <v>0</v>
      </c>
      <c r="W96" s="8">
        <f>IFERROR(V96/V148, "NA")</f>
        <v>0</v>
      </c>
      <c r="X96" s="7">
        <v>0</v>
      </c>
      <c r="Y96" s="8">
        <f>IFERROR(X96/X148, "NA")</f>
        <v>0</v>
      </c>
      <c r="Z96" s="7">
        <v>0</v>
      </c>
      <c r="AA96" s="8">
        <f>IFERROR(Z96/Z148, "NA")</f>
        <v>0</v>
      </c>
      <c r="AB96" s="9">
        <f t="shared" si="36"/>
        <v>0</v>
      </c>
      <c r="AC96" s="8">
        <f>IFERROR(AB96/AB148, "NA")</f>
        <v>0</v>
      </c>
      <c r="AD96" s="10">
        <f t="shared" si="37"/>
        <v>0</v>
      </c>
      <c r="AE96" s="11">
        <f>IFERROR(AD96/AD148, "NA")</f>
        <v>0</v>
      </c>
      <c r="AF96" s="10" t="str">
        <f t="shared" si="38"/>
        <v>NA</v>
      </c>
      <c r="AG96" s="9">
        <f t="shared" si="39"/>
        <v>0</v>
      </c>
      <c r="AH96" s="8">
        <f>IFERROR(AG96/AG148, "NA")</f>
        <v>0</v>
      </c>
      <c r="AI96" s="10">
        <f t="shared" si="40"/>
        <v>0</v>
      </c>
      <c r="AJ96" s="11">
        <f>IFERROR(AI96/AI148, "NA")</f>
        <v>0</v>
      </c>
      <c r="AK96" s="10" t="str">
        <f t="shared" si="41"/>
        <v>NA</v>
      </c>
      <c r="AL96" s="11" t="str">
        <f>IFERROR(AK96/AK148, "NA")</f>
        <v>NA</v>
      </c>
    </row>
    <row r="97" spans="1:38" ht="16.5" hidden="1" customHeight="1">
      <c r="A97" s="6" t="s">
        <v>106</v>
      </c>
      <c r="B97" s="7">
        <v>627.79999999999995</v>
      </c>
      <c r="C97" s="8">
        <f>IFERROR(B97/B148, "NA")</f>
        <v>2.5224835735210744E-2</v>
      </c>
      <c r="D97" s="7">
        <v>14.58</v>
      </c>
      <c r="E97" s="8">
        <f>IFERROR(D97/D148, "NA")</f>
        <v>4.6081682152071448E-4</v>
      </c>
      <c r="F97" s="7">
        <v>250.05</v>
      </c>
      <c r="G97" s="8">
        <f>IFERROR(F97/F148, "NA")</f>
        <v>8.3126417645339925E-3</v>
      </c>
      <c r="H97" s="7">
        <v>2739.1100000000006</v>
      </c>
      <c r="I97" s="8">
        <f>IFERROR(H97/H148, "NA")</f>
        <v>0.10259995602500509</v>
      </c>
      <c r="J97" s="7">
        <v>27.08</v>
      </c>
      <c r="K97" s="8">
        <f>IFERROR(J97/J148, "NA")</f>
        <v>1.1850129988224261E-3</v>
      </c>
      <c r="L97" s="7">
        <v>0</v>
      </c>
      <c r="M97" s="8">
        <f>IFERROR(L97/L148, "NA")</f>
        <v>0</v>
      </c>
      <c r="N97" s="7">
        <v>250.05</v>
      </c>
      <c r="O97" s="8">
        <f>IFERROR(N97/N148, "NA")</f>
        <v>1.0396445292994322E-2</v>
      </c>
      <c r="P97" s="7">
        <v>532.96</v>
      </c>
      <c r="Q97" s="8">
        <f>IFERROR(P97/P148, "NA")</f>
        <v>2.123284014734227E-2</v>
      </c>
      <c r="R97" s="7">
        <v>0</v>
      </c>
      <c r="S97" s="8">
        <f>IFERROR(R97/R148, "NA")</f>
        <v>0</v>
      </c>
      <c r="T97" s="7">
        <v>0</v>
      </c>
      <c r="U97" s="8">
        <f>IFERROR(T97/T148, "NA")</f>
        <v>0</v>
      </c>
      <c r="V97" s="7">
        <v>0</v>
      </c>
      <c r="W97" s="8">
        <f>IFERROR(V97/V148, "NA")</f>
        <v>0</v>
      </c>
      <c r="X97" s="7">
        <v>251.05</v>
      </c>
      <c r="Y97" s="8">
        <f>IFERROR(X97/X148, "NA")</f>
        <v>1.071358309929599E-2</v>
      </c>
      <c r="Z97" s="7">
        <v>251.05</v>
      </c>
      <c r="AA97" s="8">
        <f>IFERROR(Z97/Z148, "NA")</f>
        <v>2.4706557349622638E-3</v>
      </c>
      <c r="AB97" s="9">
        <f t="shared" si="36"/>
        <v>62.762500000000003</v>
      </c>
      <c r="AC97" s="8">
        <f>IFERROR(AB97/AB148, "NA")</f>
        <v>2.4706557349622638E-3</v>
      </c>
      <c r="AD97" s="10">
        <f t="shared" si="37"/>
        <v>188.28750000000002</v>
      </c>
      <c r="AE97" s="11">
        <f>IFERROR(AD97/AD148, "NA")</f>
        <v>-9.5562615940171694E-2</v>
      </c>
      <c r="AF97" s="10">
        <f t="shared" si="38"/>
        <v>3.0000000000000004</v>
      </c>
      <c r="AG97" s="9">
        <f t="shared" si="39"/>
        <v>132.64250000000001</v>
      </c>
      <c r="AH97" s="8">
        <f>IFERROR(AG97/AG148, "NA")</f>
        <v>5.2904257473036726E-3</v>
      </c>
      <c r="AI97" s="10">
        <f t="shared" si="40"/>
        <v>118.4075</v>
      </c>
      <c r="AJ97" s="11">
        <f>IFERROR(AI97/AI148, "NA")</f>
        <v>-7.2230139685400929E-2</v>
      </c>
      <c r="AK97" s="10">
        <f t="shared" si="41"/>
        <v>0.89268145579282654</v>
      </c>
      <c r="AL97" s="11">
        <f>IFERROR(AK97/AK148, "NA")</f>
        <v>-13.652991864069515</v>
      </c>
    </row>
    <row r="98" spans="1:38" ht="16.5" hidden="1" customHeight="1">
      <c r="A98" s="6" t="s">
        <v>107</v>
      </c>
      <c r="B98" s="7">
        <v>520.75</v>
      </c>
      <c r="C98" s="8">
        <f>IFERROR(B98/B148, "NA")</f>
        <v>2.0923595427064345E-2</v>
      </c>
      <c r="D98" s="7">
        <v>27.419999999999987</v>
      </c>
      <c r="E98" s="8">
        <f>IFERROR(D98/D148, "NA")</f>
        <v>8.666390429422486E-4</v>
      </c>
      <c r="F98" s="7">
        <v>2345.2999999999997</v>
      </c>
      <c r="G98" s="8">
        <f>IFERROR(F98/F148, "NA")</f>
        <v>7.7966961529140455E-2</v>
      </c>
      <c r="H98" s="7">
        <v>1292.94</v>
      </c>
      <c r="I98" s="8">
        <f>IFERROR(H98/H148, "NA")</f>
        <v>4.8430178832894646E-2</v>
      </c>
      <c r="J98" s="7">
        <v>495.82000000000005</v>
      </c>
      <c r="K98" s="8">
        <f>IFERROR(J98/J148, "NA")</f>
        <v>2.1696940364702193E-2</v>
      </c>
      <c r="L98" s="7">
        <v>312.16999999999996</v>
      </c>
      <c r="M98" s="8">
        <f>IFERROR(L98/L148, "NA")</f>
        <v>1.1578821257672817E-2</v>
      </c>
      <c r="N98" s="7">
        <v>3016.5400000000004</v>
      </c>
      <c r="O98" s="8">
        <f>IFERROR(N98/N148, "NA")</f>
        <v>0.1254200883188526</v>
      </c>
      <c r="P98" s="7">
        <v>1363.3</v>
      </c>
      <c r="Q98" s="8">
        <f>IFERROR(P98/P148, "NA")</f>
        <v>5.4313139771974842E-2</v>
      </c>
      <c r="R98" s="7">
        <v>530.82999999999993</v>
      </c>
      <c r="S98" s="8">
        <f>IFERROR(R98/R148, "NA")</f>
        <v>2.3486037039298396E-2</v>
      </c>
      <c r="T98" s="7">
        <v>962.1099999999999</v>
      </c>
      <c r="U98" s="8">
        <f>IFERROR(T98/T148, "NA")</f>
        <v>3.445287603861575E-2</v>
      </c>
      <c r="V98" s="7">
        <v>1077.8499999999999</v>
      </c>
      <c r="W98" s="8">
        <f>IFERROR(V98/V148, "NA")</f>
        <v>3.8978392550402315E-2</v>
      </c>
      <c r="X98" s="7">
        <v>3330.84</v>
      </c>
      <c r="Y98" s="8">
        <f>IFERROR(X98/X148, "NA")</f>
        <v>0.14214392005759433</v>
      </c>
      <c r="Z98" s="7">
        <v>5901.63</v>
      </c>
      <c r="AA98" s="8">
        <f>IFERROR(Z98/Z148, "NA")</f>
        <v>5.8079649492632321E-2</v>
      </c>
      <c r="AB98" s="9">
        <f t="shared" si="36"/>
        <v>1475.4075</v>
      </c>
      <c r="AC98" s="8">
        <f>IFERROR(AB98/AB148, "NA")</f>
        <v>5.8079649492632321E-2</v>
      </c>
      <c r="AD98" s="10">
        <f t="shared" si="37"/>
        <v>1855.4325000000001</v>
      </c>
      <c r="AE98" s="11">
        <f>IFERROR(AD98/AD148, "NA")</f>
        <v>-0.94169811272873993</v>
      </c>
      <c r="AF98" s="10">
        <f t="shared" si="38"/>
        <v>1.2575729078237707</v>
      </c>
      <c r="AG98" s="9">
        <f t="shared" si="39"/>
        <v>1386.1825000000001</v>
      </c>
      <c r="AH98" s="8">
        <f>IFERROR(AG98/AG148, "NA")</f>
        <v>5.5287676185700463E-2</v>
      </c>
      <c r="AI98" s="10">
        <f t="shared" si="40"/>
        <v>1944.6575</v>
      </c>
      <c r="AJ98" s="11">
        <f>IFERROR(AI98/AI148, "NA")</f>
        <v>-1.1862667725039593</v>
      </c>
      <c r="AK98" s="10">
        <f t="shared" si="41"/>
        <v>1.4028870657362937</v>
      </c>
      <c r="AL98" s="11">
        <f>IFERROR(AK98/AK148, "NA")</f>
        <v>-21.456260315943137</v>
      </c>
    </row>
    <row r="99" spans="1:38" ht="16.5" hidden="1" customHeight="1">
      <c r="A99" s="12" t="s">
        <v>108</v>
      </c>
      <c r="B99" s="13">
        <f>IFERROR(B90+B91+B92+B93+B94+B95+B96+B97+B98, "NA")</f>
        <v>6622.6900000000005</v>
      </c>
      <c r="C99" s="14">
        <f>IFERROR(B99/B148, "NA")</f>
        <v>0.26609790916728715</v>
      </c>
      <c r="D99" s="13">
        <f>IFERROR(D90+D91+D92+D93+D94+D95+D96+D97+D98, "NA")</f>
        <v>6301.31</v>
      </c>
      <c r="E99" s="14">
        <f>IFERROR(D99/D148, "NA")</f>
        <v>0.19915978364997897</v>
      </c>
      <c r="F99" s="13">
        <f>IFERROR(F90+F91+F92+F93+F94+F95+F96+F97+F98, "NA")</f>
        <v>9187.1</v>
      </c>
      <c r="G99" s="14">
        <f>IFERROR(F99/F148, "NA")</f>
        <v>0.3054152015794851</v>
      </c>
      <c r="H99" s="13">
        <f>IFERROR(H90+H91+H92+H93+H94+H95+H96+H97+H98, "NA")</f>
        <v>8812.5600000000013</v>
      </c>
      <c r="I99" s="14">
        <f>IFERROR(H99/H148, "NA")</f>
        <v>0.33009563999537028</v>
      </c>
      <c r="J99" s="13">
        <f>IFERROR(J90+J91+J92+J93+J94+J95+J96+J97+J98, "NA")</f>
        <v>4340.82</v>
      </c>
      <c r="K99" s="14">
        <f>IFERROR(J99/J148, "NA")</f>
        <v>0.18995303270119512</v>
      </c>
      <c r="L99" s="13">
        <f>IFERROR(L90+L91+L92+L93+L94+L95+L96+L97+L98, "NA")</f>
        <v>5031.04</v>
      </c>
      <c r="M99" s="14">
        <f>IFERROR(L99/L148, "NA")</f>
        <v>0.18660829964507242</v>
      </c>
      <c r="N99" s="13">
        <f>IFERROR(N90+N91+N92+N93+N94+N95+N96+N97+N98, "NA")</f>
        <v>6372.1500000000015</v>
      </c>
      <c r="O99" s="14">
        <f>IFERROR(N99/N148, "NA")</f>
        <v>0.26493784792543001</v>
      </c>
      <c r="P99" s="13">
        <f>IFERROR(P90+P91+P92+P93+P94+P95+P96+P97+P98, "NA")</f>
        <v>7089.630000000001</v>
      </c>
      <c r="Q99" s="14">
        <f>IFERROR(P99/P148, "NA")</f>
        <v>0.2824470513618324</v>
      </c>
      <c r="R99" s="13">
        <f>IFERROR(R90+R91+R92+R93+R94+R95+R96+R97+R98, "NA")</f>
        <v>4899.7999999999993</v>
      </c>
      <c r="S99" s="14">
        <f>IFERROR(R99/R148, "NA")</f>
        <v>0.21678670061065552</v>
      </c>
      <c r="T99" s="13">
        <f>IFERROR(T90+T91+T92+T93+T94+T95+T96+T97+T98, "NA")</f>
        <v>4817.43</v>
      </c>
      <c r="U99" s="14">
        <f>IFERROR(T99/T148, "NA")</f>
        <v>0.17251075096892113</v>
      </c>
      <c r="V99" s="13">
        <f>IFERROR(V90+V91+V92+V93+V94+V95+V96+V97+V98, "NA")</f>
        <v>5066.8099999999995</v>
      </c>
      <c r="W99" s="14">
        <f>IFERROR(V99/V148, "NA")</f>
        <v>0.18323153421932917</v>
      </c>
      <c r="X99" s="13">
        <f>IFERROR(X90+X91+X92+X93+X94+X95+X96+X97+X98, "NA")</f>
        <v>6919.5</v>
      </c>
      <c r="Y99" s="14">
        <f>IFERROR(X99/X148, "NA")</f>
        <v>0.29529033362110574</v>
      </c>
      <c r="Z99" s="13">
        <f>IFERROR(Z90+Z91+Z92+Z93+Z94+Z95+Z96+Z97+Z98, "NA")</f>
        <v>21703.54</v>
      </c>
      <c r="AA99" s="14">
        <f>IFERROR(Z99/Z148, "NA")</f>
        <v>0.21359082083243533</v>
      </c>
      <c r="AB99" s="13">
        <f t="shared" si="36"/>
        <v>5425.8850000000002</v>
      </c>
      <c r="AC99" s="14">
        <f>IFERROR(AB99/AB148, "NA")</f>
        <v>0.21359082083243533</v>
      </c>
      <c r="AD99" s="15">
        <f t="shared" si="37"/>
        <v>1493.6149999999998</v>
      </c>
      <c r="AE99" s="16">
        <f>IFERROR(AD99/AD148, "NA")</f>
        <v>-0.75806283798701191</v>
      </c>
      <c r="AF99" s="15">
        <f t="shared" si="38"/>
        <v>0.27527583057879035</v>
      </c>
      <c r="AG99" s="13">
        <f t="shared" si="39"/>
        <v>5567.1475</v>
      </c>
      <c r="AH99" s="14">
        <f>IFERROR(AG99/AG148, "NA")</f>
        <v>0.22204482328844277</v>
      </c>
      <c r="AI99" s="15">
        <f t="shared" si="40"/>
        <v>1352.3525</v>
      </c>
      <c r="AJ99" s="16">
        <f>IFERROR(AI99/AI148, "NA")</f>
        <v>-0.82495289554209961</v>
      </c>
      <c r="AK99" s="15">
        <f t="shared" si="41"/>
        <v>0.24291659238416083</v>
      </c>
      <c r="AL99" s="16">
        <f>IFERROR(AK99/AK148, "NA")</f>
        <v>-3.7152538993015001</v>
      </c>
    </row>
    <row r="100" spans="1:38" ht="16.5" hidden="1" customHeight="1">
      <c r="A100" s="35" t="s">
        <v>3</v>
      </c>
      <c r="B100" s="36"/>
      <c r="C100" s="19"/>
      <c r="D100" s="36"/>
      <c r="E100" s="19"/>
      <c r="F100" s="36"/>
      <c r="G100" s="19"/>
      <c r="H100" s="36"/>
      <c r="I100" s="19"/>
      <c r="J100" s="36"/>
      <c r="K100" s="19"/>
      <c r="L100" s="36"/>
      <c r="M100" s="19"/>
      <c r="N100" s="36"/>
      <c r="O100" s="19"/>
      <c r="P100" s="36"/>
      <c r="Q100" s="19"/>
      <c r="R100" s="36"/>
      <c r="S100" s="19"/>
      <c r="T100" s="36"/>
      <c r="U100" s="19"/>
      <c r="V100" s="36"/>
      <c r="W100" s="19"/>
      <c r="X100" s="36"/>
      <c r="Y100" s="19"/>
      <c r="Z100" s="36"/>
      <c r="AA100" s="19"/>
      <c r="AB100" s="36"/>
      <c r="AC100" s="19"/>
      <c r="AD100" s="37"/>
      <c r="AE100" s="21"/>
      <c r="AF100" s="37"/>
      <c r="AG100" s="36"/>
      <c r="AH100" s="19"/>
      <c r="AI100" s="37"/>
      <c r="AJ100" s="21"/>
      <c r="AK100" s="37"/>
      <c r="AL100" s="21"/>
    </row>
    <row r="101" spans="1:38" ht="16.5" hidden="1" customHeight="1">
      <c r="A101" s="32" t="s">
        <v>109</v>
      </c>
      <c r="B101" s="33">
        <f>IFERROR(B87-B99, "NA")</f>
        <v>3784.5299999999988</v>
      </c>
      <c r="C101" s="34">
        <f>IFERROR(B101/B148, "NA")</f>
        <v>0.15206140105921806</v>
      </c>
      <c r="D101" s="33">
        <f>IFERROR(D87-D99, "NA")</f>
        <v>8144.2300000000114</v>
      </c>
      <c r="E101" s="34">
        <f>IFERROR(D101/D148, "NA")</f>
        <v>0.25740728273893371</v>
      </c>
      <c r="F101" s="33">
        <f>IFERROR(F87-F99, "NA")</f>
        <v>5635.4699999999921</v>
      </c>
      <c r="G101" s="34">
        <f>IFERROR(F101/F148, "NA")</f>
        <v>0.18734510411828958</v>
      </c>
      <c r="H101" s="33">
        <f>IFERROR(H87-H99, "NA")</f>
        <v>4887.3599999999951</v>
      </c>
      <c r="I101" s="34">
        <f>IFERROR(H101/H148, "NA")</f>
        <v>0.18306782899495391</v>
      </c>
      <c r="J101" s="33">
        <f>IFERROR(J87-J99, "NA")</f>
        <v>3402.029999999997</v>
      </c>
      <c r="K101" s="34">
        <f>IFERROR(J101/J148, "NA")</f>
        <v>0.14887185274681886</v>
      </c>
      <c r="L101" s="33">
        <f>IFERROR(L87-L99, "NA")</f>
        <v>8406.16</v>
      </c>
      <c r="M101" s="34">
        <f>IFERROR(L101/L148, "NA")</f>
        <v>0.31179621393278961</v>
      </c>
      <c r="N101" s="33">
        <f>IFERROR(N87-N99, "NA")</f>
        <v>2640.2299999999977</v>
      </c>
      <c r="O101" s="34">
        <f>IFERROR(N101/N148, "NA")</f>
        <v>0.10977407220924765</v>
      </c>
      <c r="P101" s="33">
        <f>IFERROR(P87-P99, "NA")</f>
        <v>4506.5599999999977</v>
      </c>
      <c r="Q101" s="34">
        <f>IFERROR(P101/P148, "NA")</f>
        <v>0.17953892992796217</v>
      </c>
      <c r="R101" s="33">
        <f>IFERROR(R87-R99, "NA")</f>
        <v>5278.5300000000025</v>
      </c>
      <c r="S101" s="34">
        <f>IFERROR(R101/R148, "NA")</f>
        <v>0.23354322682035272</v>
      </c>
      <c r="T101" s="33">
        <f>IFERROR(T87-T99, "NA")</f>
        <v>8690.8499999999985</v>
      </c>
      <c r="U101" s="34">
        <f>IFERROR(T101/T148, "NA")</f>
        <v>0.3112167815740442</v>
      </c>
      <c r="V101" s="33">
        <f>IFERROR(V87-V99, "NA")</f>
        <v>8051.1099999999988</v>
      </c>
      <c r="W101" s="34">
        <f>IFERROR(V101/V148, "NA")</f>
        <v>0.29115306030196181</v>
      </c>
      <c r="X101" s="33">
        <f>IFERROR(X87-X99, "NA")</f>
        <v>2752.9999999999964</v>
      </c>
      <c r="Y101" s="34">
        <f>IFERROR(X101/X148, "NA")</f>
        <v>0.11748454201299272</v>
      </c>
      <c r="Z101" s="33">
        <f>IFERROR(Z87-Z99, "NA")</f>
        <v>24773.489999999991</v>
      </c>
      <c r="AA101" s="34">
        <f>IFERROR(Z101/Z148, "NA")</f>
        <v>0.24380308760617514</v>
      </c>
      <c r="AB101" s="33">
        <f>IFERROR((R101+T101+V101+X101)/4, "NA")</f>
        <v>6193.3724999999986</v>
      </c>
      <c r="AC101" s="34">
        <f>IFERROR(AB101/AB148, "NA")</f>
        <v>0.24380308760617517</v>
      </c>
      <c r="AD101" s="15">
        <f>IFERROR(X101-AB101, "NA")</f>
        <v>-3440.3725000000022</v>
      </c>
      <c r="AE101" s="16">
        <f>IFERROR(AD101/AD148, "NA")</f>
        <v>1.746111642613708</v>
      </c>
      <c r="AF101" s="15">
        <f>IFERROR((X101-AB101)/AB101, "NA")</f>
        <v>-0.55549258501729115</v>
      </c>
      <c r="AG101" s="33">
        <f>IFERROR((J101+L101+N101+P101+R101+T101+V101+X101)/8, "NA")</f>
        <v>5466.0587499999983</v>
      </c>
      <c r="AH101" s="34">
        <f>IFERROR(AG101/AG148, "NA")</f>
        <v>0.21801291401530065</v>
      </c>
      <c r="AI101" s="15">
        <f>IFERROR(X101-AG101, "NA")</f>
        <v>-2713.058750000002</v>
      </c>
      <c r="AJ101" s="16">
        <f>IFERROR(AI101/AI148, "NA")</f>
        <v>1.6550016889740884</v>
      </c>
      <c r="AK101" s="15">
        <f>IFERROR((X101-AG101)/AG101, "NA")</f>
        <v>-0.49634643059773237</v>
      </c>
      <c r="AL101" s="16">
        <f>IFERROR(AK101/AK148, "NA")</f>
        <v>7.5913011687827652</v>
      </c>
    </row>
    <row r="102" spans="1:38" ht="3.75" hidden="1" customHeight="1">
      <c r="A102" s="35" t="s">
        <v>3</v>
      </c>
      <c r="B102" s="36"/>
      <c r="C102" s="19"/>
      <c r="D102" s="36"/>
      <c r="E102" s="19"/>
      <c r="F102" s="36"/>
      <c r="G102" s="19"/>
      <c r="H102" s="36"/>
      <c r="I102" s="19"/>
      <c r="J102" s="36"/>
      <c r="K102" s="19"/>
      <c r="L102" s="36"/>
      <c r="M102" s="19"/>
      <c r="N102" s="36"/>
      <c r="O102" s="19"/>
      <c r="P102" s="36"/>
      <c r="Q102" s="19"/>
      <c r="R102" s="36"/>
      <c r="S102" s="19"/>
      <c r="T102" s="36"/>
      <c r="U102" s="19"/>
      <c r="V102" s="36"/>
      <c r="W102" s="19"/>
      <c r="X102" s="36"/>
      <c r="Y102" s="19"/>
      <c r="Z102" s="36"/>
      <c r="AA102" s="19"/>
      <c r="AB102" s="36"/>
      <c r="AC102" s="19"/>
      <c r="AD102" s="37"/>
      <c r="AE102" s="21"/>
      <c r="AF102" s="37"/>
      <c r="AG102" s="36"/>
      <c r="AH102" s="19"/>
      <c r="AI102" s="37"/>
      <c r="AJ102" s="21"/>
      <c r="AK102" s="37"/>
      <c r="AL102" s="21"/>
    </row>
    <row r="103" spans="1:38" ht="16.5" hidden="1" customHeight="1">
      <c r="A103" s="1" t="s">
        <v>110</v>
      </c>
      <c r="B103" s="2"/>
      <c r="C103" s="3"/>
      <c r="D103" s="2"/>
      <c r="E103" s="3"/>
      <c r="F103" s="2"/>
      <c r="G103" s="3"/>
      <c r="H103" s="2"/>
      <c r="I103" s="3"/>
      <c r="J103" s="2"/>
      <c r="K103" s="3"/>
      <c r="L103" s="2"/>
      <c r="M103" s="3"/>
      <c r="N103" s="2"/>
      <c r="O103" s="3"/>
      <c r="P103" s="2"/>
      <c r="Q103" s="3"/>
      <c r="R103" s="2"/>
      <c r="S103" s="3"/>
      <c r="T103" s="2"/>
      <c r="U103" s="3"/>
      <c r="V103" s="2"/>
      <c r="W103" s="3"/>
      <c r="X103" s="2"/>
      <c r="Y103" s="3"/>
      <c r="Z103" s="2"/>
      <c r="AA103" s="3"/>
      <c r="AB103" s="2"/>
      <c r="AC103" s="3"/>
      <c r="AD103" s="4"/>
      <c r="AE103" s="5"/>
      <c r="AF103" s="4"/>
      <c r="AG103" s="2"/>
      <c r="AH103" s="3"/>
      <c r="AI103" s="4"/>
      <c r="AJ103" s="5"/>
      <c r="AK103" s="4"/>
      <c r="AL103" s="5"/>
    </row>
    <row r="104" spans="1:38" ht="16.5" hidden="1" customHeight="1">
      <c r="A104" s="38" t="s">
        <v>111</v>
      </c>
      <c r="B104" s="39">
        <v>1584.69</v>
      </c>
      <c r="C104" s="34">
        <f>IFERROR(B104/B148, "NA")</f>
        <v>6.3672419466758709E-2</v>
      </c>
      <c r="D104" s="39">
        <v>0</v>
      </c>
      <c r="E104" s="34">
        <f>IFERROR(D104/D148, "NA")</f>
        <v>0</v>
      </c>
      <c r="F104" s="39">
        <v>4462.3100000000004</v>
      </c>
      <c r="G104" s="34">
        <f>IFERROR(F104/F148, "NA")</f>
        <v>0.14834466895539963</v>
      </c>
      <c r="H104" s="39">
        <v>19887.580000000002</v>
      </c>
      <c r="I104" s="34">
        <f>IFERROR(H104/H148, "NA")</f>
        <v>0.74493716332815052</v>
      </c>
      <c r="J104" s="39">
        <v>401.84999999999997</v>
      </c>
      <c r="K104" s="34">
        <f>IFERROR(J104/J148, "NA")</f>
        <v>1.7584840235479762E-2</v>
      </c>
      <c r="L104" s="39">
        <v>0</v>
      </c>
      <c r="M104" s="34">
        <f>IFERROR(L104/L148, "NA")</f>
        <v>0</v>
      </c>
      <c r="N104" s="39">
        <v>3946.2200000000003</v>
      </c>
      <c r="O104" s="34">
        <f>IFERROR(N104/N148, "NA")</f>
        <v>0.16407382661115799</v>
      </c>
      <c r="P104" s="39">
        <v>20350.45</v>
      </c>
      <c r="Q104" s="34">
        <f>IFERROR(P104/P148, "NA")</f>
        <v>0.81075099777934834</v>
      </c>
      <c r="R104" s="39">
        <v>862.39</v>
      </c>
      <c r="S104" s="34">
        <f>IFERROR(R104/R148, "NA")</f>
        <v>3.8155574256015193E-2</v>
      </c>
      <c r="T104" s="39">
        <v>0</v>
      </c>
      <c r="U104" s="34">
        <f>IFERROR(T104/T148, "NA")</f>
        <v>0</v>
      </c>
      <c r="V104" s="39">
        <v>0</v>
      </c>
      <c r="W104" s="34">
        <f>IFERROR(V104/V148, "NA")</f>
        <v>0</v>
      </c>
      <c r="X104" s="39">
        <v>1321.23</v>
      </c>
      <c r="Y104" s="34">
        <f>IFERROR(X104/X148, "NA")</f>
        <v>5.6383618395868709E-2</v>
      </c>
      <c r="Z104" s="39">
        <v>2183.62</v>
      </c>
      <c r="AA104" s="34">
        <f>IFERROR(Z104/Z148, "NA")</f>
        <v>2.1489636630066911E-2</v>
      </c>
      <c r="AB104" s="33">
        <f>IFERROR((R104+T104+V104+X104)/4, "NA")</f>
        <v>545.90499999999997</v>
      </c>
      <c r="AC104" s="34">
        <f>IFERROR(AB104/AB148, "NA")</f>
        <v>2.1489636630066911E-2</v>
      </c>
      <c r="AD104" s="15">
        <f>IFERROR(X104-AB104, "NA")</f>
        <v>775.32500000000005</v>
      </c>
      <c r="AE104" s="16">
        <f>IFERROR(AD104/AD148, "NA")</f>
        <v>-0.3935050664744798</v>
      </c>
      <c r="AF104" s="15">
        <f>IFERROR((X104-AB104)/AB104, "NA")</f>
        <v>1.4202562716956249</v>
      </c>
      <c r="AG104" s="33">
        <f>IFERROR((J104+L104+N104+P104+R104+T104+V104+X104)/8, "NA")</f>
        <v>3360.2674999999999</v>
      </c>
      <c r="AH104" s="34">
        <f>IFERROR(AG104/AG148, "NA")</f>
        <v>0.13402375332060043</v>
      </c>
      <c r="AI104" s="15">
        <f>IFERROR(X104-AG104, "NA")</f>
        <v>-2039.0374999999999</v>
      </c>
      <c r="AJ104" s="16">
        <f>IFERROR(AI104/AI148, "NA")</f>
        <v>1.2438398196800937</v>
      </c>
      <c r="AK104" s="15">
        <f>IFERROR((X104-AG104)/AG104, "NA")</f>
        <v>-0.60680808893934779</v>
      </c>
      <c r="AL104" s="16">
        <f>IFERROR(AK104/AK148, "NA")</f>
        <v>9.2807415764926677</v>
      </c>
    </row>
    <row r="105" spans="1:38" ht="16.5" hidden="1" customHeight="1">
      <c r="A105" s="12" t="s">
        <v>112</v>
      </c>
      <c r="B105" s="13">
        <f>IFERROR(B104, "NA")</f>
        <v>1584.69</v>
      </c>
      <c r="C105" s="14">
        <f>IFERROR(B105/B148, "NA")</f>
        <v>6.3672419466758709E-2</v>
      </c>
      <c r="D105" s="13">
        <f>IFERROR(D104, "NA")</f>
        <v>0</v>
      </c>
      <c r="E105" s="14">
        <f>IFERROR(D105/D148, "NA")</f>
        <v>0</v>
      </c>
      <c r="F105" s="13">
        <f>IFERROR(F104, "NA")</f>
        <v>4462.3100000000004</v>
      </c>
      <c r="G105" s="14">
        <f>IFERROR(F105/F148, "NA")</f>
        <v>0.14834466895539963</v>
      </c>
      <c r="H105" s="13">
        <f>IFERROR(H104, "NA")</f>
        <v>19887.580000000002</v>
      </c>
      <c r="I105" s="14">
        <f>IFERROR(H105/H148, "NA")</f>
        <v>0.74493716332815052</v>
      </c>
      <c r="J105" s="13">
        <f>IFERROR(J104, "NA")</f>
        <v>401.84999999999997</v>
      </c>
      <c r="K105" s="14">
        <f>IFERROR(J105/J148, "NA")</f>
        <v>1.7584840235479762E-2</v>
      </c>
      <c r="L105" s="13">
        <f>IFERROR(L104, "NA")</f>
        <v>0</v>
      </c>
      <c r="M105" s="14">
        <f>IFERROR(L105/L148, "NA")</f>
        <v>0</v>
      </c>
      <c r="N105" s="13">
        <f>IFERROR(N104, "NA")</f>
        <v>3946.2200000000003</v>
      </c>
      <c r="O105" s="14">
        <f>IFERROR(N105/N148, "NA")</f>
        <v>0.16407382661115799</v>
      </c>
      <c r="P105" s="13">
        <f>IFERROR(P104, "NA")</f>
        <v>20350.45</v>
      </c>
      <c r="Q105" s="14">
        <f>IFERROR(P105/P148, "NA")</f>
        <v>0.81075099777934834</v>
      </c>
      <c r="R105" s="13">
        <f>IFERROR(R104, "NA")</f>
        <v>862.39</v>
      </c>
      <c r="S105" s="14">
        <f>IFERROR(R105/R148, "NA")</f>
        <v>3.8155574256015193E-2</v>
      </c>
      <c r="T105" s="13">
        <f>IFERROR(T104, "NA")</f>
        <v>0</v>
      </c>
      <c r="U105" s="14">
        <f>IFERROR(T105/T148, "NA")</f>
        <v>0</v>
      </c>
      <c r="V105" s="13">
        <f>IFERROR(V104, "NA")</f>
        <v>0</v>
      </c>
      <c r="W105" s="14">
        <f>IFERROR(V105/V148, "NA")</f>
        <v>0</v>
      </c>
      <c r="X105" s="13">
        <f>IFERROR(X104, "NA")</f>
        <v>1321.23</v>
      </c>
      <c r="Y105" s="14">
        <f>IFERROR(X105/X148, "NA")</f>
        <v>5.6383618395868709E-2</v>
      </c>
      <c r="Z105" s="13">
        <f>IFERROR(Z104, "NA")</f>
        <v>2183.62</v>
      </c>
      <c r="AA105" s="14">
        <f>IFERROR(Z105/Z148, "NA")</f>
        <v>2.1489636630066911E-2</v>
      </c>
      <c r="AB105" s="13">
        <f>IFERROR((R105+T105+V105+X105)/4, "NA")</f>
        <v>545.90499999999997</v>
      </c>
      <c r="AC105" s="14">
        <f>IFERROR(AB105/AB148, "NA")</f>
        <v>2.1489636630066911E-2</v>
      </c>
      <c r="AD105" s="15">
        <f>IFERROR(X105-AB105, "NA")</f>
        <v>775.32500000000005</v>
      </c>
      <c r="AE105" s="16">
        <f>IFERROR(AD105/AD148, "NA")</f>
        <v>-0.3935050664744798</v>
      </c>
      <c r="AF105" s="15">
        <f>IFERROR((X105-AB105)/AB105, "NA")</f>
        <v>1.4202562716956249</v>
      </c>
      <c r="AG105" s="13">
        <f>IFERROR((J105+L105+N105+P105+R105+T105+V105+X105)/8, "NA")</f>
        <v>3360.2674999999999</v>
      </c>
      <c r="AH105" s="14">
        <f>IFERROR(AG105/AG148, "NA")</f>
        <v>0.13402375332060043</v>
      </c>
      <c r="AI105" s="15">
        <f>IFERROR(X105-AG105, "NA")</f>
        <v>-2039.0374999999999</v>
      </c>
      <c r="AJ105" s="16">
        <f>IFERROR(AI105/AI148, "NA")</f>
        <v>1.2438398196800937</v>
      </c>
      <c r="AK105" s="15">
        <f>IFERROR((X105-AG105)/AG105, "NA")</f>
        <v>-0.60680808893934779</v>
      </c>
      <c r="AL105" s="16">
        <f>IFERROR(AK105/AK148, "NA")</f>
        <v>9.2807415764926677</v>
      </c>
    </row>
    <row r="106" spans="1:38" ht="16.5" hidden="1" customHeight="1">
      <c r="A106" s="35" t="s">
        <v>3</v>
      </c>
      <c r="B106" s="36"/>
      <c r="C106" s="19"/>
      <c r="D106" s="36"/>
      <c r="E106" s="19"/>
      <c r="F106" s="36"/>
      <c r="G106" s="19"/>
      <c r="H106" s="36"/>
      <c r="I106" s="19"/>
      <c r="J106" s="36"/>
      <c r="K106" s="19"/>
      <c r="L106" s="36"/>
      <c r="M106" s="19"/>
      <c r="N106" s="36"/>
      <c r="O106" s="19"/>
      <c r="P106" s="36"/>
      <c r="Q106" s="19"/>
      <c r="R106" s="36"/>
      <c r="S106" s="19"/>
      <c r="T106" s="36"/>
      <c r="U106" s="19"/>
      <c r="V106" s="36"/>
      <c r="W106" s="19"/>
      <c r="X106" s="36"/>
      <c r="Y106" s="19"/>
      <c r="Z106" s="36"/>
      <c r="AA106" s="19"/>
      <c r="AB106" s="36"/>
      <c r="AC106" s="19"/>
      <c r="AD106" s="37"/>
      <c r="AE106" s="21"/>
      <c r="AF106" s="37"/>
      <c r="AG106" s="36"/>
      <c r="AH106" s="19"/>
      <c r="AI106" s="37"/>
      <c r="AJ106" s="21"/>
      <c r="AK106" s="37"/>
      <c r="AL106" s="21"/>
    </row>
    <row r="107" spans="1:38" ht="16.5" hidden="1" customHeight="1">
      <c r="A107" s="32" t="s">
        <v>113</v>
      </c>
      <c r="B107" s="33">
        <f>IFERROR(B87-B99-B105, "NA")</f>
        <v>2199.8399999999988</v>
      </c>
      <c r="C107" s="34">
        <f>IFERROR(B107/B148, "NA")</f>
        <v>8.8388981592459351E-2</v>
      </c>
      <c r="D107" s="33">
        <f>IFERROR(D87-D99-D105, "NA")</f>
        <v>8144.2300000000114</v>
      </c>
      <c r="E107" s="34">
        <f>IFERROR(D107/D148, "NA")</f>
        <v>0.25740728273893371</v>
      </c>
      <c r="F107" s="33">
        <f>IFERROR(F87-F99-F105, "NA")</f>
        <v>1173.1599999999917</v>
      </c>
      <c r="G107" s="34">
        <f>IFERROR(F107/F148, "NA")</f>
        <v>3.9000435162889938E-2</v>
      </c>
      <c r="H107" s="33">
        <f>IFERROR(H87-H99-H105, "NA")</f>
        <v>-15000.220000000007</v>
      </c>
      <c r="I107" s="34">
        <f>IFERROR(H107/H148, "NA")</f>
        <v>-0.56186933433319652</v>
      </c>
      <c r="J107" s="33">
        <f>IFERROR(J87-J99-J105, "NA")</f>
        <v>3000.1799999999971</v>
      </c>
      <c r="K107" s="34">
        <f>IFERROR(J107/J148, "NA")</f>
        <v>0.13128701251133912</v>
      </c>
      <c r="L107" s="33">
        <f>IFERROR(L87-L99-L105, "NA")</f>
        <v>8406.16</v>
      </c>
      <c r="M107" s="34">
        <f>IFERROR(L107/L148, "NA")</f>
        <v>0.31179621393278961</v>
      </c>
      <c r="N107" s="33">
        <f>IFERROR(N87-N99-N105, "NA")</f>
        <v>-1305.9900000000025</v>
      </c>
      <c r="O107" s="34">
        <f>IFERROR(N107/N148, "NA")</f>
        <v>-5.4299754401910337E-2</v>
      </c>
      <c r="P107" s="33">
        <f>IFERROR(P87-P99-P105, "NA")</f>
        <v>-15843.890000000003</v>
      </c>
      <c r="Q107" s="34">
        <f>IFERROR(P107/P148, "NA")</f>
        <v>-0.63121206785138617</v>
      </c>
      <c r="R107" s="33">
        <f>IFERROR(R87-R99-R105, "NA")</f>
        <v>4416.1400000000021</v>
      </c>
      <c r="S107" s="34">
        <f>IFERROR(R107/R148, "NA")</f>
        <v>0.19538765256433752</v>
      </c>
      <c r="T107" s="33">
        <f>IFERROR(T87-T99-T105, "NA")</f>
        <v>8690.8499999999985</v>
      </c>
      <c r="U107" s="34">
        <f>IFERROR(T107/T148, "NA")</f>
        <v>0.3112167815740442</v>
      </c>
      <c r="V107" s="33">
        <f>IFERROR(V87-V99-V105, "NA")</f>
        <v>8051.1099999999988</v>
      </c>
      <c r="W107" s="34">
        <f>IFERROR(V107/V148, "NA")</f>
        <v>0.29115306030196181</v>
      </c>
      <c r="X107" s="33">
        <f>IFERROR(X87-X99-X105, "NA")</f>
        <v>1431.7699999999963</v>
      </c>
      <c r="Y107" s="34">
        <f>IFERROR(X107/X148, "NA")</f>
        <v>6.1100923617123999E-2</v>
      </c>
      <c r="Z107" s="33">
        <f>IFERROR(Z87-Z99-Z105, "NA")</f>
        <v>22589.869999999992</v>
      </c>
      <c r="AA107" s="34">
        <f>IFERROR(Z107/Z148, "NA")</f>
        <v>0.22231345097610822</v>
      </c>
      <c r="AB107" s="33">
        <f>IFERROR((R107+T107+V107+X107)/4, "NA")</f>
        <v>5647.4674999999988</v>
      </c>
      <c r="AC107" s="34">
        <f>IFERROR(AB107/AB148, "NA")</f>
        <v>0.22231345097610827</v>
      </c>
      <c r="AD107" s="15">
        <f>IFERROR(X107-AB107, "NA")</f>
        <v>-4215.697500000002</v>
      </c>
      <c r="AE107" s="16">
        <f>IFERROR(AD107/AD148, "NA")</f>
        <v>2.1396167090881875</v>
      </c>
      <c r="AF107" s="15">
        <f>IFERROR((X107-AB107)/AB107, "NA")</f>
        <v>-0.74647574333097144</v>
      </c>
      <c r="AG107" s="33">
        <f>IFERROR((J107+L107+N107+P107+R107+T107+V107+X107)/8, "NA")</f>
        <v>2105.7912499999984</v>
      </c>
      <c r="AH107" s="34">
        <f>IFERROR(AG107/AG148, "NA")</f>
        <v>8.3989160694700235E-2</v>
      </c>
      <c r="AI107" s="15">
        <f>IFERROR(X107-AG107, "NA")</f>
        <v>-674.02125000000206</v>
      </c>
      <c r="AJ107" s="16">
        <f>IFERROR(AI107/AI148, "NA")</f>
        <v>0.41116186929399479</v>
      </c>
      <c r="AK107" s="15">
        <f>IFERROR((X107-AG107)/AG107, "NA")</f>
        <v>-0.32007980373173389</v>
      </c>
      <c r="AL107" s="16">
        <f>IFERROR(AK107/AK148, "NA")</f>
        <v>4.8954158595364952</v>
      </c>
    </row>
    <row r="108" spans="1:38" ht="3.75" hidden="1" customHeight="1">
      <c r="A108" s="35" t="s">
        <v>3</v>
      </c>
      <c r="B108" s="36"/>
      <c r="C108" s="19"/>
      <c r="D108" s="36"/>
      <c r="E108" s="19"/>
      <c r="F108" s="36"/>
      <c r="G108" s="19"/>
      <c r="H108" s="36"/>
      <c r="I108" s="19"/>
      <c r="J108" s="36"/>
      <c r="K108" s="19"/>
      <c r="L108" s="36"/>
      <c r="M108" s="19"/>
      <c r="N108" s="36"/>
      <c r="O108" s="19"/>
      <c r="P108" s="36"/>
      <c r="Q108" s="19"/>
      <c r="R108" s="36"/>
      <c r="S108" s="19"/>
      <c r="T108" s="36"/>
      <c r="U108" s="19"/>
      <c r="V108" s="36"/>
      <c r="W108" s="19"/>
      <c r="X108" s="36"/>
      <c r="Y108" s="19"/>
      <c r="Z108" s="36"/>
      <c r="AA108" s="19"/>
      <c r="AB108" s="36"/>
      <c r="AC108" s="19"/>
      <c r="AD108" s="37"/>
      <c r="AE108" s="21"/>
      <c r="AF108" s="37"/>
      <c r="AG108" s="36"/>
      <c r="AH108" s="19"/>
      <c r="AI108" s="37"/>
      <c r="AJ108" s="21"/>
      <c r="AK108" s="37"/>
      <c r="AL108" s="21"/>
    </row>
    <row r="109" spans="1:38" ht="16.5" hidden="1" customHeight="1">
      <c r="A109" s="1" t="s">
        <v>114</v>
      </c>
      <c r="B109" s="2"/>
      <c r="C109" s="3"/>
      <c r="D109" s="2"/>
      <c r="E109" s="3"/>
      <c r="F109" s="2"/>
      <c r="G109" s="3"/>
      <c r="H109" s="2"/>
      <c r="I109" s="3"/>
      <c r="J109" s="2"/>
      <c r="K109" s="3"/>
      <c r="L109" s="2"/>
      <c r="M109" s="3"/>
      <c r="N109" s="2"/>
      <c r="O109" s="3"/>
      <c r="P109" s="2"/>
      <c r="Q109" s="3"/>
      <c r="R109" s="2"/>
      <c r="S109" s="3"/>
      <c r="T109" s="2"/>
      <c r="U109" s="3"/>
      <c r="V109" s="2"/>
      <c r="W109" s="3"/>
      <c r="X109" s="2"/>
      <c r="Y109" s="3"/>
      <c r="Z109" s="2"/>
      <c r="AA109" s="3"/>
      <c r="AB109" s="2"/>
      <c r="AC109" s="3"/>
      <c r="AD109" s="4"/>
      <c r="AE109" s="5"/>
      <c r="AF109" s="4"/>
      <c r="AG109" s="2"/>
      <c r="AH109" s="3"/>
      <c r="AI109" s="4"/>
      <c r="AJ109" s="5"/>
      <c r="AK109" s="4"/>
      <c r="AL109" s="5"/>
    </row>
    <row r="110" spans="1:38" ht="16.5" hidden="1" customHeight="1">
      <c r="A110" s="6" t="s">
        <v>115</v>
      </c>
      <c r="B110" s="7">
        <v>0</v>
      </c>
      <c r="C110" s="8">
        <f>IFERROR(B110/B148, "NA")</f>
        <v>0</v>
      </c>
      <c r="D110" s="7">
        <v>0</v>
      </c>
      <c r="E110" s="8">
        <f>IFERROR(D110/D148, "NA")</f>
        <v>0</v>
      </c>
      <c r="F110" s="7">
        <v>0</v>
      </c>
      <c r="G110" s="8">
        <f>IFERROR(F110/F148, "NA")</f>
        <v>0</v>
      </c>
      <c r="H110" s="7">
        <v>0</v>
      </c>
      <c r="I110" s="8">
        <f>IFERROR(H110/H148, "NA")</f>
        <v>0</v>
      </c>
      <c r="J110" s="7">
        <v>0</v>
      </c>
      <c r="K110" s="8">
        <f>IFERROR(J110/J148, "NA")</f>
        <v>0</v>
      </c>
      <c r="L110" s="7">
        <v>0</v>
      </c>
      <c r="M110" s="8">
        <f>IFERROR(L110/L148, "NA")</f>
        <v>0</v>
      </c>
      <c r="N110" s="7">
        <v>0</v>
      </c>
      <c r="O110" s="8">
        <f>IFERROR(N110/N148, "NA")</f>
        <v>0</v>
      </c>
      <c r="P110" s="7">
        <v>0</v>
      </c>
      <c r="Q110" s="8">
        <f>IFERROR(P110/P148, "NA")</f>
        <v>0</v>
      </c>
      <c r="R110" s="7">
        <v>0</v>
      </c>
      <c r="S110" s="8">
        <f>IFERROR(R110/R148, "NA")</f>
        <v>0</v>
      </c>
      <c r="T110" s="7">
        <v>0</v>
      </c>
      <c r="U110" s="8">
        <f>IFERROR(T110/T148, "NA")</f>
        <v>0</v>
      </c>
      <c r="V110" s="7">
        <v>0</v>
      </c>
      <c r="W110" s="8">
        <f>IFERROR(V110/V148, "NA")</f>
        <v>0</v>
      </c>
      <c r="X110" s="7">
        <v>0</v>
      </c>
      <c r="Y110" s="8">
        <f>IFERROR(X110/X148, "NA")</f>
        <v>0</v>
      </c>
      <c r="Z110" s="7">
        <v>0</v>
      </c>
      <c r="AA110" s="8">
        <f>IFERROR(Z110/Z148, "NA")</f>
        <v>0</v>
      </c>
      <c r="AB110" s="9">
        <f t="shared" ref="AB110:AB135" si="42">IFERROR((R110+T110+V110+X110)/4, "NA")</f>
        <v>0</v>
      </c>
      <c r="AC110" s="8">
        <f>IFERROR(AB110/AB148, "NA")</f>
        <v>0</v>
      </c>
      <c r="AD110" s="10">
        <f t="shared" ref="AD110:AD135" si="43">IFERROR(X110-AB110, "NA")</f>
        <v>0</v>
      </c>
      <c r="AE110" s="11">
        <f>IFERROR(AD110/AD148, "NA")</f>
        <v>0</v>
      </c>
      <c r="AF110" s="10" t="str">
        <f t="shared" ref="AF110:AF135" si="44">IFERROR((X110-AB110)/AB110, "NA")</f>
        <v>NA</v>
      </c>
      <c r="AG110" s="9">
        <f t="shared" ref="AG110:AG135" si="45">IFERROR((J110+L110+N110+P110+R110+T110+V110+X110)/8, "NA")</f>
        <v>0</v>
      </c>
      <c r="AH110" s="8">
        <f>IFERROR(AG110/AG148, "NA")</f>
        <v>0</v>
      </c>
      <c r="AI110" s="10">
        <f t="shared" ref="AI110:AI135" si="46">IFERROR(X110-AG110, "NA")</f>
        <v>0</v>
      </c>
      <c r="AJ110" s="11">
        <f>IFERROR(AI110/AI148, "NA")</f>
        <v>0</v>
      </c>
      <c r="AK110" s="10" t="str">
        <f t="shared" ref="AK110:AK135" si="47">IFERROR((X110-AG110)/AG110, "NA")</f>
        <v>NA</v>
      </c>
      <c r="AL110" s="11" t="str">
        <f>IFERROR(AK110/AK148, "NA")</f>
        <v>NA</v>
      </c>
    </row>
    <row r="111" spans="1:38" ht="16.5" hidden="1" customHeight="1">
      <c r="A111" s="6" t="s">
        <v>116</v>
      </c>
      <c r="B111" s="7">
        <v>0</v>
      </c>
      <c r="C111" s="8">
        <f>IFERROR(B111/B148, "NA")</f>
        <v>0</v>
      </c>
      <c r="D111" s="7">
        <v>0</v>
      </c>
      <c r="E111" s="8">
        <f>IFERROR(D111/D148, "NA")</f>
        <v>0</v>
      </c>
      <c r="F111" s="7">
        <v>0</v>
      </c>
      <c r="G111" s="8">
        <f>IFERROR(F111/F148, "NA")</f>
        <v>0</v>
      </c>
      <c r="H111" s="7">
        <v>0</v>
      </c>
      <c r="I111" s="8">
        <f>IFERROR(H111/H148, "NA")</f>
        <v>0</v>
      </c>
      <c r="J111" s="7">
        <v>0</v>
      </c>
      <c r="K111" s="8">
        <f>IFERROR(J111/J148, "NA")</f>
        <v>0</v>
      </c>
      <c r="L111" s="7">
        <v>0</v>
      </c>
      <c r="M111" s="8">
        <f>IFERROR(L111/L148, "NA")</f>
        <v>0</v>
      </c>
      <c r="N111" s="7">
        <v>0</v>
      </c>
      <c r="O111" s="8">
        <f>IFERROR(N111/N148, "NA")</f>
        <v>0</v>
      </c>
      <c r="P111" s="7">
        <v>0</v>
      </c>
      <c r="Q111" s="8">
        <f>IFERROR(P111/P148, "NA")</f>
        <v>0</v>
      </c>
      <c r="R111" s="7">
        <v>0</v>
      </c>
      <c r="S111" s="8">
        <f>IFERROR(R111/R148, "NA")</f>
        <v>0</v>
      </c>
      <c r="T111" s="7">
        <v>0</v>
      </c>
      <c r="U111" s="8">
        <f>IFERROR(T111/T148, "NA")</f>
        <v>0</v>
      </c>
      <c r="V111" s="7">
        <v>0</v>
      </c>
      <c r="W111" s="8">
        <f>IFERROR(V111/V148, "NA")</f>
        <v>0</v>
      </c>
      <c r="X111" s="7">
        <v>0</v>
      </c>
      <c r="Y111" s="8">
        <f>IFERROR(X111/X148, "NA")</f>
        <v>0</v>
      </c>
      <c r="Z111" s="7">
        <v>0</v>
      </c>
      <c r="AA111" s="8">
        <f>IFERROR(Z111/Z148, "NA")</f>
        <v>0</v>
      </c>
      <c r="AB111" s="9">
        <f t="shared" si="42"/>
        <v>0</v>
      </c>
      <c r="AC111" s="8">
        <f>IFERROR(AB111/AB148, "NA")</f>
        <v>0</v>
      </c>
      <c r="AD111" s="10">
        <f t="shared" si="43"/>
        <v>0</v>
      </c>
      <c r="AE111" s="11">
        <f>IFERROR(AD111/AD148, "NA")</f>
        <v>0</v>
      </c>
      <c r="AF111" s="10" t="str">
        <f t="shared" si="44"/>
        <v>NA</v>
      </c>
      <c r="AG111" s="9">
        <f t="shared" si="45"/>
        <v>0</v>
      </c>
      <c r="AH111" s="8">
        <f>IFERROR(AG111/AG148, "NA")</f>
        <v>0</v>
      </c>
      <c r="AI111" s="10">
        <f t="shared" si="46"/>
        <v>0</v>
      </c>
      <c r="AJ111" s="11">
        <f>IFERROR(AI111/AI148, "NA")</f>
        <v>0</v>
      </c>
      <c r="AK111" s="10" t="str">
        <f t="shared" si="47"/>
        <v>NA</v>
      </c>
      <c r="AL111" s="11" t="str">
        <f>IFERROR(AK111/AK148, "NA")</f>
        <v>NA</v>
      </c>
    </row>
    <row r="112" spans="1:38" ht="16.5" hidden="1" customHeight="1">
      <c r="A112" s="6" t="s">
        <v>117</v>
      </c>
      <c r="B112" s="7">
        <v>0</v>
      </c>
      <c r="C112" s="8">
        <f>IFERROR(B112/B148, "NA")</f>
        <v>0</v>
      </c>
      <c r="D112" s="7">
        <v>0</v>
      </c>
      <c r="E112" s="8">
        <f>IFERROR(D112/D148, "NA")</f>
        <v>0</v>
      </c>
      <c r="F112" s="7">
        <v>0</v>
      </c>
      <c r="G112" s="8">
        <f>IFERROR(F112/F148, "NA")</f>
        <v>0</v>
      </c>
      <c r="H112" s="7">
        <v>0</v>
      </c>
      <c r="I112" s="8">
        <f>IFERROR(H112/H148, "NA")</f>
        <v>0</v>
      </c>
      <c r="J112" s="7">
        <v>0</v>
      </c>
      <c r="K112" s="8">
        <f>IFERROR(J112/J148, "NA")</f>
        <v>0</v>
      </c>
      <c r="L112" s="7">
        <v>0</v>
      </c>
      <c r="M112" s="8">
        <f>IFERROR(L112/L148, "NA")</f>
        <v>0</v>
      </c>
      <c r="N112" s="7">
        <v>0</v>
      </c>
      <c r="O112" s="8">
        <f>IFERROR(N112/N148, "NA")</f>
        <v>0</v>
      </c>
      <c r="P112" s="7">
        <v>0</v>
      </c>
      <c r="Q112" s="8">
        <f>IFERROR(P112/P148, "NA")</f>
        <v>0</v>
      </c>
      <c r="R112" s="7">
        <v>0</v>
      </c>
      <c r="S112" s="8">
        <f>IFERROR(R112/R148, "NA")</f>
        <v>0</v>
      </c>
      <c r="T112" s="7">
        <v>0</v>
      </c>
      <c r="U112" s="8">
        <f>IFERROR(T112/T148, "NA")</f>
        <v>0</v>
      </c>
      <c r="V112" s="7">
        <v>0</v>
      </c>
      <c r="W112" s="8">
        <f>IFERROR(V112/V148, "NA")</f>
        <v>0</v>
      </c>
      <c r="X112" s="7">
        <v>0</v>
      </c>
      <c r="Y112" s="8">
        <f>IFERROR(X112/X148, "NA")</f>
        <v>0</v>
      </c>
      <c r="Z112" s="7">
        <v>0</v>
      </c>
      <c r="AA112" s="8">
        <f>IFERROR(Z112/Z148, "NA")</f>
        <v>0</v>
      </c>
      <c r="AB112" s="9">
        <f t="shared" si="42"/>
        <v>0</v>
      </c>
      <c r="AC112" s="8">
        <f>IFERROR(AB112/AB148, "NA")</f>
        <v>0</v>
      </c>
      <c r="AD112" s="10">
        <f t="shared" si="43"/>
        <v>0</v>
      </c>
      <c r="AE112" s="11">
        <f>IFERROR(AD112/AD148, "NA")</f>
        <v>0</v>
      </c>
      <c r="AF112" s="10" t="str">
        <f t="shared" si="44"/>
        <v>NA</v>
      </c>
      <c r="AG112" s="9">
        <f t="shared" si="45"/>
        <v>0</v>
      </c>
      <c r="AH112" s="8">
        <f>IFERROR(AG112/AG148, "NA")</f>
        <v>0</v>
      </c>
      <c r="AI112" s="10">
        <f t="shared" si="46"/>
        <v>0</v>
      </c>
      <c r="AJ112" s="11">
        <f>IFERROR(AI112/AI148, "NA")</f>
        <v>0</v>
      </c>
      <c r="AK112" s="10" t="str">
        <f t="shared" si="47"/>
        <v>NA</v>
      </c>
      <c r="AL112" s="11" t="str">
        <f>IFERROR(AK112/AK148, "NA")</f>
        <v>NA</v>
      </c>
    </row>
    <row r="113" spans="1:38" ht="16.5" hidden="1" customHeight="1">
      <c r="A113" s="6" t="s">
        <v>118</v>
      </c>
      <c r="B113" s="7">
        <v>0</v>
      </c>
      <c r="C113" s="8">
        <f>IFERROR(B113/B148, "NA")</f>
        <v>0</v>
      </c>
      <c r="D113" s="7">
        <v>0</v>
      </c>
      <c r="E113" s="8">
        <f>IFERROR(D113/D148, "NA")</f>
        <v>0</v>
      </c>
      <c r="F113" s="7">
        <v>0</v>
      </c>
      <c r="G113" s="8">
        <f>IFERROR(F113/F148, "NA")</f>
        <v>0</v>
      </c>
      <c r="H113" s="7">
        <v>0</v>
      </c>
      <c r="I113" s="8">
        <f>IFERROR(H113/H148, "NA")</f>
        <v>0</v>
      </c>
      <c r="J113" s="7">
        <v>0</v>
      </c>
      <c r="K113" s="8">
        <f>IFERROR(J113/J148, "NA")</f>
        <v>0</v>
      </c>
      <c r="L113" s="7">
        <v>0</v>
      </c>
      <c r="M113" s="8">
        <f>IFERROR(L113/L148, "NA")</f>
        <v>0</v>
      </c>
      <c r="N113" s="7">
        <v>0</v>
      </c>
      <c r="O113" s="8">
        <f>IFERROR(N113/N148, "NA")</f>
        <v>0</v>
      </c>
      <c r="P113" s="7">
        <v>0</v>
      </c>
      <c r="Q113" s="8">
        <f>IFERROR(P113/P148, "NA")</f>
        <v>0</v>
      </c>
      <c r="R113" s="7">
        <v>0</v>
      </c>
      <c r="S113" s="8">
        <f>IFERROR(R113/R148, "NA")</f>
        <v>0</v>
      </c>
      <c r="T113" s="7">
        <v>0</v>
      </c>
      <c r="U113" s="8">
        <f>IFERROR(T113/T148, "NA")</f>
        <v>0</v>
      </c>
      <c r="V113" s="7">
        <v>0</v>
      </c>
      <c r="W113" s="8">
        <f>IFERROR(V113/V148, "NA")</f>
        <v>0</v>
      </c>
      <c r="X113" s="7">
        <v>0</v>
      </c>
      <c r="Y113" s="8">
        <f>IFERROR(X113/X148, "NA")</f>
        <v>0</v>
      </c>
      <c r="Z113" s="7">
        <v>0</v>
      </c>
      <c r="AA113" s="8">
        <f>IFERROR(Z113/Z148, "NA")</f>
        <v>0</v>
      </c>
      <c r="AB113" s="9">
        <f t="shared" si="42"/>
        <v>0</v>
      </c>
      <c r="AC113" s="8">
        <f>IFERROR(AB113/AB148, "NA")</f>
        <v>0</v>
      </c>
      <c r="AD113" s="10">
        <f t="shared" si="43"/>
        <v>0</v>
      </c>
      <c r="AE113" s="11">
        <f>IFERROR(AD113/AD148, "NA")</f>
        <v>0</v>
      </c>
      <c r="AF113" s="10" t="str">
        <f t="shared" si="44"/>
        <v>NA</v>
      </c>
      <c r="AG113" s="9">
        <f t="shared" si="45"/>
        <v>0</v>
      </c>
      <c r="AH113" s="8">
        <f>IFERROR(AG113/AG148, "NA")</f>
        <v>0</v>
      </c>
      <c r="AI113" s="10">
        <f t="shared" si="46"/>
        <v>0</v>
      </c>
      <c r="AJ113" s="11">
        <f>IFERROR(AI113/AI148, "NA")</f>
        <v>0</v>
      </c>
      <c r="AK113" s="10" t="str">
        <f t="shared" si="47"/>
        <v>NA</v>
      </c>
      <c r="AL113" s="11" t="str">
        <f>IFERROR(AK113/AK148, "NA")</f>
        <v>NA</v>
      </c>
    </row>
    <row r="114" spans="1:38" ht="16.5" hidden="1" customHeight="1">
      <c r="A114" s="6" t="s">
        <v>119</v>
      </c>
      <c r="B114" s="7">
        <v>0</v>
      </c>
      <c r="C114" s="8">
        <f>IFERROR(B114/B148, "NA")</f>
        <v>0</v>
      </c>
      <c r="D114" s="7">
        <v>0</v>
      </c>
      <c r="E114" s="8">
        <f>IFERROR(D114/D148, "NA")</f>
        <v>0</v>
      </c>
      <c r="F114" s="7">
        <v>0</v>
      </c>
      <c r="G114" s="8">
        <f>IFERROR(F114/F148, "NA")</f>
        <v>0</v>
      </c>
      <c r="H114" s="7">
        <v>0</v>
      </c>
      <c r="I114" s="8">
        <f>IFERROR(H114/H148, "NA")</f>
        <v>0</v>
      </c>
      <c r="J114" s="7">
        <v>0</v>
      </c>
      <c r="K114" s="8">
        <f>IFERROR(J114/J148, "NA")</f>
        <v>0</v>
      </c>
      <c r="L114" s="7">
        <v>0</v>
      </c>
      <c r="M114" s="8">
        <f>IFERROR(L114/L148, "NA")</f>
        <v>0</v>
      </c>
      <c r="N114" s="7">
        <v>0</v>
      </c>
      <c r="O114" s="8">
        <f>IFERROR(N114/N148, "NA")</f>
        <v>0</v>
      </c>
      <c r="P114" s="7">
        <v>0</v>
      </c>
      <c r="Q114" s="8">
        <f>IFERROR(P114/P148, "NA")</f>
        <v>0</v>
      </c>
      <c r="R114" s="7">
        <v>0</v>
      </c>
      <c r="S114" s="8">
        <f>IFERROR(R114/R148, "NA")</f>
        <v>0</v>
      </c>
      <c r="T114" s="7">
        <v>0</v>
      </c>
      <c r="U114" s="8">
        <f>IFERROR(T114/T148, "NA")</f>
        <v>0</v>
      </c>
      <c r="V114" s="7">
        <v>0</v>
      </c>
      <c r="W114" s="8">
        <f>IFERROR(V114/V148, "NA")</f>
        <v>0</v>
      </c>
      <c r="X114" s="7">
        <v>0</v>
      </c>
      <c r="Y114" s="8">
        <f>IFERROR(X114/X148, "NA")</f>
        <v>0</v>
      </c>
      <c r="Z114" s="7">
        <v>0</v>
      </c>
      <c r="AA114" s="8">
        <f>IFERROR(Z114/Z148, "NA")</f>
        <v>0</v>
      </c>
      <c r="AB114" s="9">
        <f t="shared" si="42"/>
        <v>0</v>
      </c>
      <c r="AC114" s="8">
        <f>IFERROR(AB114/AB148, "NA")</f>
        <v>0</v>
      </c>
      <c r="AD114" s="10">
        <f t="shared" si="43"/>
        <v>0</v>
      </c>
      <c r="AE114" s="11">
        <f>IFERROR(AD114/AD148, "NA")</f>
        <v>0</v>
      </c>
      <c r="AF114" s="10" t="str">
        <f t="shared" si="44"/>
        <v>NA</v>
      </c>
      <c r="AG114" s="9">
        <f t="shared" si="45"/>
        <v>0</v>
      </c>
      <c r="AH114" s="8">
        <f>IFERROR(AG114/AG148, "NA")</f>
        <v>0</v>
      </c>
      <c r="AI114" s="10">
        <f t="shared" si="46"/>
        <v>0</v>
      </c>
      <c r="AJ114" s="11">
        <f>IFERROR(AI114/AI148, "NA")</f>
        <v>0</v>
      </c>
      <c r="AK114" s="10" t="str">
        <f t="shared" si="47"/>
        <v>NA</v>
      </c>
      <c r="AL114" s="11" t="str">
        <f>IFERROR(AK114/AK148, "NA")</f>
        <v>NA</v>
      </c>
    </row>
    <row r="115" spans="1:38" ht="16.5" hidden="1" customHeight="1">
      <c r="A115" s="6" t="s">
        <v>120</v>
      </c>
      <c r="B115" s="7">
        <v>0</v>
      </c>
      <c r="C115" s="8">
        <f>IFERROR(B115/B148, "NA")</f>
        <v>0</v>
      </c>
      <c r="D115" s="7">
        <v>0</v>
      </c>
      <c r="E115" s="8">
        <f>IFERROR(D115/D148, "NA")</f>
        <v>0</v>
      </c>
      <c r="F115" s="7">
        <v>0</v>
      </c>
      <c r="G115" s="8">
        <f>IFERROR(F115/F148, "NA")</f>
        <v>0</v>
      </c>
      <c r="H115" s="7">
        <v>0</v>
      </c>
      <c r="I115" s="8">
        <f>IFERROR(H115/H148, "NA")</f>
        <v>0</v>
      </c>
      <c r="J115" s="7">
        <v>0</v>
      </c>
      <c r="K115" s="8">
        <f>IFERROR(J115/J148, "NA")</f>
        <v>0</v>
      </c>
      <c r="L115" s="7">
        <v>0</v>
      </c>
      <c r="M115" s="8">
        <f>IFERROR(L115/L148, "NA")</f>
        <v>0</v>
      </c>
      <c r="N115" s="7">
        <v>0</v>
      </c>
      <c r="O115" s="8">
        <f>IFERROR(N115/N148, "NA")</f>
        <v>0</v>
      </c>
      <c r="P115" s="7">
        <v>0</v>
      </c>
      <c r="Q115" s="8">
        <f>IFERROR(P115/P148, "NA")</f>
        <v>0</v>
      </c>
      <c r="R115" s="7">
        <v>0</v>
      </c>
      <c r="S115" s="8">
        <f>IFERROR(R115/R148, "NA")</f>
        <v>0</v>
      </c>
      <c r="T115" s="7">
        <v>0</v>
      </c>
      <c r="U115" s="8">
        <f>IFERROR(T115/T148, "NA")</f>
        <v>0</v>
      </c>
      <c r="V115" s="7">
        <v>0</v>
      </c>
      <c r="W115" s="8">
        <f>IFERROR(V115/V148, "NA")</f>
        <v>0</v>
      </c>
      <c r="X115" s="7">
        <v>0</v>
      </c>
      <c r="Y115" s="8">
        <f>IFERROR(X115/X148, "NA")</f>
        <v>0</v>
      </c>
      <c r="Z115" s="7">
        <v>0</v>
      </c>
      <c r="AA115" s="8">
        <f>IFERROR(Z115/Z148, "NA")</f>
        <v>0</v>
      </c>
      <c r="AB115" s="9">
        <f t="shared" si="42"/>
        <v>0</v>
      </c>
      <c r="AC115" s="8">
        <f>IFERROR(AB115/AB148, "NA")</f>
        <v>0</v>
      </c>
      <c r="AD115" s="10">
        <f t="shared" si="43"/>
        <v>0</v>
      </c>
      <c r="AE115" s="11">
        <f>IFERROR(AD115/AD148, "NA")</f>
        <v>0</v>
      </c>
      <c r="AF115" s="10" t="str">
        <f t="shared" si="44"/>
        <v>NA</v>
      </c>
      <c r="AG115" s="9">
        <f t="shared" si="45"/>
        <v>0</v>
      </c>
      <c r="AH115" s="8">
        <f>IFERROR(AG115/AG148, "NA")</f>
        <v>0</v>
      </c>
      <c r="AI115" s="10">
        <f t="shared" si="46"/>
        <v>0</v>
      </c>
      <c r="AJ115" s="11">
        <f>IFERROR(AI115/AI148, "NA")</f>
        <v>0</v>
      </c>
      <c r="AK115" s="10" t="str">
        <f t="shared" si="47"/>
        <v>NA</v>
      </c>
      <c r="AL115" s="11" t="str">
        <f>IFERROR(AK115/AK148, "NA")</f>
        <v>NA</v>
      </c>
    </row>
    <row r="116" spans="1:38" ht="16.5" hidden="1" customHeight="1">
      <c r="A116" s="6" t="s">
        <v>121</v>
      </c>
      <c r="B116" s="7">
        <v>0</v>
      </c>
      <c r="C116" s="8">
        <f>IFERROR(B116/B148, "NA")</f>
        <v>0</v>
      </c>
      <c r="D116" s="7">
        <v>0</v>
      </c>
      <c r="E116" s="8">
        <f>IFERROR(D116/D148, "NA")</f>
        <v>0</v>
      </c>
      <c r="F116" s="7">
        <v>0</v>
      </c>
      <c r="G116" s="8">
        <f>IFERROR(F116/F148, "NA")</f>
        <v>0</v>
      </c>
      <c r="H116" s="7">
        <v>0</v>
      </c>
      <c r="I116" s="8">
        <f>IFERROR(H116/H148, "NA")</f>
        <v>0</v>
      </c>
      <c r="J116" s="7">
        <v>0</v>
      </c>
      <c r="K116" s="8">
        <f>IFERROR(J116/J148, "NA")</f>
        <v>0</v>
      </c>
      <c r="L116" s="7">
        <v>0</v>
      </c>
      <c r="M116" s="8">
        <f>IFERROR(L116/L148, "NA")</f>
        <v>0</v>
      </c>
      <c r="N116" s="7">
        <v>0</v>
      </c>
      <c r="O116" s="8">
        <f>IFERROR(N116/N148, "NA")</f>
        <v>0</v>
      </c>
      <c r="P116" s="7">
        <v>0</v>
      </c>
      <c r="Q116" s="8">
        <f>IFERROR(P116/P148, "NA")</f>
        <v>0</v>
      </c>
      <c r="R116" s="7">
        <v>0</v>
      </c>
      <c r="S116" s="8">
        <f>IFERROR(R116/R148, "NA")</f>
        <v>0</v>
      </c>
      <c r="T116" s="7">
        <v>0</v>
      </c>
      <c r="U116" s="8">
        <f>IFERROR(T116/T148, "NA")</f>
        <v>0</v>
      </c>
      <c r="V116" s="7">
        <v>0</v>
      </c>
      <c r="W116" s="8">
        <f>IFERROR(V116/V148, "NA")</f>
        <v>0</v>
      </c>
      <c r="X116" s="7">
        <v>0</v>
      </c>
      <c r="Y116" s="8">
        <f>IFERROR(X116/X148, "NA")</f>
        <v>0</v>
      </c>
      <c r="Z116" s="7">
        <v>0</v>
      </c>
      <c r="AA116" s="8">
        <f>IFERROR(Z116/Z148, "NA")</f>
        <v>0</v>
      </c>
      <c r="AB116" s="9">
        <f t="shared" si="42"/>
        <v>0</v>
      </c>
      <c r="AC116" s="8">
        <f>IFERROR(AB116/AB148, "NA")</f>
        <v>0</v>
      </c>
      <c r="AD116" s="10">
        <f t="shared" si="43"/>
        <v>0</v>
      </c>
      <c r="AE116" s="11">
        <f>IFERROR(AD116/AD148, "NA")</f>
        <v>0</v>
      </c>
      <c r="AF116" s="10" t="str">
        <f t="shared" si="44"/>
        <v>NA</v>
      </c>
      <c r="AG116" s="9">
        <f t="shared" si="45"/>
        <v>0</v>
      </c>
      <c r="AH116" s="8">
        <f>IFERROR(AG116/AG148, "NA")</f>
        <v>0</v>
      </c>
      <c r="AI116" s="10">
        <f t="shared" si="46"/>
        <v>0</v>
      </c>
      <c r="AJ116" s="11">
        <f>IFERROR(AI116/AI148, "NA")</f>
        <v>0</v>
      </c>
      <c r="AK116" s="10" t="str">
        <f t="shared" si="47"/>
        <v>NA</v>
      </c>
      <c r="AL116" s="11" t="str">
        <f>IFERROR(AK116/AK148, "NA")</f>
        <v>NA</v>
      </c>
    </row>
    <row r="117" spans="1:38" ht="16.5" hidden="1" customHeight="1">
      <c r="A117" s="6" t="s">
        <v>122</v>
      </c>
      <c r="B117" s="7">
        <v>0</v>
      </c>
      <c r="C117" s="8">
        <f>IFERROR(B117/B148, "NA")</f>
        <v>0</v>
      </c>
      <c r="D117" s="7">
        <v>0</v>
      </c>
      <c r="E117" s="8">
        <f>IFERROR(D117/D148, "NA")</f>
        <v>0</v>
      </c>
      <c r="F117" s="7">
        <v>0</v>
      </c>
      <c r="G117" s="8">
        <f>IFERROR(F117/F148, "NA")</f>
        <v>0</v>
      </c>
      <c r="H117" s="7">
        <v>0</v>
      </c>
      <c r="I117" s="8">
        <f>IFERROR(H117/H148, "NA")</f>
        <v>0</v>
      </c>
      <c r="J117" s="7">
        <v>0</v>
      </c>
      <c r="K117" s="8">
        <f>IFERROR(J117/J148, "NA")</f>
        <v>0</v>
      </c>
      <c r="L117" s="7">
        <v>0</v>
      </c>
      <c r="M117" s="8">
        <f>IFERROR(L117/L148, "NA")</f>
        <v>0</v>
      </c>
      <c r="N117" s="7">
        <v>0</v>
      </c>
      <c r="O117" s="8">
        <f>IFERROR(N117/N148, "NA")</f>
        <v>0</v>
      </c>
      <c r="P117" s="7">
        <v>0</v>
      </c>
      <c r="Q117" s="8">
        <f>IFERROR(P117/P148, "NA")</f>
        <v>0</v>
      </c>
      <c r="R117" s="7">
        <v>0</v>
      </c>
      <c r="S117" s="8">
        <f>IFERROR(R117/R148, "NA")</f>
        <v>0</v>
      </c>
      <c r="T117" s="7">
        <v>0</v>
      </c>
      <c r="U117" s="8">
        <f>IFERROR(T117/T148, "NA")</f>
        <v>0</v>
      </c>
      <c r="V117" s="7">
        <v>0</v>
      </c>
      <c r="W117" s="8">
        <f>IFERROR(V117/V148, "NA")</f>
        <v>0</v>
      </c>
      <c r="X117" s="7">
        <v>0</v>
      </c>
      <c r="Y117" s="8">
        <f>IFERROR(X117/X148, "NA")</f>
        <v>0</v>
      </c>
      <c r="Z117" s="7">
        <v>0</v>
      </c>
      <c r="AA117" s="8">
        <f>IFERROR(Z117/Z148, "NA")</f>
        <v>0</v>
      </c>
      <c r="AB117" s="9">
        <f t="shared" si="42"/>
        <v>0</v>
      </c>
      <c r="AC117" s="8">
        <f>IFERROR(AB117/AB148, "NA")</f>
        <v>0</v>
      </c>
      <c r="AD117" s="10">
        <f t="shared" si="43"/>
        <v>0</v>
      </c>
      <c r="AE117" s="11">
        <f>IFERROR(AD117/AD148, "NA")</f>
        <v>0</v>
      </c>
      <c r="AF117" s="10" t="str">
        <f t="shared" si="44"/>
        <v>NA</v>
      </c>
      <c r="AG117" s="9">
        <f t="shared" si="45"/>
        <v>0</v>
      </c>
      <c r="AH117" s="8">
        <f>IFERROR(AG117/AG148, "NA")</f>
        <v>0</v>
      </c>
      <c r="AI117" s="10">
        <f t="shared" si="46"/>
        <v>0</v>
      </c>
      <c r="AJ117" s="11">
        <f>IFERROR(AI117/AI148, "NA")</f>
        <v>0</v>
      </c>
      <c r="AK117" s="10" t="str">
        <f t="shared" si="47"/>
        <v>NA</v>
      </c>
      <c r="AL117" s="11" t="str">
        <f>IFERROR(AK117/AK148, "NA")</f>
        <v>NA</v>
      </c>
    </row>
    <row r="118" spans="1:38" ht="16.5" hidden="1" customHeight="1">
      <c r="A118" s="6" t="s">
        <v>123</v>
      </c>
      <c r="B118" s="7">
        <v>0</v>
      </c>
      <c r="C118" s="8">
        <f>IFERROR(B118/B148, "NA")</f>
        <v>0</v>
      </c>
      <c r="D118" s="7">
        <v>0</v>
      </c>
      <c r="E118" s="8">
        <f>IFERROR(D118/D148, "NA")</f>
        <v>0</v>
      </c>
      <c r="F118" s="7">
        <v>0</v>
      </c>
      <c r="G118" s="8">
        <f>IFERROR(F118/F148, "NA")</f>
        <v>0</v>
      </c>
      <c r="H118" s="7">
        <v>0</v>
      </c>
      <c r="I118" s="8">
        <f>IFERROR(H118/H148, "NA")</f>
        <v>0</v>
      </c>
      <c r="J118" s="7">
        <v>0</v>
      </c>
      <c r="K118" s="8">
        <f>IFERROR(J118/J148, "NA")</f>
        <v>0</v>
      </c>
      <c r="L118" s="7">
        <v>0</v>
      </c>
      <c r="M118" s="8">
        <f>IFERROR(L118/L148, "NA")</f>
        <v>0</v>
      </c>
      <c r="N118" s="7">
        <v>0</v>
      </c>
      <c r="O118" s="8">
        <f>IFERROR(N118/N148, "NA")</f>
        <v>0</v>
      </c>
      <c r="P118" s="7">
        <v>0</v>
      </c>
      <c r="Q118" s="8">
        <f>IFERROR(P118/P148, "NA")</f>
        <v>0</v>
      </c>
      <c r="R118" s="7">
        <v>0</v>
      </c>
      <c r="S118" s="8">
        <f>IFERROR(R118/R148, "NA")</f>
        <v>0</v>
      </c>
      <c r="T118" s="7">
        <v>0</v>
      </c>
      <c r="U118" s="8">
        <f>IFERROR(T118/T148, "NA")</f>
        <v>0</v>
      </c>
      <c r="V118" s="7">
        <v>0</v>
      </c>
      <c r="W118" s="8">
        <f>IFERROR(V118/V148, "NA")</f>
        <v>0</v>
      </c>
      <c r="X118" s="7">
        <v>0</v>
      </c>
      <c r="Y118" s="8">
        <f>IFERROR(X118/X148, "NA")</f>
        <v>0</v>
      </c>
      <c r="Z118" s="7">
        <v>0</v>
      </c>
      <c r="AA118" s="8">
        <f>IFERROR(Z118/Z148, "NA")</f>
        <v>0</v>
      </c>
      <c r="AB118" s="9">
        <f t="shared" si="42"/>
        <v>0</v>
      </c>
      <c r="AC118" s="8">
        <f>IFERROR(AB118/AB148, "NA")</f>
        <v>0</v>
      </c>
      <c r="AD118" s="10">
        <f t="shared" si="43"/>
        <v>0</v>
      </c>
      <c r="AE118" s="11">
        <f>IFERROR(AD118/AD148, "NA")</f>
        <v>0</v>
      </c>
      <c r="AF118" s="10" t="str">
        <f t="shared" si="44"/>
        <v>NA</v>
      </c>
      <c r="AG118" s="9">
        <f t="shared" si="45"/>
        <v>0</v>
      </c>
      <c r="AH118" s="8">
        <f>IFERROR(AG118/AG148, "NA")</f>
        <v>0</v>
      </c>
      <c r="AI118" s="10">
        <f t="shared" si="46"/>
        <v>0</v>
      </c>
      <c r="AJ118" s="11">
        <f>IFERROR(AI118/AI148, "NA")</f>
        <v>0</v>
      </c>
      <c r="AK118" s="10" t="str">
        <f t="shared" si="47"/>
        <v>NA</v>
      </c>
      <c r="AL118" s="11" t="str">
        <f>IFERROR(AK118/AK148, "NA")</f>
        <v>NA</v>
      </c>
    </row>
    <row r="119" spans="1:38" ht="16.5" hidden="1" customHeight="1">
      <c r="A119" s="6" t="s">
        <v>124</v>
      </c>
      <c r="B119" s="7">
        <v>0</v>
      </c>
      <c r="C119" s="8">
        <f>IFERROR(B119/B148, "NA")</f>
        <v>0</v>
      </c>
      <c r="D119" s="7">
        <v>0</v>
      </c>
      <c r="E119" s="8">
        <f>IFERROR(D119/D148, "NA")</f>
        <v>0</v>
      </c>
      <c r="F119" s="7">
        <v>0</v>
      </c>
      <c r="G119" s="8">
        <f>IFERROR(F119/F148, "NA")</f>
        <v>0</v>
      </c>
      <c r="H119" s="7">
        <v>0</v>
      </c>
      <c r="I119" s="8">
        <f>IFERROR(H119/H148, "NA")</f>
        <v>0</v>
      </c>
      <c r="J119" s="7">
        <v>0</v>
      </c>
      <c r="K119" s="8">
        <f>IFERROR(J119/J148, "NA")</f>
        <v>0</v>
      </c>
      <c r="L119" s="7">
        <v>0</v>
      </c>
      <c r="M119" s="8">
        <f>IFERROR(L119/L148, "NA")</f>
        <v>0</v>
      </c>
      <c r="N119" s="7">
        <v>0</v>
      </c>
      <c r="O119" s="8">
        <f>IFERROR(N119/N148, "NA")</f>
        <v>0</v>
      </c>
      <c r="P119" s="7">
        <v>0</v>
      </c>
      <c r="Q119" s="8">
        <f>IFERROR(P119/P148, "NA")</f>
        <v>0</v>
      </c>
      <c r="R119" s="7">
        <v>0</v>
      </c>
      <c r="S119" s="8">
        <f>IFERROR(R119/R148, "NA")</f>
        <v>0</v>
      </c>
      <c r="T119" s="7">
        <v>0</v>
      </c>
      <c r="U119" s="8">
        <f>IFERROR(T119/T148, "NA")</f>
        <v>0</v>
      </c>
      <c r="V119" s="7">
        <v>0</v>
      </c>
      <c r="W119" s="8">
        <f>IFERROR(V119/V148, "NA")</f>
        <v>0</v>
      </c>
      <c r="X119" s="7">
        <v>0</v>
      </c>
      <c r="Y119" s="8">
        <f>IFERROR(X119/X148, "NA")</f>
        <v>0</v>
      </c>
      <c r="Z119" s="7">
        <v>0</v>
      </c>
      <c r="AA119" s="8">
        <f>IFERROR(Z119/Z148, "NA")</f>
        <v>0</v>
      </c>
      <c r="AB119" s="9">
        <f t="shared" si="42"/>
        <v>0</v>
      </c>
      <c r="AC119" s="8">
        <f>IFERROR(AB119/AB148, "NA")</f>
        <v>0</v>
      </c>
      <c r="AD119" s="10">
        <f t="shared" si="43"/>
        <v>0</v>
      </c>
      <c r="AE119" s="11">
        <f>IFERROR(AD119/AD148, "NA")</f>
        <v>0</v>
      </c>
      <c r="AF119" s="10" t="str">
        <f t="shared" si="44"/>
        <v>NA</v>
      </c>
      <c r="AG119" s="9">
        <f t="shared" si="45"/>
        <v>0</v>
      </c>
      <c r="AH119" s="8">
        <f>IFERROR(AG119/AG148, "NA")</f>
        <v>0</v>
      </c>
      <c r="AI119" s="10">
        <f t="shared" si="46"/>
        <v>0</v>
      </c>
      <c r="AJ119" s="11">
        <f>IFERROR(AI119/AI148, "NA")</f>
        <v>0</v>
      </c>
      <c r="AK119" s="10" t="str">
        <f t="shared" si="47"/>
        <v>NA</v>
      </c>
      <c r="AL119" s="11" t="str">
        <f>IFERROR(AK119/AK148, "NA")</f>
        <v>NA</v>
      </c>
    </row>
    <row r="120" spans="1:38" ht="16.5" hidden="1" customHeight="1">
      <c r="A120" s="6" t="s">
        <v>125</v>
      </c>
      <c r="B120" s="7">
        <v>0</v>
      </c>
      <c r="C120" s="8">
        <f>IFERROR(B120/B148, "NA")</f>
        <v>0</v>
      </c>
      <c r="D120" s="7">
        <v>0</v>
      </c>
      <c r="E120" s="8">
        <f>IFERROR(D120/D148, "NA")</f>
        <v>0</v>
      </c>
      <c r="F120" s="7">
        <v>0</v>
      </c>
      <c r="G120" s="8">
        <f>IFERROR(F120/F148, "NA")</f>
        <v>0</v>
      </c>
      <c r="H120" s="7">
        <v>0</v>
      </c>
      <c r="I120" s="8">
        <f>IFERROR(H120/H148, "NA")</f>
        <v>0</v>
      </c>
      <c r="J120" s="7">
        <v>0</v>
      </c>
      <c r="K120" s="8">
        <f>IFERROR(J120/J148, "NA")</f>
        <v>0</v>
      </c>
      <c r="L120" s="7">
        <v>0</v>
      </c>
      <c r="M120" s="8">
        <f>IFERROR(L120/L148, "NA")</f>
        <v>0</v>
      </c>
      <c r="N120" s="7">
        <v>0</v>
      </c>
      <c r="O120" s="8">
        <f>IFERROR(N120/N148, "NA")</f>
        <v>0</v>
      </c>
      <c r="P120" s="7">
        <v>0</v>
      </c>
      <c r="Q120" s="8">
        <f>IFERROR(P120/P148, "NA")</f>
        <v>0</v>
      </c>
      <c r="R120" s="7">
        <v>0</v>
      </c>
      <c r="S120" s="8">
        <f>IFERROR(R120/R148, "NA")</f>
        <v>0</v>
      </c>
      <c r="T120" s="7">
        <v>0</v>
      </c>
      <c r="U120" s="8">
        <f>IFERROR(T120/T148, "NA")</f>
        <v>0</v>
      </c>
      <c r="V120" s="7">
        <v>0</v>
      </c>
      <c r="W120" s="8">
        <f>IFERROR(V120/V148, "NA")</f>
        <v>0</v>
      </c>
      <c r="X120" s="7">
        <v>0</v>
      </c>
      <c r="Y120" s="8">
        <f>IFERROR(X120/X148, "NA")</f>
        <v>0</v>
      </c>
      <c r="Z120" s="7">
        <v>0</v>
      </c>
      <c r="AA120" s="8">
        <f>IFERROR(Z120/Z148, "NA")</f>
        <v>0</v>
      </c>
      <c r="AB120" s="9">
        <f t="shared" si="42"/>
        <v>0</v>
      </c>
      <c r="AC120" s="8">
        <f>IFERROR(AB120/AB148, "NA")</f>
        <v>0</v>
      </c>
      <c r="AD120" s="10">
        <f t="shared" si="43"/>
        <v>0</v>
      </c>
      <c r="AE120" s="11">
        <f>IFERROR(AD120/AD148, "NA")</f>
        <v>0</v>
      </c>
      <c r="AF120" s="10" t="str">
        <f t="shared" si="44"/>
        <v>NA</v>
      </c>
      <c r="AG120" s="9">
        <f t="shared" si="45"/>
        <v>0</v>
      </c>
      <c r="AH120" s="8">
        <f>IFERROR(AG120/AG148, "NA")</f>
        <v>0</v>
      </c>
      <c r="AI120" s="10">
        <f t="shared" si="46"/>
        <v>0</v>
      </c>
      <c r="AJ120" s="11">
        <f>IFERROR(AI120/AI148, "NA")</f>
        <v>0</v>
      </c>
      <c r="AK120" s="10" t="str">
        <f t="shared" si="47"/>
        <v>NA</v>
      </c>
      <c r="AL120" s="11" t="str">
        <f>IFERROR(AK120/AK148, "NA")</f>
        <v>NA</v>
      </c>
    </row>
    <row r="121" spans="1:38" ht="16.5" hidden="1" customHeight="1">
      <c r="A121" s="6" t="s">
        <v>126</v>
      </c>
      <c r="B121" s="7">
        <v>0</v>
      </c>
      <c r="C121" s="8">
        <f>IFERROR(B121/B148, "NA")</f>
        <v>0</v>
      </c>
      <c r="D121" s="7">
        <v>0</v>
      </c>
      <c r="E121" s="8">
        <f>IFERROR(D121/D148, "NA")</f>
        <v>0</v>
      </c>
      <c r="F121" s="7">
        <v>0</v>
      </c>
      <c r="G121" s="8">
        <f>IFERROR(F121/F148, "NA")</f>
        <v>0</v>
      </c>
      <c r="H121" s="7">
        <v>0</v>
      </c>
      <c r="I121" s="8">
        <f>IFERROR(H121/H148, "NA")</f>
        <v>0</v>
      </c>
      <c r="J121" s="7">
        <v>0</v>
      </c>
      <c r="K121" s="8">
        <f>IFERROR(J121/J148, "NA")</f>
        <v>0</v>
      </c>
      <c r="L121" s="7">
        <v>0</v>
      </c>
      <c r="M121" s="8">
        <f>IFERROR(L121/L148, "NA")</f>
        <v>0</v>
      </c>
      <c r="N121" s="7">
        <v>0</v>
      </c>
      <c r="O121" s="8">
        <f>IFERROR(N121/N148, "NA")</f>
        <v>0</v>
      </c>
      <c r="P121" s="7">
        <v>0</v>
      </c>
      <c r="Q121" s="8">
        <f>IFERROR(P121/P148, "NA")</f>
        <v>0</v>
      </c>
      <c r="R121" s="7">
        <v>0</v>
      </c>
      <c r="S121" s="8">
        <f>IFERROR(R121/R148, "NA")</f>
        <v>0</v>
      </c>
      <c r="T121" s="7">
        <v>0</v>
      </c>
      <c r="U121" s="8">
        <f>IFERROR(T121/T148, "NA")</f>
        <v>0</v>
      </c>
      <c r="V121" s="7">
        <v>0</v>
      </c>
      <c r="W121" s="8">
        <f>IFERROR(V121/V148, "NA")</f>
        <v>0</v>
      </c>
      <c r="X121" s="7">
        <v>0</v>
      </c>
      <c r="Y121" s="8">
        <f>IFERROR(X121/X148, "NA")</f>
        <v>0</v>
      </c>
      <c r="Z121" s="7">
        <v>0</v>
      </c>
      <c r="AA121" s="8">
        <f>IFERROR(Z121/Z148, "NA")</f>
        <v>0</v>
      </c>
      <c r="AB121" s="9">
        <f t="shared" si="42"/>
        <v>0</v>
      </c>
      <c r="AC121" s="8">
        <f>IFERROR(AB121/AB148, "NA")</f>
        <v>0</v>
      </c>
      <c r="AD121" s="10">
        <f t="shared" si="43"/>
        <v>0</v>
      </c>
      <c r="AE121" s="11">
        <f>IFERROR(AD121/AD148, "NA")</f>
        <v>0</v>
      </c>
      <c r="AF121" s="10" t="str">
        <f t="shared" si="44"/>
        <v>NA</v>
      </c>
      <c r="AG121" s="9">
        <f t="shared" si="45"/>
        <v>0</v>
      </c>
      <c r="AH121" s="8">
        <f>IFERROR(AG121/AG148, "NA")</f>
        <v>0</v>
      </c>
      <c r="AI121" s="10">
        <f t="shared" si="46"/>
        <v>0</v>
      </c>
      <c r="AJ121" s="11">
        <f>IFERROR(AI121/AI148, "NA")</f>
        <v>0</v>
      </c>
      <c r="AK121" s="10" t="str">
        <f t="shared" si="47"/>
        <v>NA</v>
      </c>
      <c r="AL121" s="11" t="str">
        <f>IFERROR(AK121/AK148, "NA")</f>
        <v>NA</v>
      </c>
    </row>
    <row r="122" spans="1:38" ht="16.5" hidden="1" customHeight="1">
      <c r="A122" s="6" t="s">
        <v>127</v>
      </c>
      <c r="B122" s="7">
        <v>0</v>
      </c>
      <c r="C122" s="8">
        <f>IFERROR(B122/B148, "NA")</f>
        <v>0</v>
      </c>
      <c r="D122" s="7">
        <v>0</v>
      </c>
      <c r="E122" s="8">
        <f>IFERROR(D122/D148, "NA")</f>
        <v>0</v>
      </c>
      <c r="F122" s="7">
        <v>0</v>
      </c>
      <c r="G122" s="8">
        <f>IFERROR(F122/F148, "NA")</f>
        <v>0</v>
      </c>
      <c r="H122" s="7">
        <v>0</v>
      </c>
      <c r="I122" s="8">
        <f>IFERROR(H122/H148, "NA")</f>
        <v>0</v>
      </c>
      <c r="J122" s="7">
        <v>0</v>
      </c>
      <c r="K122" s="8">
        <f>IFERROR(J122/J148, "NA")</f>
        <v>0</v>
      </c>
      <c r="L122" s="7">
        <v>0</v>
      </c>
      <c r="M122" s="8">
        <f>IFERROR(L122/L148, "NA")</f>
        <v>0</v>
      </c>
      <c r="N122" s="7">
        <v>0</v>
      </c>
      <c r="O122" s="8">
        <f>IFERROR(N122/N148, "NA")</f>
        <v>0</v>
      </c>
      <c r="P122" s="7">
        <v>0</v>
      </c>
      <c r="Q122" s="8">
        <f>IFERROR(P122/P148, "NA")</f>
        <v>0</v>
      </c>
      <c r="R122" s="7">
        <v>0</v>
      </c>
      <c r="S122" s="8">
        <f>IFERROR(R122/R148, "NA")</f>
        <v>0</v>
      </c>
      <c r="T122" s="7">
        <v>0</v>
      </c>
      <c r="U122" s="8">
        <f>IFERROR(T122/T148, "NA")</f>
        <v>0</v>
      </c>
      <c r="V122" s="7">
        <v>0</v>
      </c>
      <c r="W122" s="8">
        <f>IFERROR(V122/V148, "NA")</f>
        <v>0</v>
      </c>
      <c r="X122" s="7">
        <v>0</v>
      </c>
      <c r="Y122" s="8">
        <f>IFERROR(X122/X148, "NA")</f>
        <v>0</v>
      </c>
      <c r="Z122" s="7">
        <v>0</v>
      </c>
      <c r="AA122" s="8">
        <f>IFERROR(Z122/Z148, "NA")</f>
        <v>0</v>
      </c>
      <c r="AB122" s="9">
        <f t="shared" si="42"/>
        <v>0</v>
      </c>
      <c r="AC122" s="8">
        <f>IFERROR(AB122/AB148, "NA")</f>
        <v>0</v>
      </c>
      <c r="AD122" s="10">
        <f t="shared" si="43"/>
        <v>0</v>
      </c>
      <c r="AE122" s="11">
        <f>IFERROR(AD122/AD148, "NA")</f>
        <v>0</v>
      </c>
      <c r="AF122" s="10" t="str">
        <f t="shared" si="44"/>
        <v>NA</v>
      </c>
      <c r="AG122" s="9">
        <f t="shared" si="45"/>
        <v>0</v>
      </c>
      <c r="AH122" s="8">
        <f>IFERROR(AG122/AG148, "NA")</f>
        <v>0</v>
      </c>
      <c r="AI122" s="10">
        <f t="shared" si="46"/>
        <v>0</v>
      </c>
      <c r="AJ122" s="11">
        <f>IFERROR(AI122/AI148, "NA")</f>
        <v>0</v>
      </c>
      <c r="AK122" s="10" t="str">
        <f t="shared" si="47"/>
        <v>NA</v>
      </c>
      <c r="AL122" s="11" t="str">
        <f>IFERROR(AK122/AK148, "NA")</f>
        <v>NA</v>
      </c>
    </row>
    <row r="123" spans="1:38" ht="16.5" hidden="1" customHeight="1">
      <c r="A123" s="6" t="s">
        <v>128</v>
      </c>
      <c r="B123" s="7">
        <v>0</v>
      </c>
      <c r="C123" s="8">
        <f>IFERROR(B123/B148, "NA")</f>
        <v>0</v>
      </c>
      <c r="D123" s="7">
        <v>0</v>
      </c>
      <c r="E123" s="8">
        <f>IFERROR(D123/D148, "NA")</f>
        <v>0</v>
      </c>
      <c r="F123" s="7">
        <v>0</v>
      </c>
      <c r="G123" s="8">
        <f>IFERROR(F123/F148, "NA")</f>
        <v>0</v>
      </c>
      <c r="H123" s="7">
        <v>0</v>
      </c>
      <c r="I123" s="8">
        <f>IFERROR(H123/H148, "NA")</f>
        <v>0</v>
      </c>
      <c r="J123" s="7">
        <v>0</v>
      </c>
      <c r="K123" s="8">
        <f>IFERROR(J123/J148, "NA")</f>
        <v>0</v>
      </c>
      <c r="L123" s="7">
        <v>0</v>
      </c>
      <c r="M123" s="8">
        <f>IFERROR(L123/L148, "NA")</f>
        <v>0</v>
      </c>
      <c r="N123" s="7">
        <v>0</v>
      </c>
      <c r="O123" s="8">
        <f>IFERROR(N123/N148, "NA")</f>
        <v>0</v>
      </c>
      <c r="P123" s="7">
        <v>0</v>
      </c>
      <c r="Q123" s="8">
        <f>IFERROR(P123/P148, "NA")</f>
        <v>0</v>
      </c>
      <c r="R123" s="7">
        <v>0</v>
      </c>
      <c r="S123" s="8">
        <f>IFERROR(R123/R148, "NA")</f>
        <v>0</v>
      </c>
      <c r="T123" s="7">
        <v>0</v>
      </c>
      <c r="U123" s="8">
        <f>IFERROR(T123/T148, "NA")</f>
        <v>0</v>
      </c>
      <c r="V123" s="7">
        <v>0</v>
      </c>
      <c r="W123" s="8">
        <f>IFERROR(V123/V148, "NA")</f>
        <v>0</v>
      </c>
      <c r="X123" s="7">
        <v>0</v>
      </c>
      <c r="Y123" s="8">
        <f>IFERROR(X123/X148, "NA")</f>
        <v>0</v>
      </c>
      <c r="Z123" s="7">
        <v>0</v>
      </c>
      <c r="AA123" s="8">
        <f>IFERROR(Z123/Z148, "NA")</f>
        <v>0</v>
      </c>
      <c r="AB123" s="9">
        <f t="shared" si="42"/>
        <v>0</v>
      </c>
      <c r="AC123" s="8">
        <f>IFERROR(AB123/AB148, "NA")</f>
        <v>0</v>
      </c>
      <c r="AD123" s="10">
        <f t="shared" si="43"/>
        <v>0</v>
      </c>
      <c r="AE123" s="11">
        <f>IFERROR(AD123/AD148, "NA")</f>
        <v>0</v>
      </c>
      <c r="AF123" s="10" t="str">
        <f t="shared" si="44"/>
        <v>NA</v>
      </c>
      <c r="AG123" s="9">
        <f t="shared" si="45"/>
        <v>0</v>
      </c>
      <c r="AH123" s="8">
        <f>IFERROR(AG123/AG148, "NA")</f>
        <v>0</v>
      </c>
      <c r="AI123" s="10">
        <f t="shared" si="46"/>
        <v>0</v>
      </c>
      <c r="AJ123" s="11">
        <f>IFERROR(AI123/AI148, "NA")</f>
        <v>0</v>
      </c>
      <c r="AK123" s="10" t="str">
        <f t="shared" si="47"/>
        <v>NA</v>
      </c>
      <c r="AL123" s="11" t="str">
        <f>IFERROR(AK123/AK148, "NA")</f>
        <v>NA</v>
      </c>
    </row>
    <row r="124" spans="1:38" ht="16.5" hidden="1" customHeight="1">
      <c r="A124" s="6" t="s">
        <v>129</v>
      </c>
      <c r="B124" s="7">
        <v>0</v>
      </c>
      <c r="C124" s="8">
        <f>IFERROR(B124/B148, "NA")</f>
        <v>0</v>
      </c>
      <c r="D124" s="7">
        <v>0</v>
      </c>
      <c r="E124" s="8">
        <f>IFERROR(D124/D148, "NA")</f>
        <v>0</v>
      </c>
      <c r="F124" s="7">
        <v>0</v>
      </c>
      <c r="G124" s="8">
        <f>IFERROR(F124/F148, "NA")</f>
        <v>0</v>
      </c>
      <c r="H124" s="7">
        <v>0</v>
      </c>
      <c r="I124" s="8">
        <f>IFERROR(H124/H148, "NA")</f>
        <v>0</v>
      </c>
      <c r="J124" s="7">
        <v>0</v>
      </c>
      <c r="K124" s="8">
        <f>IFERROR(J124/J148, "NA")</f>
        <v>0</v>
      </c>
      <c r="L124" s="7">
        <v>0</v>
      </c>
      <c r="M124" s="8">
        <f>IFERROR(L124/L148, "NA")</f>
        <v>0</v>
      </c>
      <c r="N124" s="7">
        <v>0</v>
      </c>
      <c r="O124" s="8">
        <f>IFERROR(N124/N148, "NA")</f>
        <v>0</v>
      </c>
      <c r="P124" s="7">
        <v>0</v>
      </c>
      <c r="Q124" s="8">
        <f>IFERROR(P124/P148, "NA")</f>
        <v>0</v>
      </c>
      <c r="R124" s="7">
        <v>0</v>
      </c>
      <c r="S124" s="8">
        <f>IFERROR(R124/R148, "NA")</f>
        <v>0</v>
      </c>
      <c r="T124" s="7">
        <v>0</v>
      </c>
      <c r="U124" s="8">
        <f>IFERROR(T124/T148, "NA")</f>
        <v>0</v>
      </c>
      <c r="V124" s="7">
        <v>0</v>
      </c>
      <c r="W124" s="8">
        <f>IFERROR(V124/V148, "NA")</f>
        <v>0</v>
      </c>
      <c r="X124" s="7">
        <v>0</v>
      </c>
      <c r="Y124" s="8">
        <f>IFERROR(X124/X148, "NA")</f>
        <v>0</v>
      </c>
      <c r="Z124" s="7">
        <v>0</v>
      </c>
      <c r="AA124" s="8">
        <f>IFERROR(Z124/Z148, "NA")</f>
        <v>0</v>
      </c>
      <c r="AB124" s="9">
        <f t="shared" si="42"/>
        <v>0</v>
      </c>
      <c r="AC124" s="8">
        <f>IFERROR(AB124/AB148, "NA")</f>
        <v>0</v>
      </c>
      <c r="AD124" s="10">
        <f t="shared" si="43"/>
        <v>0</v>
      </c>
      <c r="AE124" s="11">
        <f>IFERROR(AD124/AD148, "NA")</f>
        <v>0</v>
      </c>
      <c r="AF124" s="10" t="str">
        <f t="shared" si="44"/>
        <v>NA</v>
      </c>
      <c r="AG124" s="9">
        <f t="shared" si="45"/>
        <v>0</v>
      </c>
      <c r="AH124" s="8">
        <f>IFERROR(AG124/AG148, "NA")</f>
        <v>0</v>
      </c>
      <c r="AI124" s="10">
        <f t="shared" si="46"/>
        <v>0</v>
      </c>
      <c r="AJ124" s="11">
        <f>IFERROR(AI124/AI148, "NA")</f>
        <v>0</v>
      </c>
      <c r="AK124" s="10" t="str">
        <f t="shared" si="47"/>
        <v>NA</v>
      </c>
      <c r="AL124" s="11" t="str">
        <f>IFERROR(AK124/AK148, "NA")</f>
        <v>NA</v>
      </c>
    </row>
    <row r="125" spans="1:38" ht="16.5" hidden="1" customHeight="1">
      <c r="A125" s="6" t="s">
        <v>130</v>
      </c>
      <c r="B125" s="7">
        <v>0</v>
      </c>
      <c r="C125" s="8">
        <f>IFERROR(B125/B148, "NA")</f>
        <v>0</v>
      </c>
      <c r="D125" s="7">
        <v>0</v>
      </c>
      <c r="E125" s="8">
        <f>IFERROR(D125/D148, "NA")</f>
        <v>0</v>
      </c>
      <c r="F125" s="7">
        <v>0</v>
      </c>
      <c r="G125" s="8">
        <f>IFERROR(F125/F148, "NA")</f>
        <v>0</v>
      </c>
      <c r="H125" s="7">
        <v>0</v>
      </c>
      <c r="I125" s="8">
        <f>IFERROR(H125/H148, "NA")</f>
        <v>0</v>
      </c>
      <c r="J125" s="7">
        <v>0</v>
      </c>
      <c r="K125" s="8">
        <f>IFERROR(J125/J148, "NA")</f>
        <v>0</v>
      </c>
      <c r="L125" s="7">
        <v>0</v>
      </c>
      <c r="M125" s="8">
        <f>IFERROR(L125/L148, "NA")</f>
        <v>0</v>
      </c>
      <c r="N125" s="7">
        <v>0</v>
      </c>
      <c r="O125" s="8">
        <f>IFERROR(N125/N148, "NA")</f>
        <v>0</v>
      </c>
      <c r="P125" s="7">
        <v>0</v>
      </c>
      <c r="Q125" s="8">
        <f>IFERROR(P125/P148, "NA")</f>
        <v>0</v>
      </c>
      <c r="R125" s="7">
        <v>0</v>
      </c>
      <c r="S125" s="8">
        <f>IFERROR(R125/R148, "NA")</f>
        <v>0</v>
      </c>
      <c r="T125" s="7">
        <v>0</v>
      </c>
      <c r="U125" s="8">
        <f>IFERROR(T125/T148, "NA")</f>
        <v>0</v>
      </c>
      <c r="V125" s="7">
        <v>0</v>
      </c>
      <c r="W125" s="8">
        <f>IFERROR(V125/V148, "NA")</f>
        <v>0</v>
      </c>
      <c r="X125" s="7">
        <v>0</v>
      </c>
      <c r="Y125" s="8">
        <f>IFERROR(X125/X148, "NA")</f>
        <v>0</v>
      </c>
      <c r="Z125" s="7">
        <v>0</v>
      </c>
      <c r="AA125" s="8">
        <f>IFERROR(Z125/Z148, "NA")</f>
        <v>0</v>
      </c>
      <c r="AB125" s="9">
        <f t="shared" si="42"/>
        <v>0</v>
      </c>
      <c r="AC125" s="8">
        <f>IFERROR(AB125/AB148, "NA")</f>
        <v>0</v>
      </c>
      <c r="AD125" s="10">
        <f t="shared" si="43"/>
        <v>0</v>
      </c>
      <c r="AE125" s="11">
        <f>IFERROR(AD125/AD148, "NA")</f>
        <v>0</v>
      </c>
      <c r="AF125" s="10" t="str">
        <f t="shared" si="44"/>
        <v>NA</v>
      </c>
      <c r="AG125" s="9">
        <f t="shared" si="45"/>
        <v>0</v>
      </c>
      <c r="AH125" s="8">
        <f>IFERROR(AG125/AG148, "NA")</f>
        <v>0</v>
      </c>
      <c r="AI125" s="10">
        <f t="shared" si="46"/>
        <v>0</v>
      </c>
      <c r="AJ125" s="11">
        <f>IFERROR(AI125/AI148, "NA")</f>
        <v>0</v>
      </c>
      <c r="AK125" s="10" t="str">
        <f t="shared" si="47"/>
        <v>NA</v>
      </c>
      <c r="AL125" s="11" t="str">
        <f>IFERROR(AK125/AK148, "NA")</f>
        <v>NA</v>
      </c>
    </row>
    <row r="126" spans="1:38" ht="16.5" hidden="1" customHeight="1">
      <c r="A126" s="6" t="s">
        <v>131</v>
      </c>
      <c r="B126" s="7">
        <v>0</v>
      </c>
      <c r="C126" s="8">
        <f>IFERROR(B126/B148, "NA")</f>
        <v>0</v>
      </c>
      <c r="D126" s="7">
        <v>0</v>
      </c>
      <c r="E126" s="8">
        <f>IFERROR(D126/D148, "NA")</f>
        <v>0</v>
      </c>
      <c r="F126" s="7">
        <v>0</v>
      </c>
      <c r="G126" s="8">
        <f>IFERROR(F126/F148, "NA")</f>
        <v>0</v>
      </c>
      <c r="H126" s="7">
        <v>0</v>
      </c>
      <c r="I126" s="8">
        <f>IFERROR(H126/H148, "NA")</f>
        <v>0</v>
      </c>
      <c r="J126" s="7">
        <v>0</v>
      </c>
      <c r="K126" s="8">
        <f>IFERROR(J126/J148, "NA")</f>
        <v>0</v>
      </c>
      <c r="L126" s="7">
        <v>0</v>
      </c>
      <c r="M126" s="8">
        <f>IFERROR(L126/L148, "NA")</f>
        <v>0</v>
      </c>
      <c r="N126" s="7">
        <v>0</v>
      </c>
      <c r="O126" s="8">
        <f>IFERROR(N126/N148, "NA")</f>
        <v>0</v>
      </c>
      <c r="P126" s="7">
        <v>0</v>
      </c>
      <c r="Q126" s="8">
        <f>IFERROR(P126/P148, "NA")</f>
        <v>0</v>
      </c>
      <c r="R126" s="7">
        <v>0</v>
      </c>
      <c r="S126" s="8">
        <f>IFERROR(R126/R148, "NA")</f>
        <v>0</v>
      </c>
      <c r="T126" s="7">
        <v>0</v>
      </c>
      <c r="U126" s="8">
        <f>IFERROR(T126/T148, "NA")</f>
        <v>0</v>
      </c>
      <c r="V126" s="7">
        <v>0</v>
      </c>
      <c r="W126" s="8">
        <f>IFERROR(V126/V148, "NA")</f>
        <v>0</v>
      </c>
      <c r="X126" s="7">
        <v>0</v>
      </c>
      <c r="Y126" s="8">
        <f>IFERROR(X126/X148, "NA")</f>
        <v>0</v>
      </c>
      <c r="Z126" s="7">
        <v>0</v>
      </c>
      <c r="AA126" s="8">
        <f>IFERROR(Z126/Z148, "NA")</f>
        <v>0</v>
      </c>
      <c r="AB126" s="9">
        <f t="shared" si="42"/>
        <v>0</v>
      </c>
      <c r="AC126" s="8">
        <f>IFERROR(AB126/AB148, "NA")</f>
        <v>0</v>
      </c>
      <c r="AD126" s="10">
        <f t="shared" si="43"/>
        <v>0</v>
      </c>
      <c r="AE126" s="11">
        <f>IFERROR(AD126/AD148, "NA")</f>
        <v>0</v>
      </c>
      <c r="AF126" s="10" t="str">
        <f t="shared" si="44"/>
        <v>NA</v>
      </c>
      <c r="AG126" s="9">
        <f t="shared" si="45"/>
        <v>0</v>
      </c>
      <c r="AH126" s="8">
        <f>IFERROR(AG126/AG148, "NA")</f>
        <v>0</v>
      </c>
      <c r="AI126" s="10">
        <f t="shared" si="46"/>
        <v>0</v>
      </c>
      <c r="AJ126" s="11">
        <f>IFERROR(AI126/AI148, "NA")</f>
        <v>0</v>
      </c>
      <c r="AK126" s="10" t="str">
        <f t="shared" si="47"/>
        <v>NA</v>
      </c>
      <c r="AL126" s="11" t="str">
        <f>IFERROR(AK126/AK148, "NA")</f>
        <v>NA</v>
      </c>
    </row>
    <row r="127" spans="1:38" ht="16.5" hidden="1" customHeight="1">
      <c r="A127" s="6" t="s">
        <v>132</v>
      </c>
      <c r="B127" s="7">
        <v>0</v>
      </c>
      <c r="C127" s="8">
        <f>IFERROR(B127/B148, "NA")</f>
        <v>0</v>
      </c>
      <c r="D127" s="7">
        <v>0</v>
      </c>
      <c r="E127" s="8">
        <f>IFERROR(D127/D148, "NA")</f>
        <v>0</v>
      </c>
      <c r="F127" s="7">
        <v>0</v>
      </c>
      <c r="G127" s="8">
        <f>IFERROR(F127/F148, "NA")</f>
        <v>0</v>
      </c>
      <c r="H127" s="7">
        <v>0</v>
      </c>
      <c r="I127" s="8">
        <f>IFERROR(H127/H148, "NA")</f>
        <v>0</v>
      </c>
      <c r="J127" s="7">
        <v>0</v>
      </c>
      <c r="K127" s="8">
        <f>IFERROR(J127/J148, "NA")</f>
        <v>0</v>
      </c>
      <c r="L127" s="7">
        <v>0</v>
      </c>
      <c r="M127" s="8">
        <f>IFERROR(L127/L148, "NA")</f>
        <v>0</v>
      </c>
      <c r="N127" s="7">
        <v>0</v>
      </c>
      <c r="O127" s="8">
        <f>IFERROR(N127/N148, "NA")</f>
        <v>0</v>
      </c>
      <c r="P127" s="7">
        <v>0</v>
      </c>
      <c r="Q127" s="8">
        <f>IFERROR(P127/P148, "NA")</f>
        <v>0</v>
      </c>
      <c r="R127" s="7">
        <v>0</v>
      </c>
      <c r="S127" s="8">
        <f>IFERROR(R127/R148, "NA")</f>
        <v>0</v>
      </c>
      <c r="T127" s="7">
        <v>0</v>
      </c>
      <c r="U127" s="8">
        <f>IFERROR(T127/T148, "NA")</f>
        <v>0</v>
      </c>
      <c r="V127" s="7">
        <v>0</v>
      </c>
      <c r="W127" s="8">
        <f>IFERROR(V127/V148, "NA")</f>
        <v>0</v>
      </c>
      <c r="X127" s="7">
        <v>0</v>
      </c>
      <c r="Y127" s="8">
        <f>IFERROR(X127/X148, "NA")</f>
        <v>0</v>
      </c>
      <c r="Z127" s="7">
        <v>0</v>
      </c>
      <c r="AA127" s="8">
        <f>IFERROR(Z127/Z148, "NA")</f>
        <v>0</v>
      </c>
      <c r="AB127" s="9">
        <f t="shared" si="42"/>
        <v>0</v>
      </c>
      <c r="AC127" s="8">
        <f>IFERROR(AB127/AB148, "NA")</f>
        <v>0</v>
      </c>
      <c r="AD127" s="10">
        <f t="shared" si="43"/>
        <v>0</v>
      </c>
      <c r="AE127" s="11">
        <f>IFERROR(AD127/AD148, "NA")</f>
        <v>0</v>
      </c>
      <c r="AF127" s="10" t="str">
        <f t="shared" si="44"/>
        <v>NA</v>
      </c>
      <c r="AG127" s="9">
        <f t="shared" si="45"/>
        <v>0</v>
      </c>
      <c r="AH127" s="8">
        <f>IFERROR(AG127/AG148, "NA")</f>
        <v>0</v>
      </c>
      <c r="AI127" s="10">
        <f t="shared" si="46"/>
        <v>0</v>
      </c>
      <c r="AJ127" s="11">
        <f>IFERROR(AI127/AI148, "NA")</f>
        <v>0</v>
      </c>
      <c r="AK127" s="10" t="str">
        <f t="shared" si="47"/>
        <v>NA</v>
      </c>
      <c r="AL127" s="11" t="str">
        <f>IFERROR(AK127/AK148, "NA")</f>
        <v>NA</v>
      </c>
    </row>
    <row r="128" spans="1:38" ht="16.5" hidden="1" customHeight="1">
      <c r="A128" s="6" t="s">
        <v>133</v>
      </c>
      <c r="B128" s="7">
        <v>268.79000000000002</v>
      </c>
      <c r="C128" s="8">
        <f>IFERROR(B128/B148, "NA")</f>
        <v>1.07999101581193E-2</v>
      </c>
      <c r="D128" s="7">
        <v>287.24</v>
      </c>
      <c r="E128" s="8">
        <f>IFERROR(D128/D148, "NA")</f>
        <v>9.0785338692462303E-3</v>
      </c>
      <c r="F128" s="7">
        <v>303.3</v>
      </c>
      <c r="G128" s="8">
        <f>IFERROR(F128/F148, "NA")</f>
        <v>1.0082880412650109E-2</v>
      </c>
      <c r="H128" s="7">
        <v>-859.33</v>
      </c>
      <c r="I128" s="8">
        <f>IFERROR(H128/H148, "NA")</f>
        <v>-3.2188272910167029E-2</v>
      </c>
      <c r="J128" s="7">
        <v>320.02000000000004</v>
      </c>
      <c r="K128" s="8">
        <f>IFERROR(J128/J148, "NA")</f>
        <v>1.4003983008979056E-2</v>
      </c>
      <c r="L128" s="7">
        <v>322.18</v>
      </c>
      <c r="M128" s="8">
        <f>IFERROR(L128/L148, "NA")</f>
        <v>1.1950106137031197E-2</v>
      </c>
      <c r="N128" s="7">
        <v>321.89</v>
      </c>
      <c r="O128" s="8">
        <f>IFERROR(N128/N148, "NA")</f>
        <v>1.3383370427362295E-2</v>
      </c>
      <c r="P128" s="7">
        <v>-964.09</v>
      </c>
      <c r="Q128" s="8">
        <f>IFERROR(P128/P148, "NA")</f>
        <v>-3.8408827787547298E-2</v>
      </c>
      <c r="R128" s="7">
        <v>406.12</v>
      </c>
      <c r="S128" s="8">
        <f>IFERROR(R128/R148, "NA")</f>
        <v>1.796836908690139E-2</v>
      </c>
      <c r="T128" s="7">
        <v>442.16999999999996</v>
      </c>
      <c r="U128" s="8">
        <f>IFERROR(T128/T148, "NA")</f>
        <v>1.5833977609623354E-2</v>
      </c>
      <c r="V128" s="7">
        <v>436.88</v>
      </c>
      <c r="W128" s="8">
        <f>IFERROR(V128/V148, "NA")</f>
        <v>1.579893318868095E-2</v>
      </c>
      <c r="X128" s="7">
        <v>403.1</v>
      </c>
      <c r="Y128" s="8">
        <f>IFERROR(X128/X148, "NA")</f>
        <v>1.7202331596599139E-2</v>
      </c>
      <c r="Z128" s="7">
        <v>1688.27</v>
      </c>
      <c r="AA128" s="8">
        <f>IFERROR(Z128/Z148, "NA")</f>
        <v>1.6614753864428365E-2</v>
      </c>
      <c r="AB128" s="9">
        <f t="shared" si="42"/>
        <v>422.0675</v>
      </c>
      <c r="AC128" s="8">
        <f>IFERROR(AB128/AB148, "NA")</f>
        <v>1.6614753864428365E-2</v>
      </c>
      <c r="AD128" s="10">
        <f t="shared" si="43"/>
        <v>-18.967499999999973</v>
      </c>
      <c r="AE128" s="11">
        <f>IFERROR(AD128/AD148, "NA")</f>
        <v>9.6266821634213833E-3</v>
      </c>
      <c r="AF128" s="10">
        <f t="shared" si="44"/>
        <v>-4.4939494275204731E-2</v>
      </c>
      <c r="AG128" s="9">
        <f t="shared" si="45"/>
        <v>211.03375</v>
      </c>
      <c r="AH128" s="8">
        <f>IFERROR(AG128/AG148, "NA")</f>
        <v>8.4170487177944193E-3</v>
      </c>
      <c r="AI128" s="10">
        <f t="shared" si="46"/>
        <v>192.06625000000003</v>
      </c>
      <c r="AJ128" s="11">
        <f>IFERROR(AI128/AI148, "NA")</f>
        <v>-0.11716295054241613</v>
      </c>
      <c r="AK128" s="10">
        <f t="shared" si="47"/>
        <v>0.91012101144959057</v>
      </c>
      <c r="AL128" s="11">
        <f>IFERROR(AK128/AK148, "NA")</f>
        <v>-13.919718712655518</v>
      </c>
    </row>
    <row r="129" spans="1:38" ht="16.5" hidden="1" customHeight="1">
      <c r="A129" s="6" t="s">
        <v>134</v>
      </c>
      <c r="B129" s="7">
        <v>0</v>
      </c>
      <c r="C129" s="8">
        <f>IFERROR(B129/B148, "NA")</f>
        <v>0</v>
      </c>
      <c r="D129" s="7">
        <v>0</v>
      </c>
      <c r="E129" s="8">
        <f>IFERROR(D129/D148, "NA")</f>
        <v>0</v>
      </c>
      <c r="F129" s="7">
        <v>0</v>
      </c>
      <c r="G129" s="8">
        <f>IFERROR(F129/F148, "NA")</f>
        <v>0</v>
      </c>
      <c r="H129" s="7">
        <v>0</v>
      </c>
      <c r="I129" s="8">
        <f>IFERROR(H129/H148, "NA")</f>
        <v>0</v>
      </c>
      <c r="J129" s="7">
        <v>0</v>
      </c>
      <c r="K129" s="8">
        <f>IFERROR(J129/J148, "NA")</f>
        <v>0</v>
      </c>
      <c r="L129" s="7">
        <v>0</v>
      </c>
      <c r="M129" s="8">
        <f>IFERROR(L129/L148, "NA")</f>
        <v>0</v>
      </c>
      <c r="N129" s="7">
        <v>0</v>
      </c>
      <c r="O129" s="8">
        <f>IFERROR(N129/N148, "NA")</f>
        <v>0</v>
      </c>
      <c r="P129" s="7">
        <v>0</v>
      </c>
      <c r="Q129" s="8">
        <f>IFERROR(P129/P148, "NA")</f>
        <v>0</v>
      </c>
      <c r="R129" s="7">
        <v>0</v>
      </c>
      <c r="S129" s="8">
        <f>IFERROR(R129/R148, "NA")</f>
        <v>0</v>
      </c>
      <c r="T129" s="7">
        <v>0</v>
      </c>
      <c r="U129" s="8">
        <f>IFERROR(T129/T148, "NA")</f>
        <v>0</v>
      </c>
      <c r="V129" s="7">
        <v>0</v>
      </c>
      <c r="W129" s="8">
        <f>IFERROR(V129/V148, "NA")</f>
        <v>0</v>
      </c>
      <c r="X129" s="7">
        <v>0</v>
      </c>
      <c r="Y129" s="8">
        <f>IFERROR(X129/X148, "NA")</f>
        <v>0</v>
      </c>
      <c r="Z129" s="7">
        <v>0</v>
      </c>
      <c r="AA129" s="8">
        <f>IFERROR(Z129/Z148, "NA")</f>
        <v>0</v>
      </c>
      <c r="AB129" s="9">
        <f t="shared" si="42"/>
        <v>0</v>
      </c>
      <c r="AC129" s="8">
        <f>IFERROR(AB129/AB148, "NA")</f>
        <v>0</v>
      </c>
      <c r="AD129" s="10">
        <f t="shared" si="43"/>
        <v>0</v>
      </c>
      <c r="AE129" s="11">
        <f>IFERROR(AD129/AD148, "NA")</f>
        <v>0</v>
      </c>
      <c r="AF129" s="10" t="str">
        <f t="shared" si="44"/>
        <v>NA</v>
      </c>
      <c r="AG129" s="9">
        <f t="shared" si="45"/>
        <v>0</v>
      </c>
      <c r="AH129" s="8">
        <f>IFERROR(AG129/AG148, "NA")</f>
        <v>0</v>
      </c>
      <c r="AI129" s="10">
        <f t="shared" si="46"/>
        <v>0</v>
      </c>
      <c r="AJ129" s="11">
        <f>IFERROR(AI129/AI148, "NA")</f>
        <v>0</v>
      </c>
      <c r="AK129" s="10" t="str">
        <f t="shared" si="47"/>
        <v>NA</v>
      </c>
      <c r="AL129" s="11" t="str">
        <f>IFERROR(AK129/AK148, "NA")</f>
        <v>NA</v>
      </c>
    </row>
    <row r="130" spans="1:38" ht="16.5" hidden="1" customHeight="1">
      <c r="A130" s="6" t="s">
        <v>135</v>
      </c>
      <c r="B130" s="7">
        <v>0</v>
      </c>
      <c r="C130" s="8">
        <f>IFERROR(B130/B148, "NA")</f>
        <v>0</v>
      </c>
      <c r="D130" s="7">
        <v>0</v>
      </c>
      <c r="E130" s="8">
        <f>IFERROR(D130/D148, "NA")</f>
        <v>0</v>
      </c>
      <c r="F130" s="7">
        <v>0</v>
      </c>
      <c r="G130" s="8">
        <f>IFERROR(F130/F148, "NA")</f>
        <v>0</v>
      </c>
      <c r="H130" s="7">
        <v>0</v>
      </c>
      <c r="I130" s="8">
        <f>IFERROR(H130/H148, "NA")</f>
        <v>0</v>
      </c>
      <c r="J130" s="7">
        <v>0</v>
      </c>
      <c r="K130" s="8">
        <f>IFERROR(J130/J148, "NA")</f>
        <v>0</v>
      </c>
      <c r="L130" s="7">
        <v>0</v>
      </c>
      <c r="M130" s="8">
        <f>IFERROR(L130/L148, "NA")</f>
        <v>0</v>
      </c>
      <c r="N130" s="7">
        <v>0</v>
      </c>
      <c r="O130" s="8">
        <f>IFERROR(N130/N148, "NA")</f>
        <v>0</v>
      </c>
      <c r="P130" s="7">
        <v>0</v>
      </c>
      <c r="Q130" s="8">
        <f>IFERROR(P130/P148, "NA")</f>
        <v>0</v>
      </c>
      <c r="R130" s="7">
        <v>0</v>
      </c>
      <c r="S130" s="8">
        <f>IFERROR(R130/R148, "NA")</f>
        <v>0</v>
      </c>
      <c r="T130" s="7">
        <v>0</v>
      </c>
      <c r="U130" s="8">
        <f>IFERROR(T130/T148, "NA")</f>
        <v>0</v>
      </c>
      <c r="V130" s="7">
        <v>0</v>
      </c>
      <c r="W130" s="8">
        <f>IFERROR(V130/V148, "NA")</f>
        <v>0</v>
      </c>
      <c r="X130" s="7">
        <v>0</v>
      </c>
      <c r="Y130" s="8">
        <f>IFERROR(X130/X148, "NA")</f>
        <v>0</v>
      </c>
      <c r="Z130" s="7">
        <v>0</v>
      </c>
      <c r="AA130" s="8">
        <f>IFERROR(Z130/Z148, "NA")</f>
        <v>0</v>
      </c>
      <c r="AB130" s="9">
        <f t="shared" si="42"/>
        <v>0</v>
      </c>
      <c r="AC130" s="8">
        <f>IFERROR(AB130/AB148, "NA")</f>
        <v>0</v>
      </c>
      <c r="AD130" s="10">
        <f t="shared" si="43"/>
        <v>0</v>
      </c>
      <c r="AE130" s="11">
        <f>IFERROR(AD130/AD148, "NA")</f>
        <v>0</v>
      </c>
      <c r="AF130" s="10" t="str">
        <f t="shared" si="44"/>
        <v>NA</v>
      </c>
      <c r="AG130" s="9">
        <f t="shared" si="45"/>
        <v>0</v>
      </c>
      <c r="AH130" s="8">
        <f>IFERROR(AG130/AG148, "NA")</f>
        <v>0</v>
      </c>
      <c r="AI130" s="10">
        <f t="shared" si="46"/>
        <v>0</v>
      </c>
      <c r="AJ130" s="11">
        <f>IFERROR(AI130/AI148, "NA")</f>
        <v>0</v>
      </c>
      <c r="AK130" s="10" t="str">
        <f t="shared" si="47"/>
        <v>NA</v>
      </c>
      <c r="AL130" s="11" t="str">
        <f>IFERROR(AK130/AK148, "NA")</f>
        <v>NA</v>
      </c>
    </row>
    <row r="131" spans="1:38" ht="16.5" hidden="1" customHeight="1">
      <c r="A131" s="6" t="s">
        <v>136</v>
      </c>
      <c r="B131" s="7">
        <v>0</v>
      </c>
      <c r="C131" s="8">
        <f>IFERROR(B131/B148, "NA")</f>
        <v>0</v>
      </c>
      <c r="D131" s="7">
        <v>0</v>
      </c>
      <c r="E131" s="8">
        <f>IFERROR(D131/D148, "NA")</f>
        <v>0</v>
      </c>
      <c r="F131" s="7">
        <v>0</v>
      </c>
      <c r="G131" s="8">
        <f>IFERROR(F131/F148, "NA")</f>
        <v>0</v>
      </c>
      <c r="H131" s="7">
        <v>0</v>
      </c>
      <c r="I131" s="8">
        <f>IFERROR(H131/H148, "NA")</f>
        <v>0</v>
      </c>
      <c r="J131" s="7">
        <v>0</v>
      </c>
      <c r="K131" s="8">
        <f>IFERROR(J131/J148, "NA")</f>
        <v>0</v>
      </c>
      <c r="L131" s="7">
        <v>0</v>
      </c>
      <c r="M131" s="8">
        <f>IFERROR(L131/L148, "NA")</f>
        <v>0</v>
      </c>
      <c r="N131" s="7">
        <v>0</v>
      </c>
      <c r="O131" s="8">
        <f>IFERROR(N131/N148, "NA")</f>
        <v>0</v>
      </c>
      <c r="P131" s="7">
        <v>0</v>
      </c>
      <c r="Q131" s="8">
        <f>IFERROR(P131/P148, "NA")</f>
        <v>0</v>
      </c>
      <c r="R131" s="7">
        <v>0</v>
      </c>
      <c r="S131" s="8">
        <f>IFERROR(R131/R148, "NA")</f>
        <v>0</v>
      </c>
      <c r="T131" s="7">
        <v>0</v>
      </c>
      <c r="U131" s="8">
        <f>IFERROR(T131/T148, "NA")</f>
        <v>0</v>
      </c>
      <c r="V131" s="7">
        <v>0</v>
      </c>
      <c r="W131" s="8">
        <f>IFERROR(V131/V148, "NA")</f>
        <v>0</v>
      </c>
      <c r="X131" s="7">
        <v>0</v>
      </c>
      <c r="Y131" s="8">
        <f>IFERROR(X131/X148, "NA")</f>
        <v>0</v>
      </c>
      <c r="Z131" s="7">
        <v>0</v>
      </c>
      <c r="AA131" s="8">
        <f>IFERROR(Z131/Z148, "NA")</f>
        <v>0</v>
      </c>
      <c r="AB131" s="9">
        <f t="shared" si="42"/>
        <v>0</v>
      </c>
      <c r="AC131" s="8">
        <f>IFERROR(AB131/AB148, "NA")</f>
        <v>0</v>
      </c>
      <c r="AD131" s="10">
        <f t="shared" si="43"/>
        <v>0</v>
      </c>
      <c r="AE131" s="11">
        <f>IFERROR(AD131/AD148, "NA")</f>
        <v>0</v>
      </c>
      <c r="AF131" s="10" t="str">
        <f t="shared" si="44"/>
        <v>NA</v>
      </c>
      <c r="AG131" s="9">
        <f t="shared" si="45"/>
        <v>0</v>
      </c>
      <c r="AH131" s="8">
        <f>IFERROR(AG131/AG148, "NA")</f>
        <v>0</v>
      </c>
      <c r="AI131" s="10">
        <f t="shared" si="46"/>
        <v>0</v>
      </c>
      <c r="AJ131" s="11">
        <f>IFERROR(AI131/AI148, "NA")</f>
        <v>0</v>
      </c>
      <c r="AK131" s="10" t="str">
        <f t="shared" si="47"/>
        <v>NA</v>
      </c>
      <c r="AL131" s="11" t="str">
        <f>IFERROR(AK131/AK148, "NA")</f>
        <v>NA</v>
      </c>
    </row>
    <row r="132" spans="1:38" ht="16.5" hidden="1" customHeight="1">
      <c r="A132" s="6" t="s">
        <v>137</v>
      </c>
      <c r="B132" s="7">
        <v>0</v>
      </c>
      <c r="C132" s="8">
        <f>IFERROR(B132/B148, "NA")</f>
        <v>0</v>
      </c>
      <c r="D132" s="7">
        <v>0</v>
      </c>
      <c r="E132" s="8">
        <f>IFERROR(D132/D148, "NA")</f>
        <v>0</v>
      </c>
      <c r="F132" s="7">
        <v>0</v>
      </c>
      <c r="G132" s="8">
        <f>IFERROR(F132/F148, "NA")</f>
        <v>0</v>
      </c>
      <c r="H132" s="7">
        <v>0</v>
      </c>
      <c r="I132" s="8">
        <f>IFERROR(H132/H148, "NA")</f>
        <v>0</v>
      </c>
      <c r="J132" s="7">
        <v>0</v>
      </c>
      <c r="K132" s="8">
        <f>IFERROR(J132/J148, "NA")</f>
        <v>0</v>
      </c>
      <c r="L132" s="7">
        <v>0</v>
      </c>
      <c r="M132" s="8">
        <f>IFERROR(L132/L148, "NA")</f>
        <v>0</v>
      </c>
      <c r="N132" s="7">
        <v>0</v>
      </c>
      <c r="O132" s="8">
        <f>IFERROR(N132/N148, "NA")</f>
        <v>0</v>
      </c>
      <c r="P132" s="7">
        <v>0</v>
      </c>
      <c r="Q132" s="8">
        <f>IFERROR(P132/P148, "NA")</f>
        <v>0</v>
      </c>
      <c r="R132" s="7">
        <v>0</v>
      </c>
      <c r="S132" s="8">
        <f>IFERROR(R132/R148, "NA")</f>
        <v>0</v>
      </c>
      <c r="T132" s="7">
        <v>0</v>
      </c>
      <c r="U132" s="8">
        <f>IFERROR(T132/T148, "NA")</f>
        <v>0</v>
      </c>
      <c r="V132" s="7">
        <v>0</v>
      </c>
      <c r="W132" s="8">
        <f>IFERROR(V132/V148, "NA")</f>
        <v>0</v>
      </c>
      <c r="X132" s="7">
        <v>0</v>
      </c>
      <c r="Y132" s="8">
        <f>IFERROR(X132/X148, "NA")</f>
        <v>0</v>
      </c>
      <c r="Z132" s="7">
        <v>0</v>
      </c>
      <c r="AA132" s="8">
        <f>IFERROR(Z132/Z148, "NA")</f>
        <v>0</v>
      </c>
      <c r="AB132" s="9">
        <f t="shared" si="42"/>
        <v>0</v>
      </c>
      <c r="AC132" s="8">
        <f>IFERROR(AB132/AB148, "NA")</f>
        <v>0</v>
      </c>
      <c r="AD132" s="10">
        <f t="shared" si="43"/>
        <v>0</v>
      </c>
      <c r="AE132" s="11">
        <f>IFERROR(AD132/AD148, "NA")</f>
        <v>0</v>
      </c>
      <c r="AF132" s="10" t="str">
        <f t="shared" si="44"/>
        <v>NA</v>
      </c>
      <c r="AG132" s="9">
        <f t="shared" si="45"/>
        <v>0</v>
      </c>
      <c r="AH132" s="8">
        <f>IFERROR(AG132/AG148, "NA")</f>
        <v>0</v>
      </c>
      <c r="AI132" s="10">
        <f t="shared" si="46"/>
        <v>0</v>
      </c>
      <c r="AJ132" s="11">
        <f>IFERROR(AI132/AI148, "NA")</f>
        <v>0</v>
      </c>
      <c r="AK132" s="10" t="str">
        <f t="shared" si="47"/>
        <v>NA</v>
      </c>
      <c r="AL132" s="11" t="str">
        <f>IFERROR(AK132/AK148, "NA")</f>
        <v>NA</v>
      </c>
    </row>
    <row r="133" spans="1:38" ht="16.5" hidden="1" customHeight="1">
      <c r="A133" s="6" t="s">
        <v>138</v>
      </c>
      <c r="B133" s="7">
        <v>0</v>
      </c>
      <c r="C133" s="8">
        <f>IFERROR(B133/B148, "NA")</f>
        <v>0</v>
      </c>
      <c r="D133" s="7">
        <v>0</v>
      </c>
      <c r="E133" s="8">
        <f>IFERROR(D133/D148, "NA")</f>
        <v>0</v>
      </c>
      <c r="F133" s="7">
        <v>0</v>
      </c>
      <c r="G133" s="8">
        <f>IFERROR(F133/F148, "NA")</f>
        <v>0</v>
      </c>
      <c r="H133" s="7">
        <v>0</v>
      </c>
      <c r="I133" s="8">
        <f>IFERROR(H133/H148, "NA")</f>
        <v>0</v>
      </c>
      <c r="J133" s="7">
        <v>0</v>
      </c>
      <c r="K133" s="8">
        <f>IFERROR(J133/J148, "NA")</f>
        <v>0</v>
      </c>
      <c r="L133" s="7">
        <v>0</v>
      </c>
      <c r="M133" s="8">
        <f>IFERROR(L133/L148, "NA")</f>
        <v>0</v>
      </c>
      <c r="N133" s="7">
        <v>0</v>
      </c>
      <c r="O133" s="8">
        <f>IFERROR(N133/N148, "NA")</f>
        <v>0</v>
      </c>
      <c r="P133" s="7">
        <v>0</v>
      </c>
      <c r="Q133" s="8">
        <f>IFERROR(P133/P148, "NA")</f>
        <v>0</v>
      </c>
      <c r="R133" s="7">
        <v>0</v>
      </c>
      <c r="S133" s="8">
        <f>IFERROR(R133/R148, "NA")</f>
        <v>0</v>
      </c>
      <c r="T133" s="7">
        <v>0</v>
      </c>
      <c r="U133" s="8">
        <f>IFERROR(T133/T148, "NA")</f>
        <v>0</v>
      </c>
      <c r="V133" s="7">
        <v>0</v>
      </c>
      <c r="W133" s="8">
        <f>IFERROR(V133/V148, "NA")</f>
        <v>0</v>
      </c>
      <c r="X133" s="7">
        <v>0</v>
      </c>
      <c r="Y133" s="8">
        <f>IFERROR(X133/X148, "NA")</f>
        <v>0</v>
      </c>
      <c r="Z133" s="7">
        <v>0</v>
      </c>
      <c r="AA133" s="8">
        <f>IFERROR(Z133/Z148, "NA")</f>
        <v>0</v>
      </c>
      <c r="AB133" s="9">
        <f t="shared" si="42"/>
        <v>0</v>
      </c>
      <c r="AC133" s="8">
        <f>IFERROR(AB133/AB148, "NA")</f>
        <v>0</v>
      </c>
      <c r="AD133" s="10">
        <f t="shared" si="43"/>
        <v>0</v>
      </c>
      <c r="AE133" s="11">
        <f>IFERROR(AD133/AD148, "NA")</f>
        <v>0</v>
      </c>
      <c r="AF133" s="10" t="str">
        <f t="shared" si="44"/>
        <v>NA</v>
      </c>
      <c r="AG133" s="9">
        <f t="shared" si="45"/>
        <v>0</v>
      </c>
      <c r="AH133" s="8">
        <f>IFERROR(AG133/AG148, "NA")</f>
        <v>0</v>
      </c>
      <c r="AI133" s="10">
        <f t="shared" si="46"/>
        <v>0</v>
      </c>
      <c r="AJ133" s="11">
        <f>IFERROR(AI133/AI148, "NA")</f>
        <v>0</v>
      </c>
      <c r="AK133" s="10" t="str">
        <f t="shared" si="47"/>
        <v>NA</v>
      </c>
      <c r="AL133" s="11" t="str">
        <f>IFERROR(AK133/AK148, "NA")</f>
        <v>NA</v>
      </c>
    </row>
    <row r="134" spans="1:38" ht="16.5" hidden="1" customHeight="1">
      <c r="A134" s="6" t="s">
        <v>139</v>
      </c>
      <c r="B134" s="7">
        <v>0</v>
      </c>
      <c r="C134" s="8">
        <f>IFERROR(B134/B148, "NA")</f>
        <v>0</v>
      </c>
      <c r="D134" s="7">
        <v>0</v>
      </c>
      <c r="E134" s="8">
        <f>IFERROR(D134/D148, "NA")</f>
        <v>0</v>
      </c>
      <c r="F134" s="7">
        <v>0</v>
      </c>
      <c r="G134" s="8">
        <f>IFERROR(F134/F148, "NA")</f>
        <v>0</v>
      </c>
      <c r="H134" s="7">
        <v>0</v>
      </c>
      <c r="I134" s="8">
        <f>IFERROR(H134/H148, "NA")</f>
        <v>0</v>
      </c>
      <c r="J134" s="7">
        <v>0</v>
      </c>
      <c r="K134" s="8">
        <f>IFERROR(J134/J148, "NA")</f>
        <v>0</v>
      </c>
      <c r="L134" s="7">
        <v>0</v>
      </c>
      <c r="M134" s="8">
        <f>IFERROR(L134/L148, "NA")</f>
        <v>0</v>
      </c>
      <c r="N134" s="7">
        <v>0</v>
      </c>
      <c r="O134" s="8">
        <f>IFERROR(N134/N148, "NA")</f>
        <v>0</v>
      </c>
      <c r="P134" s="7">
        <v>0</v>
      </c>
      <c r="Q134" s="8">
        <f>IFERROR(P134/P148, "NA")</f>
        <v>0</v>
      </c>
      <c r="R134" s="7">
        <v>0</v>
      </c>
      <c r="S134" s="8">
        <f>IFERROR(R134/R148, "NA")</f>
        <v>0</v>
      </c>
      <c r="T134" s="7">
        <v>0</v>
      </c>
      <c r="U134" s="8">
        <f>IFERROR(T134/T148, "NA")</f>
        <v>0</v>
      </c>
      <c r="V134" s="7">
        <v>0</v>
      </c>
      <c r="W134" s="8">
        <f>IFERROR(V134/V148, "NA")</f>
        <v>0</v>
      </c>
      <c r="X134" s="7">
        <v>0</v>
      </c>
      <c r="Y134" s="8">
        <f>IFERROR(X134/X148, "NA")</f>
        <v>0</v>
      </c>
      <c r="Z134" s="7">
        <v>0</v>
      </c>
      <c r="AA134" s="8">
        <f>IFERROR(Z134/Z148, "NA")</f>
        <v>0</v>
      </c>
      <c r="AB134" s="9">
        <f t="shared" si="42"/>
        <v>0</v>
      </c>
      <c r="AC134" s="8">
        <f>IFERROR(AB134/AB148, "NA")</f>
        <v>0</v>
      </c>
      <c r="AD134" s="10">
        <f t="shared" si="43"/>
        <v>0</v>
      </c>
      <c r="AE134" s="11">
        <f>IFERROR(AD134/AD148, "NA")</f>
        <v>0</v>
      </c>
      <c r="AF134" s="10" t="str">
        <f t="shared" si="44"/>
        <v>NA</v>
      </c>
      <c r="AG134" s="9">
        <f t="shared" si="45"/>
        <v>0</v>
      </c>
      <c r="AH134" s="8">
        <f>IFERROR(AG134/AG148, "NA")</f>
        <v>0</v>
      </c>
      <c r="AI134" s="10">
        <f t="shared" si="46"/>
        <v>0</v>
      </c>
      <c r="AJ134" s="11">
        <f>IFERROR(AI134/AI148, "NA")</f>
        <v>0</v>
      </c>
      <c r="AK134" s="10" t="str">
        <f t="shared" si="47"/>
        <v>NA</v>
      </c>
      <c r="AL134" s="11" t="str">
        <f>IFERROR(AK134/AK148, "NA")</f>
        <v>NA</v>
      </c>
    </row>
    <row r="135" spans="1:38" ht="16.5" hidden="1" customHeight="1">
      <c r="A135" s="12" t="s">
        <v>140</v>
      </c>
      <c r="B135" s="13">
        <f>IFERROR(B110+B111+B112+B113+B114+B115+B116+B117+B118+B119+B120+B121+B122+B123+B124+B125+B126+B127+B128+B129+B130+B131+B132+B133+B134, "NA")</f>
        <v>268.79000000000002</v>
      </c>
      <c r="C135" s="14">
        <f>IFERROR(B135/B148, "NA")</f>
        <v>1.07999101581193E-2</v>
      </c>
      <c r="D135" s="13">
        <f>IFERROR(D110+D111+D112+D113+D114+D115+D116+D117+D118+D119+D120+D121+D122+D123+D124+D125+D126+D127+D128+D129+D130+D131+D132+D133+D134, "NA")</f>
        <v>287.24</v>
      </c>
      <c r="E135" s="14">
        <f>IFERROR(D135/D148, "NA")</f>
        <v>9.0785338692462303E-3</v>
      </c>
      <c r="F135" s="13">
        <f>IFERROR(F110+F111+F112+F113+F114+F115+F116+F117+F118+F119+F120+F121+F122+F123+F124+F125+F126+F127+F128+F129+F130+F131+F132+F133+F134, "NA")</f>
        <v>303.3</v>
      </c>
      <c r="G135" s="14">
        <f>IFERROR(F135/F148, "NA")</f>
        <v>1.0082880412650109E-2</v>
      </c>
      <c r="H135" s="13">
        <f>IFERROR(H110+H111+H112+H113+H114+H115+H116+H117+H118+H119+H120+H121+H122+H123+H124+H125+H126+H127+H128+H129+H130+H131+H132+H133+H134, "NA")</f>
        <v>-859.33</v>
      </c>
      <c r="I135" s="14">
        <f>IFERROR(H135/H148, "NA")</f>
        <v>-3.2188272910167029E-2</v>
      </c>
      <c r="J135" s="13">
        <f>IFERROR(J110+J111+J112+J113+J114+J115+J116+J117+J118+J119+J120+J121+J122+J123+J124+J125+J126+J127+J128+J129+J130+J131+J132+J133+J134, "NA")</f>
        <v>320.02000000000004</v>
      </c>
      <c r="K135" s="14">
        <f>IFERROR(J135/J148, "NA")</f>
        <v>1.4003983008979056E-2</v>
      </c>
      <c r="L135" s="13">
        <f>IFERROR(L110+L111+L112+L113+L114+L115+L116+L117+L118+L119+L120+L121+L122+L123+L124+L125+L126+L127+L128+L129+L130+L131+L132+L133+L134, "NA")</f>
        <v>322.18</v>
      </c>
      <c r="M135" s="14">
        <f>IFERROR(L135/L148, "NA")</f>
        <v>1.1950106137031197E-2</v>
      </c>
      <c r="N135" s="13">
        <f>IFERROR(N110+N111+N112+N113+N114+N115+N116+N117+N118+N119+N120+N121+N122+N123+N124+N125+N126+N127+N128+N129+N130+N131+N132+N133+N134, "NA")</f>
        <v>321.89</v>
      </c>
      <c r="O135" s="14">
        <f>IFERROR(N135/N148, "NA")</f>
        <v>1.3383370427362295E-2</v>
      </c>
      <c r="P135" s="13">
        <f>IFERROR(P110+P111+P112+P113+P114+P115+P116+P117+P118+P119+P120+P121+P122+P123+P124+P125+P126+P127+P128+P129+P130+P131+P132+P133+P134, "NA")</f>
        <v>-964.09</v>
      </c>
      <c r="Q135" s="14">
        <f>IFERROR(P135/P148, "NA")</f>
        <v>-3.8408827787547298E-2</v>
      </c>
      <c r="R135" s="13">
        <f>IFERROR(R110+R111+R112+R113+R114+R115+R116+R117+R118+R119+R120+R121+R122+R123+R124+R125+R126+R127+R128+R129+R130+R131+R132+R133+R134, "NA")</f>
        <v>406.12</v>
      </c>
      <c r="S135" s="14">
        <f>IFERROR(R135/R148, "NA")</f>
        <v>1.796836908690139E-2</v>
      </c>
      <c r="T135" s="13">
        <f>IFERROR(T110+T111+T112+T113+T114+T115+T116+T117+T118+T119+T120+T121+T122+T123+T124+T125+T126+T127+T128+T129+T130+T131+T132+T133+T134, "NA")</f>
        <v>442.16999999999996</v>
      </c>
      <c r="U135" s="14">
        <f>IFERROR(T135/T148, "NA")</f>
        <v>1.5833977609623354E-2</v>
      </c>
      <c r="V135" s="13">
        <f>IFERROR(V110+V111+V112+V113+V114+V115+V116+V117+V118+V119+V120+V121+V122+V123+V124+V125+V126+V127+V128+V129+V130+V131+V132+V133+V134, "NA")</f>
        <v>436.88</v>
      </c>
      <c r="W135" s="14">
        <f>IFERROR(V135/V148, "NA")</f>
        <v>1.579893318868095E-2</v>
      </c>
      <c r="X135" s="13">
        <f>IFERROR(X110+X111+X112+X113+X114+X115+X116+X117+X118+X119+X120+X121+X122+X123+X124+X125+X126+X127+X128+X129+X130+X131+X132+X133+X134, "NA")</f>
        <v>403.1</v>
      </c>
      <c r="Y135" s="14">
        <f>IFERROR(X135/X148, "NA")</f>
        <v>1.7202331596599139E-2</v>
      </c>
      <c r="Z135" s="13">
        <f>IFERROR(Z110+Z111+Z112+Z113+Z114+Z115+Z116+Z117+Z118+Z119+Z120+Z121+Z122+Z123+Z124+Z125+Z126+Z127+Z128+Z129+Z130+Z131+Z132+Z133+Z134, "NA")</f>
        <v>1688.27</v>
      </c>
      <c r="AA135" s="14">
        <f>IFERROR(Z135/Z148, "NA")</f>
        <v>1.6614753864428365E-2</v>
      </c>
      <c r="AB135" s="13">
        <f t="shared" si="42"/>
        <v>422.0675</v>
      </c>
      <c r="AC135" s="14">
        <f>IFERROR(AB135/AB148, "NA")</f>
        <v>1.6614753864428365E-2</v>
      </c>
      <c r="AD135" s="15">
        <f t="shared" si="43"/>
        <v>-18.967499999999973</v>
      </c>
      <c r="AE135" s="16">
        <f>IFERROR(AD135/AD148, "NA")</f>
        <v>9.6266821634213833E-3</v>
      </c>
      <c r="AF135" s="15">
        <f t="shared" si="44"/>
        <v>-4.4939494275204731E-2</v>
      </c>
      <c r="AG135" s="13">
        <f t="shared" si="45"/>
        <v>211.03375</v>
      </c>
      <c r="AH135" s="14">
        <f>IFERROR(AG135/AG148, "NA")</f>
        <v>8.4170487177944193E-3</v>
      </c>
      <c r="AI135" s="15">
        <f t="shared" si="46"/>
        <v>192.06625000000003</v>
      </c>
      <c r="AJ135" s="16">
        <f>IFERROR(AI135/AI148, "NA")</f>
        <v>-0.11716295054241613</v>
      </c>
      <c r="AK135" s="15">
        <f t="shared" si="47"/>
        <v>0.91012101144959057</v>
      </c>
      <c r="AL135" s="16">
        <f>IFERROR(AK135/AK148, "NA")</f>
        <v>-13.919718712655518</v>
      </c>
    </row>
    <row r="136" spans="1:38" ht="16.5" hidden="1" customHeight="1">
      <c r="A136" s="35" t="s">
        <v>3</v>
      </c>
      <c r="B136" s="36"/>
      <c r="C136" s="19"/>
      <c r="D136" s="36"/>
      <c r="E136" s="19"/>
      <c r="F136" s="36"/>
      <c r="G136" s="19"/>
      <c r="H136" s="36"/>
      <c r="I136" s="19"/>
      <c r="J136" s="36"/>
      <c r="K136" s="19"/>
      <c r="L136" s="36"/>
      <c r="M136" s="19"/>
      <c r="N136" s="36"/>
      <c r="O136" s="19"/>
      <c r="P136" s="36"/>
      <c r="Q136" s="19"/>
      <c r="R136" s="36"/>
      <c r="S136" s="19"/>
      <c r="T136" s="36"/>
      <c r="U136" s="19"/>
      <c r="V136" s="36"/>
      <c r="W136" s="19"/>
      <c r="X136" s="36"/>
      <c r="Y136" s="19"/>
      <c r="Z136" s="36"/>
      <c r="AA136" s="19"/>
      <c r="AB136" s="36"/>
      <c r="AC136" s="19"/>
      <c r="AD136" s="37"/>
      <c r="AE136" s="21"/>
      <c r="AF136" s="37"/>
      <c r="AG136" s="36"/>
      <c r="AH136" s="19"/>
      <c r="AI136" s="37"/>
      <c r="AJ136" s="21"/>
      <c r="AK136" s="37"/>
      <c r="AL136" s="21"/>
    </row>
    <row r="137" spans="1:38" ht="16.5" hidden="1" customHeight="1">
      <c r="A137" s="32" t="s">
        <v>141</v>
      </c>
      <c r="B137" s="33">
        <f>IFERROR(B107-B135, "NA")</f>
        <v>1931.0499999999988</v>
      </c>
      <c r="C137" s="34">
        <f>IFERROR(B137/B148, "NA")</f>
        <v>7.7589071434340046E-2</v>
      </c>
      <c r="D137" s="33">
        <f>IFERROR(D107-D135, "NA")</f>
        <v>7856.9900000000116</v>
      </c>
      <c r="E137" s="34">
        <f>IFERROR(D137/D148, "NA")</f>
        <v>0.2483287488696875</v>
      </c>
      <c r="F137" s="33">
        <f>IFERROR(F107-F135, "NA")</f>
        <v>869.85999999999171</v>
      </c>
      <c r="G137" s="34">
        <f>IFERROR(F137/F148, "NA")</f>
        <v>2.891755475023983E-2</v>
      </c>
      <c r="H137" s="33">
        <f>IFERROR(H107-H135, "NA")</f>
        <v>-14140.890000000007</v>
      </c>
      <c r="I137" s="34">
        <f>IFERROR(H137/H148, "NA")</f>
        <v>-0.52968106142302951</v>
      </c>
      <c r="J137" s="33">
        <f>IFERROR(J107-J135, "NA")</f>
        <v>2680.1599999999971</v>
      </c>
      <c r="K137" s="34">
        <f>IFERROR(J137/J148, "NA")</f>
        <v>0.11728302950236005</v>
      </c>
      <c r="L137" s="33">
        <f>IFERROR(L107-L135, "NA")</f>
        <v>8083.98</v>
      </c>
      <c r="M137" s="34">
        <f>IFERROR(L137/L148, "NA")</f>
        <v>0.29984610779575843</v>
      </c>
      <c r="N137" s="33">
        <f>IFERROR(N107-N135, "NA")</f>
        <v>-1627.8800000000024</v>
      </c>
      <c r="O137" s="34">
        <f>IFERROR(N137/N148, "NA")</f>
        <v>-6.768312482927262E-2</v>
      </c>
      <c r="P137" s="33">
        <f>IFERROR(P107-P135, "NA")</f>
        <v>-14879.800000000003</v>
      </c>
      <c r="Q137" s="34">
        <f>IFERROR(P137/P148, "NA")</f>
        <v>-0.59280324006383889</v>
      </c>
      <c r="R137" s="33">
        <f>IFERROR(R107-R135, "NA")</f>
        <v>4010.0200000000023</v>
      </c>
      <c r="S137" s="34">
        <f>IFERROR(R137/R148, "NA")</f>
        <v>0.17741928347743613</v>
      </c>
      <c r="T137" s="33">
        <f>IFERROR(T107-T135, "NA")</f>
        <v>8248.6799999999985</v>
      </c>
      <c r="U137" s="34">
        <f>IFERROR(T137/T148, "NA")</f>
        <v>0.29538280396442085</v>
      </c>
      <c r="V137" s="33">
        <f>IFERROR(V107-V135, "NA")</f>
        <v>7614.2299999999987</v>
      </c>
      <c r="W137" s="34">
        <f>IFERROR(V137/V148, "NA")</f>
        <v>0.27535412711328083</v>
      </c>
      <c r="X137" s="33">
        <f>IFERROR(X107-X135, "NA")</f>
        <v>1028.6699999999964</v>
      </c>
      <c r="Y137" s="34">
        <f>IFERROR(X137/X148, "NA")</f>
        <v>4.3898592020524867E-2</v>
      </c>
      <c r="Z137" s="33">
        <f>IFERROR(Z107-Z135, "NA")</f>
        <v>20901.599999999991</v>
      </c>
      <c r="AA137" s="34">
        <f>IFERROR(Z137/Z148, "NA")</f>
        <v>0.20569869711167985</v>
      </c>
      <c r="AB137" s="33">
        <f>IFERROR((R137+T137+V137+X137)/4, "NA")</f>
        <v>5225.3999999999996</v>
      </c>
      <c r="AC137" s="34">
        <f>IFERROR(AB137/AB148, "NA")</f>
        <v>0.20569869711167993</v>
      </c>
      <c r="AD137" s="15">
        <f>IFERROR(X137-AB137, "NA")</f>
        <v>-4196.7300000000032</v>
      </c>
      <c r="AE137" s="16">
        <f>IFERROR(AD137/AD148, "NA")</f>
        <v>2.1299900269247667</v>
      </c>
      <c r="AF137" s="15">
        <f>IFERROR((X137-AB137)/AB137, "NA")</f>
        <v>-0.80314042944080899</v>
      </c>
      <c r="AG137" s="33">
        <f>IFERROR((J137+L137+N137+P137+R137+T137+V137+X137)/8, "NA")</f>
        <v>1894.7574999999981</v>
      </c>
      <c r="AH137" s="34">
        <f>IFERROR(AG137/AG148, "NA")</f>
        <v>7.5572111976905804E-2</v>
      </c>
      <c r="AI137" s="15">
        <f>IFERROR(X137-AG137, "NA")</f>
        <v>-866.08750000000168</v>
      </c>
      <c r="AJ137" s="16">
        <f>IFERROR(AI137/AI148, "NA")</f>
        <v>0.52832481983641066</v>
      </c>
      <c r="AK137" s="15">
        <f>IFERROR((X137-AG137)/AG137, "NA")</f>
        <v>-0.45709675248679715</v>
      </c>
      <c r="AL137" s="16">
        <f>IFERROR(AK137/AK148, "NA")</f>
        <v>6.9910024480705566</v>
      </c>
    </row>
    <row r="138" spans="1:38" ht="3.75" hidden="1" customHeight="1">
      <c r="A138" s="35" t="s">
        <v>3</v>
      </c>
      <c r="B138" s="36"/>
      <c r="C138" s="19"/>
      <c r="D138" s="36"/>
      <c r="E138" s="19"/>
      <c r="F138" s="36"/>
      <c r="G138" s="19"/>
      <c r="H138" s="36"/>
      <c r="I138" s="19"/>
      <c r="J138" s="36"/>
      <c r="K138" s="19"/>
      <c r="L138" s="36"/>
      <c r="M138" s="19"/>
      <c r="N138" s="36"/>
      <c r="O138" s="19"/>
      <c r="P138" s="36"/>
      <c r="Q138" s="19"/>
      <c r="R138" s="36"/>
      <c r="S138" s="19"/>
      <c r="T138" s="36"/>
      <c r="U138" s="19"/>
      <c r="V138" s="36"/>
      <c r="W138" s="19"/>
      <c r="X138" s="36"/>
      <c r="Y138" s="19"/>
      <c r="Z138" s="36"/>
      <c r="AA138" s="19"/>
      <c r="AB138" s="36"/>
      <c r="AC138" s="19"/>
      <c r="AD138" s="37"/>
      <c r="AE138" s="21"/>
      <c r="AF138" s="37"/>
      <c r="AG138" s="36"/>
      <c r="AH138" s="19"/>
      <c r="AI138" s="37"/>
      <c r="AJ138" s="21"/>
      <c r="AK138" s="37"/>
      <c r="AL138" s="21"/>
    </row>
    <row r="139" spans="1:38" ht="16.5" hidden="1" customHeight="1">
      <c r="A139" s="1" t="s">
        <v>142</v>
      </c>
      <c r="B139" s="2"/>
      <c r="C139" s="3"/>
      <c r="D139" s="2"/>
      <c r="E139" s="3"/>
      <c r="F139" s="2"/>
      <c r="G139" s="3"/>
      <c r="H139" s="2"/>
      <c r="I139" s="3"/>
      <c r="J139" s="2"/>
      <c r="K139" s="3"/>
      <c r="L139" s="2"/>
      <c r="M139" s="3"/>
      <c r="N139" s="2"/>
      <c r="O139" s="3"/>
      <c r="P139" s="2"/>
      <c r="Q139" s="3"/>
      <c r="R139" s="2"/>
      <c r="S139" s="3"/>
      <c r="T139" s="2"/>
      <c r="U139" s="3"/>
      <c r="V139" s="2"/>
      <c r="W139" s="3"/>
      <c r="X139" s="2"/>
      <c r="Y139" s="3"/>
      <c r="Z139" s="2"/>
      <c r="AA139" s="3"/>
      <c r="AB139" s="2"/>
      <c r="AC139" s="3"/>
      <c r="AD139" s="4"/>
      <c r="AE139" s="5"/>
      <c r="AF139" s="4"/>
      <c r="AG139" s="2"/>
      <c r="AH139" s="3"/>
      <c r="AI139" s="4"/>
      <c r="AJ139" s="5"/>
      <c r="AK139" s="4"/>
      <c r="AL139" s="5"/>
    </row>
    <row r="140" spans="1:38" ht="16.5" hidden="1" customHeight="1">
      <c r="A140" s="6" t="s">
        <v>143</v>
      </c>
      <c r="B140" s="7">
        <v>0</v>
      </c>
      <c r="C140" s="8">
        <f>IFERROR(B140/B148, "NA")</f>
        <v>0</v>
      </c>
      <c r="D140" s="7">
        <v>0</v>
      </c>
      <c r="E140" s="8">
        <f>IFERROR(D140/D148, "NA")</f>
        <v>0</v>
      </c>
      <c r="F140" s="7">
        <v>0</v>
      </c>
      <c r="G140" s="8">
        <f>IFERROR(F140/F148, "NA")</f>
        <v>0</v>
      </c>
      <c r="H140" s="7">
        <v>10675.49</v>
      </c>
      <c r="I140" s="8">
        <f>IFERROR(H140/H148, "NA")</f>
        <v>0.39987616581494767</v>
      </c>
      <c r="J140" s="7">
        <v>0</v>
      </c>
      <c r="K140" s="8">
        <f>IFERROR(J140/J148, "NA")</f>
        <v>0</v>
      </c>
      <c r="L140" s="7">
        <v>0</v>
      </c>
      <c r="M140" s="8">
        <f>IFERROR(L140/L148, "NA")</f>
        <v>0</v>
      </c>
      <c r="N140" s="7">
        <v>0</v>
      </c>
      <c r="O140" s="8">
        <f>IFERROR(N140/N148, "NA")</f>
        <v>0</v>
      </c>
      <c r="P140" s="7">
        <v>10687.720000000001</v>
      </c>
      <c r="Q140" s="8">
        <f>IFERROR(P140/P148, "NA")</f>
        <v>0.42579302442876188</v>
      </c>
      <c r="R140" s="7">
        <v>0</v>
      </c>
      <c r="S140" s="8">
        <f>IFERROR(R140/R148, "NA")</f>
        <v>0</v>
      </c>
      <c r="T140" s="7">
        <v>0</v>
      </c>
      <c r="U140" s="8">
        <f>IFERROR(T140/T148, "NA")</f>
        <v>0</v>
      </c>
      <c r="V140" s="7">
        <v>0</v>
      </c>
      <c r="W140" s="8">
        <f>IFERROR(V140/V148, "NA")</f>
        <v>0</v>
      </c>
      <c r="X140" s="7">
        <v>-96.300000000000011</v>
      </c>
      <c r="Y140" s="8">
        <f>IFERROR(X140/X148, "NA")</f>
        <v>-4.1096118401203101E-3</v>
      </c>
      <c r="Z140" s="7">
        <v>-96.300000000000011</v>
      </c>
      <c r="AA140" s="8">
        <f>IFERROR(Z140/Z148, "NA")</f>
        <v>-9.4771618114664817E-4</v>
      </c>
      <c r="AB140" s="9">
        <f>IFERROR((R140+T140+V140+X140)/4, "NA")</f>
        <v>-24.075000000000003</v>
      </c>
      <c r="AC140" s="8">
        <f>IFERROR(AB140/AB148, "NA")</f>
        <v>-9.4771618114664817E-4</v>
      </c>
      <c r="AD140" s="10">
        <f>IFERROR(X140-AB140, "NA")</f>
        <v>-72.225000000000009</v>
      </c>
      <c r="AE140" s="11">
        <f>IFERROR(AD140/AD148, "NA")</f>
        <v>3.6656761262850168E-2</v>
      </c>
      <c r="AF140" s="10">
        <f>IFERROR((X140-AB140)/AB140, "NA")</f>
        <v>3</v>
      </c>
      <c r="AG140" s="9">
        <f>IFERROR((J140+L140+N140+P140+R140+T140+V140+X140)/8, "NA")</f>
        <v>1323.9275000000002</v>
      </c>
      <c r="AH140" s="8">
        <f>IFERROR(AG140/AG148, "NA")</f>
        <v>5.2804645068989083E-2</v>
      </c>
      <c r="AI140" s="10">
        <f>IFERROR(X140-AG140, "NA")</f>
        <v>-1420.2275000000002</v>
      </c>
      <c r="AJ140" s="11">
        <f>IFERROR(AI140/AI148, "NA")</f>
        <v>0.86635754247026375</v>
      </c>
      <c r="AK140" s="10">
        <f>IFERROR((X140-AG140)/AG140, "NA")</f>
        <v>-1.0727381219893082</v>
      </c>
      <c r="AL140" s="11">
        <f>IFERROR(AK140/AK148, "NA")</f>
        <v>16.406843400582858</v>
      </c>
    </row>
    <row r="141" spans="1:38" ht="16.5" hidden="1" customHeight="1">
      <c r="A141" s="12" t="s">
        <v>144</v>
      </c>
      <c r="B141" s="13">
        <f>IFERROR(B140, "NA")</f>
        <v>0</v>
      </c>
      <c r="C141" s="14">
        <f>IFERROR(B141/B148, "NA")</f>
        <v>0</v>
      </c>
      <c r="D141" s="13">
        <f>IFERROR(D140, "NA")</f>
        <v>0</v>
      </c>
      <c r="E141" s="14">
        <f>IFERROR(D141/D148, "NA")</f>
        <v>0</v>
      </c>
      <c r="F141" s="13">
        <f>IFERROR(F140, "NA")</f>
        <v>0</v>
      </c>
      <c r="G141" s="14">
        <f>IFERROR(F141/F148, "NA")</f>
        <v>0</v>
      </c>
      <c r="H141" s="13">
        <f>IFERROR(H140, "NA")</f>
        <v>10675.49</v>
      </c>
      <c r="I141" s="14">
        <f>IFERROR(H141/H148, "NA")</f>
        <v>0.39987616581494767</v>
      </c>
      <c r="J141" s="13">
        <f>IFERROR(J140, "NA")</f>
        <v>0</v>
      </c>
      <c r="K141" s="14">
        <f>IFERROR(J141/J148, "NA")</f>
        <v>0</v>
      </c>
      <c r="L141" s="13">
        <f>IFERROR(L140, "NA")</f>
        <v>0</v>
      </c>
      <c r="M141" s="14">
        <f>IFERROR(L141/L148, "NA")</f>
        <v>0</v>
      </c>
      <c r="N141" s="13">
        <f>IFERROR(N140, "NA")</f>
        <v>0</v>
      </c>
      <c r="O141" s="14">
        <f>IFERROR(N141/N148, "NA")</f>
        <v>0</v>
      </c>
      <c r="P141" s="13">
        <f>IFERROR(P140, "NA")</f>
        <v>10687.720000000001</v>
      </c>
      <c r="Q141" s="14">
        <f>IFERROR(P141/P148, "NA")</f>
        <v>0.42579302442876188</v>
      </c>
      <c r="R141" s="13">
        <f>IFERROR(R140, "NA")</f>
        <v>0</v>
      </c>
      <c r="S141" s="14">
        <f>IFERROR(R141/R148, "NA")</f>
        <v>0</v>
      </c>
      <c r="T141" s="13">
        <f>IFERROR(T140, "NA")</f>
        <v>0</v>
      </c>
      <c r="U141" s="14">
        <f>IFERROR(T141/T148, "NA")</f>
        <v>0</v>
      </c>
      <c r="V141" s="13">
        <f>IFERROR(V140, "NA")</f>
        <v>0</v>
      </c>
      <c r="W141" s="14">
        <f>IFERROR(V141/V148, "NA")</f>
        <v>0</v>
      </c>
      <c r="X141" s="13">
        <f>IFERROR(X140, "NA")</f>
        <v>-96.300000000000011</v>
      </c>
      <c r="Y141" s="14">
        <f>IFERROR(X141/X148, "NA")</f>
        <v>-4.1096118401203101E-3</v>
      </c>
      <c r="Z141" s="13">
        <f>IFERROR(Z140, "NA")</f>
        <v>-96.300000000000011</v>
      </c>
      <c r="AA141" s="14">
        <f>IFERROR(Z141/Z148, "NA")</f>
        <v>-9.4771618114664817E-4</v>
      </c>
      <c r="AB141" s="13">
        <f>IFERROR((R141+T141+V141+X141)/4, "NA")</f>
        <v>-24.075000000000003</v>
      </c>
      <c r="AC141" s="14">
        <f>IFERROR(AB141/AB148, "NA")</f>
        <v>-9.4771618114664817E-4</v>
      </c>
      <c r="AD141" s="15">
        <f>IFERROR(X141-AB141, "NA")</f>
        <v>-72.225000000000009</v>
      </c>
      <c r="AE141" s="16">
        <f>IFERROR(AD141/AD148, "NA")</f>
        <v>3.6656761262850168E-2</v>
      </c>
      <c r="AF141" s="15">
        <f>IFERROR((X141-AB141)/AB141, "NA")</f>
        <v>3</v>
      </c>
      <c r="AG141" s="13">
        <f>IFERROR((J141+L141+N141+P141+R141+T141+V141+X141)/8, "NA")</f>
        <v>1323.9275000000002</v>
      </c>
      <c r="AH141" s="14">
        <f>IFERROR(AG141/AG148, "NA")</f>
        <v>5.2804645068989083E-2</v>
      </c>
      <c r="AI141" s="15">
        <f>IFERROR(X141-AG141, "NA")</f>
        <v>-1420.2275000000002</v>
      </c>
      <c r="AJ141" s="16">
        <f>IFERROR(AI141/AI148, "NA")</f>
        <v>0.86635754247026375</v>
      </c>
      <c r="AK141" s="15">
        <f>IFERROR((X141-AG141)/AG141, "NA")</f>
        <v>-1.0727381219893082</v>
      </c>
      <c r="AL141" s="16">
        <f>IFERROR(AK141/AK148, "NA")</f>
        <v>16.406843400582858</v>
      </c>
    </row>
    <row r="142" spans="1:38" ht="3.75" hidden="1" customHeight="1">
      <c r="A142" s="35" t="s">
        <v>3</v>
      </c>
      <c r="B142" s="36"/>
      <c r="C142" s="19"/>
      <c r="D142" s="36"/>
      <c r="E142" s="19"/>
      <c r="F142" s="36"/>
      <c r="G142" s="19"/>
      <c r="H142" s="36"/>
      <c r="I142" s="19"/>
      <c r="J142" s="36"/>
      <c r="K142" s="19"/>
      <c r="L142" s="36"/>
      <c r="M142" s="19"/>
      <c r="N142" s="36"/>
      <c r="O142" s="19"/>
      <c r="P142" s="36"/>
      <c r="Q142" s="19"/>
      <c r="R142" s="36"/>
      <c r="S142" s="19"/>
      <c r="T142" s="36"/>
      <c r="U142" s="19"/>
      <c r="V142" s="36"/>
      <c r="W142" s="19"/>
      <c r="X142" s="36"/>
      <c r="Y142" s="19"/>
      <c r="Z142" s="36"/>
      <c r="AA142" s="19"/>
      <c r="AB142" s="36"/>
      <c r="AC142" s="19"/>
      <c r="AD142" s="37"/>
      <c r="AE142" s="21"/>
      <c r="AF142" s="37"/>
      <c r="AG142" s="36"/>
      <c r="AH142" s="19"/>
      <c r="AI142" s="37"/>
      <c r="AJ142" s="21"/>
      <c r="AK142" s="37"/>
      <c r="AL142" s="21"/>
    </row>
    <row r="143" spans="1:38" ht="16.5" hidden="1" customHeight="1">
      <c r="A143" s="1" t="s">
        <v>145</v>
      </c>
      <c r="B143" s="2"/>
      <c r="C143" s="3"/>
      <c r="D143" s="2"/>
      <c r="E143" s="3"/>
      <c r="F143" s="2"/>
      <c r="G143" s="3"/>
      <c r="H143" s="2"/>
      <c r="I143" s="3"/>
      <c r="J143" s="2"/>
      <c r="K143" s="3"/>
      <c r="L143" s="2"/>
      <c r="M143" s="3"/>
      <c r="N143" s="2"/>
      <c r="O143" s="3"/>
      <c r="P143" s="2"/>
      <c r="Q143" s="3"/>
      <c r="R143" s="2"/>
      <c r="S143" s="3"/>
      <c r="T143" s="2"/>
      <c r="U143" s="3"/>
      <c r="V143" s="2"/>
      <c r="W143" s="3"/>
      <c r="X143" s="2"/>
      <c r="Y143" s="3"/>
      <c r="Z143" s="2"/>
      <c r="AA143" s="3"/>
      <c r="AB143" s="2"/>
      <c r="AC143" s="3"/>
      <c r="AD143" s="4"/>
      <c r="AE143" s="5"/>
      <c r="AF143" s="4"/>
      <c r="AG143" s="2"/>
      <c r="AH143" s="3"/>
      <c r="AI143" s="4"/>
      <c r="AJ143" s="5"/>
      <c r="AK143" s="4"/>
      <c r="AL143" s="5"/>
    </row>
    <row r="144" spans="1:38" ht="16.5" hidden="1" customHeight="1">
      <c r="A144" s="6" t="s">
        <v>146</v>
      </c>
      <c r="B144" s="7">
        <v>0</v>
      </c>
      <c r="C144" s="8">
        <f>IFERROR(B144/B148, "NA")</f>
        <v>0</v>
      </c>
      <c r="D144" s="7">
        <v>0</v>
      </c>
      <c r="E144" s="8">
        <f>IFERROR(D144/D148, "NA")</f>
        <v>0</v>
      </c>
      <c r="F144" s="7">
        <v>0</v>
      </c>
      <c r="G144" s="8">
        <f>IFERROR(F144/F148, "NA")</f>
        <v>0</v>
      </c>
      <c r="H144" s="7">
        <v>0</v>
      </c>
      <c r="I144" s="8">
        <f>IFERROR(H144/H148, "NA")</f>
        <v>0</v>
      </c>
      <c r="J144" s="7">
        <v>0</v>
      </c>
      <c r="K144" s="8">
        <f>IFERROR(J144/J148, "NA")</f>
        <v>0</v>
      </c>
      <c r="L144" s="7">
        <v>0</v>
      </c>
      <c r="M144" s="8">
        <f>IFERROR(L144/L148, "NA")</f>
        <v>0</v>
      </c>
      <c r="N144" s="7">
        <v>0</v>
      </c>
      <c r="O144" s="8">
        <f>IFERROR(N144/N148, "NA")</f>
        <v>0</v>
      </c>
      <c r="P144" s="7">
        <v>0</v>
      </c>
      <c r="Q144" s="8">
        <f>IFERROR(P144/P148, "NA")</f>
        <v>0</v>
      </c>
      <c r="R144" s="7">
        <v>0</v>
      </c>
      <c r="S144" s="8">
        <f>IFERROR(R144/R148, "NA")</f>
        <v>0</v>
      </c>
      <c r="T144" s="7">
        <v>0</v>
      </c>
      <c r="U144" s="8">
        <f>IFERROR(T144/T148, "NA")</f>
        <v>0</v>
      </c>
      <c r="V144" s="7">
        <v>0</v>
      </c>
      <c r="W144" s="8">
        <f>IFERROR(V144/V148, "NA")</f>
        <v>0</v>
      </c>
      <c r="X144" s="7">
        <v>0</v>
      </c>
      <c r="Y144" s="8">
        <f>IFERROR(X144/X148, "NA")</f>
        <v>0</v>
      </c>
      <c r="Z144" s="7">
        <v>0</v>
      </c>
      <c r="AA144" s="8">
        <f>IFERROR(Z144/Z148, "NA")</f>
        <v>0</v>
      </c>
      <c r="AB144" s="9">
        <f>IFERROR((R144+T144+V144+X144)/4, "NA")</f>
        <v>0</v>
      </c>
      <c r="AC144" s="8">
        <f>IFERROR(AB144/AB148, "NA")</f>
        <v>0</v>
      </c>
      <c r="AD144" s="10">
        <f>IFERROR(X144-AB144, "NA")</f>
        <v>0</v>
      </c>
      <c r="AE144" s="11">
        <f>IFERROR(AD144/AD148, "NA")</f>
        <v>0</v>
      </c>
      <c r="AF144" s="10" t="str">
        <f>IFERROR((X144-AB144)/AB144, "NA")</f>
        <v>NA</v>
      </c>
      <c r="AG144" s="9">
        <f>IFERROR((J144+L144+N144+P144+R144+T144+V144+X144)/8, "NA")</f>
        <v>0</v>
      </c>
      <c r="AH144" s="8">
        <f>IFERROR(AG144/AG148, "NA")</f>
        <v>0</v>
      </c>
      <c r="AI144" s="10">
        <f>IFERROR(X144-AG144, "NA")</f>
        <v>0</v>
      </c>
      <c r="AJ144" s="11">
        <f>IFERROR(AI144/AI148, "NA")</f>
        <v>0</v>
      </c>
      <c r="AK144" s="10" t="str">
        <f>IFERROR((X144-AG144)/AG144, "NA")</f>
        <v>NA</v>
      </c>
      <c r="AL144" s="11" t="str">
        <f>IFERROR(AK144/AK148, "NA")</f>
        <v>NA</v>
      </c>
    </row>
    <row r="145" spans="1:38" ht="16.5" hidden="1" customHeight="1">
      <c r="A145" s="12" t="s">
        <v>147</v>
      </c>
      <c r="B145" s="13">
        <f>IFERROR(B144, "NA")</f>
        <v>0</v>
      </c>
      <c r="C145" s="14">
        <f>IFERROR(B145/B148, "NA")</f>
        <v>0</v>
      </c>
      <c r="D145" s="13">
        <f>IFERROR(D144, "NA")</f>
        <v>0</v>
      </c>
      <c r="E145" s="14">
        <f>IFERROR(D145/D148, "NA")</f>
        <v>0</v>
      </c>
      <c r="F145" s="13">
        <f>IFERROR(F144, "NA")</f>
        <v>0</v>
      </c>
      <c r="G145" s="14">
        <f>IFERROR(F145/F148, "NA")</f>
        <v>0</v>
      </c>
      <c r="H145" s="13">
        <f>IFERROR(H144, "NA")</f>
        <v>0</v>
      </c>
      <c r="I145" s="14">
        <f>IFERROR(H145/H148, "NA")</f>
        <v>0</v>
      </c>
      <c r="J145" s="13">
        <f>IFERROR(J144, "NA")</f>
        <v>0</v>
      </c>
      <c r="K145" s="14">
        <f>IFERROR(J145/J148, "NA")</f>
        <v>0</v>
      </c>
      <c r="L145" s="13">
        <f>IFERROR(L144, "NA")</f>
        <v>0</v>
      </c>
      <c r="M145" s="14">
        <f>IFERROR(L145/L148, "NA")</f>
        <v>0</v>
      </c>
      <c r="N145" s="13">
        <f>IFERROR(N144, "NA")</f>
        <v>0</v>
      </c>
      <c r="O145" s="14">
        <f>IFERROR(N145/N148, "NA")</f>
        <v>0</v>
      </c>
      <c r="P145" s="13">
        <f>IFERROR(P144, "NA")</f>
        <v>0</v>
      </c>
      <c r="Q145" s="14">
        <f>IFERROR(P145/P148, "NA")</f>
        <v>0</v>
      </c>
      <c r="R145" s="13">
        <f>IFERROR(R144, "NA")</f>
        <v>0</v>
      </c>
      <c r="S145" s="14">
        <f>IFERROR(R145/R148, "NA")</f>
        <v>0</v>
      </c>
      <c r="T145" s="13">
        <f>IFERROR(T144, "NA")</f>
        <v>0</v>
      </c>
      <c r="U145" s="14">
        <f>IFERROR(T145/T148, "NA")</f>
        <v>0</v>
      </c>
      <c r="V145" s="13">
        <f>IFERROR(V144, "NA")</f>
        <v>0</v>
      </c>
      <c r="W145" s="14">
        <f>IFERROR(V145/V148, "NA")</f>
        <v>0</v>
      </c>
      <c r="X145" s="13">
        <f>IFERROR(X144, "NA")</f>
        <v>0</v>
      </c>
      <c r="Y145" s="14">
        <f>IFERROR(X145/X148, "NA")</f>
        <v>0</v>
      </c>
      <c r="Z145" s="13">
        <f>IFERROR(Z144, "NA")</f>
        <v>0</v>
      </c>
      <c r="AA145" s="14">
        <f>IFERROR(Z145/Z148, "NA")</f>
        <v>0</v>
      </c>
      <c r="AB145" s="13">
        <f>IFERROR((R145+T145+V145+X145)/4, "NA")</f>
        <v>0</v>
      </c>
      <c r="AC145" s="14">
        <f>IFERROR(AB145/AB148, "NA")</f>
        <v>0</v>
      </c>
      <c r="AD145" s="15">
        <f>IFERROR(X145-AB145, "NA")</f>
        <v>0</v>
      </c>
      <c r="AE145" s="16">
        <f>IFERROR(AD145/AD148, "NA")</f>
        <v>0</v>
      </c>
      <c r="AF145" s="15" t="str">
        <f>IFERROR((X145-AB145)/AB145, "NA")</f>
        <v>NA</v>
      </c>
      <c r="AG145" s="13">
        <f>IFERROR((J145+L145+N145+P145+R145+T145+V145+X145)/8, "NA")</f>
        <v>0</v>
      </c>
      <c r="AH145" s="14">
        <f>IFERROR(AG145/AG148, "NA")</f>
        <v>0</v>
      </c>
      <c r="AI145" s="15">
        <f>IFERROR(X145-AG145, "NA")</f>
        <v>0</v>
      </c>
      <c r="AJ145" s="16">
        <f>IFERROR(AI145/AI148, "NA")</f>
        <v>0</v>
      </c>
      <c r="AK145" s="15" t="str">
        <f>IFERROR((X145-AG145)/AG145, "NA")</f>
        <v>NA</v>
      </c>
      <c r="AL145" s="16" t="str">
        <f>IFERROR(AK145/AK148, "NA")</f>
        <v>NA</v>
      </c>
    </row>
    <row r="146" spans="1:38" ht="3.75" hidden="1" customHeight="1">
      <c r="A146" s="35" t="s">
        <v>3</v>
      </c>
      <c r="B146" s="36"/>
      <c r="C146" s="19"/>
      <c r="D146" s="36"/>
      <c r="E146" s="19"/>
      <c r="F146" s="36"/>
      <c r="G146" s="19"/>
      <c r="H146" s="36"/>
      <c r="I146" s="19"/>
      <c r="J146" s="36"/>
      <c r="K146" s="19"/>
      <c r="L146" s="36"/>
      <c r="M146" s="19"/>
      <c r="N146" s="36"/>
      <c r="O146" s="19"/>
      <c r="P146" s="36"/>
      <c r="Q146" s="19"/>
      <c r="R146" s="36"/>
      <c r="S146" s="19"/>
      <c r="T146" s="36"/>
      <c r="U146" s="19"/>
      <c r="V146" s="36"/>
      <c r="W146" s="19"/>
      <c r="X146" s="36"/>
      <c r="Y146" s="19"/>
      <c r="Z146" s="36"/>
      <c r="AA146" s="19"/>
      <c r="AB146" s="36"/>
      <c r="AC146" s="19"/>
      <c r="AD146" s="37"/>
      <c r="AE146" s="21"/>
      <c r="AF146" s="37"/>
      <c r="AG146" s="36"/>
      <c r="AH146" s="19"/>
      <c r="AI146" s="37"/>
      <c r="AJ146" s="21"/>
      <c r="AK146" s="37"/>
      <c r="AL146" s="21"/>
    </row>
    <row r="147" spans="1:38" ht="16.5" hidden="1" customHeight="1">
      <c r="A147" s="32" t="s">
        <v>148</v>
      </c>
      <c r="B147" s="33">
        <f>IFERROR(B137-B141-B145, "NA")</f>
        <v>1931.0499999999988</v>
      </c>
      <c r="C147" s="34">
        <f>IFERROR(B147/B148, "NA")</f>
        <v>7.7589071434340046E-2</v>
      </c>
      <c r="D147" s="33">
        <f>IFERROR(D137-D141-D145, "NA")</f>
        <v>7856.9900000000116</v>
      </c>
      <c r="E147" s="34">
        <f>IFERROR(D147/D148, "NA")</f>
        <v>0.2483287488696875</v>
      </c>
      <c r="F147" s="33">
        <f>IFERROR(F137-F141-F145, "NA")</f>
        <v>869.85999999999171</v>
      </c>
      <c r="G147" s="34">
        <f>IFERROR(F147/F148, "NA")</f>
        <v>2.891755475023983E-2</v>
      </c>
      <c r="H147" s="33">
        <f>IFERROR(H137-H141-H145, "NA")</f>
        <v>-24816.380000000005</v>
      </c>
      <c r="I147" s="34">
        <f>IFERROR(H147/H148, "NA")</f>
        <v>-0.92955722723797718</v>
      </c>
      <c r="J147" s="33">
        <f>IFERROR(J137-J141-J145, "NA")</f>
        <v>2680.1599999999971</v>
      </c>
      <c r="K147" s="34">
        <f>IFERROR(J147/J148, "NA")</f>
        <v>0.11728302950236005</v>
      </c>
      <c r="L147" s="33">
        <f>IFERROR(L137-L141-L145, "NA")</f>
        <v>8083.98</v>
      </c>
      <c r="M147" s="34">
        <f>IFERROR(L147/L148, "NA")</f>
        <v>0.29984610779575843</v>
      </c>
      <c r="N147" s="33">
        <f>IFERROR(N137-N141-N145, "NA")</f>
        <v>-1627.8800000000024</v>
      </c>
      <c r="O147" s="34">
        <f>IFERROR(N147/N148, "NA")</f>
        <v>-6.768312482927262E-2</v>
      </c>
      <c r="P147" s="33">
        <f>IFERROR(P137-P141-P145, "NA")</f>
        <v>-25567.520000000004</v>
      </c>
      <c r="Q147" s="34">
        <f>IFERROR(P147/P148, "NA")</f>
        <v>-1.0185962644926008</v>
      </c>
      <c r="R147" s="33">
        <f>IFERROR(R137-R141-R145, "NA")</f>
        <v>4010.0200000000023</v>
      </c>
      <c r="S147" s="34">
        <f>IFERROR(R147/R148, "NA")</f>
        <v>0.17741928347743613</v>
      </c>
      <c r="T147" s="33">
        <f>IFERROR(T137-T141-T145, "NA")</f>
        <v>8248.6799999999985</v>
      </c>
      <c r="U147" s="34">
        <f>IFERROR(T147/T148, "NA")</f>
        <v>0.29538280396442085</v>
      </c>
      <c r="V147" s="33">
        <f>IFERROR(V137-V141-V145, "NA")</f>
        <v>7614.2299999999987</v>
      </c>
      <c r="W147" s="34">
        <f>IFERROR(V147/V148, "NA")</f>
        <v>0.27535412711328083</v>
      </c>
      <c r="X147" s="33">
        <f>IFERROR(X137-X141-X145, "NA")</f>
        <v>1124.9699999999964</v>
      </c>
      <c r="Y147" s="34">
        <f>IFERROR(X147/X148, "NA")</f>
        <v>4.8008203860645172E-2</v>
      </c>
      <c r="Z147" s="33">
        <f>IFERROR(Z137-Z141-Z145, "NA")</f>
        <v>20997.899999999991</v>
      </c>
      <c r="AA147" s="34">
        <f>IFERROR(Z147/Z148, "NA")</f>
        <v>0.20664641329282649</v>
      </c>
      <c r="AB147" s="33">
        <f>IFERROR((R147+T147+V147+X147)/4, "NA")</f>
        <v>5249.4749999999995</v>
      </c>
      <c r="AC147" s="34">
        <f>IFERROR(AB147/AB148, "NA")</f>
        <v>0.20664641329282657</v>
      </c>
      <c r="AD147" s="15">
        <f>IFERROR(X147-AB147, "NA")</f>
        <v>-4124.5050000000028</v>
      </c>
      <c r="AE147" s="16">
        <f>IFERROR(AD147/AD148, "NA")</f>
        <v>2.0933332656619164</v>
      </c>
      <c r="AF147" s="15">
        <f>IFERROR((X147-AB147)/AB147, "NA")</f>
        <v>-0.78569856985698627</v>
      </c>
      <c r="AG147" s="33">
        <f>IFERROR((J147+L147+N147+P147+R147+T147+V147+X147)/8, "NA")</f>
        <v>570.82999999999834</v>
      </c>
      <c r="AH147" s="34">
        <f>IFERROR(AG147/AG148, "NA")</f>
        <v>2.2767466907916742E-2</v>
      </c>
      <c r="AI147" s="15">
        <f>IFERROR(X147-AG147, "NA")</f>
        <v>554.13999999999805</v>
      </c>
      <c r="AJ147" s="16">
        <f>IFERROR(AI147/AI148, "NA")</f>
        <v>-0.33803272263385281</v>
      </c>
      <c r="AK147" s="15">
        <f>IFERROR((X147-AG147)/AG147, "NA")</f>
        <v>0.97076187306203188</v>
      </c>
      <c r="AL147" s="16">
        <f>IFERROR(AK147/AK148, "NA")</f>
        <v>-14.847181902186557</v>
      </c>
    </row>
    <row r="148" spans="1:38" ht="15.6" hidden="1">
      <c r="A148" s="40" t="s">
        <v>25</v>
      </c>
      <c r="B148" s="7">
        <v>24888.17</v>
      </c>
      <c r="C148" s="41"/>
      <c r="D148" s="7">
        <v>31639.47</v>
      </c>
      <c r="E148" s="41"/>
      <c r="F148" s="7">
        <v>30080.69</v>
      </c>
      <c r="G148" s="41"/>
      <c r="H148" s="7">
        <v>26696.99</v>
      </c>
      <c r="I148" s="41"/>
      <c r="J148" s="7">
        <v>22852.07</v>
      </c>
      <c r="K148" s="41"/>
      <c r="L148" s="7">
        <v>26960.43</v>
      </c>
      <c r="M148" s="41"/>
      <c r="N148" s="7">
        <v>24051.49</v>
      </c>
      <c r="O148" s="41"/>
      <c r="P148" s="7">
        <v>25100.74</v>
      </c>
      <c r="Q148" s="41"/>
      <c r="R148" s="7">
        <v>22601.94</v>
      </c>
      <c r="S148" s="41"/>
      <c r="T148" s="7">
        <v>27925.39</v>
      </c>
      <c r="U148" s="41"/>
      <c r="V148" s="7">
        <v>27652.5</v>
      </c>
      <c r="W148" s="41"/>
      <c r="X148" s="7">
        <v>23432.87</v>
      </c>
      <c r="Y148" s="41"/>
      <c r="Z148" s="7">
        <v>101612.7</v>
      </c>
      <c r="AA148" s="41"/>
      <c r="AB148" s="9">
        <f>IFERROR((R148+T148+V148+X148)/4, "NA")</f>
        <v>25403.174999999999</v>
      </c>
      <c r="AC148" s="41"/>
      <c r="AD148" s="10">
        <f>IFERROR(X148-AB148, "NA")</f>
        <v>-1970.3050000000003</v>
      </c>
      <c r="AE148" s="42"/>
      <c r="AF148" s="10">
        <f>IFERROR((X148-AB148)/AB148, "NA")</f>
        <v>-7.756136782114835E-2</v>
      </c>
      <c r="AG148" s="9">
        <f>IFERROR((J148+L148+N148+P148+R148+T148+V148+X148)/8, "NA")</f>
        <v>25072.178749999999</v>
      </c>
      <c r="AH148" s="41"/>
      <c r="AI148" s="10">
        <f>IFERROR(X148-AG148, "NA")</f>
        <v>-1639.3087500000001</v>
      </c>
      <c r="AJ148" s="42"/>
      <c r="AK148" s="10">
        <f>IFERROR((X148-AG148)/AG148, "NA")</f>
        <v>-6.5383577803345083E-2</v>
      </c>
      <c r="AL148" s="42"/>
    </row>
    <row r="151" spans="1:38" ht="15.6">
      <c r="A151" s="43" t="s">
        <v>149</v>
      </c>
    </row>
    <row r="152" spans="1:38" ht="15.6">
      <c r="A152" s="43" t="s">
        <v>150</v>
      </c>
    </row>
    <row r="153" spans="1:38" ht="15.6">
      <c r="A153" s="43" t="s">
        <v>151</v>
      </c>
    </row>
  </sheetData>
  <mergeCells count="23">
    <mergeCell ref="AI5:AJ5"/>
    <mergeCell ref="AK5:AL5"/>
    <mergeCell ref="Z5:AA5"/>
    <mergeCell ref="AB5:AC5"/>
    <mergeCell ref="AD5:AE5"/>
    <mergeCell ref="AF5"/>
    <mergeCell ref="AG5:AH5"/>
    <mergeCell ref="A1:AL1"/>
    <mergeCell ref="A2:AL2"/>
    <mergeCell ref="A3:AL3"/>
    <mergeCell ref="A5"/>
    <mergeCell ref="B5:C5"/>
    <mergeCell ref="D5:E5"/>
    <mergeCell ref="F5:G5"/>
    <mergeCell ref="H5:I5"/>
    <mergeCell ref="J5:K5"/>
    <mergeCell ref="L5:M5"/>
    <mergeCell ref="N5:O5"/>
    <mergeCell ref="P5:Q5"/>
    <mergeCell ref="R5:S5"/>
    <mergeCell ref="T5:U5"/>
    <mergeCell ref="V5:W5"/>
    <mergeCell ref="X5:Y5"/>
  </mergeCells>
  <pageMargins left="0.7" right="0.7" top="0.75" bottom="0.75" header="0.3" footer="0.3"/>
  <ignoredErrors>
    <ignoredError sqref="A1:AL15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E53D96DC4024A4A95DFF1F4317A3F47" ma:contentTypeVersion="17" ma:contentTypeDescription="Create a new document." ma:contentTypeScope="" ma:versionID="7364cda8c09630c521c1d8ecf260cce0">
  <xsd:schema xmlns:xsd="http://www.w3.org/2001/XMLSchema" xmlns:xs="http://www.w3.org/2001/XMLSchema" xmlns:p="http://schemas.microsoft.com/office/2006/metadata/properties" xmlns:ns2="17935857-c847-47b7-8f90-d10f9a0aecc2" xmlns:ns3="55d49837-3260-4e28-958d-ec2e4c4dc82f" targetNamespace="http://schemas.microsoft.com/office/2006/metadata/properties" ma:root="true" ma:fieldsID="73238ff5507af8cde15032bc34df08d4" ns2:_="" ns3:_="">
    <xsd:import namespace="17935857-c847-47b7-8f90-d10f9a0aecc2"/>
    <xsd:import namespace="55d49837-3260-4e28-958d-ec2e4c4dc8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935857-c847-47b7-8f90-d10f9a0aec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7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GenerationTime" ma:index="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d85e1212-5208-4a0e-bf80-af51f7f46b3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d49837-3260-4e28-958d-ec2e4c4dc82f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182fd8d8-9325-4dbb-86fe-91cf3d5280a1}" ma:internalName="TaxCatchAll" ma:showField="CatchAllData" ma:web="55d49837-3260-4e28-958d-ec2e4c4dc8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2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5d49837-3260-4e28-958d-ec2e4c4dc82f" xsi:nil="true"/>
    <lcf76f155ced4ddcb4097134ff3c332f xmlns="17935857-c847-47b7-8f90-d10f9a0aecc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D40E736-4DC8-495A-A965-04C9506C0BEC}"/>
</file>

<file path=customXml/itemProps2.xml><?xml version="1.0" encoding="utf-8"?>
<ds:datastoreItem xmlns:ds="http://schemas.openxmlformats.org/officeDocument/2006/customXml" ds:itemID="{A436715B-0F59-45C0-B8E1-E8715D6B6FB1}"/>
</file>

<file path=customXml/itemProps3.xml><?xml version="1.0" encoding="utf-8"?>
<ds:datastoreItem xmlns:ds="http://schemas.openxmlformats.org/officeDocument/2006/customXml" ds:itemID="{FE088943-8846-491A-863A-E8CE3A74017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Summary</vt:lpstr>
      <vt:lpstr>Consolidated</vt:lpstr>
      <vt:lpstr>4 - RASA - MVT</vt:lpstr>
      <vt:lpstr>5 - RASA - National Landin</vt:lpstr>
      <vt:lpstr>6 - RASA - Mosaic</vt:lpstr>
      <vt:lpstr>7 - RASA - Rockville</vt:lpstr>
      <vt:lpstr>'4 - RASA - MVT'!Print_Titles</vt:lpstr>
      <vt:lpstr>'5 - RASA - National Landin'!Print_Titles</vt:lpstr>
      <vt:lpstr>'6 - RASA - Mosaic'!Print_Titles</vt:lpstr>
      <vt:lpstr>'7 - RASA - Rockville'!Print_Titles</vt:lpstr>
      <vt:lpstr>Consolidated!Print_Titles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Jeremy Michl</cp:lastModifiedBy>
  <dcterms:created xsi:type="dcterms:W3CDTF">2026-09-28T15:50:25Z</dcterms:created>
  <dcterms:modified xsi:type="dcterms:W3CDTF">2026-09-28T15:54:21Z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0x0101005E53D96DC4024A4A95DFF1F4317A3F47</vt:lpwstr>
  </property>
</Properties>
</file>