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priver3651009033.sharepoint.com/sites/DT-Rasa/Shared Documents/General/Weekly Prime Cost Reports/2026/"/>
    </mc:Choice>
  </mc:AlternateContent>
  <xr:revisionPtr revIDLastSave="8" documentId="8_{4A33B363-2145-4B19-A352-55F8F3BBD517}" xr6:coauthVersionLast="47" xr6:coauthVersionMax="47" xr10:uidLastSave="{84123EF9-2930-4139-9DD0-BA806539B15A}"/>
  <bookViews>
    <workbookView xWindow="28680" yWindow="-120" windowWidth="29040" windowHeight="15720" xr2:uid="{00000000-000D-0000-FFFF-FFFF00000000}"/>
  </bookViews>
  <sheets>
    <sheet name="Summary" sheetId="6" r:id="rId1"/>
    <sheet name="Comparison by Store" sheetId="7" r:id="rId2"/>
    <sheet name="Consolidated" sheetId="1" r:id="rId3"/>
    <sheet name="4 - RASA - MVT" sheetId="2" r:id="rId4"/>
    <sheet name="5 - RASA - National Landin" sheetId="3" r:id="rId5"/>
    <sheet name="6 - RASA - Mosaic" sheetId="4" r:id="rId6"/>
    <sheet name="7 - RASA - Rockville" sheetId="5" r:id="rId7"/>
  </sheets>
  <definedNames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1">'Comparison by Store'!$1:$4</definedName>
    <definedName name="_xlnm.Print_Titles" localSheetId="2">Consolidated!$1:$5</definedName>
  </definedNam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C1" i="6" l="1"/>
  <c r="D1" i="6" s="1"/>
  <c r="E1" i="6" s="1"/>
  <c r="F1" i="6" s="1"/>
  <c r="B5" i="6"/>
  <c r="F25" i="7"/>
  <c r="B57" i="7"/>
  <c r="F62" i="7"/>
  <c r="H39" i="7"/>
  <c r="B62" i="7"/>
  <c r="H25" i="7"/>
  <c r="H14" i="7"/>
  <c r="H57" i="7"/>
  <c r="F11" i="7"/>
  <c r="D42" i="7"/>
  <c r="F41" i="7"/>
  <c r="D33" i="7"/>
  <c r="D12" i="7"/>
  <c r="H33" i="7"/>
  <c r="B23" i="7"/>
  <c r="H61" i="7"/>
  <c r="B9" i="7"/>
  <c r="B27" i="7"/>
  <c r="F63" i="7"/>
  <c r="H23" i="7"/>
  <c r="B55" i="7"/>
  <c r="D31" i="7"/>
  <c r="D27" i="7"/>
  <c r="B40" i="7"/>
  <c r="B64" i="7"/>
  <c r="D46" i="7"/>
  <c r="D59" i="7"/>
  <c r="H27" i="7"/>
  <c r="B6" i="7"/>
  <c r="F42" i="7"/>
  <c r="D38" i="7"/>
  <c r="F8" i="7"/>
  <c r="F10" i="7"/>
  <c r="H28" i="7"/>
  <c r="D26" i="7"/>
  <c r="B30" i="7"/>
  <c r="F61" i="7"/>
  <c r="H8" i="7"/>
  <c r="F30" i="7"/>
  <c r="D60" i="7"/>
  <c r="D6" i="7"/>
  <c r="H58" i="7"/>
  <c r="F28" i="7"/>
  <c r="F32" i="7"/>
  <c r="F59" i="7"/>
  <c r="B66" i="7"/>
  <c r="F27" i="7"/>
  <c r="D36" i="7"/>
  <c r="H47" i="7"/>
  <c r="D30" i="7"/>
  <c r="F16" i="7"/>
  <c r="B47" i="7"/>
  <c r="H9" i="7"/>
  <c r="B15" i="7"/>
  <c r="B32" i="7"/>
  <c r="F29" i="7"/>
  <c r="F9" i="7"/>
  <c r="B31" i="7"/>
  <c r="D24" i="7"/>
  <c r="D16" i="7"/>
  <c r="F7" i="7"/>
  <c r="D40" i="7"/>
  <c r="H12" i="7"/>
  <c r="D41" i="7"/>
  <c r="F33" i="7"/>
  <c r="B36" i="7"/>
  <c r="D47" i="7"/>
  <c r="D23" i="7"/>
  <c r="H15" i="7"/>
  <c r="F24" i="7"/>
  <c r="B25" i="7"/>
  <c r="F47" i="7"/>
  <c r="B54" i="7"/>
  <c r="D14" i="7"/>
  <c r="H55" i="7"/>
  <c r="H30" i="7"/>
  <c r="H49" i="7"/>
  <c r="D39" i="7"/>
  <c r="H50" i="7"/>
  <c r="F36" i="7"/>
  <c r="B37" i="7"/>
  <c r="D10" i="7"/>
  <c r="F50" i="7"/>
  <c r="H29" i="7"/>
  <c r="D22" i="7"/>
  <c r="B34" i="7"/>
  <c r="D28" i="7"/>
  <c r="B49" i="7"/>
  <c r="H63" i="7"/>
  <c r="F22" i="7"/>
  <c r="F60" i="7"/>
  <c r="D32" i="7"/>
  <c r="D13" i="7"/>
  <c r="B61" i="7"/>
  <c r="B50" i="7"/>
  <c r="B38" i="7"/>
  <c r="H62" i="7"/>
  <c r="D8" i="7"/>
  <c r="B53" i="7"/>
  <c r="F34" i="7"/>
  <c r="F39" i="7"/>
  <c r="B51" i="7"/>
  <c r="F51" i="7"/>
  <c r="B28" i="7"/>
  <c r="B41" i="7"/>
  <c r="D64" i="7"/>
  <c r="H56" i="7"/>
  <c r="H64" i="7"/>
  <c r="H26" i="7"/>
  <c r="H42" i="7"/>
  <c r="F38" i="7"/>
  <c r="H40" i="7"/>
  <c r="B63" i="7"/>
  <c r="F40" i="7"/>
  <c r="D58" i="7"/>
  <c r="D37" i="7"/>
  <c r="D49" i="7"/>
  <c r="F26" i="7"/>
  <c r="B22" i="7"/>
  <c r="H22" i="7"/>
  <c r="D51" i="7"/>
  <c r="D57" i="7"/>
  <c r="F14" i="7"/>
  <c r="F31" i="7"/>
  <c r="F56" i="7"/>
  <c r="F55" i="7"/>
  <c r="B56" i="7"/>
  <c r="B8" i="7"/>
  <c r="H60" i="7"/>
  <c r="B46" i="7"/>
  <c r="B42" i="7"/>
  <c r="F53" i="7"/>
  <c r="B7" i="7"/>
  <c r="H54" i="7"/>
  <c r="F37" i="7"/>
  <c r="B11" i="7"/>
  <c r="H37" i="7"/>
  <c r="B59" i="7"/>
  <c r="D48" i="7"/>
  <c r="B26" i="7"/>
  <c r="H34" i="7"/>
  <c r="B58" i="7"/>
  <c r="H24" i="7"/>
  <c r="D25" i="7"/>
  <c r="B60" i="7"/>
  <c r="B33" i="7"/>
  <c r="D55" i="7"/>
  <c r="H46" i="7"/>
  <c r="F6" i="7"/>
  <c r="D54" i="7"/>
  <c r="H31" i="7"/>
  <c r="H16" i="7"/>
  <c r="B10" i="7"/>
  <c r="F13" i="7"/>
  <c r="H53" i="7"/>
  <c r="H51" i="7"/>
  <c r="H59" i="7"/>
  <c r="H32" i="7"/>
  <c r="H48" i="7"/>
  <c r="H36" i="7"/>
  <c r="H13" i="7"/>
  <c r="F58" i="7"/>
  <c r="F57" i="7"/>
  <c r="D11" i="7"/>
  <c r="F23" i="7"/>
  <c r="H10" i="7"/>
  <c r="D56" i="7"/>
  <c r="B48" i="7"/>
  <c r="B14" i="7"/>
  <c r="B29" i="7"/>
  <c r="F46" i="7"/>
  <c r="B13" i="7"/>
  <c r="D7" i="7"/>
  <c r="D61" i="7"/>
  <c r="H11" i="7"/>
  <c r="D50" i="7"/>
  <c r="F49" i="7"/>
  <c r="B39" i="7"/>
  <c r="D63" i="7"/>
  <c r="D62" i="7"/>
  <c r="B16" i="7"/>
  <c r="B12" i="7"/>
  <c r="F15" i="7"/>
  <c r="F12" i="7"/>
  <c r="D34" i="7"/>
  <c r="D53" i="7"/>
  <c r="H41" i="7"/>
  <c r="D15" i="7"/>
  <c r="F64" i="7"/>
  <c r="H38" i="7"/>
  <c r="B24" i="7"/>
  <c r="H6" i="7"/>
  <c r="F54" i="7"/>
  <c r="D29" i="7"/>
  <c r="F48" i="7"/>
  <c r="D66" i="7"/>
  <c r="H7" i="7"/>
  <c r="D9" i="7"/>
  <c r="B91" i="7"/>
  <c r="F87" i="7"/>
  <c r="D79" i="7"/>
  <c r="H72" i="7"/>
  <c r="B78" i="7"/>
  <c r="B75" i="7"/>
  <c r="F85" i="7"/>
  <c r="D74" i="7"/>
  <c r="F77" i="7"/>
  <c r="H78" i="7"/>
  <c r="F82" i="7"/>
  <c r="F90" i="7"/>
  <c r="D72" i="7"/>
  <c r="D77" i="7"/>
  <c r="B89" i="7"/>
  <c r="F83" i="7"/>
  <c r="D88" i="7"/>
  <c r="D87" i="7"/>
  <c r="F91" i="7"/>
  <c r="B90" i="7"/>
  <c r="B84" i="7"/>
  <c r="H91" i="7"/>
  <c r="B72" i="7"/>
  <c r="B79" i="7"/>
  <c r="F76" i="7"/>
  <c r="H83" i="7"/>
  <c r="B88" i="7"/>
  <c r="H89" i="7"/>
  <c r="D90" i="7"/>
  <c r="F73" i="7"/>
  <c r="H86" i="7"/>
  <c r="H90" i="7"/>
  <c r="B82" i="7"/>
  <c r="B76" i="7"/>
  <c r="B94" i="7"/>
  <c r="D75" i="7"/>
  <c r="H74" i="7"/>
  <c r="H87" i="7"/>
  <c r="F72" i="7"/>
  <c r="B86" i="7"/>
  <c r="B85" i="7"/>
  <c r="F81" i="7"/>
  <c r="D83" i="7"/>
  <c r="F86" i="7"/>
  <c r="B73" i="7"/>
  <c r="B74" i="7"/>
  <c r="D86" i="7"/>
  <c r="H76" i="7"/>
  <c r="H77" i="7"/>
  <c r="F78" i="7"/>
  <c r="D73" i="7"/>
  <c r="H88" i="7"/>
  <c r="D89" i="7"/>
  <c r="F92" i="7"/>
  <c r="B77" i="7"/>
  <c r="B81" i="7"/>
  <c r="D84" i="7"/>
  <c r="D78" i="7"/>
  <c r="F79" i="7"/>
  <c r="D81" i="7"/>
  <c r="B87" i="7"/>
  <c r="H85" i="7"/>
  <c r="B92" i="7"/>
  <c r="H73" i="7"/>
  <c r="D82" i="7"/>
  <c r="F74" i="7"/>
  <c r="H84" i="7"/>
  <c r="F88" i="7"/>
  <c r="H92" i="7"/>
  <c r="H82" i="7"/>
  <c r="D92" i="7"/>
  <c r="D85" i="7"/>
  <c r="F84" i="7"/>
  <c r="D76" i="7"/>
  <c r="F75" i="7"/>
  <c r="H81" i="7"/>
  <c r="F66" i="7"/>
  <c r="F89" i="7"/>
  <c r="H66" i="7"/>
  <c r="B83" i="7"/>
  <c r="H75" i="7"/>
  <c r="D91" i="7"/>
  <c r="H79" i="7"/>
  <c r="D94" i="7"/>
  <c r="D5" i="6" a="1"/>
  <c r="F94" i="7"/>
  <c r="H94" i="7"/>
  <c r="I94" i="7" l="1"/>
  <c r="J94" i="7"/>
  <c r="G94" i="7"/>
  <c r="E94" i="7"/>
  <c r="I79" i="7"/>
  <c r="J79" i="7"/>
  <c r="E91" i="7"/>
  <c r="I75" i="7"/>
  <c r="J75" i="7"/>
  <c r="C83" i="7"/>
  <c r="I66" i="7"/>
  <c r="J66" i="7"/>
  <c r="G89" i="7"/>
  <c r="G66" i="7"/>
  <c r="J81" i="7"/>
  <c r="I81" i="7"/>
  <c r="G75" i="7"/>
  <c r="E76" i="7"/>
  <c r="G84" i="7"/>
  <c r="E85" i="7"/>
  <c r="E92" i="7"/>
  <c r="I82" i="7"/>
  <c r="J82" i="7"/>
  <c r="J92" i="7"/>
  <c r="I92" i="7"/>
  <c r="G88" i="7"/>
  <c r="I84" i="7"/>
  <c r="J84" i="7"/>
  <c r="G74" i="7"/>
  <c r="E82" i="7"/>
  <c r="J73" i="7"/>
  <c r="I73" i="7"/>
  <c r="C92" i="7"/>
  <c r="I85" i="7"/>
  <c r="J85" i="7"/>
  <c r="C87" i="7"/>
  <c r="E81" i="7"/>
  <c r="G79" i="7"/>
  <c r="E78" i="7"/>
  <c r="E84" i="7"/>
  <c r="C81" i="7"/>
  <c r="C77" i="7"/>
  <c r="G92" i="7"/>
  <c r="E89" i="7"/>
  <c r="I88" i="7"/>
  <c r="J88" i="7"/>
  <c r="E73" i="7"/>
  <c r="G78" i="7"/>
  <c r="J77" i="7"/>
  <c r="I77" i="7"/>
  <c r="I76" i="7"/>
  <c r="J76" i="7"/>
  <c r="E86" i="7"/>
  <c r="C74" i="7"/>
  <c r="C73" i="7"/>
  <c r="G86" i="7"/>
  <c r="E83" i="7"/>
  <c r="G81" i="7"/>
  <c r="C85" i="7"/>
  <c r="C86" i="7"/>
  <c r="G72" i="7"/>
  <c r="I87" i="7"/>
  <c r="J87" i="7"/>
  <c r="I74" i="7"/>
  <c r="J74" i="7"/>
  <c r="E75" i="7"/>
  <c r="C94" i="7"/>
  <c r="C76" i="7"/>
  <c r="C82" i="7"/>
  <c r="I90" i="7"/>
  <c r="J90" i="7"/>
  <c r="I86" i="7"/>
  <c r="J86" i="7"/>
  <c r="G73" i="7"/>
  <c r="E90" i="7"/>
  <c r="J89" i="7"/>
  <c r="I89" i="7"/>
  <c r="C88" i="7"/>
  <c r="J83" i="7"/>
  <c r="I83" i="7"/>
  <c r="G76" i="7"/>
  <c r="C79" i="7"/>
  <c r="C72" i="7"/>
  <c r="J91" i="7"/>
  <c r="I91" i="7"/>
  <c r="C84" i="7"/>
  <c r="C90" i="7"/>
  <c r="G91" i="7"/>
  <c r="E87" i="7"/>
  <c r="E88" i="7"/>
  <c r="G83" i="7"/>
  <c r="C89" i="7"/>
  <c r="E77" i="7"/>
  <c r="E72" i="7"/>
  <c r="G90" i="7"/>
  <c r="G82" i="7"/>
  <c r="I78" i="7"/>
  <c r="G77" i="7"/>
  <c r="E74" i="7"/>
  <c r="G85" i="7"/>
  <c r="C75" i="7"/>
  <c r="C78" i="7"/>
  <c r="I72" i="7"/>
  <c r="E79" i="7"/>
  <c r="G87" i="7"/>
  <c r="C91" i="7"/>
  <c r="E9" i="7"/>
  <c r="J7" i="7"/>
  <c r="I7" i="7"/>
  <c r="E66" i="7"/>
  <c r="G48" i="7"/>
  <c r="E29" i="7"/>
  <c r="G54" i="7"/>
  <c r="J6" i="7"/>
  <c r="I6" i="7"/>
  <c r="J38" i="7"/>
  <c r="I38" i="7"/>
  <c r="G64" i="7"/>
  <c r="E15" i="7"/>
  <c r="J41" i="7"/>
  <c r="I41" i="7"/>
  <c r="E53" i="7"/>
  <c r="E34" i="7"/>
  <c r="G12" i="7"/>
  <c r="G15" i="7"/>
  <c r="C12" i="7"/>
  <c r="E62" i="7"/>
  <c r="E63" i="7"/>
  <c r="C39" i="7"/>
  <c r="G49" i="7"/>
  <c r="E50" i="7"/>
  <c r="J11" i="7"/>
  <c r="I11" i="7"/>
  <c r="E61" i="7"/>
  <c r="E7" i="7"/>
  <c r="C13" i="7"/>
  <c r="G46" i="7"/>
  <c r="C29" i="7"/>
  <c r="C14" i="7"/>
  <c r="C48" i="7"/>
  <c r="E56" i="7"/>
  <c r="I10" i="7"/>
  <c r="J10" i="7"/>
  <c r="G23" i="7"/>
  <c r="E11" i="7"/>
  <c r="G57" i="7"/>
  <c r="G58" i="7"/>
  <c r="I13" i="7"/>
  <c r="J13" i="7"/>
  <c r="I36" i="7"/>
  <c r="J48" i="7"/>
  <c r="I48" i="7"/>
  <c r="I32" i="7"/>
  <c r="J32" i="7"/>
  <c r="I59" i="7"/>
  <c r="J59" i="7"/>
  <c r="I51" i="7"/>
  <c r="J51" i="7"/>
  <c r="I53" i="7"/>
  <c r="G13" i="7"/>
  <c r="C10" i="7"/>
  <c r="J16" i="7"/>
  <c r="I16" i="7"/>
  <c r="J31" i="7"/>
  <c r="I31" i="7"/>
  <c r="E54" i="7"/>
  <c r="G6" i="7"/>
  <c r="I46" i="7"/>
  <c r="E55" i="7"/>
  <c r="C33" i="7"/>
  <c r="C60" i="7"/>
  <c r="E25" i="7"/>
  <c r="I24" i="7"/>
  <c r="J24" i="7"/>
  <c r="C58" i="7"/>
  <c r="J34" i="7"/>
  <c r="I34" i="7"/>
  <c r="C26" i="7"/>
  <c r="E48" i="7"/>
  <c r="C59" i="7"/>
  <c r="I37" i="7"/>
  <c r="J37" i="7"/>
  <c r="C11" i="7"/>
  <c r="G37" i="7"/>
  <c r="I54" i="7"/>
  <c r="J54" i="7"/>
  <c r="C7" i="7"/>
  <c r="G53" i="7"/>
  <c r="C42" i="7"/>
  <c r="C46" i="7"/>
  <c r="I60" i="7"/>
  <c r="J60" i="7"/>
  <c r="C8" i="7"/>
  <c r="C56" i="7"/>
  <c r="G55" i="7"/>
  <c r="G56" i="7"/>
  <c r="G31" i="7"/>
  <c r="G14" i="7"/>
  <c r="E57" i="7"/>
  <c r="E51" i="7"/>
  <c r="I22" i="7"/>
  <c r="C22" i="7"/>
  <c r="G26" i="7"/>
  <c r="E49" i="7"/>
  <c r="E37" i="7"/>
  <c r="E58" i="7"/>
  <c r="G40" i="7"/>
  <c r="C63" i="7"/>
  <c r="I40" i="7"/>
  <c r="J40" i="7"/>
  <c r="G38" i="7"/>
  <c r="I42" i="7"/>
  <c r="J42" i="7"/>
  <c r="J26" i="7"/>
  <c r="I26" i="7"/>
  <c r="I64" i="7"/>
  <c r="J64" i="7"/>
  <c r="J56" i="7"/>
  <c r="I56" i="7"/>
  <c r="E64" i="7"/>
  <c r="C41" i="7"/>
  <c r="G51" i="7"/>
  <c r="C51" i="7"/>
  <c r="G39" i="7"/>
  <c r="G34" i="7"/>
  <c r="C53" i="7"/>
  <c r="E8" i="7"/>
  <c r="I62" i="7"/>
  <c r="J62" i="7"/>
  <c r="C38" i="7"/>
  <c r="C50" i="7"/>
  <c r="C61" i="7"/>
  <c r="E13" i="7"/>
  <c r="E32" i="7"/>
  <c r="G60" i="7"/>
  <c r="G22" i="7"/>
  <c r="J63" i="7"/>
  <c r="I63" i="7"/>
  <c r="C49" i="7"/>
  <c r="E28" i="7"/>
  <c r="C34" i="7"/>
  <c r="E22" i="7"/>
  <c r="I29" i="7"/>
  <c r="J29" i="7"/>
  <c r="G50" i="7"/>
  <c r="E10" i="7"/>
  <c r="C37" i="7"/>
  <c r="G36" i="7"/>
  <c r="I50" i="7"/>
  <c r="J50" i="7"/>
  <c r="E39" i="7"/>
  <c r="J49" i="7"/>
  <c r="I49" i="7"/>
  <c r="J30" i="7"/>
  <c r="I30" i="7"/>
  <c r="I55" i="7"/>
  <c r="J55" i="7"/>
  <c r="E14" i="7"/>
  <c r="C54" i="7"/>
  <c r="G47" i="7"/>
  <c r="C25" i="7"/>
  <c r="G24" i="7"/>
  <c r="I15" i="7"/>
  <c r="J15" i="7"/>
  <c r="E23" i="7"/>
  <c r="E47" i="7"/>
  <c r="C36" i="7"/>
  <c r="G33" i="7"/>
  <c r="E41" i="7"/>
  <c r="I12" i="7"/>
  <c r="J12" i="7"/>
  <c r="E40" i="7"/>
  <c r="G7" i="7"/>
  <c r="E16" i="7"/>
  <c r="E24" i="7"/>
  <c r="C31" i="7"/>
  <c r="G9" i="7"/>
  <c r="G29" i="7"/>
  <c r="C32" i="7"/>
  <c r="I9" i="7"/>
  <c r="J9" i="7"/>
  <c r="C47" i="7"/>
  <c r="G16" i="7"/>
  <c r="E30" i="7"/>
  <c r="J47" i="7"/>
  <c r="I47" i="7"/>
  <c r="E36" i="7"/>
  <c r="G27" i="7"/>
  <c r="C66" i="7"/>
  <c r="G59" i="7"/>
  <c r="G32" i="7"/>
  <c r="G28" i="7"/>
  <c r="I58" i="7"/>
  <c r="J58" i="7"/>
  <c r="E6" i="7"/>
  <c r="E60" i="7"/>
  <c r="G30" i="7"/>
  <c r="I8" i="7"/>
  <c r="J8" i="7"/>
  <c r="G61" i="7"/>
  <c r="C30" i="7"/>
  <c r="E26" i="7"/>
  <c r="J28" i="7"/>
  <c r="I28" i="7"/>
  <c r="G10" i="7"/>
  <c r="G8" i="7"/>
  <c r="E38" i="7"/>
  <c r="G42" i="7"/>
  <c r="C6" i="7"/>
  <c r="I27" i="7"/>
  <c r="J27" i="7"/>
  <c r="E59" i="7"/>
  <c r="E46" i="7"/>
  <c r="C64" i="7"/>
  <c r="C40" i="7"/>
  <c r="E27" i="7"/>
  <c r="E31" i="7"/>
  <c r="C55" i="7"/>
  <c r="J23" i="7"/>
  <c r="I23" i="7"/>
  <c r="G63" i="7"/>
  <c r="C9" i="7"/>
  <c r="I61" i="7"/>
  <c r="J61" i="7"/>
  <c r="I33" i="7"/>
  <c r="J33" i="7"/>
  <c r="E12" i="7"/>
  <c r="E33" i="7"/>
  <c r="G41" i="7"/>
  <c r="E42" i="7"/>
  <c r="G11" i="7"/>
  <c r="J57" i="7"/>
  <c r="I57" i="7"/>
  <c r="J14" i="7"/>
  <c r="I14" i="7"/>
  <c r="I25" i="7"/>
  <c r="J25" i="7"/>
  <c r="C62" i="7"/>
  <c r="I39" i="7"/>
  <c r="J39" i="7"/>
  <c r="G62" i="7"/>
  <c r="C57" i="7"/>
  <c r="G25" i="7"/>
  <c r="D5" i="6"/>
  <c r="AM5" i="6"/>
  <c r="AN5" i="6" s="1"/>
  <c r="AO5" i="6"/>
  <c r="B6" i="6"/>
  <c r="AM6" i="6"/>
  <c r="AN6" i="6" s="1"/>
  <c r="AO6" i="6"/>
  <c r="B7" i="6"/>
  <c r="AM7" i="6"/>
  <c r="AN7" i="6" s="1"/>
  <c r="AO7" i="6"/>
  <c r="B8" i="6"/>
  <c r="AM8" i="6"/>
  <c r="AN8" i="6" s="1"/>
  <c r="AO8" i="6"/>
  <c r="AM9" i="6"/>
  <c r="AN9" i="6"/>
  <c r="AO9" i="6"/>
  <c r="AM10" i="6"/>
  <c r="AN10" i="6"/>
  <c r="AO10" i="6"/>
  <c r="AM11" i="6"/>
  <c r="AN11" i="6"/>
  <c r="AO11" i="6"/>
  <c r="AM12" i="6"/>
  <c r="AN12" i="6"/>
  <c r="AO12" i="6"/>
  <c r="AM13" i="6"/>
  <c r="AN13" i="6"/>
  <c r="AO13" i="6"/>
  <c r="AM14" i="6"/>
  <c r="AN14" i="6"/>
  <c r="AO14" i="6"/>
  <c r="AM15" i="6"/>
  <c r="AN15" i="6"/>
  <c r="AO15" i="6"/>
  <c r="AM16" i="6"/>
  <c r="AN16" i="6"/>
  <c r="AO16" i="6"/>
  <c r="AM17" i="6"/>
  <c r="AN17" i="6"/>
  <c r="AO17" i="6"/>
  <c r="AM18" i="6"/>
  <c r="AN18" i="6" s="1"/>
  <c r="AO18" i="6"/>
  <c r="AM19" i="6"/>
  <c r="AN19" i="6"/>
  <c r="AO19" i="6"/>
  <c r="AM20" i="6"/>
  <c r="AN20" i="6"/>
  <c r="AO20" i="6"/>
  <c r="AM21" i="6"/>
  <c r="AN21" i="6" s="1"/>
  <c r="AO21" i="6"/>
  <c r="AM22" i="6"/>
  <c r="AN22" i="6"/>
  <c r="AO22" i="6"/>
  <c r="AM23" i="6"/>
  <c r="AN23" i="6"/>
  <c r="AO23" i="6"/>
  <c r="AM24" i="6"/>
  <c r="AN24" i="6" s="1"/>
  <c r="AO24" i="6"/>
  <c r="AM25" i="6"/>
  <c r="AN25" i="6"/>
  <c r="AO25" i="6"/>
  <c r="AM26" i="6"/>
  <c r="AN26" i="6"/>
  <c r="AO26" i="6"/>
  <c r="AM27" i="6"/>
  <c r="AN27" i="6"/>
  <c r="AO27" i="6"/>
  <c r="AM28" i="6"/>
  <c r="AN28" i="6"/>
  <c r="AO28" i="6"/>
  <c r="AM29" i="6"/>
  <c r="AN29" i="6"/>
  <c r="AO29" i="6"/>
  <c r="AM30" i="6"/>
  <c r="AN30" i="6"/>
  <c r="AO30" i="6"/>
  <c r="AM31" i="6"/>
  <c r="AN31" i="6"/>
  <c r="AO31" i="6"/>
  <c r="AM32" i="6"/>
  <c r="AN32" i="6"/>
  <c r="AO32" i="6"/>
  <c r="AM33" i="6"/>
  <c r="AN33" i="6"/>
  <c r="AO33" i="6"/>
  <c r="AM34" i="6"/>
  <c r="AN34" i="6" s="1"/>
  <c r="AO34" i="6"/>
  <c r="AM35" i="6"/>
  <c r="AN35" i="6"/>
  <c r="AO35" i="6"/>
  <c r="AM36" i="6"/>
  <c r="AN36" i="6"/>
  <c r="AO36" i="6"/>
  <c r="AM37" i="6"/>
  <c r="AN37" i="6" s="1"/>
  <c r="AO37" i="6"/>
  <c r="AM38" i="6"/>
  <c r="AN38" i="6"/>
  <c r="AO38" i="6"/>
  <c r="AM39" i="6"/>
  <c r="AN39" i="6"/>
  <c r="AO39" i="6"/>
  <c r="AM40" i="6"/>
  <c r="AN40" i="6" s="1"/>
  <c r="AO40" i="6"/>
  <c r="AM41" i="6"/>
  <c r="AN41" i="6"/>
  <c r="AO41" i="6"/>
  <c r="AM42" i="6"/>
  <c r="AN42" i="6"/>
  <c r="AO42" i="6"/>
  <c r="AM43" i="6"/>
  <c r="AN43" i="6"/>
  <c r="AO43" i="6"/>
  <c r="AM44" i="6"/>
  <c r="AN44" i="6"/>
  <c r="AO44" i="6"/>
  <c r="AM45" i="6"/>
  <c r="AN45" i="6"/>
  <c r="AO45" i="6"/>
  <c r="AM46" i="6"/>
  <c r="AN46" i="6"/>
  <c r="AO46" i="6"/>
  <c r="AM47" i="6"/>
  <c r="AN47" i="6"/>
  <c r="AO47" i="6"/>
  <c r="AM48" i="6"/>
  <c r="AN48" i="6"/>
  <c r="AO48" i="6"/>
  <c r="AM49" i="6"/>
  <c r="AN49" i="6"/>
  <c r="AO49" i="6"/>
  <c r="AM50" i="6"/>
  <c r="AN50" i="6" s="1"/>
  <c r="AO50" i="6"/>
  <c r="AM51" i="6"/>
  <c r="AN51" i="6"/>
  <c r="AO51" i="6"/>
  <c r="AG148" i="5"/>
  <c r="AK148" i="5" s="1"/>
  <c r="AB148" i="5"/>
  <c r="AC133" i="5" s="1"/>
  <c r="AA145" i="5"/>
  <c r="Z145" i="5"/>
  <c r="Y145" i="5"/>
  <c r="X145" i="5"/>
  <c r="V145" i="5"/>
  <c r="W145" i="5" s="1"/>
  <c r="T145" i="5"/>
  <c r="U145" i="5" s="1"/>
  <c r="R145" i="5"/>
  <c r="P145" i="5"/>
  <c r="Q145" i="5" s="1"/>
  <c r="N145" i="5"/>
  <c r="O145" i="5" s="1"/>
  <c r="L145" i="5"/>
  <c r="M145" i="5" s="1"/>
  <c r="K145" i="5"/>
  <c r="J145" i="5"/>
  <c r="I145" i="5"/>
  <c r="H145" i="5"/>
  <c r="F145" i="5"/>
  <c r="G145" i="5" s="1"/>
  <c r="E145" i="5"/>
  <c r="D145" i="5"/>
  <c r="C145" i="5"/>
  <c r="B145" i="5"/>
  <c r="AG144" i="5"/>
  <c r="AK144" i="5" s="1"/>
  <c r="AL144" i="5" s="1"/>
  <c r="AF144" i="5"/>
  <c r="AD144" i="5"/>
  <c r="AC144" i="5"/>
  <c r="AB144" i="5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I141" i="5"/>
  <c r="AA141" i="5"/>
  <c r="Z141" i="5"/>
  <c r="X141" i="5"/>
  <c r="V141" i="5"/>
  <c r="W141" i="5" s="1"/>
  <c r="U141" i="5"/>
  <c r="T141" i="5"/>
  <c r="S141" i="5"/>
  <c r="R141" i="5"/>
  <c r="AB141" i="5" s="1"/>
  <c r="AC141" i="5" s="1"/>
  <c r="Q141" i="5"/>
  <c r="P141" i="5"/>
  <c r="AG141" i="5" s="1"/>
  <c r="AH141" i="5" s="1"/>
  <c r="O141" i="5"/>
  <c r="N141" i="5"/>
  <c r="L141" i="5"/>
  <c r="M141" i="5" s="1"/>
  <c r="K141" i="5"/>
  <c r="J141" i="5"/>
  <c r="H141" i="5"/>
  <c r="I141" i="5" s="1"/>
  <c r="F141" i="5"/>
  <c r="G141" i="5" s="1"/>
  <c r="E141" i="5"/>
  <c r="D141" i="5"/>
  <c r="B141" i="5"/>
  <c r="C141" i="5" s="1"/>
  <c r="AK140" i="5"/>
  <c r="AL140" i="5" s="1"/>
  <c r="AG140" i="5"/>
  <c r="AI140" i="5" s="1"/>
  <c r="AF140" i="5"/>
  <c r="AD140" i="5"/>
  <c r="AC140" i="5"/>
  <c r="AB140" i="5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Z135" i="5"/>
  <c r="AA135" i="5" s="1"/>
  <c r="X135" i="5"/>
  <c r="W135" i="5"/>
  <c r="V135" i="5"/>
  <c r="T135" i="5"/>
  <c r="U135" i="5" s="1"/>
  <c r="R135" i="5"/>
  <c r="Q135" i="5"/>
  <c r="P135" i="5"/>
  <c r="N135" i="5"/>
  <c r="O135" i="5" s="1"/>
  <c r="M135" i="5"/>
  <c r="L135" i="5"/>
  <c r="J135" i="5"/>
  <c r="K135" i="5" s="1"/>
  <c r="H135" i="5"/>
  <c r="I135" i="5" s="1"/>
  <c r="G135" i="5"/>
  <c r="F135" i="5"/>
  <c r="D135" i="5"/>
  <c r="E135" i="5" s="1"/>
  <c r="C135" i="5"/>
  <c r="B135" i="5"/>
  <c r="AL134" i="5"/>
  <c r="AH134" i="5"/>
  <c r="AG134" i="5"/>
  <c r="AK134" i="5" s="1"/>
  <c r="AC134" i="5"/>
  <c r="AB134" i="5"/>
  <c r="AF134" i="5" s="1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H133" i="5"/>
  <c r="AG133" i="5"/>
  <c r="AF133" i="5"/>
  <c r="AD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L132" i="5"/>
  <c r="AH132" i="5"/>
  <c r="AG132" i="5"/>
  <c r="AK132" i="5" s="1"/>
  <c r="AC132" i="5"/>
  <c r="AB132" i="5"/>
  <c r="AF132" i="5" s="1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I131" i="5" s="1"/>
  <c r="AF131" i="5"/>
  <c r="AD131" i="5"/>
  <c r="AB131" i="5"/>
  <c r="AC131" i="5" s="1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H130" i="5"/>
  <c r="AG130" i="5"/>
  <c r="AK130" i="5" s="1"/>
  <c r="AL130" i="5" s="1"/>
  <c r="AC130" i="5"/>
  <c r="AB130" i="5"/>
  <c r="AF130" i="5" s="1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H129" i="5"/>
  <c r="AG129" i="5"/>
  <c r="AI129" i="5" s="1"/>
  <c r="AF129" i="5"/>
  <c r="AD129" i="5"/>
  <c r="AB129" i="5"/>
  <c r="AC129" i="5" s="1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H128" i="5"/>
  <c r="AG128" i="5"/>
  <c r="AK128" i="5" s="1"/>
  <c r="AL128" i="5" s="1"/>
  <c r="AC128" i="5"/>
  <c r="AB128" i="5"/>
  <c r="AF128" i="5" s="1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H127" i="5"/>
  <c r="AG127" i="5"/>
  <c r="AI127" i="5" s="1"/>
  <c r="AF127" i="5"/>
  <c r="AD127" i="5"/>
  <c r="AB127" i="5"/>
  <c r="AC127" i="5" s="1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H126" i="5"/>
  <c r="AG126" i="5"/>
  <c r="AK126" i="5" s="1"/>
  <c r="AL126" i="5" s="1"/>
  <c r="AC126" i="5"/>
  <c r="AB126" i="5"/>
  <c r="AF126" i="5" s="1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H125" i="5"/>
  <c r="AG125" i="5"/>
  <c r="AI125" i="5" s="1"/>
  <c r="AF125" i="5"/>
  <c r="AD125" i="5"/>
  <c r="AB125" i="5"/>
  <c r="AC125" i="5" s="1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H124" i="5"/>
  <c r="AG124" i="5"/>
  <c r="AK124" i="5" s="1"/>
  <c r="AL124" i="5" s="1"/>
  <c r="AC124" i="5"/>
  <c r="AB124" i="5"/>
  <c r="AF124" i="5" s="1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K123" i="5"/>
  <c r="AL123" i="5" s="1"/>
  <c r="AH123" i="5"/>
  <c r="AG123" i="5"/>
  <c r="AI123" i="5" s="1"/>
  <c r="AF123" i="5"/>
  <c r="AD123" i="5"/>
  <c r="AB123" i="5"/>
  <c r="AC123" i="5" s="1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I122" i="5"/>
  <c r="AH122" i="5"/>
  <c r="AG122" i="5"/>
  <c r="AK122" i="5" s="1"/>
  <c r="AL122" i="5" s="1"/>
  <c r="AC122" i="5"/>
  <c r="AB122" i="5"/>
  <c r="AF122" i="5" s="1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F121" i="5"/>
  <c r="AD121" i="5"/>
  <c r="AB121" i="5"/>
  <c r="AC121" i="5" s="1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I120" i="5"/>
  <c r="AH120" i="5"/>
  <c r="AG120" i="5"/>
  <c r="AK120" i="5" s="1"/>
  <c r="AL120" i="5" s="1"/>
  <c r="AC120" i="5"/>
  <c r="AB120" i="5"/>
  <c r="AF120" i="5" s="1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K119" i="5"/>
  <c r="AL119" i="5" s="1"/>
  <c r="AH119" i="5"/>
  <c r="AG119" i="5"/>
  <c r="AI119" i="5" s="1"/>
  <c r="AF119" i="5"/>
  <c r="AD119" i="5"/>
  <c r="AB119" i="5"/>
  <c r="AC119" i="5" s="1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H118" i="5"/>
  <c r="AG118" i="5"/>
  <c r="AK118" i="5" s="1"/>
  <c r="AL118" i="5" s="1"/>
  <c r="AC118" i="5"/>
  <c r="AB118" i="5"/>
  <c r="AF118" i="5" s="1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K117" i="5"/>
  <c r="AL117" i="5" s="1"/>
  <c r="AG117" i="5"/>
  <c r="AI117" i="5" s="1"/>
  <c r="AF117" i="5"/>
  <c r="AD117" i="5"/>
  <c r="AB117" i="5"/>
  <c r="AC117" i="5" s="1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L116" i="5"/>
  <c r="AH116" i="5"/>
  <c r="AG116" i="5"/>
  <c r="AK116" i="5" s="1"/>
  <c r="AC116" i="5"/>
  <c r="AB116" i="5"/>
  <c r="AF116" i="5" s="1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K115" i="5"/>
  <c r="AL115" i="5" s="1"/>
  <c r="AG115" i="5"/>
  <c r="AI115" i="5" s="1"/>
  <c r="AF115" i="5"/>
  <c r="AD115" i="5"/>
  <c r="AB115" i="5"/>
  <c r="AC115" i="5" s="1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H114" i="5"/>
  <c r="AG114" i="5"/>
  <c r="AK114" i="5" s="1"/>
  <c r="AL114" i="5" s="1"/>
  <c r="AC114" i="5"/>
  <c r="AB114" i="5"/>
  <c r="AF114" i="5" s="1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I113" i="5" s="1"/>
  <c r="AF113" i="5"/>
  <c r="AD113" i="5"/>
  <c r="AB113" i="5"/>
  <c r="AC113" i="5" s="1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H112" i="5"/>
  <c r="AG112" i="5"/>
  <c r="AK112" i="5" s="1"/>
  <c r="AL112" i="5" s="1"/>
  <c r="AC112" i="5"/>
  <c r="AB112" i="5"/>
  <c r="AF112" i="5" s="1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F111" i="5"/>
  <c r="AD111" i="5"/>
  <c r="AB111" i="5"/>
  <c r="AC111" i="5" s="1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L110" i="5"/>
  <c r="AH110" i="5"/>
  <c r="AG110" i="5"/>
  <c r="AK110" i="5" s="1"/>
  <c r="AC110" i="5"/>
  <c r="AB110" i="5"/>
  <c r="AF110" i="5" s="1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Z105" i="5"/>
  <c r="AA105" i="5" s="1"/>
  <c r="Y105" i="5"/>
  <c r="X105" i="5"/>
  <c r="W105" i="5"/>
  <c r="V105" i="5"/>
  <c r="T105" i="5"/>
  <c r="S105" i="5"/>
  <c r="R105" i="5"/>
  <c r="P105" i="5"/>
  <c r="Q105" i="5" s="1"/>
  <c r="O105" i="5"/>
  <c r="N105" i="5"/>
  <c r="L105" i="5"/>
  <c r="M105" i="5" s="1"/>
  <c r="J105" i="5"/>
  <c r="I105" i="5"/>
  <c r="H105" i="5"/>
  <c r="F105" i="5"/>
  <c r="G105" i="5" s="1"/>
  <c r="E105" i="5"/>
  <c r="D105" i="5"/>
  <c r="C105" i="5"/>
  <c r="B105" i="5"/>
  <c r="AG104" i="5"/>
  <c r="AB104" i="5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AA99" i="5"/>
  <c r="Z99" i="5"/>
  <c r="X99" i="5"/>
  <c r="W99" i="5"/>
  <c r="V99" i="5"/>
  <c r="AB99" i="5" s="1"/>
  <c r="AC99" i="5" s="1"/>
  <c r="U99" i="5"/>
  <c r="T99" i="5"/>
  <c r="R99" i="5"/>
  <c r="S99" i="5" s="1"/>
  <c r="Q99" i="5"/>
  <c r="P99" i="5"/>
  <c r="N99" i="5"/>
  <c r="O99" i="5" s="1"/>
  <c r="L99" i="5"/>
  <c r="M99" i="5" s="1"/>
  <c r="K99" i="5"/>
  <c r="J99" i="5"/>
  <c r="H99" i="5"/>
  <c r="I99" i="5" s="1"/>
  <c r="F99" i="5"/>
  <c r="G99" i="5" s="1"/>
  <c r="E99" i="5"/>
  <c r="D99" i="5"/>
  <c r="B99" i="5"/>
  <c r="C99" i="5" s="1"/>
  <c r="AG98" i="5"/>
  <c r="AD98" i="5"/>
  <c r="AC98" i="5"/>
  <c r="AB98" i="5"/>
  <c r="AF98" i="5" s="1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L97" i="5"/>
  <c r="AK97" i="5"/>
  <c r="AI97" i="5"/>
  <c r="AH97" i="5"/>
  <c r="AG97" i="5"/>
  <c r="AF97" i="5"/>
  <c r="AD97" i="5"/>
  <c r="AC97" i="5"/>
  <c r="AB97" i="5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G96" i="5"/>
  <c r="AC96" i="5"/>
  <c r="AB96" i="5"/>
  <c r="AF96" i="5" s="1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K95" i="5"/>
  <c r="AL95" i="5" s="1"/>
  <c r="AI95" i="5"/>
  <c r="AH95" i="5"/>
  <c r="AG95" i="5"/>
  <c r="AF95" i="5"/>
  <c r="AD95" i="5"/>
  <c r="AC95" i="5"/>
  <c r="AB95" i="5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I94" i="5"/>
  <c r="AG94" i="5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K93" i="5"/>
  <c r="AL93" i="5" s="1"/>
  <c r="AI93" i="5"/>
  <c r="AH93" i="5"/>
  <c r="AG93" i="5"/>
  <c r="AD93" i="5"/>
  <c r="AB93" i="5"/>
  <c r="AF93" i="5" s="1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G92" i="5"/>
  <c r="AB92" i="5"/>
  <c r="AF92" i="5" s="1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K91" i="5"/>
  <c r="AL91" i="5" s="1"/>
  <c r="AI91" i="5"/>
  <c r="AH91" i="5"/>
  <c r="AG91" i="5"/>
  <c r="AD91" i="5"/>
  <c r="AB91" i="5"/>
  <c r="AF91" i="5" s="1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G90" i="5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B87" i="5"/>
  <c r="Z85" i="5"/>
  <c r="AA85" i="5" s="1"/>
  <c r="X85" i="5"/>
  <c r="W85" i="5"/>
  <c r="V85" i="5"/>
  <c r="T85" i="5"/>
  <c r="U85" i="5" s="1"/>
  <c r="S85" i="5"/>
  <c r="R85" i="5"/>
  <c r="P85" i="5"/>
  <c r="Q85" i="5" s="1"/>
  <c r="N85" i="5"/>
  <c r="O85" i="5" s="1"/>
  <c r="M85" i="5"/>
  <c r="L85" i="5"/>
  <c r="K85" i="5"/>
  <c r="J85" i="5"/>
  <c r="H85" i="5"/>
  <c r="I85" i="5" s="1"/>
  <c r="G85" i="5"/>
  <c r="F85" i="5"/>
  <c r="D85" i="5"/>
  <c r="E85" i="5" s="1"/>
  <c r="C85" i="5"/>
  <c r="B85" i="5"/>
  <c r="AD84" i="5"/>
  <c r="AC84" i="5"/>
  <c r="AB84" i="5"/>
  <c r="AF84" i="5" s="1"/>
  <c r="Z84" i="5"/>
  <c r="AA84" i="5" s="1"/>
  <c r="X84" i="5"/>
  <c r="Y84" i="5" s="1"/>
  <c r="W84" i="5"/>
  <c r="V84" i="5"/>
  <c r="U84" i="5"/>
  <c r="T84" i="5"/>
  <c r="R84" i="5"/>
  <c r="S84" i="5" s="1"/>
  <c r="P84" i="5"/>
  <c r="Q84" i="5" s="1"/>
  <c r="O84" i="5"/>
  <c r="N84" i="5"/>
  <c r="L84" i="5"/>
  <c r="J84" i="5"/>
  <c r="K84" i="5" s="1"/>
  <c r="H84" i="5"/>
  <c r="I84" i="5" s="1"/>
  <c r="F84" i="5"/>
  <c r="G84" i="5" s="1"/>
  <c r="E84" i="5"/>
  <c r="D84" i="5"/>
  <c r="B84" i="5"/>
  <c r="C84" i="5" s="1"/>
  <c r="AG83" i="5"/>
  <c r="AC83" i="5"/>
  <c r="AB83" i="5"/>
  <c r="AF83" i="5" s="1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K82" i="5"/>
  <c r="AL82" i="5" s="1"/>
  <c r="AH82" i="5"/>
  <c r="AG82" i="5"/>
  <c r="AI82" i="5" s="1"/>
  <c r="AD82" i="5"/>
  <c r="AC82" i="5"/>
  <c r="AB82" i="5"/>
  <c r="AF82" i="5" s="1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Z81" i="5"/>
  <c r="AA81" i="5" s="1"/>
  <c r="X81" i="5"/>
  <c r="W81" i="5"/>
  <c r="V81" i="5"/>
  <c r="T81" i="5"/>
  <c r="U81" i="5" s="1"/>
  <c r="S81" i="5"/>
  <c r="R81" i="5"/>
  <c r="Q81" i="5"/>
  <c r="P81" i="5"/>
  <c r="O81" i="5"/>
  <c r="N81" i="5"/>
  <c r="M81" i="5"/>
  <c r="L81" i="5"/>
  <c r="J81" i="5"/>
  <c r="K81" i="5" s="1"/>
  <c r="H81" i="5"/>
  <c r="I81" i="5" s="1"/>
  <c r="G81" i="5"/>
  <c r="F81" i="5"/>
  <c r="E81" i="5"/>
  <c r="D81" i="5"/>
  <c r="B81" i="5"/>
  <c r="C81" i="5" s="1"/>
  <c r="AL80" i="5"/>
  <c r="AH80" i="5"/>
  <c r="AG80" i="5"/>
  <c r="AK80" i="5" s="1"/>
  <c r="AC80" i="5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K79" i="5"/>
  <c r="AL79" i="5" s="1"/>
  <c r="AI79" i="5"/>
  <c r="AH79" i="5"/>
  <c r="AG79" i="5"/>
  <c r="AF79" i="5"/>
  <c r="AD79" i="5"/>
  <c r="AB79" i="5"/>
  <c r="AC79" i="5" s="1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H78" i="5"/>
  <c r="AG78" i="5"/>
  <c r="AK78" i="5" s="1"/>
  <c r="AL78" i="5" s="1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H77" i="5"/>
  <c r="AG77" i="5"/>
  <c r="AK77" i="5" s="1"/>
  <c r="AL77" i="5" s="1"/>
  <c r="AF77" i="5"/>
  <c r="AD77" i="5"/>
  <c r="AB77" i="5"/>
  <c r="AC77" i="5" s="1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H76" i="5"/>
  <c r="AG76" i="5"/>
  <c r="AK76" i="5" s="1"/>
  <c r="AL76" i="5" s="1"/>
  <c r="AC76" i="5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K75" i="5"/>
  <c r="AL75" i="5" s="1"/>
  <c r="AG75" i="5"/>
  <c r="AI75" i="5" s="1"/>
  <c r="AF75" i="5"/>
  <c r="AD75" i="5"/>
  <c r="AB75" i="5"/>
  <c r="AC75" i="5" s="1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H74" i="5"/>
  <c r="AG74" i="5"/>
  <c r="AK74" i="5" s="1"/>
  <c r="AL74" i="5" s="1"/>
  <c r="AC74" i="5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I72" i="5"/>
  <c r="AG72" i="5"/>
  <c r="AK72" i="5" s="1"/>
  <c r="AL72" i="5" s="1"/>
  <c r="AF72" i="5"/>
  <c r="AD72" i="5"/>
  <c r="AB72" i="5"/>
  <c r="AC72" i="5" s="1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H71" i="5"/>
  <c r="AG71" i="5"/>
  <c r="AK71" i="5" s="1"/>
  <c r="AL71" i="5" s="1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Z70" i="5"/>
  <c r="AA70" i="5" s="1"/>
  <c r="X70" i="5"/>
  <c r="Y70" i="5" s="1"/>
  <c r="W70" i="5"/>
  <c r="V70" i="5"/>
  <c r="U70" i="5"/>
  <c r="T70" i="5"/>
  <c r="R70" i="5"/>
  <c r="P70" i="5"/>
  <c r="Q70" i="5" s="1"/>
  <c r="N70" i="5"/>
  <c r="O70" i="5" s="1"/>
  <c r="L70" i="5"/>
  <c r="M70" i="5" s="1"/>
  <c r="J70" i="5"/>
  <c r="K70" i="5" s="1"/>
  <c r="H70" i="5"/>
  <c r="I70" i="5" s="1"/>
  <c r="G70" i="5"/>
  <c r="F70" i="5"/>
  <c r="E70" i="5"/>
  <c r="D70" i="5"/>
  <c r="B70" i="5"/>
  <c r="C70" i="5" s="1"/>
  <c r="AK69" i="5"/>
  <c r="AL69" i="5" s="1"/>
  <c r="AI69" i="5"/>
  <c r="AG69" i="5"/>
  <c r="AH69" i="5" s="1"/>
  <c r="AB69" i="5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K67" i="5"/>
  <c r="AL67" i="5" s="1"/>
  <c r="AI67" i="5"/>
  <c r="AG67" i="5"/>
  <c r="AH67" i="5" s="1"/>
  <c r="AB67" i="5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F66" i="5"/>
  <c r="AD66" i="5"/>
  <c r="AC66" i="5"/>
  <c r="AB66" i="5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L65" i="5"/>
  <c r="AK65" i="5"/>
  <c r="AI65" i="5"/>
  <c r="AG65" i="5"/>
  <c r="AH65" i="5" s="1"/>
  <c r="AB65" i="5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F63" i="5"/>
  <c r="AD63" i="5"/>
  <c r="AC63" i="5"/>
  <c r="AB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Y59" i="5"/>
  <c r="J59" i="5"/>
  <c r="F59" i="5"/>
  <c r="C59" i="5"/>
  <c r="Z57" i="5"/>
  <c r="AA57" i="5" s="1"/>
  <c r="Y57" i="5"/>
  <c r="X57" i="5"/>
  <c r="V57" i="5"/>
  <c r="W57" i="5" s="1"/>
  <c r="T57" i="5"/>
  <c r="U57" i="5" s="1"/>
  <c r="R57" i="5"/>
  <c r="S57" i="5" s="1"/>
  <c r="Q57" i="5"/>
  <c r="P57" i="5"/>
  <c r="O57" i="5"/>
  <c r="N57" i="5"/>
  <c r="L57" i="5"/>
  <c r="M57" i="5" s="1"/>
  <c r="J57" i="5"/>
  <c r="AG57" i="5" s="1"/>
  <c r="AH57" i="5" s="1"/>
  <c r="I57" i="5"/>
  <c r="H57" i="5"/>
  <c r="F57" i="5"/>
  <c r="G57" i="5" s="1"/>
  <c r="D57" i="5"/>
  <c r="E57" i="5" s="1"/>
  <c r="B57" i="5"/>
  <c r="C57" i="5" s="1"/>
  <c r="AA56" i="5"/>
  <c r="Z56" i="5"/>
  <c r="Y56" i="5"/>
  <c r="X56" i="5"/>
  <c r="V56" i="5"/>
  <c r="W56" i="5" s="1"/>
  <c r="T56" i="5"/>
  <c r="U56" i="5" s="1"/>
  <c r="S56" i="5"/>
  <c r="R56" i="5"/>
  <c r="P56" i="5"/>
  <c r="O56" i="5"/>
  <c r="N56" i="5"/>
  <c r="M56" i="5"/>
  <c r="L56" i="5"/>
  <c r="K56" i="5"/>
  <c r="J56" i="5"/>
  <c r="I56" i="5"/>
  <c r="H56" i="5"/>
  <c r="F56" i="5"/>
  <c r="G56" i="5" s="1"/>
  <c r="D56" i="5"/>
  <c r="E56" i="5" s="1"/>
  <c r="B56" i="5"/>
  <c r="C56" i="5" s="1"/>
  <c r="AL55" i="5"/>
  <c r="AK55" i="5"/>
  <c r="AI55" i="5"/>
  <c r="AH55" i="5"/>
  <c r="AG55" i="5"/>
  <c r="AD55" i="5"/>
  <c r="AB55" i="5"/>
  <c r="AF55" i="5" s="1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I54" i="5"/>
  <c r="AG54" i="5"/>
  <c r="AB54" i="5"/>
  <c r="AF54" i="5" s="1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K53" i="5"/>
  <c r="AL53" i="5" s="1"/>
  <c r="AI53" i="5"/>
  <c r="AH53" i="5"/>
  <c r="AG53" i="5"/>
  <c r="AD53" i="5"/>
  <c r="AB53" i="5"/>
  <c r="AF53" i="5" s="1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B52" i="5"/>
  <c r="AF52" i="5" s="1"/>
  <c r="Z52" i="5"/>
  <c r="AA52" i="5" s="1"/>
  <c r="Y52" i="5"/>
  <c r="X52" i="5"/>
  <c r="V52" i="5"/>
  <c r="W52" i="5" s="1"/>
  <c r="T52" i="5"/>
  <c r="U52" i="5" s="1"/>
  <c r="S52" i="5"/>
  <c r="R52" i="5"/>
  <c r="Q52" i="5"/>
  <c r="P52" i="5"/>
  <c r="N52" i="5"/>
  <c r="O52" i="5" s="1"/>
  <c r="L52" i="5"/>
  <c r="M52" i="5" s="1"/>
  <c r="J52" i="5"/>
  <c r="H52" i="5"/>
  <c r="I52" i="5" s="1"/>
  <c r="F52" i="5"/>
  <c r="G52" i="5" s="1"/>
  <c r="D52" i="5"/>
  <c r="E52" i="5" s="1"/>
  <c r="C52" i="5"/>
  <c r="B52" i="5"/>
  <c r="AI51" i="5"/>
  <c r="AH51" i="5"/>
  <c r="AG51" i="5"/>
  <c r="AK51" i="5" s="1"/>
  <c r="AL51" i="5" s="1"/>
  <c r="AF51" i="5"/>
  <c r="AC51" i="5"/>
  <c r="AB51" i="5"/>
  <c r="AD51" i="5" s="1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I50" i="5"/>
  <c r="AG50" i="5"/>
  <c r="AK50" i="5" s="1"/>
  <c r="AL50" i="5" s="1"/>
  <c r="AF50" i="5"/>
  <c r="AD50" i="5"/>
  <c r="AB50" i="5"/>
  <c r="AC50" i="5" s="1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H49" i="5"/>
  <c r="AG49" i="5"/>
  <c r="AK49" i="5" s="1"/>
  <c r="AL49" i="5" s="1"/>
  <c r="AF49" i="5"/>
  <c r="AC49" i="5"/>
  <c r="AB49" i="5"/>
  <c r="AD49" i="5" s="1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I48" i="5"/>
  <c r="AG48" i="5"/>
  <c r="AK48" i="5" s="1"/>
  <c r="AL48" i="5" s="1"/>
  <c r="AF48" i="5"/>
  <c r="AD48" i="5"/>
  <c r="AC48" i="5"/>
  <c r="AB48" i="5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I47" i="5"/>
  <c r="AH47" i="5"/>
  <c r="AG47" i="5"/>
  <c r="AK47" i="5" s="1"/>
  <c r="AL47" i="5" s="1"/>
  <c r="AF47" i="5"/>
  <c r="AB47" i="5"/>
  <c r="AD47" i="5" s="1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I46" i="5"/>
  <c r="AG46" i="5"/>
  <c r="AK46" i="5" s="1"/>
  <c r="AL46" i="5" s="1"/>
  <c r="AB46" i="5"/>
  <c r="AF46" i="5" s="1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AA44" i="5"/>
  <c r="Z44" i="5"/>
  <c r="X44" i="5"/>
  <c r="V44" i="5"/>
  <c r="W44" i="5" s="1"/>
  <c r="U44" i="5"/>
  <c r="T44" i="5"/>
  <c r="AG44" i="5" s="1"/>
  <c r="AH44" i="5" s="1"/>
  <c r="R44" i="5"/>
  <c r="P44" i="5"/>
  <c r="Q44" i="5" s="1"/>
  <c r="O44" i="5"/>
  <c r="N44" i="5"/>
  <c r="L44" i="5"/>
  <c r="M44" i="5" s="1"/>
  <c r="K44" i="5"/>
  <c r="J44" i="5"/>
  <c r="I44" i="5"/>
  <c r="H44" i="5"/>
  <c r="F44" i="5"/>
  <c r="G44" i="5" s="1"/>
  <c r="D44" i="5"/>
  <c r="E44" i="5" s="1"/>
  <c r="C44" i="5"/>
  <c r="B44" i="5"/>
  <c r="AK43" i="5"/>
  <c r="AL43" i="5" s="1"/>
  <c r="AG43" i="5"/>
  <c r="AI43" i="5" s="1"/>
  <c r="AF43" i="5"/>
  <c r="AD43" i="5"/>
  <c r="AC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K42" i="5"/>
  <c r="AL42" i="5" s="1"/>
  <c r="AI42" i="5"/>
  <c r="AH42" i="5"/>
  <c r="AG42" i="5"/>
  <c r="AD42" i="5"/>
  <c r="AC42" i="5"/>
  <c r="AB42" i="5"/>
  <c r="AF42" i="5" s="1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K41" i="5"/>
  <c r="AL41" i="5" s="1"/>
  <c r="AG41" i="5"/>
  <c r="AI41" i="5" s="1"/>
  <c r="AB41" i="5"/>
  <c r="AF41" i="5" s="1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I40" i="5"/>
  <c r="AH40" i="5"/>
  <c r="AG40" i="5"/>
  <c r="AK40" i="5" s="1"/>
  <c r="AL40" i="5" s="1"/>
  <c r="AB40" i="5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K39" i="5"/>
  <c r="AL39" i="5" s="1"/>
  <c r="AG39" i="5"/>
  <c r="AI39" i="5" s="1"/>
  <c r="AF39" i="5"/>
  <c r="AC39" i="5"/>
  <c r="AB39" i="5"/>
  <c r="AD39" i="5" s="1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K37" i="5"/>
  <c r="AL37" i="5" s="1"/>
  <c r="AI37" i="5"/>
  <c r="AH37" i="5"/>
  <c r="AG37" i="5"/>
  <c r="AB37" i="5"/>
  <c r="AF37" i="5" s="1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A35" i="5"/>
  <c r="Z35" i="5"/>
  <c r="X35" i="5"/>
  <c r="V35" i="5"/>
  <c r="W35" i="5" s="1"/>
  <c r="U35" i="5"/>
  <c r="T35" i="5"/>
  <c r="R35" i="5"/>
  <c r="S35" i="5" s="1"/>
  <c r="P35" i="5"/>
  <c r="Q35" i="5" s="1"/>
  <c r="N35" i="5"/>
  <c r="O35" i="5" s="1"/>
  <c r="M35" i="5"/>
  <c r="L35" i="5"/>
  <c r="K35" i="5"/>
  <c r="J35" i="5"/>
  <c r="H35" i="5"/>
  <c r="I35" i="5" s="1"/>
  <c r="G35" i="5"/>
  <c r="F35" i="5"/>
  <c r="E35" i="5"/>
  <c r="D35" i="5"/>
  <c r="B35" i="5"/>
  <c r="C35" i="5" s="1"/>
  <c r="AB34" i="5"/>
  <c r="AA34" i="5"/>
  <c r="Z34" i="5"/>
  <c r="Y34" i="5"/>
  <c r="X34" i="5"/>
  <c r="W34" i="5"/>
  <c r="V34" i="5"/>
  <c r="U34" i="5"/>
  <c r="T34" i="5"/>
  <c r="R34" i="5"/>
  <c r="S34" i="5" s="1"/>
  <c r="P34" i="5"/>
  <c r="Q34" i="5" s="1"/>
  <c r="O34" i="5"/>
  <c r="N34" i="5"/>
  <c r="L34" i="5"/>
  <c r="M34" i="5" s="1"/>
  <c r="J34" i="5"/>
  <c r="I34" i="5"/>
  <c r="H34" i="5"/>
  <c r="G34" i="5"/>
  <c r="F34" i="5"/>
  <c r="E34" i="5"/>
  <c r="D34" i="5"/>
  <c r="B34" i="5"/>
  <c r="C34" i="5" s="1"/>
  <c r="AG33" i="5"/>
  <c r="AF33" i="5"/>
  <c r="AD33" i="5"/>
  <c r="AB33" i="5"/>
  <c r="AC33" i="5" s="1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L32" i="5"/>
  <c r="AI32" i="5"/>
  <c r="AH32" i="5"/>
  <c r="AG32" i="5"/>
  <c r="AK32" i="5" s="1"/>
  <c r="AC32" i="5"/>
  <c r="AB32" i="5"/>
  <c r="AF32" i="5" s="1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F31" i="5"/>
  <c r="AD31" i="5"/>
  <c r="AB31" i="5"/>
  <c r="AC31" i="5" s="1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L30" i="5"/>
  <c r="AI30" i="5"/>
  <c r="AH30" i="5"/>
  <c r="AG30" i="5"/>
  <c r="AK30" i="5" s="1"/>
  <c r="AC30" i="5"/>
  <c r="AB30" i="5"/>
  <c r="AF30" i="5" s="1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G29" i="5"/>
  <c r="AF29" i="5"/>
  <c r="AD29" i="5"/>
  <c r="AB29" i="5"/>
  <c r="AC29" i="5" s="1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Z27" i="5"/>
  <c r="AA27" i="5" s="1"/>
  <c r="X27" i="5"/>
  <c r="W27" i="5"/>
  <c r="V27" i="5"/>
  <c r="T27" i="5"/>
  <c r="U27" i="5" s="1"/>
  <c r="R27" i="5"/>
  <c r="S27" i="5" s="1"/>
  <c r="P27" i="5"/>
  <c r="Q27" i="5" s="1"/>
  <c r="N27" i="5"/>
  <c r="O27" i="5" s="1"/>
  <c r="M27" i="5"/>
  <c r="L27" i="5"/>
  <c r="J27" i="5"/>
  <c r="H27" i="5"/>
  <c r="I27" i="5" s="1"/>
  <c r="F27" i="5"/>
  <c r="G27" i="5" s="1"/>
  <c r="D27" i="5"/>
  <c r="E27" i="5" s="1"/>
  <c r="B27" i="5"/>
  <c r="C27" i="5" s="1"/>
  <c r="AH26" i="5"/>
  <c r="AG26" i="5"/>
  <c r="AK26" i="5" s="1"/>
  <c r="AL26" i="5" s="1"/>
  <c r="AD26" i="5"/>
  <c r="AB26" i="5"/>
  <c r="AF26" i="5" s="1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L25" i="5"/>
  <c r="AK25" i="5"/>
  <c r="AI25" i="5"/>
  <c r="AG25" i="5"/>
  <c r="AH25" i="5" s="1"/>
  <c r="AB25" i="5"/>
  <c r="AF25" i="5" s="1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H24" i="5"/>
  <c r="AG24" i="5"/>
  <c r="AK24" i="5" s="1"/>
  <c r="AL24" i="5" s="1"/>
  <c r="AD24" i="5"/>
  <c r="AC24" i="5"/>
  <c r="AB24" i="5"/>
  <c r="AF24" i="5" s="1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L23" i="5"/>
  <c r="AK23" i="5"/>
  <c r="AI23" i="5"/>
  <c r="AH23" i="5"/>
  <c r="AG23" i="5"/>
  <c r="AB23" i="5"/>
  <c r="AF23" i="5" s="1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H22" i="5"/>
  <c r="AG22" i="5"/>
  <c r="AK22" i="5" s="1"/>
  <c r="AL22" i="5" s="1"/>
  <c r="AB22" i="5"/>
  <c r="AF22" i="5" s="1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K21" i="5"/>
  <c r="AL21" i="5" s="1"/>
  <c r="AI21" i="5"/>
  <c r="AH21" i="5"/>
  <c r="AG21" i="5"/>
  <c r="AB21" i="5"/>
  <c r="AF21" i="5" s="1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H20" i="5"/>
  <c r="AG20" i="5"/>
  <c r="AK20" i="5" s="1"/>
  <c r="AL20" i="5" s="1"/>
  <c r="AB20" i="5"/>
  <c r="AF20" i="5" s="1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K19" i="5"/>
  <c r="AL19" i="5" s="1"/>
  <c r="AI19" i="5"/>
  <c r="AG19" i="5"/>
  <c r="AH19" i="5" s="1"/>
  <c r="AB19" i="5"/>
  <c r="AF19" i="5" s="1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H18" i="5"/>
  <c r="AG18" i="5"/>
  <c r="AK18" i="5" s="1"/>
  <c r="AL18" i="5" s="1"/>
  <c r="AD18" i="5"/>
  <c r="AB18" i="5"/>
  <c r="AF18" i="5" s="1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L17" i="5"/>
  <c r="AK17" i="5"/>
  <c r="AI17" i="5"/>
  <c r="AG17" i="5"/>
  <c r="AH17" i="5" s="1"/>
  <c r="AC17" i="5"/>
  <c r="AB17" i="5"/>
  <c r="AF17" i="5" s="1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H16" i="5"/>
  <c r="AG16" i="5"/>
  <c r="AK16" i="5" s="1"/>
  <c r="AL16" i="5" s="1"/>
  <c r="AB16" i="5"/>
  <c r="AF16" i="5" s="1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K15" i="5"/>
  <c r="AL15" i="5" s="1"/>
  <c r="AI15" i="5"/>
  <c r="AH15" i="5"/>
  <c r="AG15" i="5"/>
  <c r="AB15" i="5"/>
  <c r="AF15" i="5" s="1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H13" i="5"/>
  <c r="AG13" i="5"/>
  <c r="AK13" i="5" s="1"/>
  <c r="AL13" i="5" s="1"/>
  <c r="AB13" i="5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Z9" i="5"/>
  <c r="X9" i="5"/>
  <c r="X59" i="5" s="1"/>
  <c r="V9" i="5"/>
  <c r="U9" i="5"/>
  <c r="T9" i="5"/>
  <c r="T59" i="5" s="1"/>
  <c r="S9" i="5"/>
  <c r="R9" i="5"/>
  <c r="R59" i="5" s="1"/>
  <c r="S59" i="5" s="1"/>
  <c r="P9" i="5"/>
  <c r="P59" i="5" s="1"/>
  <c r="O9" i="5"/>
  <c r="N9" i="5"/>
  <c r="N59" i="5" s="1"/>
  <c r="O59" i="5" s="1"/>
  <c r="L9" i="5"/>
  <c r="M9" i="5" s="1"/>
  <c r="J9" i="5"/>
  <c r="H9" i="5"/>
  <c r="I9" i="5" s="1"/>
  <c r="F9" i="5"/>
  <c r="G9" i="5" s="1"/>
  <c r="E9" i="5"/>
  <c r="D9" i="5"/>
  <c r="D59" i="5" s="1"/>
  <c r="C9" i="5"/>
  <c r="B9" i="5"/>
  <c r="B59" i="5" s="1"/>
  <c r="AG8" i="5"/>
  <c r="AK8" i="5" s="1"/>
  <c r="AL8" i="5" s="1"/>
  <c r="AC8" i="5"/>
  <c r="AB8" i="5"/>
  <c r="AF8" i="5" s="1"/>
  <c r="AA8" i="5"/>
  <c r="Y8" i="5"/>
  <c r="W8" i="5"/>
  <c r="U8" i="5"/>
  <c r="S8" i="5"/>
  <c r="Q8" i="5"/>
  <c r="O8" i="5"/>
  <c r="M8" i="5"/>
  <c r="K8" i="5"/>
  <c r="I8" i="5"/>
  <c r="G8" i="5"/>
  <c r="E8" i="5"/>
  <c r="C8" i="5"/>
  <c r="AI7" i="5"/>
  <c r="AG7" i="5"/>
  <c r="AK7" i="5" s="1"/>
  <c r="AL7" i="5" s="1"/>
  <c r="AF7" i="5"/>
  <c r="AB7" i="5"/>
  <c r="AD7" i="5" s="1"/>
  <c r="AA7" i="5"/>
  <c r="Y7" i="5"/>
  <c r="W7" i="5"/>
  <c r="U7" i="5"/>
  <c r="S7" i="5"/>
  <c r="Q7" i="5"/>
  <c r="O7" i="5"/>
  <c r="M7" i="5"/>
  <c r="K7" i="5"/>
  <c r="I7" i="5"/>
  <c r="G7" i="5"/>
  <c r="E7" i="5"/>
  <c r="C7" i="5"/>
  <c r="AG148" i="4"/>
  <c r="AK148" i="4" s="1"/>
  <c r="AB148" i="4"/>
  <c r="AF148" i="4" s="1"/>
  <c r="Z145" i="4"/>
  <c r="AA145" i="4" s="1"/>
  <c r="X145" i="4"/>
  <c r="V145" i="4"/>
  <c r="W145" i="4" s="1"/>
  <c r="U145" i="4"/>
  <c r="T145" i="4"/>
  <c r="S145" i="4"/>
  <c r="R145" i="4"/>
  <c r="P145" i="4"/>
  <c r="Q145" i="4" s="1"/>
  <c r="N145" i="4"/>
  <c r="O145" i="4" s="1"/>
  <c r="L145" i="4"/>
  <c r="M145" i="4" s="1"/>
  <c r="J145" i="4"/>
  <c r="H145" i="4"/>
  <c r="I145" i="4" s="1"/>
  <c r="F145" i="4"/>
  <c r="G145" i="4" s="1"/>
  <c r="E145" i="4"/>
  <c r="D145" i="4"/>
  <c r="C145" i="4"/>
  <c r="B145" i="4"/>
  <c r="AG144" i="4"/>
  <c r="AK144" i="4" s="1"/>
  <c r="AL144" i="4" s="1"/>
  <c r="AB144" i="4"/>
  <c r="AF144" i="4" s="1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AI141" i="4"/>
  <c r="AH141" i="4"/>
  <c r="AG141" i="4"/>
  <c r="AF141" i="4"/>
  <c r="Z141" i="4"/>
  <c r="AA141" i="4" s="1"/>
  <c r="Y141" i="4"/>
  <c r="X141" i="4"/>
  <c r="AD141" i="4" s="1"/>
  <c r="W141" i="4"/>
  <c r="V141" i="4"/>
  <c r="T141" i="4"/>
  <c r="U141" i="4" s="1"/>
  <c r="R141" i="4"/>
  <c r="AB141" i="4" s="1"/>
  <c r="AC141" i="4" s="1"/>
  <c r="Q141" i="4"/>
  <c r="P141" i="4"/>
  <c r="N141" i="4"/>
  <c r="O141" i="4" s="1"/>
  <c r="L141" i="4"/>
  <c r="M141" i="4" s="1"/>
  <c r="J141" i="4"/>
  <c r="K141" i="4" s="1"/>
  <c r="I141" i="4"/>
  <c r="H141" i="4"/>
  <c r="G141" i="4"/>
  <c r="F141" i="4"/>
  <c r="D141" i="4"/>
  <c r="E141" i="4" s="1"/>
  <c r="B141" i="4"/>
  <c r="C141" i="4" s="1"/>
  <c r="AL140" i="4"/>
  <c r="AK140" i="4"/>
  <c r="AG140" i="4"/>
  <c r="AI140" i="4" s="1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Y135" i="4"/>
  <c r="X135" i="4"/>
  <c r="V135" i="4"/>
  <c r="W135" i="4" s="1"/>
  <c r="U135" i="4"/>
  <c r="T135" i="4"/>
  <c r="R135" i="4"/>
  <c r="AB135" i="4" s="1"/>
  <c r="AC135" i="4" s="1"/>
  <c r="P135" i="4"/>
  <c r="Q135" i="4" s="1"/>
  <c r="N135" i="4"/>
  <c r="O135" i="4" s="1"/>
  <c r="L135" i="4"/>
  <c r="M135" i="4" s="1"/>
  <c r="J135" i="4"/>
  <c r="I135" i="4"/>
  <c r="H135" i="4"/>
  <c r="F135" i="4"/>
  <c r="G135" i="4" s="1"/>
  <c r="E135" i="4"/>
  <c r="D135" i="4"/>
  <c r="C135" i="4"/>
  <c r="B135" i="4"/>
  <c r="AG134" i="4"/>
  <c r="AK134" i="4" s="1"/>
  <c r="AD134" i="4"/>
  <c r="AC134" i="4"/>
  <c r="AB134" i="4"/>
  <c r="AF134" i="4" s="1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G133" i="4"/>
  <c r="AF133" i="4"/>
  <c r="AC133" i="4"/>
  <c r="AB133" i="4"/>
  <c r="AD133" i="4" s="1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G132" i="4"/>
  <c r="AK132" i="4" s="1"/>
  <c r="AL132" i="4" s="1"/>
  <c r="AD132" i="4"/>
  <c r="AB132" i="4"/>
  <c r="AF132" i="4" s="1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H131" i="4"/>
  <c r="AG131" i="4"/>
  <c r="AF131" i="4"/>
  <c r="AB131" i="4"/>
  <c r="AD131" i="4" s="1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I130" i="4"/>
  <c r="AG130" i="4"/>
  <c r="AK130" i="4" s="1"/>
  <c r="AL130" i="4" s="1"/>
  <c r="AF130" i="4"/>
  <c r="AD130" i="4"/>
  <c r="AC130" i="4"/>
  <c r="AB130" i="4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G129" i="4"/>
  <c r="AF129" i="4"/>
  <c r="AB129" i="4"/>
  <c r="AD129" i="4" s="1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I128" i="4"/>
  <c r="AG128" i="4"/>
  <c r="AK128" i="4" s="1"/>
  <c r="AF128" i="4"/>
  <c r="AD128" i="4"/>
  <c r="AC128" i="4"/>
  <c r="AB128" i="4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G127" i="4"/>
  <c r="AF127" i="4"/>
  <c r="AB127" i="4"/>
  <c r="AD127" i="4" s="1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I126" i="4"/>
  <c r="AG126" i="4"/>
  <c r="AK126" i="4" s="1"/>
  <c r="AL126" i="4" s="1"/>
  <c r="AF126" i="4"/>
  <c r="AD126" i="4"/>
  <c r="AC126" i="4"/>
  <c r="AB126" i="4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H125" i="4"/>
  <c r="AG125" i="4"/>
  <c r="AF125" i="4"/>
  <c r="AB125" i="4"/>
  <c r="AD125" i="4" s="1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G124" i="4"/>
  <c r="AK124" i="4" s="1"/>
  <c r="AL124" i="4" s="1"/>
  <c r="AD124" i="4"/>
  <c r="AB124" i="4"/>
  <c r="AF124" i="4" s="1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F123" i="4"/>
  <c r="AB123" i="4"/>
  <c r="AD123" i="4" s="1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G122" i="4"/>
  <c r="AK122" i="4" s="1"/>
  <c r="AL122" i="4" s="1"/>
  <c r="AD122" i="4"/>
  <c r="AB122" i="4"/>
  <c r="AF122" i="4" s="1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H121" i="4"/>
  <c r="AG121" i="4"/>
  <c r="AF121" i="4"/>
  <c r="AB121" i="4"/>
  <c r="AD121" i="4" s="1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K120" i="4" s="1"/>
  <c r="AD120" i="4"/>
  <c r="AB120" i="4"/>
  <c r="AF120" i="4" s="1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H119" i="4"/>
  <c r="AG119" i="4"/>
  <c r="AF119" i="4"/>
  <c r="AB119" i="4"/>
  <c r="AD119" i="4" s="1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I118" i="4"/>
  <c r="AG118" i="4"/>
  <c r="AK118" i="4" s="1"/>
  <c r="AL118" i="4" s="1"/>
  <c r="AF118" i="4"/>
  <c r="AD118" i="4"/>
  <c r="AC118" i="4"/>
  <c r="AB118" i="4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H117" i="4"/>
  <c r="AG117" i="4"/>
  <c r="AF117" i="4"/>
  <c r="AB117" i="4"/>
  <c r="AD117" i="4" s="1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I116" i="4"/>
  <c r="AG116" i="4"/>
  <c r="AK116" i="4" s="1"/>
  <c r="AL116" i="4" s="1"/>
  <c r="AF116" i="4"/>
  <c r="AD116" i="4"/>
  <c r="AC116" i="4"/>
  <c r="AB116" i="4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L115" i="4"/>
  <c r="AK115" i="4"/>
  <c r="AH115" i="4"/>
  <c r="AG115" i="4"/>
  <c r="AI115" i="4" s="1"/>
  <c r="AF115" i="4"/>
  <c r="AB115" i="4"/>
  <c r="AD115" i="4" s="1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I114" i="4"/>
  <c r="AG114" i="4"/>
  <c r="AK114" i="4" s="1"/>
  <c r="AL114" i="4" s="1"/>
  <c r="AF114" i="4"/>
  <c r="AD114" i="4"/>
  <c r="AC114" i="4"/>
  <c r="AB114" i="4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G113" i="4"/>
  <c r="AI113" i="4" s="1"/>
  <c r="AF113" i="4"/>
  <c r="AC113" i="4"/>
  <c r="AB113" i="4"/>
  <c r="AD113" i="4" s="1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I112" i="4"/>
  <c r="AG112" i="4"/>
  <c r="AK112" i="4" s="1"/>
  <c r="AL112" i="4" s="1"/>
  <c r="AF112" i="4"/>
  <c r="AD112" i="4"/>
  <c r="AC112" i="4"/>
  <c r="AB112" i="4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K111" i="4"/>
  <c r="AL111" i="4" s="1"/>
  <c r="AG111" i="4"/>
  <c r="AI111" i="4" s="1"/>
  <c r="AF111" i="4"/>
  <c r="AB111" i="4"/>
  <c r="AD111" i="4" s="1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I110" i="4"/>
  <c r="AG110" i="4"/>
  <c r="AK110" i="4" s="1"/>
  <c r="AL110" i="4" s="1"/>
  <c r="AD110" i="4"/>
  <c r="AC110" i="4"/>
  <c r="AB110" i="4"/>
  <c r="AF110" i="4" s="1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AI105" i="4"/>
  <c r="AA105" i="4"/>
  <c r="Z105" i="4"/>
  <c r="Y105" i="4"/>
  <c r="X105" i="4"/>
  <c r="V105" i="4"/>
  <c r="W105" i="4" s="1"/>
  <c r="T105" i="4"/>
  <c r="AB105" i="4" s="1"/>
  <c r="S105" i="4"/>
  <c r="R105" i="4"/>
  <c r="P105" i="4"/>
  <c r="Q105" i="4" s="1"/>
  <c r="N105" i="4"/>
  <c r="O105" i="4" s="1"/>
  <c r="L105" i="4"/>
  <c r="M105" i="4" s="1"/>
  <c r="K105" i="4"/>
  <c r="J105" i="4"/>
  <c r="AG105" i="4" s="1"/>
  <c r="AH105" i="4" s="1"/>
  <c r="I105" i="4"/>
  <c r="H105" i="4"/>
  <c r="F105" i="4"/>
  <c r="G105" i="4" s="1"/>
  <c r="D105" i="4"/>
  <c r="E105" i="4" s="1"/>
  <c r="C105" i="4"/>
  <c r="B105" i="4"/>
  <c r="AG104" i="4"/>
  <c r="AK104" i="4" s="1"/>
  <c r="AL104" i="4" s="1"/>
  <c r="AF104" i="4"/>
  <c r="AB104" i="4"/>
  <c r="AD104" i="4" s="1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B101" i="4"/>
  <c r="C101" i="4" s="1"/>
  <c r="AA99" i="4"/>
  <c r="Z99" i="4"/>
  <c r="X99" i="4"/>
  <c r="V99" i="4"/>
  <c r="AB99" i="4" s="1"/>
  <c r="U99" i="4"/>
  <c r="T99" i="4"/>
  <c r="R99" i="4"/>
  <c r="S99" i="4" s="1"/>
  <c r="P99" i="4"/>
  <c r="Q99" i="4" s="1"/>
  <c r="N99" i="4"/>
  <c r="O99" i="4" s="1"/>
  <c r="M99" i="4"/>
  <c r="L99" i="4"/>
  <c r="K99" i="4"/>
  <c r="J99" i="4"/>
  <c r="AG99" i="4" s="1"/>
  <c r="H99" i="4"/>
  <c r="I99" i="4" s="1"/>
  <c r="F99" i="4"/>
  <c r="G99" i="4" s="1"/>
  <c r="E99" i="4"/>
  <c r="D99" i="4"/>
  <c r="B99" i="4"/>
  <c r="C99" i="4" s="1"/>
  <c r="AI98" i="4"/>
  <c r="AH98" i="4"/>
  <c r="AG98" i="4"/>
  <c r="AK98" i="4" s="1"/>
  <c r="AL98" i="4" s="1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K97" i="4"/>
  <c r="AL97" i="4" s="1"/>
  <c r="AI97" i="4"/>
  <c r="AH97" i="4"/>
  <c r="AG97" i="4"/>
  <c r="AB97" i="4"/>
  <c r="AF97" i="4" s="1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I96" i="4"/>
  <c r="AH96" i="4"/>
  <c r="AG96" i="4"/>
  <c r="AK96" i="4" s="1"/>
  <c r="AL96" i="4" s="1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K95" i="4"/>
  <c r="AL95" i="4" s="1"/>
  <c r="AI95" i="4"/>
  <c r="AH95" i="4"/>
  <c r="AG95" i="4"/>
  <c r="AB95" i="4"/>
  <c r="AF95" i="4" s="1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I94" i="4"/>
  <c r="AH94" i="4"/>
  <c r="AG94" i="4"/>
  <c r="AK94" i="4" s="1"/>
  <c r="AL94" i="4" s="1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K93" i="4"/>
  <c r="AL93" i="4" s="1"/>
  <c r="AI93" i="4"/>
  <c r="AH93" i="4"/>
  <c r="AG93" i="4"/>
  <c r="AB93" i="4"/>
  <c r="AF93" i="4" s="1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I92" i="4"/>
  <c r="AH92" i="4"/>
  <c r="AG92" i="4"/>
  <c r="AK92" i="4" s="1"/>
  <c r="AL92" i="4" s="1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K91" i="4"/>
  <c r="AL91" i="4" s="1"/>
  <c r="AI91" i="4"/>
  <c r="AH91" i="4"/>
  <c r="AG91" i="4"/>
  <c r="AB91" i="4"/>
  <c r="AF91" i="4" s="1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I90" i="4"/>
  <c r="AH90" i="4"/>
  <c r="AG90" i="4"/>
  <c r="AK90" i="4" s="1"/>
  <c r="AL90" i="4" s="1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C87" i="4"/>
  <c r="B87" i="4"/>
  <c r="B107" i="4" s="1"/>
  <c r="Z85" i="4"/>
  <c r="AA85" i="4" s="1"/>
  <c r="Y85" i="4"/>
  <c r="X85" i="4"/>
  <c r="W85" i="4"/>
  <c r="V85" i="4"/>
  <c r="T85" i="4"/>
  <c r="U85" i="4" s="1"/>
  <c r="R85" i="4"/>
  <c r="S85" i="4" s="1"/>
  <c r="P85" i="4"/>
  <c r="Q85" i="4" s="1"/>
  <c r="O85" i="4"/>
  <c r="N85" i="4"/>
  <c r="M85" i="4"/>
  <c r="L85" i="4"/>
  <c r="J85" i="4"/>
  <c r="AG85" i="4" s="1"/>
  <c r="AH85" i="4" s="1"/>
  <c r="I85" i="4"/>
  <c r="H85" i="4"/>
  <c r="G85" i="4"/>
  <c r="F85" i="4"/>
  <c r="D85" i="4"/>
  <c r="E85" i="4" s="1"/>
  <c r="B85" i="4"/>
  <c r="C85" i="4" s="1"/>
  <c r="Z84" i="4"/>
  <c r="AA84" i="4" s="1"/>
  <c r="Y84" i="4"/>
  <c r="X84" i="4"/>
  <c r="V84" i="4"/>
  <c r="W84" i="4" s="1"/>
  <c r="T84" i="4"/>
  <c r="U84" i="4" s="1"/>
  <c r="S84" i="4"/>
  <c r="R84" i="4"/>
  <c r="P84" i="4"/>
  <c r="Q84" i="4" s="1"/>
  <c r="N84" i="4"/>
  <c r="O84" i="4" s="1"/>
  <c r="M84" i="4"/>
  <c r="L84" i="4"/>
  <c r="AG84" i="4" s="1"/>
  <c r="J84" i="4"/>
  <c r="K84" i="4" s="1"/>
  <c r="I84" i="4"/>
  <c r="H84" i="4"/>
  <c r="F84" i="4"/>
  <c r="G84" i="4" s="1"/>
  <c r="D84" i="4"/>
  <c r="E84" i="4" s="1"/>
  <c r="C84" i="4"/>
  <c r="B84" i="4"/>
  <c r="AG83" i="4"/>
  <c r="AK83" i="4" s="1"/>
  <c r="AL83" i="4" s="1"/>
  <c r="AD83" i="4"/>
  <c r="AB83" i="4"/>
  <c r="AF83" i="4" s="1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G82" i="4"/>
  <c r="AB82" i="4"/>
  <c r="AF82" i="4" s="1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AG81" i="4"/>
  <c r="Z81" i="4"/>
  <c r="AA81" i="4" s="1"/>
  <c r="Y81" i="4"/>
  <c r="X81" i="4"/>
  <c r="AF81" i="4" s="1"/>
  <c r="W81" i="4"/>
  <c r="V81" i="4"/>
  <c r="T81" i="4"/>
  <c r="U81" i="4" s="1"/>
  <c r="R81" i="4"/>
  <c r="AB81" i="4" s="1"/>
  <c r="AC81" i="4" s="1"/>
  <c r="Q81" i="4"/>
  <c r="P81" i="4"/>
  <c r="N81" i="4"/>
  <c r="O81" i="4" s="1"/>
  <c r="L81" i="4"/>
  <c r="M81" i="4" s="1"/>
  <c r="J81" i="4"/>
  <c r="K81" i="4" s="1"/>
  <c r="I81" i="4"/>
  <c r="H81" i="4"/>
  <c r="G81" i="4"/>
  <c r="F81" i="4"/>
  <c r="D81" i="4"/>
  <c r="E81" i="4" s="1"/>
  <c r="B81" i="4"/>
  <c r="C81" i="4" s="1"/>
  <c r="AL80" i="4"/>
  <c r="AI80" i="4"/>
  <c r="AG80" i="4"/>
  <c r="AK80" i="4" s="1"/>
  <c r="AD80" i="4"/>
  <c r="AC80" i="4"/>
  <c r="AB80" i="4"/>
  <c r="AF80" i="4" s="1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L79" i="4"/>
  <c r="AG79" i="4"/>
  <c r="AK79" i="4" s="1"/>
  <c r="AF79" i="4"/>
  <c r="AD79" i="4"/>
  <c r="AB79" i="4"/>
  <c r="AC79" i="4" s="1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I78" i="4"/>
  <c r="AG78" i="4"/>
  <c r="AK78" i="4" s="1"/>
  <c r="AL78" i="4" s="1"/>
  <c r="AD78" i="4"/>
  <c r="AC78" i="4"/>
  <c r="AB78" i="4"/>
  <c r="AF78" i="4" s="1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K77" i="4" s="1"/>
  <c r="AL77" i="4" s="1"/>
  <c r="AF77" i="4"/>
  <c r="AD77" i="4"/>
  <c r="AB77" i="4"/>
  <c r="AC77" i="4" s="1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L76" i="4"/>
  <c r="AI76" i="4"/>
  <c r="AG76" i="4"/>
  <c r="AK76" i="4" s="1"/>
  <c r="AD76" i="4"/>
  <c r="AC76" i="4"/>
  <c r="AB76" i="4"/>
  <c r="AF76" i="4" s="1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L75" i="4"/>
  <c r="AG75" i="4"/>
  <c r="AK75" i="4" s="1"/>
  <c r="AF75" i="4"/>
  <c r="AD75" i="4"/>
  <c r="AB75" i="4"/>
  <c r="AC75" i="4" s="1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I74" i="4"/>
  <c r="AG74" i="4"/>
  <c r="AK74" i="4" s="1"/>
  <c r="AL74" i="4" s="1"/>
  <c r="AD74" i="4"/>
  <c r="AC74" i="4"/>
  <c r="AB74" i="4"/>
  <c r="AF74" i="4" s="1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G72" i="4"/>
  <c r="AK72" i="4" s="1"/>
  <c r="AL72" i="4" s="1"/>
  <c r="AF72" i="4"/>
  <c r="AD72" i="4"/>
  <c r="AB72" i="4"/>
  <c r="AC72" i="4" s="1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I71" i="4"/>
  <c r="AG71" i="4"/>
  <c r="AK71" i="4" s="1"/>
  <c r="AL71" i="4" s="1"/>
  <c r="AD71" i="4"/>
  <c r="AC71" i="4"/>
  <c r="AB71" i="4"/>
  <c r="AF71" i="4" s="1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AF70" i="4"/>
  <c r="AD70" i="4"/>
  <c r="AA70" i="4"/>
  <c r="Z70" i="4"/>
  <c r="X70" i="4"/>
  <c r="Y70" i="4" s="1"/>
  <c r="V70" i="4"/>
  <c r="W70" i="4" s="1"/>
  <c r="U70" i="4"/>
  <c r="T70" i="4"/>
  <c r="R70" i="4"/>
  <c r="AB70" i="4" s="1"/>
  <c r="AC70" i="4" s="1"/>
  <c r="P70" i="4"/>
  <c r="Q70" i="4" s="1"/>
  <c r="N70" i="4"/>
  <c r="AG70" i="4" s="1"/>
  <c r="L70" i="4"/>
  <c r="M70" i="4" s="1"/>
  <c r="K70" i="4"/>
  <c r="J70" i="4"/>
  <c r="H70" i="4"/>
  <c r="I70" i="4" s="1"/>
  <c r="F70" i="4"/>
  <c r="G70" i="4" s="1"/>
  <c r="E70" i="4"/>
  <c r="D70" i="4"/>
  <c r="B70" i="4"/>
  <c r="C70" i="4" s="1"/>
  <c r="AK69" i="4"/>
  <c r="AL69" i="4" s="1"/>
  <c r="AI69" i="4"/>
  <c r="AG69" i="4"/>
  <c r="AH69" i="4" s="1"/>
  <c r="AB69" i="4"/>
  <c r="AF69" i="4" s="1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I68" i="4"/>
  <c r="AH68" i="4"/>
  <c r="AG68" i="4"/>
  <c r="AK68" i="4" s="1"/>
  <c r="AL68" i="4" s="1"/>
  <c r="AB68" i="4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K67" i="4"/>
  <c r="AL67" i="4" s="1"/>
  <c r="AI67" i="4"/>
  <c r="AG67" i="4"/>
  <c r="AH67" i="4" s="1"/>
  <c r="AB67" i="4"/>
  <c r="AF67" i="4" s="1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I66" i="4"/>
  <c r="AH66" i="4"/>
  <c r="AG66" i="4"/>
  <c r="AK66" i="4" s="1"/>
  <c r="AL66" i="4" s="1"/>
  <c r="AB66" i="4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K65" i="4"/>
  <c r="AL65" i="4" s="1"/>
  <c r="AI65" i="4"/>
  <c r="AG65" i="4"/>
  <c r="AH65" i="4" s="1"/>
  <c r="AB65" i="4"/>
  <c r="AF65" i="4" s="1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I63" i="4"/>
  <c r="AH63" i="4"/>
  <c r="AG63" i="4"/>
  <c r="AK63" i="4" s="1"/>
  <c r="AL63" i="4" s="1"/>
  <c r="AB63" i="4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S59" i="4"/>
  <c r="Z57" i="4"/>
  <c r="AA57" i="4" s="1"/>
  <c r="X57" i="4"/>
  <c r="V57" i="4"/>
  <c r="W57" i="4" s="1"/>
  <c r="T57" i="4"/>
  <c r="U57" i="4" s="1"/>
  <c r="R57" i="4"/>
  <c r="S57" i="4" s="1"/>
  <c r="P57" i="4"/>
  <c r="Q57" i="4" s="1"/>
  <c r="N57" i="4"/>
  <c r="O57" i="4" s="1"/>
  <c r="L57" i="4"/>
  <c r="M57" i="4" s="1"/>
  <c r="J57" i="4"/>
  <c r="I57" i="4"/>
  <c r="H57" i="4"/>
  <c r="F57" i="4"/>
  <c r="G57" i="4" s="1"/>
  <c r="D57" i="4"/>
  <c r="E57" i="4" s="1"/>
  <c r="B57" i="4"/>
  <c r="C57" i="4" s="1"/>
  <c r="AK56" i="4"/>
  <c r="AL56" i="4" s="1"/>
  <c r="AD56" i="4"/>
  <c r="AC56" i="4"/>
  <c r="AA56" i="4"/>
  <c r="Z56" i="4"/>
  <c r="Y56" i="4"/>
  <c r="X56" i="4"/>
  <c r="V56" i="4"/>
  <c r="W56" i="4" s="1"/>
  <c r="U56" i="4"/>
  <c r="T56" i="4"/>
  <c r="S56" i="4"/>
  <c r="R56" i="4"/>
  <c r="AB56" i="4" s="1"/>
  <c r="AF56" i="4" s="1"/>
  <c r="P56" i="4"/>
  <c r="Q56" i="4" s="1"/>
  <c r="N56" i="4"/>
  <c r="AG56" i="4" s="1"/>
  <c r="M56" i="4"/>
  <c r="L56" i="4"/>
  <c r="K56" i="4"/>
  <c r="J56" i="4"/>
  <c r="I56" i="4"/>
  <c r="H56" i="4"/>
  <c r="F56" i="4"/>
  <c r="G56" i="4" s="1"/>
  <c r="E56" i="4"/>
  <c r="D56" i="4"/>
  <c r="C56" i="4"/>
  <c r="B56" i="4"/>
  <c r="AK55" i="4"/>
  <c r="AL55" i="4" s="1"/>
  <c r="AI55" i="4"/>
  <c r="AH55" i="4"/>
  <c r="AG55" i="4"/>
  <c r="AF55" i="4"/>
  <c r="AD55" i="4"/>
  <c r="AB55" i="4"/>
  <c r="AC55" i="4" s="1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I54" i="4"/>
  <c r="AH54" i="4"/>
  <c r="AG54" i="4"/>
  <c r="AK54" i="4" s="1"/>
  <c r="AL54" i="4" s="1"/>
  <c r="AB54" i="4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K53" i="4"/>
  <c r="AL53" i="4" s="1"/>
  <c r="AI53" i="4"/>
  <c r="AH53" i="4"/>
  <c r="AG53" i="4"/>
  <c r="AF53" i="4"/>
  <c r="AD53" i="4"/>
  <c r="AC53" i="4"/>
  <c r="AB53" i="4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AB52" i="4"/>
  <c r="Z52" i="4"/>
  <c r="AA52" i="4" s="1"/>
  <c r="X52" i="4"/>
  <c r="Y52" i="4" s="1"/>
  <c r="V52" i="4"/>
  <c r="W52" i="4" s="1"/>
  <c r="T52" i="4"/>
  <c r="U52" i="4" s="1"/>
  <c r="R52" i="4"/>
  <c r="S52" i="4" s="1"/>
  <c r="Q52" i="4"/>
  <c r="P52" i="4"/>
  <c r="N52" i="4"/>
  <c r="O52" i="4" s="1"/>
  <c r="L52" i="4"/>
  <c r="M52" i="4" s="1"/>
  <c r="K52" i="4"/>
  <c r="J52" i="4"/>
  <c r="H52" i="4"/>
  <c r="I52" i="4" s="1"/>
  <c r="F52" i="4"/>
  <c r="G52" i="4" s="1"/>
  <c r="D52" i="4"/>
  <c r="E52" i="4" s="1"/>
  <c r="B52" i="4"/>
  <c r="C52" i="4" s="1"/>
  <c r="AG51" i="4"/>
  <c r="AF51" i="4"/>
  <c r="AB51" i="4"/>
  <c r="AD51" i="4" s="1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G50" i="4"/>
  <c r="AK50" i="4" s="1"/>
  <c r="AL50" i="4" s="1"/>
  <c r="AF50" i="4"/>
  <c r="AD50" i="4"/>
  <c r="AC50" i="4"/>
  <c r="AB50" i="4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G49" i="4"/>
  <c r="AF49" i="4"/>
  <c r="AB49" i="4"/>
  <c r="AD49" i="4" s="1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G48" i="4"/>
  <c r="AK48" i="4" s="1"/>
  <c r="AL48" i="4" s="1"/>
  <c r="AF48" i="4"/>
  <c r="AD48" i="4"/>
  <c r="AC48" i="4"/>
  <c r="AB48" i="4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G47" i="4"/>
  <c r="AF47" i="4"/>
  <c r="AB47" i="4"/>
  <c r="AD47" i="4" s="1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G46" i="4"/>
  <c r="AK46" i="4" s="1"/>
  <c r="AL46" i="4" s="1"/>
  <c r="AF46" i="4"/>
  <c r="AD46" i="4"/>
  <c r="AC46" i="4"/>
  <c r="AB46" i="4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AF44" i="4"/>
  <c r="AA44" i="4"/>
  <c r="Z44" i="4"/>
  <c r="X44" i="4"/>
  <c r="W44" i="4"/>
  <c r="V44" i="4"/>
  <c r="U44" i="4"/>
  <c r="T44" i="4"/>
  <c r="R44" i="4"/>
  <c r="AB44" i="4" s="1"/>
  <c r="AC44" i="4" s="1"/>
  <c r="P44" i="4"/>
  <c r="O44" i="4"/>
  <c r="N44" i="4"/>
  <c r="L44" i="4"/>
  <c r="M44" i="4" s="1"/>
  <c r="K44" i="4"/>
  <c r="J44" i="4"/>
  <c r="H44" i="4"/>
  <c r="I44" i="4" s="1"/>
  <c r="G44" i="4"/>
  <c r="F44" i="4"/>
  <c r="E44" i="4"/>
  <c r="D44" i="4"/>
  <c r="B44" i="4"/>
  <c r="C44" i="4" s="1"/>
  <c r="AK43" i="4"/>
  <c r="AL43" i="4" s="1"/>
  <c r="AG43" i="4"/>
  <c r="AI43" i="4" s="1"/>
  <c r="AC43" i="4"/>
  <c r="AB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K42" i="4"/>
  <c r="AL42" i="4" s="1"/>
  <c r="AI42" i="4"/>
  <c r="AH42" i="4"/>
  <c r="AG42" i="4"/>
  <c r="AD42" i="4"/>
  <c r="AB42" i="4"/>
  <c r="AF42" i="4" s="1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L41" i="4"/>
  <c r="AK41" i="4"/>
  <c r="AG41" i="4"/>
  <c r="AI41" i="4" s="1"/>
  <c r="AC41" i="4"/>
  <c r="AB41" i="4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K40" i="4"/>
  <c r="AL40" i="4" s="1"/>
  <c r="AI40" i="4"/>
  <c r="AH40" i="4"/>
  <c r="AG40" i="4"/>
  <c r="AB40" i="4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L39" i="4"/>
  <c r="AK39" i="4"/>
  <c r="AG39" i="4"/>
  <c r="AI39" i="4" s="1"/>
  <c r="AB39" i="4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K37" i="4"/>
  <c r="AL37" i="4" s="1"/>
  <c r="AI37" i="4"/>
  <c r="AH37" i="4"/>
  <c r="AG37" i="4"/>
  <c r="AC37" i="4"/>
  <c r="AB37" i="4"/>
  <c r="AF37" i="4" s="1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Z35" i="4"/>
  <c r="AA35" i="4" s="1"/>
  <c r="X35" i="4"/>
  <c r="V35" i="4"/>
  <c r="W35" i="4" s="1"/>
  <c r="U35" i="4"/>
  <c r="T35" i="4"/>
  <c r="R35" i="4"/>
  <c r="S35" i="4" s="1"/>
  <c r="P35" i="4"/>
  <c r="Q35" i="4" s="1"/>
  <c r="N35" i="4"/>
  <c r="O35" i="4" s="1"/>
  <c r="L35" i="4"/>
  <c r="M35" i="4" s="1"/>
  <c r="K35" i="4"/>
  <c r="J35" i="4"/>
  <c r="H35" i="4"/>
  <c r="I35" i="4" s="1"/>
  <c r="F35" i="4"/>
  <c r="G35" i="4" s="1"/>
  <c r="D35" i="4"/>
  <c r="E35" i="4" s="1"/>
  <c r="B35" i="4"/>
  <c r="C35" i="4" s="1"/>
  <c r="AH34" i="4"/>
  <c r="AG34" i="4"/>
  <c r="AC34" i="4"/>
  <c r="AB34" i="4"/>
  <c r="AD34" i="4" s="1"/>
  <c r="Z34" i="4"/>
  <c r="AA34" i="4" s="1"/>
  <c r="Y34" i="4"/>
  <c r="X34" i="4"/>
  <c r="V34" i="4"/>
  <c r="W34" i="4" s="1"/>
  <c r="T34" i="4"/>
  <c r="U34" i="4" s="1"/>
  <c r="R34" i="4"/>
  <c r="S34" i="4" s="1"/>
  <c r="P34" i="4"/>
  <c r="Q34" i="4" s="1"/>
  <c r="O34" i="4"/>
  <c r="N34" i="4"/>
  <c r="M34" i="4"/>
  <c r="L34" i="4"/>
  <c r="J34" i="4"/>
  <c r="K34" i="4" s="1"/>
  <c r="I34" i="4"/>
  <c r="H34" i="4"/>
  <c r="F34" i="4"/>
  <c r="G34" i="4" s="1"/>
  <c r="D34" i="4"/>
  <c r="E34" i="4" s="1"/>
  <c r="B34" i="4"/>
  <c r="C34" i="4" s="1"/>
  <c r="AG33" i="4"/>
  <c r="AI33" i="4" s="1"/>
  <c r="AF33" i="4"/>
  <c r="AD33" i="4"/>
  <c r="AB33" i="4"/>
  <c r="AC33" i="4" s="1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L32" i="4"/>
  <c r="AG32" i="4"/>
  <c r="AK32" i="4" s="1"/>
  <c r="AC32" i="4"/>
  <c r="AB32" i="4"/>
  <c r="AF32" i="4" s="1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K31" i="4"/>
  <c r="AL31" i="4" s="1"/>
  <c r="AG31" i="4"/>
  <c r="AI31" i="4" s="1"/>
  <c r="AF31" i="4"/>
  <c r="AD31" i="4"/>
  <c r="AB31" i="4"/>
  <c r="AC31" i="4" s="1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L30" i="4"/>
  <c r="AH30" i="4"/>
  <c r="AG30" i="4"/>
  <c r="AK30" i="4" s="1"/>
  <c r="AC30" i="4"/>
  <c r="AB30" i="4"/>
  <c r="AF30" i="4" s="1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F29" i="4"/>
  <c r="AD29" i="4"/>
  <c r="AC29" i="4"/>
  <c r="AB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AB27" i="4"/>
  <c r="AC27" i="4" s="1"/>
  <c r="Z27" i="4"/>
  <c r="AA27" i="4" s="1"/>
  <c r="X27" i="4"/>
  <c r="V27" i="4"/>
  <c r="W27" i="4" s="1"/>
  <c r="T27" i="4"/>
  <c r="U27" i="4" s="1"/>
  <c r="R27" i="4"/>
  <c r="S27" i="4" s="1"/>
  <c r="P27" i="4"/>
  <c r="Q27" i="4" s="1"/>
  <c r="O27" i="4"/>
  <c r="N27" i="4"/>
  <c r="L27" i="4"/>
  <c r="M27" i="4" s="1"/>
  <c r="J27" i="4"/>
  <c r="H27" i="4"/>
  <c r="I27" i="4" s="1"/>
  <c r="G27" i="4"/>
  <c r="F27" i="4"/>
  <c r="D27" i="4"/>
  <c r="E27" i="4" s="1"/>
  <c r="B27" i="4"/>
  <c r="C27" i="4" s="1"/>
  <c r="AH26" i="4"/>
  <c r="AG26" i="4"/>
  <c r="AK26" i="4" s="1"/>
  <c r="AL26" i="4" s="1"/>
  <c r="AD26" i="4"/>
  <c r="AB26" i="4"/>
  <c r="AF26" i="4" s="1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L25" i="4"/>
  <c r="AK25" i="4"/>
  <c r="AI25" i="4"/>
  <c r="AG25" i="4"/>
  <c r="AH25" i="4" s="1"/>
  <c r="AB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G24" i="4"/>
  <c r="AK24" i="4" s="1"/>
  <c r="AL24" i="4" s="1"/>
  <c r="AB24" i="4"/>
  <c r="AF24" i="4" s="1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G23" i="4"/>
  <c r="AK23" i="4" s="1"/>
  <c r="AL23" i="4" s="1"/>
  <c r="AF23" i="4"/>
  <c r="AB23" i="4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K22" i="4"/>
  <c r="AL22" i="4" s="1"/>
  <c r="AG22" i="4"/>
  <c r="AI22" i="4" s="1"/>
  <c r="AF22" i="4"/>
  <c r="AC22" i="4"/>
  <c r="AB22" i="4"/>
  <c r="AD22" i="4" s="1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K21" i="4"/>
  <c r="AL21" i="4" s="1"/>
  <c r="AG21" i="4"/>
  <c r="AI21" i="4" s="1"/>
  <c r="AB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K20" i="4"/>
  <c r="AL20" i="4" s="1"/>
  <c r="AG20" i="4"/>
  <c r="AI20" i="4" s="1"/>
  <c r="AF20" i="4"/>
  <c r="AC20" i="4"/>
  <c r="AB20" i="4"/>
  <c r="AD20" i="4" s="1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K19" i="4"/>
  <c r="AL19" i="4" s="1"/>
  <c r="AG19" i="4"/>
  <c r="AI19" i="4" s="1"/>
  <c r="AB19" i="4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K18" i="4"/>
  <c r="AL18" i="4" s="1"/>
  <c r="AG18" i="4"/>
  <c r="AI18" i="4" s="1"/>
  <c r="AF18" i="4"/>
  <c r="AC18" i="4"/>
  <c r="AB18" i="4"/>
  <c r="AD18" i="4" s="1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K17" i="4"/>
  <c r="AL17" i="4" s="1"/>
  <c r="AG17" i="4"/>
  <c r="AI17" i="4" s="1"/>
  <c r="AC17" i="4"/>
  <c r="AB17" i="4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K16" i="4"/>
  <c r="AL16" i="4" s="1"/>
  <c r="AG16" i="4"/>
  <c r="AI16" i="4" s="1"/>
  <c r="AF16" i="4"/>
  <c r="AC16" i="4"/>
  <c r="AB16" i="4"/>
  <c r="AD16" i="4" s="1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K15" i="4"/>
  <c r="AL15" i="4" s="1"/>
  <c r="AG15" i="4"/>
  <c r="AI15" i="4" s="1"/>
  <c r="AC15" i="4"/>
  <c r="AB15" i="4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K13" i="4"/>
  <c r="AL13" i="4" s="1"/>
  <c r="AG13" i="4"/>
  <c r="AI13" i="4" s="1"/>
  <c r="AF13" i="4"/>
  <c r="AC13" i="4"/>
  <c r="AB13" i="4"/>
  <c r="AD13" i="4" s="1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AB9" i="4"/>
  <c r="AC9" i="4" s="1"/>
  <c r="Z9" i="4"/>
  <c r="Z59" i="4" s="1"/>
  <c r="Z87" i="4" s="1"/>
  <c r="Y9" i="4"/>
  <c r="X9" i="4"/>
  <c r="V9" i="4"/>
  <c r="V59" i="4" s="1"/>
  <c r="U9" i="4"/>
  <c r="T9" i="4"/>
  <c r="T59" i="4" s="1"/>
  <c r="R9" i="4"/>
  <c r="R59" i="4" s="1"/>
  <c r="R87" i="4" s="1"/>
  <c r="P9" i="4"/>
  <c r="N9" i="4"/>
  <c r="N59" i="4" s="1"/>
  <c r="L9" i="4"/>
  <c r="L59" i="4" s="1"/>
  <c r="J9" i="4"/>
  <c r="J59" i="4" s="1"/>
  <c r="I9" i="4"/>
  <c r="H9" i="4"/>
  <c r="H59" i="4" s="1"/>
  <c r="F9" i="4"/>
  <c r="F59" i="4" s="1"/>
  <c r="E9" i="4"/>
  <c r="D9" i="4"/>
  <c r="D59" i="4" s="1"/>
  <c r="E59" i="4" s="1"/>
  <c r="B9" i="4"/>
  <c r="B59" i="4" s="1"/>
  <c r="C59" i="4" s="1"/>
  <c r="AH8" i="4"/>
  <c r="AG8" i="4"/>
  <c r="AF8" i="4"/>
  <c r="AD8" i="4"/>
  <c r="AC8" i="4"/>
  <c r="AB8" i="4"/>
  <c r="AA8" i="4"/>
  <c r="Y8" i="4"/>
  <c r="W8" i="4"/>
  <c r="U8" i="4"/>
  <c r="S8" i="4"/>
  <c r="Q8" i="4"/>
  <c r="O8" i="4"/>
  <c r="M8" i="4"/>
  <c r="K8" i="4"/>
  <c r="I8" i="4"/>
  <c r="G8" i="4"/>
  <c r="E8" i="4"/>
  <c r="C8" i="4"/>
  <c r="AL7" i="4"/>
  <c r="AK7" i="4"/>
  <c r="AH7" i="4"/>
  <c r="AG7" i="4"/>
  <c r="AI7" i="4" s="1"/>
  <c r="AB7" i="4"/>
  <c r="AF7" i="4" s="1"/>
  <c r="AA7" i="4"/>
  <c r="Y7" i="4"/>
  <c r="W7" i="4"/>
  <c r="U7" i="4"/>
  <c r="S7" i="4"/>
  <c r="Q7" i="4"/>
  <c r="O7" i="4"/>
  <c r="M7" i="4"/>
  <c r="K7" i="4"/>
  <c r="I7" i="4"/>
  <c r="G7" i="4"/>
  <c r="E7" i="4"/>
  <c r="C7" i="4"/>
  <c r="AG148" i="3"/>
  <c r="AK148" i="3" s="1"/>
  <c r="AD148" i="3"/>
  <c r="AE104" i="3" s="1"/>
  <c r="AB148" i="3"/>
  <c r="AB145" i="3"/>
  <c r="AC145" i="3" s="1"/>
  <c r="Z145" i="3"/>
  <c r="AA145" i="3" s="1"/>
  <c r="Y145" i="3"/>
  <c r="X145" i="3"/>
  <c r="V145" i="3"/>
  <c r="W145" i="3" s="1"/>
  <c r="U145" i="3"/>
  <c r="T145" i="3"/>
  <c r="R145" i="3"/>
  <c r="S145" i="3" s="1"/>
  <c r="P145" i="3"/>
  <c r="Q145" i="3" s="1"/>
  <c r="O145" i="3"/>
  <c r="N145" i="3"/>
  <c r="L145" i="3"/>
  <c r="M145" i="3" s="1"/>
  <c r="J145" i="3"/>
  <c r="I145" i="3"/>
  <c r="H145" i="3"/>
  <c r="F145" i="3"/>
  <c r="G145" i="3" s="1"/>
  <c r="E145" i="3"/>
  <c r="D145" i="3"/>
  <c r="B145" i="3"/>
  <c r="C145" i="3" s="1"/>
  <c r="AG144" i="3"/>
  <c r="AF144" i="3"/>
  <c r="AD144" i="3"/>
  <c r="AE144" i="3" s="1"/>
  <c r="AB144" i="3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Y141" i="3"/>
  <c r="X141" i="3"/>
  <c r="V141" i="3"/>
  <c r="AB141" i="3" s="1"/>
  <c r="AC141" i="3" s="1"/>
  <c r="U141" i="3"/>
  <c r="T141" i="3"/>
  <c r="R141" i="3"/>
  <c r="S141" i="3" s="1"/>
  <c r="P141" i="3"/>
  <c r="Q141" i="3" s="1"/>
  <c r="N141" i="3"/>
  <c r="O141" i="3" s="1"/>
  <c r="L141" i="3"/>
  <c r="M141" i="3" s="1"/>
  <c r="J141" i="3"/>
  <c r="I141" i="3"/>
  <c r="H141" i="3"/>
  <c r="F141" i="3"/>
  <c r="G141" i="3" s="1"/>
  <c r="E141" i="3"/>
  <c r="D141" i="3"/>
  <c r="B141" i="3"/>
  <c r="C141" i="3" s="1"/>
  <c r="AG140" i="3"/>
  <c r="AK140" i="3" s="1"/>
  <c r="AL140" i="3" s="1"/>
  <c r="AF140" i="3"/>
  <c r="AE140" i="3"/>
  <c r="AD140" i="3"/>
  <c r="AB140" i="3"/>
  <c r="AC140" i="3" s="1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AB135" i="3"/>
  <c r="AC135" i="3" s="1"/>
  <c r="AA135" i="3"/>
  <c r="Z135" i="3"/>
  <c r="X135" i="3"/>
  <c r="AK135" i="3" s="1"/>
  <c r="AL135" i="3" s="1"/>
  <c r="W135" i="3"/>
  <c r="V135" i="3"/>
  <c r="T135" i="3"/>
  <c r="U135" i="3" s="1"/>
  <c r="R135" i="3"/>
  <c r="S135" i="3" s="1"/>
  <c r="P135" i="3"/>
  <c r="Q135" i="3" s="1"/>
  <c r="N135" i="3"/>
  <c r="O135" i="3" s="1"/>
  <c r="L135" i="3"/>
  <c r="M135" i="3" s="1"/>
  <c r="K135" i="3"/>
  <c r="J135" i="3"/>
  <c r="AG135" i="3" s="1"/>
  <c r="AH135" i="3" s="1"/>
  <c r="H135" i="3"/>
  <c r="I135" i="3" s="1"/>
  <c r="G135" i="3"/>
  <c r="F135" i="3"/>
  <c r="D135" i="3"/>
  <c r="E135" i="3" s="1"/>
  <c r="B135" i="3"/>
  <c r="C135" i="3" s="1"/>
  <c r="AG134" i="3"/>
  <c r="AF134" i="3"/>
  <c r="AB134" i="3"/>
  <c r="AD134" i="3" s="1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K133" i="3"/>
  <c r="AL133" i="3" s="1"/>
  <c r="AG133" i="3"/>
  <c r="AI133" i="3" s="1"/>
  <c r="AB133" i="3"/>
  <c r="AF133" i="3" s="1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G132" i="3"/>
  <c r="AF132" i="3"/>
  <c r="AB132" i="3"/>
  <c r="AD132" i="3" s="1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K131" i="3"/>
  <c r="AL131" i="3" s="1"/>
  <c r="AG131" i="3"/>
  <c r="AI131" i="3" s="1"/>
  <c r="AB131" i="3"/>
  <c r="AF131" i="3" s="1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F130" i="3"/>
  <c r="AB130" i="3"/>
  <c r="AD130" i="3" s="1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K129" i="3"/>
  <c r="AL129" i="3" s="1"/>
  <c r="AG129" i="3"/>
  <c r="AI129" i="3" s="1"/>
  <c r="AB129" i="3"/>
  <c r="AF129" i="3" s="1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G128" i="3"/>
  <c r="AF128" i="3"/>
  <c r="AB128" i="3"/>
  <c r="AD128" i="3" s="1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K127" i="3"/>
  <c r="AL127" i="3" s="1"/>
  <c r="AG127" i="3"/>
  <c r="AI127" i="3" s="1"/>
  <c r="AB127" i="3"/>
  <c r="AF127" i="3" s="1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F126" i="3"/>
  <c r="AB126" i="3"/>
  <c r="AD126" i="3" s="1"/>
  <c r="AE126" i="3" s="1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K125" i="3"/>
  <c r="AL125" i="3" s="1"/>
  <c r="AG125" i="3"/>
  <c r="AI125" i="3" s="1"/>
  <c r="AB125" i="3"/>
  <c r="AF125" i="3" s="1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G124" i="3"/>
  <c r="AF124" i="3"/>
  <c r="AB124" i="3"/>
  <c r="AD124" i="3" s="1"/>
  <c r="AE124" i="3" s="1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K123" i="3"/>
  <c r="AL123" i="3" s="1"/>
  <c r="AG123" i="3"/>
  <c r="AI123" i="3" s="1"/>
  <c r="AB123" i="3"/>
  <c r="AF123" i="3" s="1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G122" i="3"/>
  <c r="AF122" i="3"/>
  <c r="AB122" i="3"/>
  <c r="AD122" i="3" s="1"/>
  <c r="AE122" i="3" s="1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K121" i="3"/>
  <c r="AL121" i="3" s="1"/>
  <c r="AG121" i="3"/>
  <c r="AI121" i="3" s="1"/>
  <c r="AB121" i="3"/>
  <c r="AF121" i="3" s="1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F120" i="3"/>
  <c r="AB120" i="3"/>
  <c r="AD120" i="3" s="1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K119" i="3"/>
  <c r="AL119" i="3" s="1"/>
  <c r="AG119" i="3"/>
  <c r="AI119" i="3" s="1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K118" i="3" s="1"/>
  <c r="AL118" i="3" s="1"/>
  <c r="AF118" i="3"/>
  <c r="AB118" i="3"/>
  <c r="AD118" i="3" s="1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K117" i="3"/>
  <c r="AL117" i="3" s="1"/>
  <c r="AG117" i="3"/>
  <c r="AI117" i="3" s="1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I116" i="3"/>
  <c r="AG116" i="3"/>
  <c r="AK116" i="3" s="1"/>
  <c r="AL116" i="3" s="1"/>
  <c r="AF116" i="3"/>
  <c r="AB116" i="3"/>
  <c r="AD116" i="3" s="1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K115" i="3"/>
  <c r="AL115" i="3" s="1"/>
  <c r="AG115" i="3"/>
  <c r="AI115" i="3" s="1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G114" i="3"/>
  <c r="AK114" i="3" s="1"/>
  <c r="AL114" i="3" s="1"/>
  <c r="AF114" i="3"/>
  <c r="AB114" i="3"/>
  <c r="AD114" i="3" s="1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K113" i="3"/>
  <c r="AL113" i="3" s="1"/>
  <c r="AG113" i="3"/>
  <c r="AI113" i="3" s="1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I112" i="3"/>
  <c r="AH112" i="3"/>
  <c r="AG112" i="3"/>
  <c r="AK112" i="3" s="1"/>
  <c r="AL112" i="3" s="1"/>
  <c r="AF112" i="3"/>
  <c r="AB112" i="3"/>
  <c r="AD112" i="3" s="1"/>
  <c r="AE112" i="3" s="1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K111" i="3"/>
  <c r="AL111" i="3" s="1"/>
  <c r="AG111" i="3"/>
  <c r="AI111" i="3" s="1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H110" i="3"/>
  <c r="AG110" i="3"/>
  <c r="AK110" i="3" s="1"/>
  <c r="AL110" i="3" s="1"/>
  <c r="AF110" i="3"/>
  <c r="AC110" i="3"/>
  <c r="AB110" i="3"/>
  <c r="AD110" i="3" s="1"/>
  <c r="AE110" i="3" s="1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Z105" i="3"/>
  <c r="AA105" i="3" s="1"/>
  <c r="Y105" i="3"/>
  <c r="X105" i="3"/>
  <c r="V105" i="3"/>
  <c r="W105" i="3" s="1"/>
  <c r="U105" i="3"/>
  <c r="T105" i="3"/>
  <c r="R105" i="3"/>
  <c r="S105" i="3" s="1"/>
  <c r="Q105" i="3"/>
  <c r="P105" i="3"/>
  <c r="O105" i="3"/>
  <c r="N105" i="3"/>
  <c r="M105" i="3"/>
  <c r="L105" i="3"/>
  <c r="J105" i="3"/>
  <c r="K105" i="3" s="1"/>
  <c r="I105" i="3"/>
  <c r="H105" i="3"/>
  <c r="F105" i="3"/>
  <c r="G105" i="3" s="1"/>
  <c r="D105" i="3"/>
  <c r="E105" i="3" s="1"/>
  <c r="B105" i="3"/>
  <c r="C105" i="3" s="1"/>
  <c r="AK104" i="3"/>
  <c r="AL104" i="3" s="1"/>
  <c r="AI104" i="3"/>
  <c r="AH104" i="3"/>
  <c r="AG104" i="3"/>
  <c r="AD104" i="3"/>
  <c r="AB104" i="3"/>
  <c r="AC104" i="3" s="1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AA99" i="3"/>
  <c r="Z99" i="3"/>
  <c r="X99" i="3"/>
  <c r="Y99" i="3" s="1"/>
  <c r="V99" i="3"/>
  <c r="W99" i="3" s="1"/>
  <c r="T99" i="3"/>
  <c r="U99" i="3" s="1"/>
  <c r="R99" i="3"/>
  <c r="AG99" i="3" s="1"/>
  <c r="Q99" i="3"/>
  <c r="P99" i="3"/>
  <c r="O99" i="3"/>
  <c r="N99" i="3"/>
  <c r="L99" i="3"/>
  <c r="M99" i="3" s="1"/>
  <c r="J99" i="3"/>
  <c r="K99" i="3" s="1"/>
  <c r="H99" i="3"/>
  <c r="I99" i="3" s="1"/>
  <c r="F99" i="3"/>
  <c r="G99" i="3" s="1"/>
  <c r="D99" i="3"/>
  <c r="E99" i="3" s="1"/>
  <c r="B99" i="3"/>
  <c r="C99" i="3" s="1"/>
  <c r="AK98" i="3"/>
  <c r="AL98" i="3" s="1"/>
  <c r="AG98" i="3"/>
  <c r="AF98" i="3"/>
  <c r="AB98" i="3"/>
  <c r="AD98" i="3" s="1"/>
  <c r="AE98" i="3" s="1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K97" i="3" s="1"/>
  <c r="AL97" i="3" s="1"/>
  <c r="AF97" i="3"/>
  <c r="AC97" i="3"/>
  <c r="AB97" i="3"/>
  <c r="AD97" i="3" s="1"/>
  <c r="AE97" i="3" s="1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K96" i="3"/>
  <c r="AL96" i="3" s="1"/>
  <c r="AG96" i="3"/>
  <c r="AB96" i="3"/>
  <c r="AD96" i="3" s="1"/>
  <c r="AE96" i="3" s="1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G95" i="3"/>
  <c r="AK95" i="3" s="1"/>
  <c r="AL95" i="3" s="1"/>
  <c r="AF95" i="3"/>
  <c r="AE95" i="3"/>
  <c r="AD95" i="3"/>
  <c r="AC95" i="3"/>
  <c r="AB95" i="3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G94" i="3"/>
  <c r="AB94" i="3"/>
  <c r="AD94" i="3" s="1"/>
  <c r="AE94" i="3" s="1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G93" i="3"/>
  <c r="AK93" i="3" s="1"/>
  <c r="AL93" i="3" s="1"/>
  <c r="AC93" i="3"/>
  <c r="AB93" i="3"/>
  <c r="AF93" i="3" s="1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K92" i="3"/>
  <c r="AL92" i="3" s="1"/>
  <c r="AG92" i="3"/>
  <c r="AB92" i="3"/>
  <c r="AD92" i="3" s="1"/>
  <c r="AE92" i="3" s="1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K91" i="3" s="1"/>
  <c r="AL91" i="3" s="1"/>
  <c r="AD91" i="3"/>
  <c r="AE91" i="3" s="1"/>
  <c r="AB91" i="3"/>
  <c r="AC91" i="3" s="1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G90" i="3"/>
  <c r="AB90" i="3"/>
  <c r="AD90" i="3" s="1"/>
  <c r="AE90" i="3" s="1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Z85" i="3"/>
  <c r="AA85" i="3" s="1"/>
  <c r="X85" i="3"/>
  <c r="Y85" i="3" s="1"/>
  <c r="V85" i="3"/>
  <c r="W85" i="3" s="1"/>
  <c r="U85" i="3"/>
  <c r="T85" i="3"/>
  <c r="R85" i="3"/>
  <c r="AB85" i="3" s="1"/>
  <c r="AC85" i="3" s="1"/>
  <c r="Q85" i="3"/>
  <c r="P85" i="3"/>
  <c r="N85" i="3"/>
  <c r="O85" i="3" s="1"/>
  <c r="L85" i="3"/>
  <c r="M85" i="3" s="1"/>
  <c r="J85" i="3"/>
  <c r="K85" i="3" s="1"/>
  <c r="H85" i="3"/>
  <c r="I85" i="3" s="1"/>
  <c r="F85" i="3"/>
  <c r="G85" i="3" s="1"/>
  <c r="E85" i="3"/>
  <c r="D85" i="3"/>
  <c r="B85" i="3"/>
  <c r="C85" i="3" s="1"/>
  <c r="Z84" i="3"/>
  <c r="AA84" i="3" s="1"/>
  <c r="X84" i="3"/>
  <c r="V84" i="3"/>
  <c r="W84" i="3" s="1"/>
  <c r="T84" i="3"/>
  <c r="U84" i="3" s="1"/>
  <c r="S84" i="3"/>
  <c r="R84" i="3"/>
  <c r="P84" i="3"/>
  <c r="Q84" i="3" s="1"/>
  <c r="O84" i="3"/>
  <c r="N84" i="3"/>
  <c r="M84" i="3"/>
  <c r="L84" i="3"/>
  <c r="J84" i="3"/>
  <c r="H84" i="3"/>
  <c r="I84" i="3" s="1"/>
  <c r="F84" i="3"/>
  <c r="G84" i="3" s="1"/>
  <c r="D84" i="3"/>
  <c r="E84" i="3" s="1"/>
  <c r="C84" i="3"/>
  <c r="B84" i="3"/>
  <c r="AH83" i="3"/>
  <c r="AG83" i="3"/>
  <c r="AK83" i="3" s="1"/>
  <c r="AL83" i="3" s="1"/>
  <c r="AD83" i="3"/>
  <c r="AE83" i="3" s="1"/>
  <c r="AB83" i="3"/>
  <c r="AF83" i="3" s="1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L82" i="3"/>
  <c r="AK82" i="3"/>
  <c r="AI82" i="3"/>
  <c r="AG82" i="3"/>
  <c r="AH82" i="3" s="1"/>
  <c r="AF82" i="3"/>
  <c r="AB82" i="3"/>
  <c r="AD82" i="3" s="1"/>
  <c r="AE82" i="3" s="1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AB81" i="3"/>
  <c r="AC81" i="3" s="1"/>
  <c r="AA81" i="3"/>
  <c r="Z81" i="3"/>
  <c r="Y81" i="3"/>
  <c r="X81" i="3"/>
  <c r="W81" i="3"/>
  <c r="V81" i="3"/>
  <c r="T81" i="3"/>
  <c r="U81" i="3" s="1"/>
  <c r="R81" i="3"/>
  <c r="S81" i="3" s="1"/>
  <c r="P81" i="3"/>
  <c r="Q81" i="3" s="1"/>
  <c r="N81" i="3"/>
  <c r="O81" i="3" s="1"/>
  <c r="L81" i="3"/>
  <c r="M81" i="3" s="1"/>
  <c r="K81" i="3"/>
  <c r="J81" i="3"/>
  <c r="AG81" i="3" s="1"/>
  <c r="AH81" i="3" s="1"/>
  <c r="I81" i="3"/>
  <c r="H81" i="3"/>
  <c r="G81" i="3"/>
  <c r="F81" i="3"/>
  <c r="D81" i="3"/>
  <c r="E81" i="3" s="1"/>
  <c r="B81" i="3"/>
  <c r="C81" i="3" s="1"/>
  <c r="AG80" i="3"/>
  <c r="AD80" i="3"/>
  <c r="AE80" i="3" s="1"/>
  <c r="AB80" i="3"/>
  <c r="AF80" i="3" s="1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L79" i="3"/>
  <c r="AK79" i="3"/>
  <c r="AG79" i="3"/>
  <c r="AI79" i="3" s="1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I78" i="3"/>
  <c r="AG78" i="3"/>
  <c r="AK78" i="3" s="1"/>
  <c r="AL78" i="3" s="1"/>
  <c r="AF78" i="3"/>
  <c r="AC78" i="3"/>
  <c r="AB78" i="3"/>
  <c r="AD78" i="3" s="1"/>
  <c r="AE78" i="3" s="1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K77" i="3"/>
  <c r="AL77" i="3" s="1"/>
  <c r="AG77" i="3"/>
  <c r="AD77" i="3"/>
  <c r="AE77" i="3" s="1"/>
  <c r="AB77" i="3"/>
  <c r="AF77" i="3" s="1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H76" i="3"/>
  <c r="AG76" i="3"/>
  <c r="AK76" i="3" s="1"/>
  <c r="AL76" i="3" s="1"/>
  <c r="AB76" i="3"/>
  <c r="AF76" i="3" s="1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G75" i="3"/>
  <c r="AF75" i="3"/>
  <c r="AD75" i="3"/>
  <c r="AE75" i="3" s="1"/>
  <c r="AC75" i="3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K74" i="3"/>
  <c r="AL74" i="3" s="1"/>
  <c r="AG74" i="3"/>
  <c r="AI74" i="3" s="1"/>
  <c r="AD74" i="3"/>
  <c r="AE74" i="3" s="1"/>
  <c r="AB74" i="3"/>
  <c r="AF74" i="3" s="1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H72" i="3"/>
  <c r="AG72" i="3"/>
  <c r="AI72" i="3" s="1"/>
  <c r="AB72" i="3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K71" i="3"/>
  <c r="AL71" i="3" s="1"/>
  <c r="AH71" i="3"/>
  <c r="AG71" i="3"/>
  <c r="AI71" i="3" s="1"/>
  <c r="AF71" i="3"/>
  <c r="AD71" i="3"/>
  <c r="AE71" i="3" s="1"/>
  <c r="AC71" i="3"/>
  <c r="AB71" i="3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AF70" i="3"/>
  <c r="AB70" i="3"/>
  <c r="AC70" i="3" s="1"/>
  <c r="Z70" i="3"/>
  <c r="AA70" i="3" s="1"/>
  <c r="X70" i="3"/>
  <c r="Y70" i="3" s="1"/>
  <c r="V70" i="3"/>
  <c r="W70" i="3" s="1"/>
  <c r="U70" i="3"/>
  <c r="T70" i="3"/>
  <c r="R70" i="3"/>
  <c r="S70" i="3" s="1"/>
  <c r="P70" i="3"/>
  <c r="Q70" i="3" s="1"/>
  <c r="O70" i="3"/>
  <c r="N70" i="3"/>
  <c r="L70" i="3"/>
  <c r="J70" i="3"/>
  <c r="K70" i="3" s="1"/>
  <c r="H70" i="3"/>
  <c r="I70" i="3" s="1"/>
  <c r="F70" i="3"/>
  <c r="G70" i="3" s="1"/>
  <c r="E70" i="3"/>
  <c r="D70" i="3"/>
  <c r="B70" i="3"/>
  <c r="C70" i="3" s="1"/>
  <c r="AG69" i="3"/>
  <c r="AC69" i="3"/>
  <c r="AB69" i="3"/>
  <c r="AF69" i="3" s="1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K68" i="3"/>
  <c r="AL68" i="3" s="1"/>
  <c r="AI68" i="3"/>
  <c r="AH68" i="3"/>
  <c r="AG68" i="3"/>
  <c r="AC68" i="3"/>
  <c r="AB68" i="3"/>
  <c r="AF68" i="3" s="1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G67" i="3"/>
  <c r="AC67" i="3"/>
  <c r="AB67" i="3"/>
  <c r="AF67" i="3" s="1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K66" i="3"/>
  <c r="AL66" i="3" s="1"/>
  <c r="AI66" i="3"/>
  <c r="AH66" i="3"/>
  <c r="AG66" i="3"/>
  <c r="AC66" i="3"/>
  <c r="AB66" i="3"/>
  <c r="AF66" i="3" s="1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G65" i="3"/>
  <c r="AC65" i="3"/>
  <c r="AB65" i="3"/>
  <c r="AF65" i="3" s="1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K63" i="3"/>
  <c r="AL63" i="3" s="1"/>
  <c r="AI63" i="3"/>
  <c r="AH63" i="3"/>
  <c r="AG63" i="3"/>
  <c r="AC63" i="3"/>
  <c r="AB63" i="3"/>
  <c r="AF63" i="3" s="1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E59" i="3"/>
  <c r="Z57" i="3"/>
  <c r="AA57" i="3" s="1"/>
  <c r="Y57" i="3"/>
  <c r="X57" i="3"/>
  <c r="V57" i="3"/>
  <c r="T57" i="3"/>
  <c r="U57" i="3" s="1"/>
  <c r="R57" i="3"/>
  <c r="S57" i="3" s="1"/>
  <c r="P57" i="3"/>
  <c r="Q57" i="3" s="1"/>
  <c r="O57" i="3"/>
  <c r="N57" i="3"/>
  <c r="L57" i="3"/>
  <c r="M57" i="3" s="1"/>
  <c r="J57" i="3"/>
  <c r="I57" i="3"/>
  <c r="H57" i="3"/>
  <c r="F57" i="3"/>
  <c r="G57" i="3" s="1"/>
  <c r="D57" i="3"/>
  <c r="E57" i="3" s="1"/>
  <c r="B57" i="3"/>
  <c r="C57" i="3" s="1"/>
  <c r="AG56" i="3"/>
  <c r="AK56" i="3" s="1"/>
  <c r="AL56" i="3" s="1"/>
  <c r="AA56" i="3"/>
  <c r="Z56" i="3"/>
  <c r="Y56" i="3"/>
  <c r="X56" i="3"/>
  <c r="W56" i="3"/>
  <c r="V56" i="3"/>
  <c r="U56" i="3"/>
  <c r="T56" i="3"/>
  <c r="AB56" i="3" s="1"/>
  <c r="R56" i="3"/>
  <c r="S56" i="3" s="1"/>
  <c r="Q56" i="3"/>
  <c r="P56" i="3"/>
  <c r="O56" i="3"/>
  <c r="N56" i="3"/>
  <c r="L56" i="3"/>
  <c r="M56" i="3" s="1"/>
  <c r="K56" i="3"/>
  <c r="J56" i="3"/>
  <c r="I56" i="3"/>
  <c r="H56" i="3"/>
  <c r="G56" i="3"/>
  <c r="F56" i="3"/>
  <c r="D56" i="3"/>
  <c r="E56" i="3" s="1"/>
  <c r="B56" i="3"/>
  <c r="C56" i="3" s="1"/>
  <c r="AL55" i="3"/>
  <c r="AK55" i="3"/>
  <c r="AI55" i="3"/>
  <c r="AG55" i="3"/>
  <c r="AH55" i="3" s="1"/>
  <c r="AF55" i="3"/>
  <c r="AB55" i="3"/>
  <c r="AD55" i="3" s="1"/>
  <c r="AE55" i="3" s="1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G54" i="3"/>
  <c r="AK54" i="3" s="1"/>
  <c r="AL54" i="3" s="1"/>
  <c r="AB54" i="3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L53" i="3"/>
  <c r="AK53" i="3"/>
  <c r="AI53" i="3"/>
  <c r="AG53" i="3"/>
  <c r="AH53" i="3" s="1"/>
  <c r="AF53" i="3"/>
  <c r="AB53" i="3"/>
  <c r="AD53" i="3" s="1"/>
  <c r="AE53" i="3" s="1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AB52" i="3"/>
  <c r="AC52" i="3" s="1"/>
  <c r="AA52" i="3"/>
  <c r="Z52" i="3"/>
  <c r="X52" i="3"/>
  <c r="V52" i="3"/>
  <c r="W52" i="3" s="1"/>
  <c r="T52" i="3"/>
  <c r="U52" i="3" s="1"/>
  <c r="R52" i="3"/>
  <c r="S52" i="3" s="1"/>
  <c r="Q52" i="3"/>
  <c r="P52" i="3"/>
  <c r="N52" i="3"/>
  <c r="O52" i="3" s="1"/>
  <c r="L52" i="3"/>
  <c r="K52" i="3"/>
  <c r="J52" i="3"/>
  <c r="H52" i="3"/>
  <c r="I52" i="3" s="1"/>
  <c r="F52" i="3"/>
  <c r="G52" i="3" s="1"/>
  <c r="D52" i="3"/>
  <c r="E52" i="3" s="1"/>
  <c r="B52" i="3"/>
  <c r="C52" i="3" s="1"/>
  <c r="AG51" i="3"/>
  <c r="AF51" i="3"/>
  <c r="AD51" i="3"/>
  <c r="AE51" i="3" s="1"/>
  <c r="AC51" i="3"/>
  <c r="AB51" i="3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K50" i="3"/>
  <c r="AL50" i="3" s="1"/>
  <c r="AG50" i="3"/>
  <c r="AI50" i="3" s="1"/>
  <c r="AD50" i="3"/>
  <c r="AE50" i="3" s="1"/>
  <c r="AB50" i="3"/>
  <c r="AF50" i="3" s="1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G49" i="3"/>
  <c r="AF49" i="3"/>
  <c r="AD49" i="3"/>
  <c r="AE49" i="3" s="1"/>
  <c r="AC49" i="3"/>
  <c r="AB49" i="3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K48" i="3"/>
  <c r="AL48" i="3" s="1"/>
  <c r="AG48" i="3"/>
  <c r="AI48" i="3" s="1"/>
  <c r="AE48" i="3"/>
  <c r="AD48" i="3"/>
  <c r="AB48" i="3"/>
  <c r="AF48" i="3" s="1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I47" i="3"/>
  <c r="AG47" i="3"/>
  <c r="AF47" i="3"/>
  <c r="AD47" i="3"/>
  <c r="AE47" i="3" s="1"/>
  <c r="AC47" i="3"/>
  <c r="AB47" i="3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K46" i="3"/>
  <c r="AL46" i="3" s="1"/>
  <c r="AG46" i="3"/>
  <c r="AI46" i="3" s="1"/>
  <c r="AD46" i="3"/>
  <c r="AE46" i="3" s="1"/>
  <c r="AB46" i="3"/>
  <c r="AF46" i="3" s="1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AA44" i="3"/>
  <c r="Z44" i="3"/>
  <c r="Y44" i="3"/>
  <c r="X44" i="3"/>
  <c r="V44" i="3"/>
  <c r="W44" i="3" s="1"/>
  <c r="T44" i="3"/>
  <c r="U44" i="3" s="1"/>
  <c r="S44" i="3"/>
  <c r="R44" i="3"/>
  <c r="P44" i="3"/>
  <c r="Q44" i="3" s="1"/>
  <c r="N44" i="3"/>
  <c r="O44" i="3" s="1"/>
  <c r="M44" i="3"/>
  <c r="L44" i="3"/>
  <c r="K44" i="3"/>
  <c r="J44" i="3"/>
  <c r="I44" i="3"/>
  <c r="H44" i="3"/>
  <c r="F44" i="3"/>
  <c r="G44" i="3" s="1"/>
  <c r="D44" i="3"/>
  <c r="E44" i="3" s="1"/>
  <c r="C44" i="3"/>
  <c r="B44" i="3"/>
  <c r="AK43" i="3"/>
  <c r="AL43" i="3" s="1"/>
  <c r="AI43" i="3"/>
  <c r="AH43" i="3"/>
  <c r="AG43" i="3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I42" i="3"/>
  <c r="AG42" i="3"/>
  <c r="AK42" i="3" s="1"/>
  <c r="AL42" i="3" s="1"/>
  <c r="AF42" i="3"/>
  <c r="AD42" i="3"/>
  <c r="AE42" i="3" s="1"/>
  <c r="AC42" i="3"/>
  <c r="AB42" i="3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L41" i="3"/>
  <c r="AK41" i="3"/>
  <c r="AI41" i="3"/>
  <c r="AH41" i="3"/>
  <c r="AG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I40" i="3"/>
  <c r="AG40" i="3"/>
  <c r="AK40" i="3" s="1"/>
  <c r="AL40" i="3" s="1"/>
  <c r="AF40" i="3"/>
  <c r="AD40" i="3"/>
  <c r="AE40" i="3" s="1"/>
  <c r="AC40" i="3"/>
  <c r="AB40" i="3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L39" i="3"/>
  <c r="AK39" i="3"/>
  <c r="AI39" i="3"/>
  <c r="AH39" i="3"/>
  <c r="AG39" i="3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I37" i="3"/>
  <c r="AG37" i="3"/>
  <c r="AK37" i="3" s="1"/>
  <c r="AL37" i="3" s="1"/>
  <c r="AF37" i="3"/>
  <c r="AD37" i="3"/>
  <c r="AE37" i="3" s="1"/>
  <c r="AC37" i="3"/>
  <c r="AB37" i="3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A35" i="3"/>
  <c r="Z35" i="3"/>
  <c r="X35" i="3"/>
  <c r="V35" i="3"/>
  <c r="U35" i="3"/>
  <c r="T35" i="3"/>
  <c r="R35" i="3"/>
  <c r="S35" i="3" s="1"/>
  <c r="P35" i="3"/>
  <c r="Q35" i="3" s="1"/>
  <c r="N35" i="3"/>
  <c r="O35" i="3" s="1"/>
  <c r="L35" i="3"/>
  <c r="M35" i="3" s="1"/>
  <c r="K35" i="3"/>
  <c r="J35" i="3"/>
  <c r="H35" i="3"/>
  <c r="I35" i="3" s="1"/>
  <c r="F35" i="3"/>
  <c r="G35" i="3" s="1"/>
  <c r="E35" i="3"/>
  <c r="D35" i="3"/>
  <c r="B35" i="3"/>
  <c r="C35" i="3" s="1"/>
  <c r="AG34" i="3"/>
  <c r="AF34" i="3"/>
  <c r="AC34" i="3"/>
  <c r="AB34" i="3"/>
  <c r="AA34" i="3"/>
  <c r="Z34" i="3"/>
  <c r="X34" i="3"/>
  <c r="AD34" i="3" s="1"/>
  <c r="AE34" i="3" s="1"/>
  <c r="W34" i="3"/>
  <c r="V34" i="3"/>
  <c r="U34" i="3"/>
  <c r="T34" i="3"/>
  <c r="S34" i="3"/>
  <c r="R34" i="3"/>
  <c r="Q34" i="3"/>
  <c r="P34" i="3"/>
  <c r="N34" i="3"/>
  <c r="O34" i="3" s="1"/>
  <c r="M34" i="3"/>
  <c r="L34" i="3"/>
  <c r="K34" i="3"/>
  <c r="J34" i="3"/>
  <c r="H34" i="3"/>
  <c r="I34" i="3" s="1"/>
  <c r="G34" i="3"/>
  <c r="F34" i="3"/>
  <c r="E34" i="3"/>
  <c r="D34" i="3"/>
  <c r="C34" i="3"/>
  <c r="B34" i="3"/>
  <c r="AK33" i="3"/>
  <c r="AL33" i="3" s="1"/>
  <c r="AH33" i="3"/>
  <c r="AG33" i="3"/>
  <c r="AI33" i="3" s="1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K32" i="3"/>
  <c r="AL32" i="3" s="1"/>
  <c r="AH32" i="3"/>
  <c r="AG32" i="3"/>
  <c r="AI32" i="3" s="1"/>
  <c r="AF32" i="3"/>
  <c r="AD32" i="3"/>
  <c r="AE32" i="3" s="1"/>
  <c r="AC32" i="3"/>
  <c r="AB32" i="3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L31" i="3"/>
  <c r="AK31" i="3"/>
  <c r="AH31" i="3"/>
  <c r="AG31" i="3"/>
  <c r="AI31" i="3" s="1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K30" i="3"/>
  <c r="AL30" i="3" s="1"/>
  <c r="AH30" i="3"/>
  <c r="AG30" i="3"/>
  <c r="AI30" i="3" s="1"/>
  <c r="AF30" i="3"/>
  <c r="AD30" i="3"/>
  <c r="AE30" i="3" s="1"/>
  <c r="AC30" i="3"/>
  <c r="AB30" i="3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L29" i="3"/>
  <c r="AK29" i="3"/>
  <c r="AH29" i="3"/>
  <c r="AG29" i="3"/>
  <c r="AI29" i="3" s="1"/>
  <c r="AF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Z27" i="3"/>
  <c r="AA27" i="3" s="1"/>
  <c r="X27" i="3"/>
  <c r="W27" i="3"/>
  <c r="V27" i="3"/>
  <c r="T27" i="3"/>
  <c r="U27" i="3" s="1"/>
  <c r="R27" i="3"/>
  <c r="S27" i="3" s="1"/>
  <c r="P27" i="3"/>
  <c r="Q27" i="3" s="1"/>
  <c r="N27" i="3"/>
  <c r="O27" i="3" s="1"/>
  <c r="M27" i="3"/>
  <c r="L27" i="3"/>
  <c r="J27" i="3"/>
  <c r="H27" i="3"/>
  <c r="I27" i="3" s="1"/>
  <c r="G27" i="3"/>
  <c r="F27" i="3"/>
  <c r="D27" i="3"/>
  <c r="E27" i="3" s="1"/>
  <c r="B27" i="3"/>
  <c r="C27" i="3" s="1"/>
  <c r="AK26" i="3"/>
  <c r="AL26" i="3" s="1"/>
  <c r="AI26" i="3"/>
  <c r="AH26" i="3"/>
  <c r="AG26" i="3"/>
  <c r="AC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G25" i="3"/>
  <c r="AC25" i="3"/>
  <c r="AB25" i="3"/>
  <c r="AF25" i="3" s="1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K24" i="3"/>
  <c r="AL24" i="3" s="1"/>
  <c r="AI24" i="3"/>
  <c r="AH24" i="3"/>
  <c r="AG24" i="3"/>
  <c r="AC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G23" i="3"/>
  <c r="AC23" i="3"/>
  <c r="AB23" i="3"/>
  <c r="AF23" i="3" s="1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K22" i="3"/>
  <c r="AL22" i="3" s="1"/>
  <c r="AI22" i="3"/>
  <c r="AH22" i="3"/>
  <c r="AG22" i="3"/>
  <c r="AC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K21" i="3"/>
  <c r="AL21" i="3" s="1"/>
  <c r="AG21" i="3"/>
  <c r="AC21" i="3"/>
  <c r="AB21" i="3"/>
  <c r="AF21" i="3" s="1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K20" i="3"/>
  <c r="AL20" i="3" s="1"/>
  <c r="AI20" i="3"/>
  <c r="AH20" i="3"/>
  <c r="AG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G19" i="3"/>
  <c r="AC19" i="3"/>
  <c r="AB19" i="3"/>
  <c r="AF19" i="3" s="1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K18" i="3"/>
  <c r="AL18" i="3" s="1"/>
  <c r="AI18" i="3"/>
  <c r="AH18" i="3"/>
  <c r="AG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G17" i="3"/>
  <c r="AC17" i="3"/>
  <c r="AB17" i="3"/>
  <c r="AF17" i="3" s="1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K16" i="3"/>
  <c r="AL16" i="3" s="1"/>
  <c r="AI16" i="3"/>
  <c r="AH16" i="3"/>
  <c r="AG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G15" i="3"/>
  <c r="AC15" i="3"/>
  <c r="AB15" i="3"/>
  <c r="AF15" i="3" s="1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K13" i="3"/>
  <c r="AL13" i="3" s="1"/>
  <c r="AI13" i="3"/>
  <c r="AH13" i="3"/>
  <c r="AG13" i="3"/>
  <c r="AC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Z59" i="3" s="1"/>
  <c r="X9" i="3"/>
  <c r="W9" i="3"/>
  <c r="V9" i="3"/>
  <c r="U9" i="3"/>
  <c r="T9" i="3"/>
  <c r="T59" i="3" s="1"/>
  <c r="T87" i="3" s="1"/>
  <c r="R9" i="3"/>
  <c r="Q9" i="3"/>
  <c r="P9" i="3"/>
  <c r="P59" i="3" s="1"/>
  <c r="P87" i="3" s="1"/>
  <c r="O9" i="3"/>
  <c r="N9" i="3"/>
  <c r="N59" i="3" s="1"/>
  <c r="M9" i="3"/>
  <c r="L9" i="3"/>
  <c r="L59" i="3" s="1"/>
  <c r="M59" i="3" s="1"/>
  <c r="K9" i="3"/>
  <c r="J9" i="3"/>
  <c r="J59" i="3" s="1"/>
  <c r="H9" i="3"/>
  <c r="I9" i="3" s="1"/>
  <c r="G9" i="3"/>
  <c r="F9" i="3"/>
  <c r="F59" i="3" s="1"/>
  <c r="E9" i="3"/>
  <c r="D9" i="3"/>
  <c r="D59" i="3" s="1"/>
  <c r="D87" i="3" s="1"/>
  <c r="B9" i="3"/>
  <c r="C9" i="3" s="1"/>
  <c r="AH8" i="3"/>
  <c r="AG8" i="3"/>
  <c r="AK8" i="3" s="1"/>
  <c r="AL8" i="3" s="1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H7" i="3"/>
  <c r="AG7" i="3"/>
  <c r="AD7" i="3"/>
  <c r="AE7" i="3" s="1"/>
  <c r="AB7" i="3"/>
  <c r="AC7" i="3" s="1"/>
  <c r="AA7" i="3"/>
  <c r="Y7" i="3"/>
  <c r="W7" i="3"/>
  <c r="U7" i="3"/>
  <c r="S7" i="3"/>
  <c r="Q7" i="3"/>
  <c r="O7" i="3"/>
  <c r="M7" i="3"/>
  <c r="K7" i="3"/>
  <c r="I7" i="3"/>
  <c r="G7" i="3"/>
  <c r="E7" i="3"/>
  <c r="C7" i="3"/>
  <c r="AK148" i="2"/>
  <c r="AG148" i="2"/>
  <c r="AI148" i="2" s="1"/>
  <c r="AD148" i="2"/>
  <c r="AB148" i="2"/>
  <c r="AF148" i="2" s="1"/>
  <c r="Z145" i="2"/>
  <c r="AA145" i="2" s="1"/>
  <c r="X145" i="2"/>
  <c r="AF145" i="2" s="1"/>
  <c r="W145" i="2"/>
  <c r="V145" i="2"/>
  <c r="U145" i="2"/>
  <c r="T145" i="2"/>
  <c r="R145" i="2"/>
  <c r="AB145" i="2" s="1"/>
  <c r="AC145" i="2" s="1"/>
  <c r="Q145" i="2"/>
  <c r="P145" i="2"/>
  <c r="O145" i="2"/>
  <c r="N145" i="2"/>
  <c r="M145" i="2"/>
  <c r="L145" i="2"/>
  <c r="J145" i="2"/>
  <c r="K145" i="2" s="1"/>
  <c r="H145" i="2"/>
  <c r="I145" i="2" s="1"/>
  <c r="G145" i="2"/>
  <c r="F145" i="2"/>
  <c r="D145" i="2"/>
  <c r="E145" i="2" s="1"/>
  <c r="B145" i="2"/>
  <c r="C145" i="2" s="1"/>
  <c r="AH144" i="2"/>
  <c r="AG144" i="2"/>
  <c r="AK144" i="2" s="1"/>
  <c r="AL144" i="2" s="1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Z141" i="2"/>
  <c r="AA141" i="2" s="1"/>
  <c r="X141" i="2"/>
  <c r="W141" i="2"/>
  <c r="V141" i="2"/>
  <c r="T141" i="2"/>
  <c r="U141" i="2" s="1"/>
  <c r="R141" i="2"/>
  <c r="Q141" i="2"/>
  <c r="P141" i="2"/>
  <c r="N141" i="2"/>
  <c r="O141" i="2" s="1"/>
  <c r="L141" i="2"/>
  <c r="M141" i="2" s="1"/>
  <c r="J141" i="2"/>
  <c r="K141" i="2" s="1"/>
  <c r="H141" i="2"/>
  <c r="I141" i="2" s="1"/>
  <c r="G141" i="2"/>
  <c r="F141" i="2"/>
  <c r="D141" i="2"/>
  <c r="E141" i="2" s="1"/>
  <c r="B141" i="2"/>
  <c r="C141" i="2" s="1"/>
  <c r="AI140" i="2"/>
  <c r="AG140" i="2"/>
  <c r="AH140" i="2" s="1"/>
  <c r="AC140" i="2"/>
  <c r="AB140" i="2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AB135" i="2"/>
  <c r="Z135" i="2"/>
  <c r="AA135" i="2" s="1"/>
  <c r="Y135" i="2"/>
  <c r="X135" i="2"/>
  <c r="V135" i="2"/>
  <c r="W135" i="2" s="1"/>
  <c r="T135" i="2"/>
  <c r="U135" i="2" s="1"/>
  <c r="S135" i="2"/>
  <c r="R135" i="2"/>
  <c r="P135" i="2"/>
  <c r="Q135" i="2" s="1"/>
  <c r="N135" i="2"/>
  <c r="O135" i="2" s="1"/>
  <c r="L135" i="2"/>
  <c r="M135" i="2" s="1"/>
  <c r="J135" i="2"/>
  <c r="I135" i="2"/>
  <c r="H135" i="2"/>
  <c r="F135" i="2"/>
  <c r="G135" i="2" s="1"/>
  <c r="D135" i="2"/>
  <c r="E135" i="2" s="1"/>
  <c r="C135" i="2"/>
  <c r="B135" i="2"/>
  <c r="AG134" i="2"/>
  <c r="AH134" i="2" s="1"/>
  <c r="AF134" i="2"/>
  <c r="AD134" i="2"/>
  <c r="AE134" i="2" s="1"/>
  <c r="AC134" i="2"/>
  <c r="AB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I133" i="2"/>
  <c r="AJ133" i="2" s="1"/>
  <c r="AG133" i="2"/>
  <c r="AF133" i="2"/>
  <c r="AD133" i="2"/>
  <c r="AE133" i="2" s="1"/>
  <c r="AC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G132" i="2"/>
  <c r="AE132" i="2"/>
  <c r="AD132" i="2"/>
  <c r="AC132" i="2"/>
  <c r="AB132" i="2"/>
  <c r="AF132" i="2" s="1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I131" i="2"/>
  <c r="AJ131" i="2" s="1"/>
  <c r="AH131" i="2"/>
  <c r="AG131" i="2"/>
  <c r="AK131" i="2" s="1"/>
  <c r="AL131" i="2" s="1"/>
  <c r="AF131" i="2"/>
  <c r="AD131" i="2"/>
  <c r="AE131" i="2" s="1"/>
  <c r="AC131" i="2"/>
  <c r="AB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G130" i="2"/>
  <c r="AH130" i="2" s="1"/>
  <c r="AE130" i="2"/>
  <c r="AD130" i="2"/>
  <c r="AB130" i="2"/>
  <c r="AF130" i="2" s="1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G129" i="2"/>
  <c r="AK129" i="2" s="1"/>
  <c r="AL129" i="2" s="1"/>
  <c r="AF129" i="2"/>
  <c r="AD129" i="2"/>
  <c r="AE129" i="2" s="1"/>
  <c r="AC129" i="2"/>
  <c r="AB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K128" i="2"/>
  <c r="AL128" i="2" s="1"/>
  <c r="AG128" i="2"/>
  <c r="AH128" i="2" s="1"/>
  <c r="AE128" i="2"/>
  <c r="AD128" i="2"/>
  <c r="AC128" i="2"/>
  <c r="AB128" i="2"/>
  <c r="AF128" i="2" s="1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G127" i="2"/>
  <c r="AK127" i="2" s="1"/>
  <c r="AL127" i="2" s="1"/>
  <c r="AF127" i="2"/>
  <c r="AD127" i="2"/>
  <c r="AE127" i="2" s="1"/>
  <c r="AC127" i="2"/>
  <c r="AB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K126" i="2"/>
  <c r="AL126" i="2" s="1"/>
  <c r="AI126" i="2"/>
  <c r="AJ126" i="2" s="1"/>
  <c r="AG126" i="2"/>
  <c r="AH126" i="2" s="1"/>
  <c r="AE126" i="2"/>
  <c r="AD126" i="2"/>
  <c r="AC126" i="2"/>
  <c r="AB126" i="2"/>
  <c r="AF126" i="2" s="1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L125" i="2"/>
  <c r="AI125" i="2"/>
  <c r="AJ125" i="2" s="1"/>
  <c r="AH125" i="2"/>
  <c r="AG125" i="2"/>
  <c r="AK125" i="2" s="1"/>
  <c r="AF125" i="2"/>
  <c r="AD125" i="2"/>
  <c r="AE125" i="2" s="1"/>
  <c r="AC125" i="2"/>
  <c r="AB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H124" i="2" s="1"/>
  <c r="AF124" i="2"/>
  <c r="AD124" i="2"/>
  <c r="AE124" i="2" s="1"/>
  <c r="AC124" i="2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L123" i="2"/>
  <c r="AI123" i="2"/>
  <c r="AJ123" i="2" s="1"/>
  <c r="AH123" i="2"/>
  <c r="AG123" i="2"/>
  <c r="AK123" i="2" s="1"/>
  <c r="AF123" i="2"/>
  <c r="AD123" i="2"/>
  <c r="AE123" i="2" s="1"/>
  <c r="AC123" i="2"/>
  <c r="AB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K122" i="2"/>
  <c r="AL122" i="2" s="1"/>
  <c r="AI122" i="2"/>
  <c r="AJ122" i="2" s="1"/>
  <c r="AG122" i="2"/>
  <c r="AH122" i="2" s="1"/>
  <c r="AF122" i="2"/>
  <c r="AE122" i="2"/>
  <c r="AD122" i="2"/>
  <c r="AC122" i="2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G121" i="2"/>
  <c r="AK121" i="2" s="1"/>
  <c r="AL121" i="2" s="1"/>
  <c r="AF121" i="2"/>
  <c r="AD121" i="2"/>
  <c r="AE121" i="2" s="1"/>
  <c r="AC121" i="2"/>
  <c r="AB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K120" i="2"/>
  <c r="AL120" i="2" s="1"/>
  <c r="AI120" i="2"/>
  <c r="AJ120" i="2" s="1"/>
  <c r="AG120" i="2"/>
  <c r="AH120" i="2" s="1"/>
  <c r="AF120" i="2"/>
  <c r="AD120" i="2"/>
  <c r="AE120" i="2" s="1"/>
  <c r="AC120" i="2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L119" i="2"/>
  <c r="AI119" i="2"/>
  <c r="AJ119" i="2" s="1"/>
  <c r="AG119" i="2"/>
  <c r="AK119" i="2" s="1"/>
  <c r="AF119" i="2"/>
  <c r="AD119" i="2"/>
  <c r="AE119" i="2" s="1"/>
  <c r="AC119" i="2"/>
  <c r="AB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H118" i="2" s="1"/>
  <c r="AF118" i="2"/>
  <c r="AD118" i="2"/>
  <c r="AE118" i="2" s="1"/>
  <c r="AB118" i="2"/>
  <c r="AC118" i="2" s="1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L117" i="2"/>
  <c r="AI117" i="2"/>
  <c r="AJ117" i="2" s="1"/>
  <c r="AH117" i="2"/>
  <c r="AG117" i="2"/>
  <c r="AK117" i="2" s="1"/>
  <c r="AF117" i="2"/>
  <c r="AD117" i="2"/>
  <c r="AE117" i="2" s="1"/>
  <c r="AC117" i="2"/>
  <c r="AB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K116" i="2"/>
  <c r="AL116" i="2" s="1"/>
  <c r="AI116" i="2"/>
  <c r="AJ116" i="2" s="1"/>
  <c r="AG116" i="2"/>
  <c r="AH116" i="2" s="1"/>
  <c r="AF116" i="2"/>
  <c r="AE116" i="2"/>
  <c r="AD116" i="2"/>
  <c r="AB116" i="2"/>
  <c r="AC116" i="2" s="1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G115" i="2"/>
  <c r="AK115" i="2" s="1"/>
  <c r="AL115" i="2" s="1"/>
  <c r="AF115" i="2"/>
  <c r="AD115" i="2"/>
  <c r="AE115" i="2" s="1"/>
  <c r="AC115" i="2"/>
  <c r="AB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K114" i="2" s="1"/>
  <c r="AL114" i="2" s="1"/>
  <c r="AF114" i="2"/>
  <c r="AE114" i="2"/>
  <c r="AD114" i="2"/>
  <c r="AB114" i="2"/>
  <c r="AC114" i="2" s="1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L113" i="2"/>
  <c r="AK113" i="2"/>
  <c r="AI113" i="2"/>
  <c r="AJ113" i="2" s="1"/>
  <c r="AH113" i="2"/>
  <c r="AG113" i="2"/>
  <c r="AB113" i="2"/>
  <c r="AF113" i="2" s="1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I112" i="2"/>
  <c r="AJ112" i="2" s="1"/>
  <c r="AH112" i="2"/>
  <c r="AG112" i="2"/>
  <c r="AK112" i="2" s="1"/>
  <c r="AL112" i="2" s="1"/>
  <c r="AF112" i="2"/>
  <c r="AD112" i="2"/>
  <c r="AE112" i="2" s="1"/>
  <c r="AC112" i="2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K111" i="2"/>
  <c r="AL111" i="2" s="1"/>
  <c r="AI111" i="2"/>
  <c r="AJ111" i="2" s="1"/>
  <c r="AH111" i="2"/>
  <c r="AG111" i="2"/>
  <c r="AB111" i="2"/>
  <c r="AF111" i="2" s="1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I110" i="2"/>
  <c r="AJ110" i="2" s="1"/>
  <c r="AH110" i="2"/>
  <c r="AG110" i="2"/>
  <c r="AK110" i="2" s="1"/>
  <c r="AL110" i="2" s="1"/>
  <c r="AF110" i="2"/>
  <c r="AD110" i="2"/>
  <c r="AE110" i="2" s="1"/>
  <c r="AC110" i="2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AB105" i="2"/>
  <c r="AF105" i="2" s="1"/>
  <c r="Z105" i="2"/>
  <c r="AA105" i="2" s="1"/>
  <c r="X105" i="2"/>
  <c r="Y105" i="2" s="1"/>
  <c r="W105" i="2"/>
  <c r="V105" i="2"/>
  <c r="T105" i="2"/>
  <c r="U105" i="2" s="1"/>
  <c r="S105" i="2"/>
  <c r="R105" i="2"/>
  <c r="P105" i="2"/>
  <c r="Q105" i="2" s="1"/>
  <c r="O105" i="2"/>
  <c r="N105" i="2"/>
  <c r="L105" i="2"/>
  <c r="M105" i="2" s="1"/>
  <c r="J105" i="2"/>
  <c r="H105" i="2"/>
  <c r="I105" i="2" s="1"/>
  <c r="G105" i="2"/>
  <c r="F105" i="2"/>
  <c r="D105" i="2"/>
  <c r="E105" i="2" s="1"/>
  <c r="C105" i="2"/>
  <c r="B105" i="2"/>
  <c r="AG104" i="2"/>
  <c r="AK104" i="2" s="1"/>
  <c r="AL104" i="2" s="1"/>
  <c r="AF104" i="2"/>
  <c r="AC104" i="2"/>
  <c r="AB104" i="2"/>
  <c r="AD104" i="2" s="1"/>
  <c r="AE104" i="2" s="1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AB99" i="2"/>
  <c r="Z99" i="2"/>
  <c r="AA99" i="2" s="1"/>
  <c r="X99" i="2"/>
  <c r="Y99" i="2" s="1"/>
  <c r="V99" i="2"/>
  <c r="W99" i="2" s="1"/>
  <c r="U99" i="2"/>
  <c r="T99" i="2"/>
  <c r="R99" i="2"/>
  <c r="S99" i="2" s="1"/>
  <c r="Q99" i="2"/>
  <c r="P99" i="2"/>
  <c r="N99" i="2"/>
  <c r="O99" i="2" s="1"/>
  <c r="M99" i="2"/>
  <c r="L99" i="2"/>
  <c r="AG99" i="2" s="1"/>
  <c r="J99" i="2"/>
  <c r="K99" i="2" s="1"/>
  <c r="H99" i="2"/>
  <c r="I99" i="2" s="1"/>
  <c r="F99" i="2"/>
  <c r="G99" i="2" s="1"/>
  <c r="E99" i="2"/>
  <c r="D99" i="2"/>
  <c r="B99" i="2"/>
  <c r="C99" i="2" s="1"/>
  <c r="AG98" i="2"/>
  <c r="AB98" i="2"/>
  <c r="AF98" i="2" s="1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H97" i="2"/>
  <c r="AG97" i="2"/>
  <c r="AK97" i="2" s="1"/>
  <c r="AL97" i="2" s="1"/>
  <c r="AB97" i="2"/>
  <c r="AF97" i="2" s="1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G96" i="2"/>
  <c r="AB96" i="2"/>
  <c r="AF96" i="2" s="1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H95" i="2"/>
  <c r="AG95" i="2"/>
  <c r="AK95" i="2" s="1"/>
  <c r="AL95" i="2" s="1"/>
  <c r="AB95" i="2"/>
  <c r="AF95" i="2" s="1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B94" i="2"/>
  <c r="AF94" i="2" s="1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H93" i="2"/>
  <c r="AG93" i="2"/>
  <c r="AK93" i="2" s="1"/>
  <c r="AL93" i="2" s="1"/>
  <c r="AB93" i="2"/>
  <c r="AF93" i="2" s="1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B92" i="2"/>
  <c r="AF92" i="2" s="1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H91" i="2"/>
  <c r="AG91" i="2"/>
  <c r="AK91" i="2" s="1"/>
  <c r="AL91" i="2" s="1"/>
  <c r="AB91" i="2"/>
  <c r="AF91" i="2" s="1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G90" i="2"/>
  <c r="AB90" i="2"/>
  <c r="AF90" i="2" s="1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J87" i="2"/>
  <c r="Z85" i="2"/>
  <c r="AA85" i="2" s="1"/>
  <c r="X85" i="2"/>
  <c r="Y85" i="2" s="1"/>
  <c r="W85" i="2"/>
  <c r="V85" i="2"/>
  <c r="T85" i="2"/>
  <c r="AB85" i="2" s="1"/>
  <c r="S85" i="2"/>
  <c r="R85" i="2"/>
  <c r="Q85" i="2"/>
  <c r="P85" i="2"/>
  <c r="N85" i="2"/>
  <c r="L85" i="2"/>
  <c r="M85" i="2" s="1"/>
  <c r="J85" i="2"/>
  <c r="K85" i="2" s="1"/>
  <c r="H85" i="2"/>
  <c r="I85" i="2" s="1"/>
  <c r="G85" i="2"/>
  <c r="F85" i="2"/>
  <c r="D85" i="2"/>
  <c r="E85" i="2" s="1"/>
  <c r="C85" i="2"/>
  <c r="B85" i="2"/>
  <c r="Z84" i="2"/>
  <c r="AA84" i="2" s="1"/>
  <c r="Y84" i="2"/>
  <c r="X84" i="2"/>
  <c r="V84" i="2"/>
  <c r="W84" i="2" s="1"/>
  <c r="T84" i="2"/>
  <c r="S84" i="2"/>
  <c r="R84" i="2"/>
  <c r="Q84" i="2"/>
  <c r="P84" i="2"/>
  <c r="O84" i="2"/>
  <c r="N84" i="2"/>
  <c r="L84" i="2"/>
  <c r="M84" i="2" s="1"/>
  <c r="J84" i="2"/>
  <c r="AG84" i="2" s="1"/>
  <c r="AH84" i="2" s="1"/>
  <c r="H84" i="2"/>
  <c r="I84" i="2" s="1"/>
  <c r="F84" i="2"/>
  <c r="G84" i="2" s="1"/>
  <c r="D84" i="2"/>
  <c r="E84" i="2" s="1"/>
  <c r="C84" i="2"/>
  <c r="B84" i="2"/>
  <c r="AG83" i="2"/>
  <c r="AK83" i="2" s="1"/>
  <c r="AL83" i="2" s="1"/>
  <c r="AD83" i="2"/>
  <c r="AE83" i="2" s="1"/>
  <c r="AC83" i="2"/>
  <c r="AB83" i="2"/>
  <c r="AF83" i="2" s="1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F82" i="2"/>
  <c r="AD82" i="2"/>
  <c r="AE82" i="2" s="1"/>
  <c r="AB82" i="2"/>
  <c r="AC82" i="2" s="1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AA81" i="2"/>
  <c r="Z81" i="2"/>
  <c r="Y81" i="2"/>
  <c r="X81" i="2"/>
  <c r="V81" i="2"/>
  <c r="W81" i="2" s="1"/>
  <c r="U81" i="2"/>
  <c r="T81" i="2"/>
  <c r="R81" i="2"/>
  <c r="S81" i="2" s="1"/>
  <c r="P81" i="2"/>
  <c r="Q81" i="2" s="1"/>
  <c r="N81" i="2"/>
  <c r="O81" i="2" s="1"/>
  <c r="M81" i="2"/>
  <c r="L81" i="2"/>
  <c r="K81" i="2"/>
  <c r="J81" i="2"/>
  <c r="H81" i="2"/>
  <c r="I81" i="2" s="1"/>
  <c r="F81" i="2"/>
  <c r="G81" i="2" s="1"/>
  <c r="D81" i="2"/>
  <c r="E81" i="2" s="1"/>
  <c r="B81" i="2"/>
  <c r="C81" i="2" s="1"/>
  <c r="AI80" i="2"/>
  <c r="AJ80" i="2" s="1"/>
  <c r="AH80" i="2"/>
  <c r="AG80" i="2"/>
  <c r="AK80" i="2" s="1"/>
  <c r="AL80" i="2" s="1"/>
  <c r="AF80" i="2"/>
  <c r="AD80" i="2"/>
  <c r="AE80" i="2" s="1"/>
  <c r="AC80" i="2"/>
  <c r="AB80" i="2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K79" i="2"/>
  <c r="AL79" i="2" s="1"/>
  <c r="AI79" i="2"/>
  <c r="AJ79" i="2" s="1"/>
  <c r="AG79" i="2"/>
  <c r="AH79" i="2" s="1"/>
  <c r="AB79" i="2"/>
  <c r="AF79" i="2" s="1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I78" i="2"/>
  <c r="AJ78" i="2" s="1"/>
  <c r="AH78" i="2"/>
  <c r="AG78" i="2"/>
  <c r="AK78" i="2" s="1"/>
  <c r="AL78" i="2" s="1"/>
  <c r="AF78" i="2"/>
  <c r="AD78" i="2"/>
  <c r="AE78" i="2" s="1"/>
  <c r="AC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L77" i="2"/>
  <c r="AK77" i="2"/>
  <c r="AI77" i="2"/>
  <c r="AJ77" i="2" s="1"/>
  <c r="AG77" i="2"/>
  <c r="AH77" i="2" s="1"/>
  <c r="AB77" i="2"/>
  <c r="AF77" i="2" s="1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I76" i="2"/>
  <c r="AJ76" i="2" s="1"/>
  <c r="AH76" i="2"/>
  <c r="AG76" i="2"/>
  <c r="AK76" i="2" s="1"/>
  <c r="AL76" i="2" s="1"/>
  <c r="AF76" i="2"/>
  <c r="AD76" i="2"/>
  <c r="AE76" i="2" s="1"/>
  <c r="AC76" i="2"/>
  <c r="AB76" i="2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K75" i="2"/>
  <c r="AL75" i="2" s="1"/>
  <c r="AI75" i="2"/>
  <c r="AJ75" i="2" s="1"/>
  <c r="AG75" i="2"/>
  <c r="AH75" i="2" s="1"/>
  <c r="AB75" i="2"/>
  <c r="AF75" i="2" s="1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I74" i="2"/>
  <c r="AJ74" i="2" s="1"/>
  <c r="AH74" i="2"/>
  <c r="AG74" i="2"/>
  <c r="AK74" i="2" s="1"/>
  <c r="AL74" i="2" s="1"/>
  <c r="AF74" i="2"/>
  <c r="AD74" i="2"/>
  <c r="AE74" i="2" s="1"/>
  <c r="AC74" i="2"/>
  <c r="AB74" i="2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L72" i="2"/>
  <c r="AK72" i="2"/>
  <c r="AG72" i="2"/>
  <c r="AI72" i="2" s="1"/>
  <c r="AJ72" i="2" s="1"/>
  <c r="AB72" i="2"/>
  <c r="AF72" i="2" s="1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I71" i="2"/>
  <c r="AJ71" i="2" s="1"/>
  <c r="AH71" i="2"/>
  <c r="AG71" i="2"/>
  <c r="AK71" i="2" s="1"/>
  <c r="AL71" i="2" s="1"/>
  <c r="AF71" i="2"/>
  <c r="AD71" i="2"/>
  <c r="AE71" i="2" s="1"/>
  <c r="AC71" i="2"/>
  <c r="AB71" i="2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Z70" i="2"/>
  <c r="AA70" i="2" s="1"/>
  <c r="X70" i="2"/>
  <c r="V70" i="2"/>
  <c r="W70" i="2" s="1"/>
  <c r="U70" i="2"/>
  <c r="T70" i="2"/>
  <c r="R70" i="2"/>
  <c r="S70" i="2" s="1"/>
  <c r="P70" i="2"/>
  <c r="Q70" i="2" s="1"/>
  <c r="N70" i="2"/>
  <c r="O70" i="2" s="1"/>
  <c r="L70" i="2"/>
  <c r="M70" i="2" s="1"/>
  <c r="J70" i="2"/>
  <c r="H70" i="2"/>
  <c r="I70" i="2" s="1"/>
  <c r="F70" i="2"/>
  <c r="G70" i="2" s="1"/>
  <c r="E70" i="2"/>
  <c r="D70" i="2"/>
  <c r="B70" i="2"/>
  <c r="C70" i="2" s="1"/>
  <c r="AG69" i="2"/>
  <c r="AK69" i="2" s="1"/>
  <c r="AL69" i="2" s="1"/>
  <c r="AC69" i="2"/>
  <c r="AB69" i="2"/>
  <c r="AF69" i="2" s="1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K68" i="2"/>
  <c r="AL68" i="2" s="1"/>
  <c r="AI68" i="2"/>
  <c r="AJ68" i="2" s="1"/>
  <c r="AH68" i="2"/>
  <c r="AG68" i="2"/>
  <c r="AB68" i="2"/>
  <c r="AF68" i="2" s="1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G67" i="2"/>
  <c r="AK67" i="2" s="1"/>
  <c r="AL67" i="2" s="1"/>
  <c r="AC67" i="2"/>
  <c r="AB67" i="2"/>
  <c r="AF67" i="2" s="1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K66" i="2"/>
  <c r="AL66" i="2" s="1"/>
  <c r="AI66" i="2"/>
  <c r="AJ66" i="2" s="1"/>
  <c r="AH66" i="2"/>
  <c r="AG66" i="2"/>
  <c r="AB66" i="2"/>
  <c r="AF66" i="2" s="1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H65" i="2"/>
  <c r="AG65" i="2"/>
  <c r="AK65" i="2" s="1"/>
  <c r="AL65" i="2" s="1"/>
  <c r="AC65" i="2"/>
  <c r="AB65" i="2"/>
  <c r="AF65" i="2" s="1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K63" i="2"/>
  <c r="AL63" i="2" s="1"/>
  <c r="AI63" i="2"/>
  <c r="AJ63" i="2" s="1"/>
  <c r="AH63" i="2"/>
  <c r="AG63" i="2"/>
  <c r="AB63" i="2"/>
  <c r="AF63" i="2" s="1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Z57" i="2"/>
  <c r="AA57" i="2" s="1"/>
  <c r="X57" i="2"/>
  <c r="AD57" i="2" s="1"/>
  <c r="AE57" i="2" s="1"/>
  <c r="V57" i="2"/>
  <c r="W57" i="2" s="1"/>
  <c r="T57" i="2"/>
  <c r="U57" i="2" s="1"/>
  <c r="R57" i="2"/>
  <c r="AB57" i="2" s="1"/>
  <c r="AC57" i="2" s="1"/>
  <c r="P57" i="2"/>
  <c r="Q57" i="2" s="1"/>
  <c r="O57" i="2"/>
  <c r="N57" i="2"/>
  <c r="L57" i="2"/>
  <c r="M57" i="2" s="1"/>
  <c r="J57" i="2"/>
  <c r="K57" i="2" s="1"/>
  <c r="H57" i="2"/>
  <c r="I57" i="2" s="1"/>
  <c r="F57" i="2"/>
  <c r="G57" i="2" s="1"/>
  <c r="D57" i="2"/>
  <c r="E57" i="2" s="1"/>
  <c r="B57" i="2"/>
  <c r="C57" i="2" s="1"/>
  <c r="AA56" i="2"/>
  <c r="Z56" i="2"/>
  <c r="Y56" i="2"/>
  <c r="X56" i="2"/>
  <c r="W56" i="2"/>
  <c r="V56" i="2"/>
  <c r="T56" i="2"/>
  <c r="U56" i="2" s="1"/>
  <c r="R56" i="2"/>
  <c r="S56" i="2" s="1"/>
  <c r="Q56" i="2"/>
  <c r="P56" i="2"/>
  <c r="O56" i="2"/>
  <c r="N56" i="2"/>
  <c r="M56" i="2"/>
  <c r="L56" i="2"/>
  <c r="K56" i="2"/>
  <c r="J56" i="2"/>
  <c r="I56" i="2"/>
  <c r="H56" i="2"/>
  <c r="G56" i="2"/>
  <c r="F56" i="2"/>
  <c r="D56" i="2"/>
  <c r="E56" i="2" s="1"/>
  <c r="B56" i="2"/>
  <c r="C56" i="2" s="1"/>
  <c r="AH55" i="2"/>
  <c r="AG55" i="2"/>
  <c r="AK55" i="2" s="1"/>
  <c r="AL55" i="2" s="1"/>
  <c r="AD55" i="2"/>
  <c r="AE55" i="2" s="1"/>
  <c r="AB55" i="2"/>
  <c r="AF55" i="2" s="1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H54" i="2"/>
  <c r="AG54" i="2"/>
  <c r="AB54" i="2"/>
  <c r="AF54" i="2" s="1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H53" i="2"/>
  <c r="AG53" i="2"/>
  <c r="AK53" i="2" s="1"/>
  <c r="AL53" i="2" s="1"/>
  <c r="AB53" i="2"/>
  <c r="AF53" i="2" s="1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Z52" i="2"/>
  <c r="AA52" i="2" s="1"/>
  <c r="X52" i="2"/>
  <c r="V52" i="2"/>
  <c r="W52" i="2" s="1"/>
  <c r="T52" i="2"/>
  <c r="U52" i="2" s="1"/>
  <c r="R52" i="2"/>
  <c r="Q52" i="2"/>
  <c r="P52" i="2"/>
  <c r="N52" i="2"/>
  <c r="O52" i="2" s="1"/>
  <c r="L52" i="2"/>
  <c r="M52" i="2" s="1"/>
  <c r="J52" i="2"/>
  <c r="K52" i="2" s="1"/>
  <c r="H52" i="2"/>
  <c r="I52" i="2" s="1"/>
  <c r="F52" i="2"/>
  <c r="G52" i="2" s="1"/>
  <c r="D52" i="2"/>
  <c r="E52" i="2" s="1"/>
  <c r="B52" i="2"/>
  <c r="C52" i="2" s="1"/>
  <c r="AL51" i="2"/>
  <c r="AG51" i="2"/>
  <c r="AK51" i="2" s="1"/>
  <c r="AB51" i="2"/>
  <c r="AF51" i="2" s="1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G50" i="2"/>
  <c r="AK50" i="2" s="1"/>
  <c r="AL50" i="2" s="1"/>
  <c r="AF50" i="2"/>
  <c r="AD50" i="2"/>
  <c r="AE50" i="2" s="1"/>
  <c r="AB50" i="2"/>
  <c r="AC50" i="2" s="1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G49" i="2"/>
  <c r="AK49" i="2" s="1"/>
  <c r="AL49" i="2" s="1"/>
  <c r="AB49" i="2"/>
  <c r="AF49" i="2" s="1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K48" i="2" s="1"/>
  <c r="AL48" i="2" s="1"/>
  <c r="AF48" i="2"/>
  <c r="AE48" i="2"/>
  <c r="AD48" i="2"/>
  <c r="AB48" i="2"/>
  <c r="AC48" i="2" s="1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L47" i="2"/>
  <c r="AG47" i="2"/>
  <c r="AK47" i="2" s="1"/>
  <c r="AB47" i="2"/>
  <c r="AF47" i="2" s="1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K46" i="2" s="1"/>
  <c r="AL46" i="2" s="1"/>
  <c r="AF46" i="2"/>
  <c r="AD46" i="2"/>
  <c r="AE46" i="2" s="1"/>
  <c r="AC46" i="2"/>
  <c r="AB46" i="2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AA44" i="2"/>
  <c r="Z44" i="2"/>
  <c r="Y44" i="2"/>
  <c r="X44" i="2"/>
  <c r="W44" i="2"/>
  <c r="V44" i="2"/>
  <c r="AB44" i="2" s="1"/>
  <c r="AC44" i="2" s="1"/>
  <c r="T44" i="2"/>
  <c r="U44" i="2" s="1"/>
  <c r="R44" i="2"/>
  <c r="S44" i="2" s="1"/>
  <c r="P44" i="2"/>
  <c r="Q44" i="2" s="1"/>
  <c r="N44" i="2"/>
  <c r="O44" i="2" s="1"/>
  <c r="L44" i="2"/>
  <c r="M44" i="2" s="1"/>
  <c r="K44" i="2"/>
  <c r="J44" i="2"/>
  <c r="I44" i="2"/>
  <c r="H44" i="2"/>
  <c r="F44" i="2"/>
  <c r="G44" i="2" s="1"/>
  <c r="D44" i="2"/>
  <c r="E44" i="2" s="1"/>
  <c r="B44" i="2"/>
  <c r="C44" i="2" s="1"/>
  <c r="AG43" i="2"/>
  <c r="AK43" i="2" s="1"/>
  <c r="AL43" i="2" s="1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K42" i="2"/>
  <c r="AL42" i="2" s="1"/>
  <c r="AI42" i="2"/>
  <c r="AJ42" i="2" s="1"/>
  <c r="AG42" i="2"/>
  <c r="AH42" i="2" s="1"/>
  <c r="AF42" i="2"/>
  <c r="AB42" i="2"/>
  <c r="AD42" i="2" s="1"/>
  <c r="AE42" i="2" s="1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G41" i="2"/>
  <c r="AK41" i="2" s="1"/>
  <c r="AL41" i="2" s="1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K40" i="2"/>
  <c r="AL40" i="2" s="1"/>
  <c r="AI40" i="2"/>
  <c r="AJ40" i="2" s="1"/>
  <c r="AG40" i="2"/>
  <c r="AH40" i="2" s="1"/>
  <c r="AF40" i="2"/>
  <c r="AB40" i="2"/>
  <c r="AD40" i="2" s="1"/>
  <c r="AE40" i="2" s="1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G39" i="2"/>
  <c r="AK39" i="2" s="1"/>
  <c r="AL39" i="2" s="1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K37" i="2"/>
  <c r="AL37" i="2" s="1"/>
  <c r="AJ37" i="2"/>
  <c r="AI37" i="2"/>
  <c r="AG37" i="2"/>
  <c r="AH37" i="2" s="1"/>
  <c r="AF37" i="2"/>
  <c r="AB37" i="2"/>
  <c r="AD37" i="2" s="1"/>
  <c r="AE37" i="2" s="1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AB35" i="2"/>
  <c r="AA35" i="2"/>
  <c r="Z35" i="2"/>
  <c r="X35" i="2"/>
  <c r="Y35" i="2" s="1"/>
  <c r="V35" i="2"/>
  <c r="W35" i="2" s="1"/>
  <c r="T35" i="2"/>
  <c r="U35" i="2" s="1"/>
  <c r="R35" i="2"/>
  <c r="S35" i="2" s="1"/>
  <c r="P35" i="2"/>
  <c r="Q35" i="2" s="1"/>
  <c r="N35" i="2"/>
  <c r="O35" i="2" s="1"/>
  <c r="L35" i="2"/>
  <c r="K35" i="2"/>
  <c r="J35" i="2"/>
  <c r="H35" i="2"/>
  <c r="I35" i="2" s="1"/>
  <c r="F35" i="2"/>
  <c r="G35" i="2" s="1"/>
  <c r="D35" i="2"/>
  <c r="E35" i="2" s="1"/>
  <c r="B35" i="2"/>
  <c r="C35" i="2" s="1"/>
  <c r="Z34" i="2"/>
  <c r="AA34" i="2" s="1"/>
  <c r="X34" i="2"/>
  <c r="V34" i="2"/>
  <c r="W34" i="2" s="1"/>
  <c r="U34" i="2"/>
  <c r="T34" i="2"/>
  <c r="R34" i="2"/>
  <c r="AB34" i="2" s="1"/>
  <c r="AC34" i="2" s="1"/>
  <c r="P34" i="2"/>
  <c r="AG34" i="2" s="1"/>
  <c r="N34" i="2"/>
  <c r="O34" i="2" s="1"/>
  <c r="M34" i="2"/>
  <c r="L34" i="2"/>
  <c r="J34" i="2"/>
  <c r="K34" i="2" s="1"/>
  <c r="H34" i="2"/>
  <c r="I34" i="2" s="1"/>
  <c r="F34" i="2"/>
  <c r="G34" i="2" s="1"/>
  <c r="E34" i="2"/>
  <c r="D34" i="2"/>
  <c r="B34" i="2"/>
  <c r="C34" i="2" s="1"/>
  <c r="AL33" i="2"/>
  <c r="AK33" i="2"/>
  <c r="AG33" i="2"/>
  <c r="AI33" i="2" s="1"/>
  <c r="AJ33" i="2" s="1"/>
  <c r="AB33" i="2"/>
  <c r="AF33" i="2" s="1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I32" i="2"/>
  <c r="AJ32" i="2" s="1"/>
  <c r="AH32" i="2"/>
  <c r="AG32" i="2"/>
  <c r="AK32" i="2" s="1"/>
  <c r="AL32" i="2" s="1"/>
  <c r="AF32" i="2"/>
  <c r="AD32" i="2"/>
  <c r="AE32" i="2" s="1"/>
  <c r="AC32" i="2"/>
  <c r="AB32" i="2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L31" i="2"/>
  <c r="AK31" i="2"/>
  <c r="AI31" i="2"/>
  <c r="AJ31" i="2" s="1"/>
  <c r="AH31" i="2"/>
  <c r="AG31" i="2"/>
  <c r="AB31" i="2"/>
  <c r="AF31" i="2" s="1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I30" i="2"/>
  <c r="AJ30" i="2" s="1"/>
  <c r="AH30" i="2"/>
  <c r="AG30" i="2"/>
  <c r="AK30" i="2" s="1"/>
  <c r="AL30" i="2" s="1"/>
  <c r="AF30" i="2"/>
  <c r="AD30" i="2"/>
  <c r="AE30" i="2" s="1"/>
  <c r="AC30" i="2"/>
  <c r="AB30" i="2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K29" i="2"/>
  <c r="AL29" i="2" s="1"/>
  <c r="AI29" i="2"/>
  <c r="AJ29" i="2" s="1"/>
  <c r="AH29" i="2"/>
  <c r="AG29" i="2"/>
  <c r="AB29" i="2"/>
  <c r="AF29" i="2" s="1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Z27" i="2"/>
  <c r="AA27" i="2" s="1"/>
  <c r="X27" i="2"/>
  <c r="Y27" i="2" s="1"/>
  <c r="V27" i="2"/>
  <c r="W27" i="2" s="1"/>
  <c r="T27" i="2"/>
  <c r="U27" i="2" s="1"/>
  <c r="R27" i="2"/>
  <c r="AB27" i="2" s="1"/>
  <c r="P27" i="2"/>
  <c r="Q27" i="2" s="1"/>
  <c r="N27" i="2"/>
  <c r="O27" i="2" s="1"/>
  <c r="M27" i="2"/>
  <c r="L27" i="2"/>
  <c r="J27" i="2"/>
  <c r="K27" i="2" s="1"/>
  <c r="H27" i="2"/>
  <c r="I27" i="2" s="1"/>
  <c r="F27" i="2"/>
  <c r="G27" i="2" s="1"/>
  <c r="D27" i="2"/>
  <c r="E27" i="2" s="1"/>
  <c r="C27" i="2"/>
  <c r="B27" i="2"/>
  <c r="AK26" i="2"/>
  <c r="AL26" i="2" s="1"/>
  <c r="AJ26" i="2"/>
  <c r="AI26" i="2"/>
  <c r="AH26" i="2"/>
  <c r="AG26" i="2"/>
  <c r="AF26" i="2"/>
  <c r="AC26" i="2"/>
  <c r="AB26" i="2"/>
  <c r="AD26" i="2" s="1"/>
  <c r="AE26" i="2" s="1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G25" i="2"/>
  <c r="AK25" i="2" s="1"/>
  <c r="AL25" i="2" s="1"/>
  <c r="AE25" i="2"/>
  <c r="AC25" i="2"/>
  <c r="AB25" i="2"/>
  <c r="AD25" i="2" s="1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K24" i="2"/>
  <c r="AL24" i="2" s="1"/>
  <c r="AJ24" i="2"/>
  <c r="AI24" i="2"/>
  <c r="AH24" i="2"/>
  <c r="AG24" i="2"/>
  <c r="AF24" i="2"/>
  <c r="AB24" i="2"/>
  <c r="AD24" i="2" s="1"/>
  <c r="AE24" i="2" s="1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G23" i="2"/>
  <c r="AK23" i="2" s="1"/>
  <c r="AL23" i="2" s="1"/>
  <c r="AF23" i="2"/>
  <c r="AE23" i="2"/>
  <c r="AC23" i="2"/>
  <c r="AB23" i="2"/>
  <c r="AD23" i="2" s="1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K22" i="2"/>
  <c r="AL22" i="2" s="1"/>
  <c r="AJ22" i="2"/>
  <c r="AI22" i="2"/>
  <c r="AH22" i="2"/>
  <c r="AG22" i="2"/>
  <c r="AB22" i="2"/>
  <c r="AF22" i="2" s="1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H21" i="2"/>
  <c r="AG21" i="2"/>
  <c r="AK21" i="2" s="1"/>
  <c r="AL21" i="2" s="1"/>
  <c r="AF21" i="2"/>
  <c r="AE21" i="2"/>
  <c r="AC21" i="2"/>
  <c r="AB21" i="2"/>
  <c r="AD21" i="2" s="1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K20" i="2"/>
  <c r="AL20" i="2" s="1"/>
  <c r="AJ20" i="2"/>
  <c r="AI20" i="2"/>
  <c r="AH20" i="2"/>
  <c r="AG20" i="2"/>
  <c r="AB20" i="2"/>
  <c r="AF20" i="2" s="1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G19" i="2"/>
  <c r="AK19" i="2" s="1"/>
  <c r="AL19" i="2" s="1"/>
  <c r="AF19" i="2"/>
  <c r="AB19" i="2"/>
  <c r="AD19" i="2" s="1"/>
  <c r="AE19" i="2" s="1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K18" i="2" s="1"/>
  <c r="AL18" i="2" s="1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I17" i="2"/>
  <c r="AJ17" i="2" s="1"/>
  <c r="AH17" i="2"/>
  <c r="AG17" i="2"/>
  <c r="AK17" i="2" s="1"/>
  <c r="AL17" i="2" s="1"/>
  <c r="AF17" i="2"/>
  <c r="AC17" i="2"/>
  <c r="AB17" i="2"/>
  <c r="AD17" i="2" s="1"/>
  <c r="AE17" i="2" s="1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K16" i="2"/>
  <c r="AL16" i="2" s="1"/>
  <c r="AG16" i="2"/>
  <c r="AI16" i="2" s="1"/>
  <c r="AJ16" i="2" s="1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I15" i="2"/>
  <c r="AJ15" i="2" s="1"/>
  <c r="AH15" i="2"/>
  <c r="AG15" i="2"/>
  <c r="AK15" i="2" s="1"/>
  <c r="AL15" i="2" s="1"/>
  <c r="AF15" i="2"/>
  <c r="AC15" i="2"/>
  <c r="AB15" i="2"/>
  <c r="AD15" i="2" s="1"/>
  <c r="AE15" i="2" s="1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K13" i="2"/>
  <c r="AL13" i="2" s="1"/>
  <c r="AG13" i="2"/>
  <c r="AI13" i="2" s="1"/>
  <c r="AJ13" i="2" s="1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Z9" i="2"/>
  <c r="Z59" i="2" s="1"/>
  <c r="AA59" i="2" s="1"/>
  <c r="X9" i="2"/>
  <c r="X59" i="2" s="1"/>
  <c r="V9" i="2"/>
  <c r="V59" i="2" s="1"/>
  <c r="T9" i="2"/>
  <c r="R9" i="2"/>
  <c r="P9" i="2"/>
  <c r="N9" i="2"/>
  <c r="N59" i="2" s="1"/>
  <c r="M9" i="2"/>
  <c r="L9" i="2"/>
  <c r="L59" i="2" s="1"/>
  <c r="J9" i="2"/>
  <c r="J59" i="2" s="1"/>
  <c r="H9" i="2"/>
  <c r="H59" i="2" s="1"/>
  <c r="F9" i="2"/>
  <c r="F59" i="2" s="1"/>
  <c r="D9" i="2"/>
  <c r="C9" i="2"/>
  <c r="B9" i="2"/>
  <c r="B59" i="2" s="1"/>
  <c r="AK8" i="2"/>
  <c r="AL8" i="2" s="1"/>
  <c r="AH8" i="2"/>
  <c r="AG8" i="2"/>
  <c r="AI8" i="2" s="1"/>
  <c r="AJ8" i="2" s="1"/>
  <c r="AC8" i="2"/>
  <c r="AB8" i="2"/>
  <c r="AF8" i="2" s="1"/>
  <c r="AA8" i="2"/>
  <c r="Y8" i="2"/>
  <c r="W8" i="2"/>
  <c r="U8" i="2"/>
  <c r="S8" i="2"/>
  <c r="Q8" i="2"/>
  <c r="O8" i="2"/>
  <c r="M8" i="2"/>
  <c r="K8" i="2"/>
  <c r="I8" i="2"/>
  <c r="G8" i="2"/>
  <c r="E8" i="2"/>
  <c r="C8" i="2"/>
  <c r="AG7" i="2"/>
  <c r="AF7" i="2"/>
  <c r="AD7" i="2"/>
  <c r="AE7" i="2" s="1"/>
  <c r="AC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K148" i="1"/>
  <c r="AL144" i="1" s="1"/>
  <c r="AI148" i="1"/>
  <c r="AG148" i="1"/>
  <c r="AD148" i="1"/>
  <c r="AB148" i="1"/>
  <c r="AF148" i="1" s="1"/>
  <c r="AG145" i="1"/>
  <c r="AI145" i="1" s="1"/>
  <c r="AJ145" i="1" s="1"/>
  <c r="Z145" i="1"/>
  <c r="AA145" i="1" s="1"/>
  <c r="X145" i="1"/>
  <c r="W145" i="1"/>
  <c r="V145" i="1"/>
  <c r="T145" i="1"/>
  <c r="U145" i="1" s="1"/>
  <c r="S145" i="1"/>
  <c r="R145" i="1"/>
  <c r="P145" i="1"/>
  <c r="Q145" i="1" s="1"/>
  <c r="O145" i="1"/>
  <c r="N145" i="1"/>
  <c r="M145" i="1"/>
  <c r="L145" i="1"/>
  <c r="J145" i="1"/>
  <c r="K145" i="1" s="1"/>
  <c r="H145" i="1"/>
  <c r="I145" i="1" s="1"/>
  <c r="G145" i="1"/>
  <c r="F145" i="1"/>
  <c r="D145" i="1"/>
  <c r="E145" i="1" s="1"/>
  <c r="B145" i="1"/>
  <c r="C145" i="1" s="1"/>
  <c r="AK144" i="1"/>
  <c r="AH144" i="1"/>
  <c r="AG144" i="1"/>
  <c r="AI144" i="1" s="1"/>
  <c r="AC144" i="1"/>
  <c r="AB144" i="1"/>
  <c r="AF144" i="1" s="1"/>
  <c r="AA144" i="1"/>
  <c r="Y144" i="1"/>
  <c r="W144" i="1"/>
  <c r="U144" i="1"/>
  <c r="S144" i="1"/>
  <c r="Q144" i="1"/>
  <c r="O144" i="1"/>
  <c r="M144" i="1"/>
  <c r="K144" i="1"/>
  <c r="I144" i="1"/>
  <c r="G144" i="1"/>
  <c r="E144" i="1"/>
  <c r="C144" i="1"/>
  <c r="AD141" i="1"/>
  <c r="AE141" i="1" s="1"/>
  <c r="Z141" i="1"/>
  <c r="AA141" i="1" s="1"/>
  <c r="Y141" i="1"/>
  <c r="X141" i="1"/>
  <c r="V141" i="1"/>
  <c r="W141" i="1" s="1"/>
  <c r="U141" i="1"/>
  <c r="T141" i="1"/>
  <c r="S141" i="1"/>
  <c r="R141" i="1"/>
  <c r="AB141" i="1" s="1"/>
  <c r="AF141" i="1" s="1"/>
  <c r="Q141" i="1"/>
  <c r="P141" i="1"/>
  <c r="N141" i="1"/>
  <c r="O141" i="1" s="1"/>
  <c r="M141" i="1"/>
  <c r="L141" i="1"/>
  <c r="J141" i="1"/>
  <c r="K141" i="1" s="1"/>
  <c r="I141" i="1"/>
  <c r="H141" i="1"/>
  <c r="F141" i="1"/>
  <c r="G141" i="1" s="1"/>
  <c r="E141" i="1"/>
  <c r="D141" i="1"/>
  <c r="C141" i="1"/>
  <c r="B141" i="1"/>
  <c r="AK140" i="1"/>
  <c r="AL140" i="1" s="1"/>
  <c r="AI140" i="1"/>
  <c r="AH140" i="1"/>
  <c r="AG140" i="1"/>
  <c r="AB140" i="1"/>
  <c r="AF140" i="1" s="1"/>
  <c r="AA140" i="1"/>
  <c r="Y140" i="1"/>
  <c r="W140" i="1"/>
  <c r="U140" i="1"/>
  <c r="S140" i="1"/>
  <c r="Q140" i="1"/>
  <c r="O140" i="1"/>
  <c r="M140" i="1"/>
  <c r="K140" i="1"/>
  <c r="I140" i="1"/>
  <c r="G140" i="1"/>
  <c r="E140" i="1"/>
  <c r="C140" i="1"/>
  <c r="AF135" i="1"/>
  <c r="Z135" i="1"/>
  <c r="AA135" i="1" s="1"/>
  <c r="X135" i="1"/>
  <c r="W135" i="1"/>
  <c r="V135" i="1"/>
  <c r="U135" i="1"/>
  <c r="T135" i="1"/>
  <c r="R135" i="1"/>
  <c r="AB135" i="1" s="1"/>
  <c r="AC135" i="1" s="1"/>
  <c r="P135" i="1"/>
  <c r="AG135" i="1" s="1"/>
  <c r="O135" i="1"/>
  <c r="N135" i="1"/>
  <c r="L135" i="1"/>
  <c r="M135" i="1" s="1"/>
  <c r="J135" i="1"/>
  <c r="K135" i="1" s="1"/>
  <c r="H135" i="1"/>
  <c r="I135" i="1" s="1"/>
  <c r="F135" i="1"/>
  <c r="G135" i="1" s="1"/>
  <c r="E135" i="1"/>
  <c r="D135" i="1"/>
  <c r="B135" i="1"/>
  <c r="C135" i="1" s="1"/>
  <c r="AK134" i="1"/>
  <c r="AL134" i="1" s="1"/>
  <c r="AG134" i="1"/>
  <c r="AI134" i="1" s="1"/>
  <c r="AJ134" i="1" s="1"/>
  <c r="AB134" i="1"/>
  <c r="AF134" i="1" s="1"/>
  <c r="AA134" i="1"/>
  <c r="Y134" i="1"/>
  <c r="W134" i="1"/>
  <c r="U134" i="1"/>
  <c r="S134" i="1"/>
  <c r="Q134" i="1"/>
  <c r="O134" i="1"/>
  <c r="M134" i="1"/>
  <c r="K134" i="1"/>
  <c r="I134" i="1"/>
  <c r="G134" i="1"/>
  <c r="E134" i="1"/>
  <c r="C134" i="1"/>
  <c r="AK133" i="1"/>
  <c r="AL133" i="1" s="1"/>
  <c r="AI133" i="1"/>
  <c r="AH133" i="1"/>
  <c r="AG133" i="1"/>
  <c r="AB133" i="1"/>
  <c r="AF133" i="1" s="1"/>
  <c r="AA133" i="1"/>
  <c r="Y133" i="1"/>
  <c r="W133" i="1"/>
  <c r="U133" i="1"/>
  <c r="S133" i="1"/>
  <c r="Q133" i="1"/>
  <c r="O133" i="1"/>
  <c r="M133" i="1"/>
  <c r="K133" i="1"/>
  <c r="I133" i="1"/>
  <c r="G133" i="1"/>
  <c r="E133" i="1"/>
  <c r="C133" i="1"/>
  <c r="AK132" i="1"/>
  <c r="AL132" i="1" s="1"/>
  <c r="AG132" i="1"/>
  <c r="AI132" i="1" s="1"/>
  <c r="AC132" i="1"/>
  <c r="AB132" i="1"/>
  <c r="AF132" i="1" s="1"/>
  <c r="AA132" i="1"/>
  <c r="Y132" i="1"/>
  <c r="W132" i="1"/>
  <c r="U132" i="1"/>
  <c r="S132" i="1"/>
  <c r="Q132" i="1"/>
  <c r="O132" i="1"/>
  <c r="M132" i="1"/>
  <c r="K132" i="1"/>
  <c r="I132" i="1"/>
  <c r="G132" i="1"/>
  <c r="E132" i="1"/>
  <c r="C132" i="1"/>
  <c r="AK131" i="1"/>
  <c r="AI131" i="1"/>
  <c r="AH131" i="1"/>
  <c r="AG131" i="1"/>
  <c r="AD131" i="1"/>
  <c r="AE131" i="1" s="1"/>
  <c r="AB131" i="1"/>
  <c r="AF131" i="1" s="1"/>
  <c r="AA131" i="1"/>
  <c r="Y131" i="1"/>
  <c r="W131" i="1"/>
  <c r="U131" i="1"/>
  <c r="S131" i="1"/>
  <c r="Q131" i="1"/>
  <c r="O131" i="1"/>
  <c r="M131" i="1"/>
  <c r="K131" i="1"/>
  <c r="I131" i="1"/>
  <c r="G131" i="1"/>
  <c r="E131" i="1"/>
  <c r="C131" i="1"/>
  <c r="AL130" i="1"/>
  <c r="AK130" i="1"/>
  <c r="AG130" i="1"/>
  <c r="AI130" i="1" s="1"/>
  <c r="AJ130" i="1" s="1"/>
  <c r="AC130" i="1"/>
  <c r="AB130" i="1"/>
  <c r="AF130" i="1" s="1"/>
  <c r="AA130" i="1"/>
  <c r="Y130" i="1"/>
  <c r="W130" i="1"/>
  <c r="U130" i="1"/>
  <c r="S130" i="1"/>
  <c r="Q130" i="1"/>
  <c r="O130" i="1"/>
  <c r="M130" i="1"/>
  <c r="K130" i="1"/>
  <c r="I130" i="1"/>
  <c r="G130" i="1"/>
  <c r="E130" i="1"/>
  <c r="C130" i="1"/>
  <c r="AK129" i="1"/>
  <c r="AL129" i="1" s="1"/>
  <c r="AI129" i="1"/>
  <c r="AH129" i="1"/>
  <c r="AG129" i="1"/>
  <c r="AD129" i="1"/>
  <c r="AE129" i="1" s="1"/>
  <c r="AC129" i="1"/>
  <c r="AB129" i="1"/>
  <c r="AF129" i="1" s="1"/>
  <c r="AA129" i="1"/>
  <c r="Y129" i="1"/>
  <c r="W129" i="1"/>
  <c r="U129" i="1"/>
  <c r="S129" i="1"/>
  <c r="Q129" i="1"/>
  <c r="O129" i="1"/>
  <c r="M129" i="1"/>
  <c r="K129" i="1"/>
  <c r="I129" i="1"/>
  <c r="G129" i="1"/>
  <c r="E129" i="1"/>
  <c r="C129" i="1"/>
  <c r="AL128" i="1"/>
  <c r="AK128" i="1"/>
  <c r="AG128" i="1"/>
  <c r="AI128" i="1" s="1"/>
  <c r="AC128" i="1"/>
  <c r="AB128" i="1"/>
  <c r="AF128" i="1" s="1"/>
  <c r="AA128" i="1"/>
  <c r="Y128" i="1"/>
  <c r="W128" i="1"/>
  <c r="U128" i="1"/>
  <c r="S128" i="1"/>
  <c r="Q128" i="1"/>
  <c r="O128" i="1"/>
  <c r="M128" i="1"/>
  <c r="K128" i="1"/>
  <c r="I128" i="1"/>
  <c r="G128" i="1"/>
  <c r="E128" i="1"/>
  <c r="C128" i="1"/>
  <c r="AK127" i="1"/>
  <c r="AI127" i="1"/>
  <c r="AH127" i="1"/>
  <c r="AG127" i="1"/>
  <c r="AB127" i="1"/>
  <c r="AF127" i="1" s="1"/>
  <c r="AA127" i="1"/>
  <c r="Y127" i="1"/>
  <c r="W127" i="1"/>
  <c r="U127" i="1"/>
  <c r="S127" i="1"/>
  <c r="Q127" i="1"/>
  <c r="O127" i="1"/>
  <c r="M127" i="1"/>
  <c r="K127" i="1"/>
  <c r="I127" i="1"/>
  <c r="G127" i="1"/>
  <c r="E127" i="1"/>
  <c r="C127" i="1"/>
  <c r="AK126" i="1"/>
  <c r="AL126" i="1" s="1"/>
  <c r="AJ126" i="1"/>
  <c r="AG126" i="1"/>
  <c r="AI126" i="1" s="1"/>
  <c r="AC126" i="1"/>
  <c r="AB126" i="1"/>
  <c r="AF126" i="1" s="1"/>
  <c r="AA126" i="1"/>
  <c r="Y126" i="1"/>
  <c r="W126" i="1"/>
  <c r="U126" i="1"/>
  <c r="S126" i="1"/>
  <c r="Q126" i="1"/>
  <c r="O126" i="1"/>
  <c r="M126" i="1"/>
  <c r="K126" i="1"/>
  <c r="I126" i="1"/>
  <c r="G126" i="1"/>
  <c r="E126" i="1"/>
  <c r="C126" i="1"/>
  <c r="AK125" i="1"/>
  <c r="AI125" i="1"/>
  <c r="AJ125" i="1" s="1"/>
  <c r="AH125" i="1"/>
  <c r="AG125" i="1"/>
  <c r="AF125" i="1"/>
  <c r="AE125" i="1"/>
  <c r="AD125" i="1"/>
  <c r="AC125" i="1"/>
  <c r="AB125" i="1"/>
  <c r="AA125" i="1"/>
  <c r="Y125" i="1"/>
  <c r="W125" i="1"/>
  <c r="U125" i="1"/>
  <c r="S125" i="1"/>
  <c r="Q125" i="1"/>
  <c r="O125" i="1"/>
  <c r="M125" i="1"/>
  <c r="K125" i="1"/>
  <c r="I125" i="1"/>
  <c r="G125" i="1"/>
  <c r="E125" i="1"/>
  <c r="C125" i="1"/>
  <c r="AK124" i="1"/>
  <c r="AG124" i="1"/>
  <c r="AI124" i="1" s="1"/>
  <c r="AJ124" i="1" s="1"/>
  <c r="AC124" i="1"/>
  <c r="AB124" i="1"/>
  <c r="AF124" i="1" s="1"/>
  <c r="AA124" i="1"/>
  <c r="Y124" i="1"/>
  <c r="W124" i="1"/>
  <c r="U124" i="1"/>
  <c r="S124" i="1"/>
  <c r="Q124" i="1"/>
  <c r="O124" i="1"/>
  <c r="M124" i="1"/>
  <c r="K124" i="1"/>
  <c r="I124" i="1"/>
  <c r="G124" i="1"/>
  <c r="E124" i="1"/>
  <c r="C124" i="1"/>
  <c r="AG123" i="1"/>
  <c r="AK123" i="1" s="1"/>
  <c r="AB123" i="1"/>
  <c r="AF123" i="1" s="1"/>
  <c r="AA123" i="1"/>
  <c r="Y123" i="1"/>
  <c r="W123" i="1"/>
  <c r="U123" i="1"/>
  <c r="S123" i="1"/>
  <c r="Q123" i="1"/>
  <c r="O123" i="1"/>
  <c r="M123" i="1"/>
  <c r="K123" i="1"/>
  <c r="I123" i="1"/>
  <c r="G123" i="1"/>
  <c r="E123" i="1"/>
  <c r="C123" i="1"/>
  <c r="AK122" i="1"/>
  <c r="AL122" i="1" s="1"/>
  <c r="AG122" i="1"/>
  <c r="AI122" i="1" s="1"/>
  <c r="AJ122" i="1" s="1"/>
  <c r="AC122" i="1"/>
  <c r="AB122" i="1"/>
  <c r="AF122" i="1" s="1"/>
  <c r="AA122" i="1"/>
  <c r="Y122" i="1"/>
  <c r="W122" i="1"/>
  <c r="U122" i="1"/>
  <c r="S122" i="1"/>
  <c r="Q122" i="1"/>
  <c r="O122" i="1"/>
  <c r="M122" i="1"/>
  <c r="K122" i="1"/>
  <c r="I122" i="1"/>
  <c r="G122" i="1"/>
  <c r="E122" i="1"/>
  <c r="C122" i="1"/>
  <c r="AG121" i="1"/>
  <c r="AK121" i="1" s="1"/>
  <c r="AL121" i="1" s="1"/>
  <c r="AB121" i="1"/>
  <c r="AF121" i="1" s="1"/>
  <c r="AA121" i="1"/>
  <c r="Y121" i="1"/>
  <c r="W121" i="1"/>
  <c r="U121" i="1"/>
  <c r="S121" i="1"/>
  <c r="Q121" i="1"/>
  <c r="O121" i="1"/>
  <c r="M121" i="1"/>
  <c r="K121" i="1"/>
  <c r="I121" i="1"/>
  <c r="G121" i="1"/>
  <c r="E121" i="1"/>
  <c r="C121" i="1"/>
  <c r="AK120" i="1"/>
  <c r="AL120" i="1" s="1"/>
  <c r="AG120" i="1"/>
  <c r="AI120" i="1" s="1"/>
  <c r="AB120" i="1"/>
  <c r="AF120" i="1" s="1"/>
  <c r="AA120" i="1"/>
  <c r="Y120" i="1"/>
  <c r="W120" i="1"/>
  <c r="U120" i="1"/>
  <c r="S120" i="1"/>
  <c r="Q120" i="1"/>
  <c r="O120" i="1"/>
  <c r="M120" i="1"/>
  <c r="K120" i="1"/>
  <c r="I120" i="1"/>
  <c r="G120" i="1"/>
  <c r="E120" i="1"/>
  <c r="C120" i="1"/>
  <c r="AG119" i="1"/>
  <c r="AK119" i="1" s="1"/>
  <c r="AL119" i="1" s="1"/>
  <c r="AF119" i="1"/>
  <c r="AB119" i="1"/>
  <c r="AD119" i="1" s="1"/>
  <c r="AE119" i="1" s="1"/>
  <c r="AA119" i="1"/>
  <c r="Y119" i="1"/>
  <c r="W119" i="1"/>
  <c r="U119" i="1"/>
  <c r="S119" i="1"/>
  <c r="Q119" i="1"/>
  <c r="O119" i="1"/>
  <c r="M119" i="1"/>
  <c r="K119" i="1"/>
  <c r="I119" i="1"/>
  <c r="G119" i="1"/>
  <c r="E119" i="1"/>
  <c r="C119" i="1"/>
  <c r="AK118" i="1"/>
  <c r="AG118" i="1"/>
  <c r="AI118" i="1" s="1"/>
  <c r="AJ118" i="1" s="1"/>
  <c r="AB118" i="1"/>
  <c r="AF118" i="1" s="1"/>
  <c r="AA118" i="1"/>
  <c r="Y118" i="1"/>
  <c r="W118" i="1"/>
  <c r="U118" i="1"/>
  <c r="S118" i="1"/>
  <c r="Q118" i="1"/>
  <c r="O118" i="1"/>
  <c r="M118" i="1"/>
  <c r="K118" i="1"/>
  <c r="I118" i="1"/>
  <c r="G118" i="1"/>
  <c r="E118" i="1"/>
  <c r="C118" i="1"/>
  <c r="AH117" i="1"/>
  <c r="AG117" i="1"/>
  <c r="AK117" i="1" s="1"/>
  <c r="AL117" i="1" s="1"/>
  <c r="AB117" i="1"/>
  <c r="AF117" i="1" s="1"/>
  <c r="AA117" i="1"/>
  <c r="Y117" i="1"/>
  <c r="W117" i="1"/>
  <c r="U117" i="1"/>
  <c r="S117" i="1"/>
  <c r="Q117" i="1"/>
  <c r="O117" i="1"/>
  <c r="M117" i="1"/>
  <c r="K117" i="1"/>
  <c r="I117" i="1"/>
  <c r="G117" i="1"/>
  <c r="E117" i="1"/>
  <c r="C117" i="1"/>
  <c r="AK116" i="1"/>
  <c r="AL116" i="1" s="1"/>
  <c r="AJ116" i="1"/>
  <c r="AG116" i="1"/>
  <c r="AI116" i="1" s="1"/>
  <c r="AB116" i="1"/>
  <c r="AF116" i="1" s="1"/>
  <c r="AA116" i="1"/>
  <c r="Y116" i="1"/>
  <c r="W116" i="1"/>
  <c r="U116" i="1"/>
  <c r="S116" i="1"/>
  <c r="Q116" i="1"/>
  <c r="O116" i="1"/>
  <c r="M116" i="1"/>
  <c r="K116" i="1"/>
  <c r="I116" i="1"/>
  <c r="G116" i="1"/>
  <c r="E116" i="1"/>
  <c r="C116" i="1"/>
  <c r="AG115" i="1"/>
  <c r="AK115" i="1" s="1"/>
  <c r="AL115" i="1" s="1"/>
  <c r="AB115" i="1"/>
  <c r="AF115" i="1" s="1"/>
  <c r="AA115" i="1"/>
  <c r="Y115" i="1"/>
  <c r="W115" i="1"/>
  <c r="U115" i="1"/>
  <c r="S115" i="1"/>
  <c r="Q115" i="1"/>
  <c r="O115" i="1"/>
  <c r="M115" i="1"/>
  <c r="K115" i="1"/>
  <c r="I115" i="1"/>
  <c r="G115" i="1"/>
  <c r="E115" i="1"/>
  <c r="C115" i="1"/>
  <c r="AK114" i="1"/>
  <c r="AL114" i="1" s="1"/>
  <c r="AG114" i="1"/>
  <c r="AI114" i="1" s="1"/>
  <c r="AC114" i="1"/>
  <c r="AB114" i="1"/>
  <c r="AF114" i="1" s="1"/>
  <c r="AA114" i="1"/>
  <c r="Y114" i="1"/>
  <c r="W114" i="1"/>
  <c r="U114" i="1"/>
  <c r="S114" i="1"/>
  <c r="Q114" i="1"/>
  <c r="O114" i="1"/>
  <c r="M114" i="1"/>
  <c r="K114" i="1"/>
  <c r="I114" i="1"/>
  <c r="G114" i="1"/>
  <c r="E114" i="1"/>
  <c r="C114" i="1"/>
  <c r="AK113" i="1"/>
  <c r="AL113" i="1" s="1"/>
  <c r="AI113" i="1"/>
  <c r="AH113" i="1"/>
  <c r="AG113" i="1"/>
  <c r="AD113" i="1"/>
  <c r="AE113" i="1" s="1"/>
  <c r="AB113" i="1"/>
  <c r="AF113" i="1" s="1"/>
  <c r="AA113" i="1"/>
  <c r="Y113" i="1"/>
  <c r="W113" i="1"/>
  <c r="U113" i="1"/>
  <c r="S113" i="1"/>
  <c r="Q113" i="1"/>
  <c r="O113" i="1"/>
  <c r="M113" i="1"/>
  <c r="K113" i="1"/>
  <c r="I113" i="1"/>
  <c r="G113" i="1"/>
  <c r="E113" i="1"/>
  <c r="C113" i="1"/>
  <c r="AL112" i="1"/>
  <c r="AK112" i="1"/>
  <c r="AG112" i="1"/>
  <c r="AI112" i="1" s="1"/>
  <c r="AJ112" i="1" s="1"/>
  <c r="AC112" i="1"/>
  <c r="AB112" i="1"/>
  <c r="AF112" i="1" s="1"/>
  <c r="AA112" i="1"/>
  <c r="Y112" i="1"/>
  <c r="W112" i="1"/>
  <c r="U112" i="1"/>
  <c r="S112" i="1"/>
  <c r="Q112" i="1"/>
  <c r="O112" i="1"/>
  <c r="M112" i="1"/>
  <c r="K112" i="1"/>
  <c r="I112" i="1"/>
  <c r="G112" i="1"/>
  <c r="E112" i="1"/>
  <c r="C112" i="1"/>
  <c r="AG111" i="1"/>
  <c r="AK111" i="1" s="1"/>
  <c r="AL111" i="1" s="1"/>
  <c r="AF111" i="1"/>
  <c r="AD111" i="1"/>
  <c r="AE111" i="1" s="1"/>
  <c r="AB111" i="1"/>
  <c r="AC111" i="1" s="1"/>
  <c r="AA111" i="1"/>
  <c r="Y111" i="1"/>
  <c r="W111" i="1"/>
  <c r="U111" i="1"/>
  <c r="S111" i="1"/>
  <c r="Q111" i="1"/>
  <c r="O111" i="1"/>
  <c r="M111" i="1"/>
  <c r="K111" i="1"/>
  <c r="I111" i="1"/>
  <c r="G111" i="1"/>
  <c r="E111" i="1"/>
  <c r="C111" i="1"/>
  <c r="AL110" i="1"/>
  <c r="AK110" i="1"/>
  <c r="AG110" i="1"/>
  <c r="AI110" i="1" s="1"/>
  <c r="AJ110" i="1" s="1"/>
  <c r="AB110" i="1"/>
  <c r="AF110" i="1" s="1"/>
  <c r="AA110" i="1"/>
  <c r="Y110" i="1"/>
  <c r="W110" i="1"/>
  <c r="U110" i="1"/>
  <c r="S110" i="1"/>
  <c r="Q110" i="1"/>
  <c r="O110" i="1"/>
  <c r="M110" i="1"/>
  <c r="K110" i="1"/>
  <c r="I110" i="1"/>
  <c r="G110" i="1"/>
  <c r="E110" i="1"/>
  <c r="C110" i="1"/>
  <c r="AA105" i="1"/>
  <c r="Z105" i="1"/>
  <c r="Y105" i="1"/>
  <c r="X105" i="1"/>
  <c r="W105" i="1"/>
  <c r="V105" i="1"/>
  <c r="T105" i="1"/>
  <c r="U105" i="1" s="1"/>
  <c r="R105" i="1"/>
  <c r="AB105" i="1" s="1"/>
  <c r="Q105" i="1"/>
  <c r="P105" i="1"/>
  <c r="N105" i="1"/>
  <c r="O105" i="1" s="1"/>
  <c r="M105" i="1"/>
  <c r="L105" i="1"/>
  <c r="K105" i="1"/>
  <c r="J105" i="1"/>
  <c r="I105" i="1"/>
  <c r="H105" i="1"/>
  <c r="G105" i="1"/>
  <c r="F105" i="1"/>
  <c r="E105" i="1"/>
  <c r="D105" i="1"/>
  <c r="B105" i="1"/>
  <c r="C105" i="1" s="1"/>
  <c r="AL104" i="1"/>
  <c r="AI104" i="1"/>
  <c r="AH104" i="1"/>
  <c r="AG104" i="1"/>
  <c r="AK104" i="1" s="1"/>
  <c r="AB104" i="1"/>
  <c r="AF104" i="1" s="1"/>
  <c r="AA104" i="1"/>
  <c r="Y104" i="1"/>
  <c r="W104" i="1"/>
  <c r="U104" i="1"/>
  <c r="S104" i="1"/>
  <c r="Q104" i="1"/>
  <c r="O104" i="1"/>
  <c r="M104" i="1"/>
  <c r="K104" i="1"/>
  <c r="I104" i="1"/>
  <c r="G104" i="1"/>
  <c r="E104" i="1"/>
  <c r="C104" i="1"/>
  <c r="Z99" i="1"/>
  <c r="AA99" i="1" s="1"/>
  <c r="X99" i="1"/>
  <c r="V99" i="1"/>
  <c r="W99" i="1" s="1"/>
  <c r="T99" i="1"/>
  <c r="U99" i="1" s="1"/>
  <c r="S99" i="1"/>
  <c r="R99" i="1"/>
  <c r="P99" i="1"/>
  <c r="Q99" i="1" s="1"/>
  <c r="N99" i="1"/>
  <c r="O99" i="1" s="1"/>
  <c r="L99" i="1"/>
  <c r="M99" i="1" s="1"/>
  <c r="J99" i="1"/>
  <c r="H99" i="1"/>
  <c r="I99" i="1" s="1"/>
  <c r="F99" i="1"/>
  <c r="G99" i="1" s="1"/>
  <c r="E99" i="1"/>
  <c r="D99" i="1"/>
  <c r="C99" i="1"/>
  <c r="B99" i="1"/>
  <c r="AK98" i="1"/>
  <c r="AL98" i="1" s="1"/>
  <c r="AG98" i="1"/>
  <c r="AI98" i="1" s="1"/>
  <c r="AB98" i="1"/>
  <c r="AA98" i="1"/>
  <c r="Y98" i="1"/>
  <c r="W98" i="1"/>
  <c r="U98" i="1"/>
  <c r="S98" i="1"/>
  <c r="Q98" i="1"/>
  <c r="O98" i="1"/>
  <c r="M98" i="1"/>
  <c r="K98" i="1"/>
  <c r="I98" i="1"/>
  <c r="G98" i="1"/>
  <c r="E98" i="1"/>
  <c r="C98" i="1"/>
  <c r="AH97" i="1"/>
  <c r="AG97" i="1"/>
  <c r="AK97" i="1" s="1"/>
  <c r="AF97" i="1"/>
  <c r="AC97" i="1"/>
  <c r="AB97" i="1"/>
  <c r="AD97" i="1" s="1"/>
  <c r="AE97" i="1" s="1"/>
  <c r="AA97" i="1"/>
  <c r="Y97" i="1"/>
  <c r="W97" i="1"/>
  <c r="U97" i="1"/>
  <c r="S97" i="1"/>
  <c r="Q97" i="1"/>
  <c r="O97" i="1"/>
  <c r="M97" i="1"/>
  <c r="K97" i="1"/>
  <c r="I97" i="1"/>
  <c r="G97" i="1"/>
  <c r="E97" i="1"/>
  <c r="C97" i="1"/>
  <c r="AK96" i="1"/>
  <c r="AL96" i="1" s="1"/>
  <c r="AG96" i="1"/>
  <c r="AI96" i="1" s="1"/>
  <c r="AB96" i="1"/>
  <c r="AA96" i="1"/>
  <c r="Y96" i="1"/>
  <c r="W96" i="1"/>
  <c r="U96" i="1"/>
  <c r="S96" i="1"/>
  <c r="Q96" i="1"/>
  <c r="O96" i="1"/>
  <c r="M96" i="1"/>
  <c r="K96" i="1"/>
  <c r="I96" i="1"/>
  <c r="G96" i="1"/>
  <c r="E96" i="1"/>
  <c r="C96" i="1"/>
  <c r="AI95" i="1"/>
  <c r="AJ95" i="1" s="1"/>
  <c r="AH95" i="1"/>
  <c r="AG95" i="1"/>
  <c r="AK95" i="1" s="1"/>
  <c r="AL95" i="1" s="1"/>
  <c r="AF95" i="1"/>
  <c r="AB95" i="1"/>
  <c r="AD95" i="1" s="1"/>
  <c r="AE95" i="1" s="1"/>
  <c r="AA95" i="1"/>
  <c r="Y95" i="1"/>
  <c r="W95" i="1"/>
  <c r="U95" i="1"/>
  <c r="S95" i="1"/>
  <c r="Q95" i="1"/>
  <c r="O95" i="1"/>
  <c r="M95" i="1"/>
  <c r="K95" i="1"/>
  <c r="I95" i="1"/>
  <c r="G95" i="1"/>
  <c r="E95" i="1"/>
  <c r="C95" i="1"/>
  <c r="AG94" i="1"/>
  <c r="AK94" i="1" s="1"/>
  <c r="AL94" i="1" s="1"/>
  <c r="AB94" i="1"/>
  <c r="AA94" i="1"/>
  <c r="Y94" i="1"/>
  <c r="W94" i="1"/>
  <c r="U94" i="1"/>
  <c r="S94" i="1"/>
  <c r="Q94" i="1"/>
  <c r="O94" i="1"/>
  <c r="M94" i="1"/>
  <c r="K94" i="1"/>
  <c r="I94" i="1"/>
  <c r="G94" i="1"/>
  <c r="E94" i="1"/>
  <c r="C94" i="1"/>
  <c r="AI93" i="1"/>
  <c r="AH93" i="1"/>
  <c r="AG93" i="1"/>
  <c r="AK93" i="1" s="1"/>
  <c r="AF93" i="1"/>
  <c r="AC93" i="1"/>
  <c r="AB93" i="1"/>
  <c r="AD93" i="1" s="1"/>
  <c r="AE93" i="1" s="1"/>
  <c r="AA93" i="1"/>
  <c r="Y93" i="1"/>
  <c r="W93" i="1"/>
  <c r="U93" i="1"/>
  <c r="S93" i="1"/>
  <c r="Q93" i="1"/>
  <c r="O93" i="1"/>
  <c r="M93" i="1"/>
  <c r="K93" i="1"/>
  <c r="I93" i="1"/>
  <c r="G93" i="1"/>
  <c r="E93" i="1"/>
  <c r="C93" i="1"/>
  <c r="AG92" i="1"/>
  <c r="AK92" i="1" s="1"/>
  <c r="AL92" i="1" s="1"/>
  <c r="AB92" i="1"/>
  <c r="AA92" i="1"/>
  <c r="Y92" i="1"/>
  <c r="W92" i="1"/>
  <c r="U92" i="1"/>
  <c r="S92" i="1"/>
  <c r="Q92" i="1"/>
  <c r="O92" i="1"/>
  <c r="M92" i="1"/>
  <c r="K92" i="1"/>
  <c r="I92" i="1"/>
  <c r="G92" i="1"/>
  <c r="E92" i="1"/>
  <c r="C92" i="1"/>
  <c r="AG91" i="1"/>
  <c r="AK91" i="1" s="1"/>
  <c r="AL91" i="1" s="1"/>
  <c r="AF91" i="1"/>
  <c r="AB91" i="1"/>
  <c r="AD91" i="1" s="1"/>
  <c r="AE91" i="1" s="1"/>
  <c r="AA91" i="1"/>
  <c r="Y91" i="1"/>
  <c r="W91" i="1"/>
  <c r="U91" i="1"/>
  <c r="S91" i="1"/>
  <c r="Q91" i="1"/>
  <c r="O91" i="1"/>
  <c r="M91" i="1"/>
  <c r="K91" i="1"/>
  <c r="I91" i="1"/>
  <c r="G91" i="1"/>
  <c r="E91" i="1"/>
  <c r="C91" i="1"/>
  <c r="AG90" i="1"/>
  <c r="AK90" i="1" s="1"/>
  <c r="AL90" i="1" s="1"/>
  <c r="AB90" i="1"/>
  <c r="AA90" i="1"/>
  <c r="Y90" i="1"/>
  <c r="W90" i="1"/>
  <c r="U90" i="1"/>
  <c r="S90" i="1"/>
  <c r="Q90" i="1"/>
  <c r="O90" i="1"/>
  <c r="M90" i="1"/>
  <c r="K90" i="1"/>
  <c r="I90" i="1"/>
  <c r="G90" i="1"/>
  <c r="E90" i="1"/>
  <c r="C90" i="1"/>
  <c r="Z85" i="1"/>
  <c r="AA85" i="1" s="1"/>
  <c r="X85" i="1"/>
  <c r="V85" i="1"/>
  <c r="W85" i="1" s="1"/>
  <c r="U85" i="1"/>
  <c r="T85" i="1"/>
  <c r="R85" i="1"/>
  <c r="S85" i="1" s="1"/>
  <c r="P85" i="1"/>
  <c r="Q85" i="1" s="1"/>
  <c r="N85" i="1"/>
  <c r="O85" i="1" s="1"/>
  <c r="L85" i="1"/>
  <c r="M85" i="1" s="1"/>
  <c r="J85" i="1"/>
  <c r="I85" i="1"/>
  <c r="H85" i="1"/>
  <c r="G85" i="1"/>
  <c r="F85" i="1"/>
  <c r="E85" i="1"/>
  <c r="D85" i="1"/>
  <c r="B85" i="1"/>
  <c r="C85" i="1" s="1"/>
  <c r="AB84" i="1"/>
  <c r="AD84" i="1" s="1"/>
  <c r="AE84" i="1" s="1"/>
  <c r="AA84" i="1"/>
  <c r="Z84" i="1"/>
  <c r="Y84" i="1"/>
  <c r="X84" i="1"/>
  <c r="W84" i="1"/>
  <c r="V84" i="1"/>
  <c r="U84" i="1"/>
  <c r="T84" i="1"/>
  <c r="S84" i="1"/>
  <c r="R84" i="1"/>
  <c r="P84" i="1"/>
  <c r="Q84" i="1" s="1"/>
  <c r="N84" i="1"/>
  <c r="O84" i="1" s="1"/>
  <c r="M84" i="1"/>
  <c r="L84" i="1"/>
  <c r="J84" i="1"/>
  <c r="AG84" i="1" s="1"/>
  <c r="I84" i="1"/>
  <c r="H84" i="1"/>
  <c r="G84" i="1"/>
  <c r="F84" i="1"/>
  <c r="E84" i="1"/>
  <c r="D84" i="1"/>
  <c r="B84" i="1"/>
  <c r="C84" i="1" s="1"/>
  <c r="AI83" i="1"/>
  <c r="AH83" i="1"/>
  <c r="AG83" i="1"/>
  <c r="AK83" i="1" s="1"/>
  <c r="AF83" i="1"/>
  <c r="AB83" i="1"/>
  <c r="AD83" i="1" s="1"/>
  <c r="AE83" i="1" s="1"/>
  <c r="AA83" i="1"/>
  <c r="Y83" i="1"/>
  <c r="W83" i="1"/>
  <c r="U83" i="1"/>
  <c r="S83" i="1"/>
  <c r="Q83" i="1"/>
  <c r="O83" i="1"/>
  <c r="M83" i="1"/>
  <c r="K83" i="1"/>
  <c r="I83" i="1"/>
  <c r="G83" i="1"/>
  <c r="E83" i="1"/>
  <c r="C83" i="1"/>
  <c r="AG82" i="1"/>
  <c r="AK82" i="1" s="1"/>
  <c r="AL82" i="1" s="1"/>
  <c r="AB82" i="1"/>
  <c r="AF82" i="1" s="1"/>
  <c r="AA82" i="1"/>
  <c r="Y82" i="1"/>
  <c r="W82" i="1"/>
  <c r="U82" i="1"/>
  <c r="S82" i="1"/>
  <c r="Q82" i="1"/>
  <c r="O82" i="1"/>
  <c r="M82" i="1"/>
  <c r="K82" i="1"/>
  <c r="I82" i="1"/>
  <c r="G82" i="1"/>
  <c r="E82" i="1"/>
  <c r="C82" i="1"/>
  <c r="AG81" i="1"/>
  <c r="AI81" i="1" s="1"/>
  <c r="AJ81" i="1" s="1"/>
  <c r="AF81" i="1"/>
  <c r="Z81" i="1"/>
  <c r="AA81" i="1" s="1"/>
  <c r="X81" i="1"/>
  <c r="AD81" i="1" s="1"/>
  <c r="AE81" i="1" s="1"/>
  <c r="V81" i="1"/>
  <c r="W81" i="1" s="1"/>
  <c r="T81" i="1"/>
  <c r="U81" i="1" s="1"/>
  <c r="S81" i="1"/>
  <c r="R81" i="1"/>
  <c r="AB81" i="1" s="1"/>
  <c r="AC81" i="1" s="1"/>
  <c r="P81" i="1"/>
  <c r="Q81" i="1" s="1"/>
  <c r="O81" i="1"/>
  <c r="N81" i="1"/>
  <c r="L81" i="1"/>
  <c r="M81" i="1" s="1"/>
  <c r="J81" i="1"/>
  <c r="K81" i="1" s="1"/>
  <c r="H81" i="1"/>
  <c r="I81" i="1" s="1"/>
  <c r="F81" i="1"/>
  <c r="G81" i="1" s="1"/>
  <c r="D81" i="1"/>
  <c r="E81" i="1" s="1"/>
  <c r="B81" i="1"/>
  <c r="C81" i="1" s="1"/>
  <c r="AK80" i="1"/>
  <c r="AL80" i="1" s="1"/>
  <c r="AG80" i="1"/>
  <c r="AI80" i="1" s="1"/>
  <c r="AJ80" i="1" s="1"/>
  <c r="AC80" i="1"/>
  <c r="AB80" i="1"/>
  <c r="AF80" i="1" s="1"/>
  <c r="AA80" i="1"/>
  <c r="Y80" i="1"/>
  <c r="W80" i="1"/>
  <c r="U80" i="1"/>
  <c r="S80" i="1"/>
  <c r="Q80" i="1"/>
  <c r="O80" i="1"/>
  <c r="M80" i="1"/>
  <c r="K80" i="1"/>
  <c r="I80" i="1"/>
  <c r="G80" i="1"/>
  <c r="E80" i="1"/>
  <c r="C80" i="1"/>
  <c r="AG79" i="1"/>
  <c r="AK79" i="1" s="1"/>
  <c r="AL79" i="1" s="1"/>
  <c r="AD79" i="1"/>
  <c r="AE79" i="1" s="1"/>
  <c r="AC79" i="1"/>
  <c r="AB79" i="1"/>
  <c r="AF79" i="1" s="1"/>
  <c r="AA79" i="1"/>
  <c r="Y79" i="1"/>
  <c r="W79" i="1"/>
  <c r="U79" i="1"/>
  <c r="S79" i="1"/>
  <c r="Q79" i="1"/>
  <c r="O79" i="1"/>
  <c r="M79" i="1"/>
  <c r="K79" i="1"/>
  <c r="I79" i="1"/>
  <c r="G79" i="1"/>
  <c r="E79" i="1"/>
  <c r="C79" i="1"/>
  <c r="AL78" i="1"/>
  <c r="AK78" i="1"/>
  <c r="AG78" i="1"/>
  <c r="AI78" i="1" s="1"/>
  <c r="AB78" i="1"/>
  <c r="AF78" i="1" s="1"/>
  <c r="AA78" i="1"/>
  <c r="Y78" i="1"/>
  <c r="W78" i="1"/>
  <c r="U78" i="1"/>
  <c r="S78" i="1"/>
  <c r="Q78" i="1"/>
  <c r="O78" i="1"/>
  <c r="M78" i="1"/>
  <c r="K78" i="1"/>
  <c r="I78" i="1"/>
  <c r="G78" i="1"/>
  <c r="E78" i="1"/>
  <c r="C78" i="1"/>
  <c r="AG77" i="1"/>
  <c r="AK77" i="1" s="1"/>
  <c r="AL77" i="1" s="1"/>
  <c r="AB77" i="1"/>
  <c r="AF77" i="1" s="1"/>
  <c r="AA77" i="1"/>
  <c r="Y77" i="1"/>
  <c r="W77" i="1"/>
  <c r="U77" i="1"/>
  <c r="S77" i="1"/>
  <c r="Q77" i="1"/>
  <c r="O77" i="1"/>
  <c r="M77" i="1"/>
  <c r="K77" i="1"/>
  <c r="I77" i="1"/>
  <c r="G77" i="1"/>
  <c r="E77" i="1"/>
  <c r="C77" i="1"/>
  <c r="AK76" i="1"/>
  <c r="AL76" i="1" s="1"/>
  <c r="AJ76" i="1"/>
  <c r="AG76" i="1"/>
  <c r="AI76" i="1" s="1"/>
  <c r="AB76" i="1"/>
  <c r="AF76" i="1" s="1"/>
  <c r="AA76" i="1"/>
  <c r="Y76" i="1"/>
  <c r="W76" i="1"/>
  <c r="U76" i="1"/>
  <c r="S76" i="1"/>
  <c r="Q76" i="1"/>
  <c r="O76" i="1"/>
  <c r="M76" i="1"/>
  <c r="K76" i="1"/>
  <c r="I76" i="1"/>
  <c r="G76" i="1"/>
  <c r="E76" i="1"/>
  <c r="C76" i="1"/>
  <c r="AG75" i="1"/>
  <c r="AK75" i="1" s="1"/>
  <c r="AL75" i="1" s="1"/>
  <c r="AF75" i="1"/>
  <c r="AD75" i="1"/>
  <c r="AE75" i="1" s="1"/>
  <c r="AC75" i="1"/>
  <c r="AB75" i="1"/>
  <c r="AA75" i="1"/>
  <c r="Y75" i="1"/>
  <c r="W75" i="1"/>
  <c r="U75" i="1"/>
  <c r="S75" i="1"/>
  <c r="Q75" i="1"/>
  <c r="O75" i="1"/>
  <c r="M75" i="1"/>
  <c r="K75" i="1"/>
  <c r="I75" i="1"/>
  <c r="G75" i="1"/>
  <c r="E75" i="1"/>
  <c r="C75" i="1"/>
  <c r="AK74" i="1"/>
  <c r="AL74" i="1" s="1"/>
  <c r="AH74" i="1"/>
  <c r="AG74" i="1"/>
  <c r="AI74" i="1" s="1"/>
  <c r="AJ74" i="1" s="1"/>
  <c r="AB74" i="1"/>
  <c r="AF74" i="1" s="1"/>
  <c r="AA74" i="1"/>
  <c r="Y74" i="1"/>
  <c r="W74" i="1"/>
  <c r="U74" i="1"/>
  <c r="S74" i="1"/>
  <c r="Q74" i="1"/>
  <c r="O74" i="1"/>
  <c r="M74" i="1"/>
  <c r="K74" i="1"/>
  <c r="I74" i="1"/>
  <c r="G74" i="1"/>
  <c r="E74" i="1"/>
  <c r="C74" i="1"/>
  <c r="AI72" i="1"/>
  <c r="AJ72" i="1" s="1"/>
  <c r="AG72" i="1"/>
  <c r="AK72" i="1" s="1"/>
  <c r="AF72" i="1"/>
  <c r="AE72" i="1"/>
  <c r="AD72" i="1"/>
  <c r="AC72" i="1"/>
  <c r="AB72" i="1"/>
  <c r="AA72" i="1"/>
  <c r="Y72" i="1"/>
  <c r="W72" i="1"/>
  <c r="U72" i="1"/>
  <c r="S72" i="1"/>
  <c r="Q72" i="1"/>
  <c r="O72" i="1"/>
  <c r="M72" i="1"/>
  <c r="K72" i="1"/>
  <c r="I72" i="1"/>
  <c r="G72" i="1"/>
  <c r="E72" i="1"/>
  <c r="C72" i="1"/>
  <c r="AK71" i="1"/>
  <c r="AL71" i="1" s="1"/>
  <c r="AH71" i="1"/>
  <c r="AG71" i="1"/>
  <c r="AI71" i="1" s="1"/>
  <c r="AJ71" i="1" s="1"/>
  <c r="AB71" i="1"/>
  <c r="AF71" i="1" s="1"/>
  <c r="AA71" i="1"/>
  <c r="Y71" i="1"/>
  <c r="W71" i="1"/>
  <c r="U71" i="1"/>
  <c r="S71" i="1"/>
  <c r="Q71" i="1"/>
  <c r="O71" i="1"/>
  <c r="M71" i="1"/>
  <c r="K71" i="1"/>
  <c r="I71" i="1"/>
  <c r="G71" i="1"/>
  <c r="E71" i="1"/>
  <c r="C71" i="1"/>
  <c r="AD70" i="1"/>
  <c r="AE70" i="1" s="1"/>
  <c r="AC70" i="1"/>
  <c r="AB70" i="1"/>
  <c r="AF70" i="1" s="1"/>
  <c r="AA70" i="1"/>
  <c r="Z70" i="1"/>
  <c r="X70" i="1"/>
  <c r="Y70" i="1" s="1"/>
  <c r="V70" i="1"/>
  <c r="W70" i="1" s="1"/>
  <c r="T70" i="1"/>
  <c r="U70" i="1" s="1"/>
  <c r="R70" i="1"/>
  <c r="S70" i="1" s="1"/>
  <c r="P70" i="1"/>
  <c r="Q70" i="1" s="1"/>
  <c r="O70" i="1"/>
  <c r="N70" i="1"/>
  <c r="M70" i="1"/>
  <c r="L70" i="1"/>
  <c r="K70" i="1"/>
  <c r="J70" i="1"/>
  <c r="H70" i="1"/>
  <c r="I70" i="1" s="1"/>
  <c r="F70" i="1"/>
  <c r="G70" i="1" s="1"/>
  <c r="D70" i="1"/>
  <c r="E70" i="1" s="1"/>
  <c r="B70" i="1"/>
  <c r="C70" i="1" s="1"/>
  <c r="AK69" i="1"/>
  <c r="AL69" i="1" s="1"/>
  <c r="AH69" i="1"/>
  <c r="AG69" i="1"/>
  <c r="AI69" i="1" s="1"/>
  <c r="AJ69" i="1" s="1"/>
  <c r="AB69" i="1"/>
  <c r="AF69" i="1" s="1"/>
  <c r="AA69" i="1"/>
  <c r="Y69" i="1"/>
  <c r="W69" i="1"/>
  <c r="U69" i="1"/>
  <c r="S69" i="1"/>
  <c r="Q69" i="1"/>
  <c r="O69" i="1"/>
  <c r="M69" i="1"/>
  <c r="K69" i="1"/>
  <c r="I69" i="1"/>
  <c r="G69" i="1"/>
  <c r="E69" i="1"/>
  <c r="C69" i="1"/>
  <c r="AG68" i="1"/>
  <c r="AK68" i="1" s="1"/>
  <c r="AL68" i="1" s="1"/>
  <c r="AB68" i="1"/>
  <c r="AA68" i="1"/>
  <c r="Y68" i="1"/>
  <c r="W68" i="1"/>
  <c r="U68" i="1"/>
  <c r="S68" i="1"/>
  <c r="Q68" i="1"/>
  <c r="O68" i="1"/>
  <c r="M68" i="1"/>
  <c r="K68" i="1"/>
  <c r="I68" i="1"/>
  <c r="G68" i="1"/>
  <c r="E68" i="1"/>
  <c r="C68" i="1"/>
  <c r="AK67" i="1"/>
  <c r="AL67" i="1" s="1"/>
  <c r="AI67" i="1"/>
  <c r="AJ67" i="1" s="1"/>
  <c r="AH67" i="1"/>
  <c r="AG67" i="1"/>
  <c r="AB67" i="1"/>
  <c r="AF67" i="1" s="1"/>
  <c r="AA67" i="1"/>
  <c r="Y67" i="1"/>
  <c r="W67" i="1"/>
  <c r="U67" i="1"/>
  <c r="S67" i="1"/>
  <c r="Q67" i="1"/>
  <c r="O67" i="1"/>
  <c r="M67" i="1"/>
  <c r="K67" i="1"/>
  <c r="I67" i="1"/>
  <c r="G67" i="1"/>
  <c r="E67" i="1"/>
  <c r="C67" i="1"/>
  <c r="AG66" i="1"/>
  <c r="AK66" i="1" s="1"/>
  <c r="AL66" i="1" s="1"/>
  <c r="AB66" i="1"/>
  <c r="AA66" i="1"/>
  <c r="Y66" i="1"/>
  <c r="W66" i="1"/>
  <c r="U66" i="1"/>
  <c r="S66" i="1"/>
  <c r="Q66" i="1"/>
  <c r="O66" i="1"/>
  <c r="M66" i="1"/>
  <c r="K66" i="1"/>
  <c r="I66" i="1"/>
  <c r="G66" i="1"/>
  <c r="E66" i="1"/>
  <c r="C66" i="1"/>
  <c r="AK65" i="1"/>
  <c r="AL65" i="1" s="1"/>
  <c r="AI65" i="1"/>
  <c r="AJ65" i="1" s="1"/>
  <c r="AH65" i="1"/>
  <c r="AG65" i="1"/>
  <c r="AB65" i="1"/>
  <c r="AF65" i="1" s="1"/>
  <c r="AA65" i="1"/>
  <c r="Y65" i="1"/>
  <c r="W65" i="1"/>
  <c r="U65" i="1"/>
  <c r="S65" i="1"/>
  <c r="Q65" i="1"/>
  <c r="O65" i="1"/>
  <c r="M65" i="1"/>
  <c r="K65" i="1"/>
  <c r="I65" i="1"/>
  <c r="G65" i="1"/>
  <c r="E65" i="1"/>
  <c r="C65" i="1"/>
  <c r="AH63" i="1"/>
  <c r="AG63" i="1"/>
  <c r="AK63" i="1" s="1"/>
  <c r="AL63" i="1" s="1"/>
  <c r="AB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Q59" i="1"/>
  <c r="Z57" i="1"/>
  <c r="AA57" i="1" s="1"/>
  <c r="X57" i="1"/>
  <c r="V57" i="1"/>
  <c r="W57" i="1" s="1"/>
  <c r="T57" i="1"/>
  <c r="U57" i="1" s="1"/>
  <c r="R57" i="1"/>
  <c r="S57" i="1" s="1"/>
  <c r="P57" i="1"/>
  <c r="Q57" i="1" s="1"/>
  <c r="N57" i="1"/>
  <c r="O57" i="1" s="1"/>
  <c r="L57" i="1"/>
  <c r="M57" i="1" s="1"/>
  <c r="J57" i="1"/>
  <c r="H57" i="1"/>
  <c r="I57" i="1" s="1"/>
  <c r="G57" i="1"/>
  <c r="F57" i="1"/>
  <c r="D57" i="1"/>
  <c r="E57" i="1" s="1"/>
  <c r="B57" i="1"/>
  <c r="C57" i="1" s="1"/>
  <c r="AB56" i="1"/>
  <c r="AD56" i="1" s="1"/>
  <c r="AE56" i="1" s="1"/>
  <c r="AA56" i="1"/>
  <c r="Z56" i="1"/>
  <c r="Y56" i="1"/>
  <c r="X56" i="1"/>
  <c r="AF56" i="1" s="1"/>
  <c r="W56" i="1"/>
  <c r="V56" i="1"/>
  <c r="U56" i="1"/>
  <c r="T56" i="1"/>
  <c r="S56" i="1"/>
  <c r="R56" i="1"/>
  <c r="Q56" i="1"/>
  <c r="P56" i="1"/>
  <c r="N56" i="1"/>
  <c r="O56" i="1" s="1"/>
  <c r="L56" i="1"/>
  <c r="M56" i="1" s="1"/>
  <c r="K56" i="1"/>
  <c r="J56" i="1"/>
  <c r="I56" i="1"/>
  <c r="H56" i="1"/>
  <c r="G56" i="1"/>
  <c r="F56" i="1"/>
  <c r="D56" i="1"/>
  <c r="E56" i="1" s="1"/>
  <c r="B56" i="1"/>
  <c r="C56" i="1" s="1"/>
  <c r="AJ55" i="1"/>
  <c r="AI55" i="1"/>
  <c r="AH55" i="1"/>
  <c r="AG55" i="1"/>
  <c r="AK55" i="1" s="1"/>
  <c r="AL55" i="1" s="1"/>
  <c r="AF55" i="1"/>
  <c r="AB55" i="1"/>
  <c r="AD55" i="1" s="1"/>
  <c r="AE55" i="1" s="1"/>
  <c r="AA55" i="1"/>
  <c r="Y55" i="1"/>
  <c r="W55" i="1"/>
  <c r="U55" i="1"/>
  <c r="S55" i="1"/>
  <c r="Q55" i="1"/>
  <c r="O55" i="1"/>
  <c r="M55" i="1"/>
  <c r="K55" i="1"/>
  <c r="I55" i="1"/>
  <c r="G55" i="1"/>
  <c r="E55" i="1"/>
  <c r="C55" i="1"/>
  <c r="AG54" i="1"/>
  <c r="AK54" i="1" s="1"/>
  <c r="AL54" i="1" s="1"/>
  <c r="AB54" i="1"/>
  <c r="AA54" i="1"/>
  <c r="Y54" i="1"/>
  <c r="W54" i="1"/>
  <c r="U54" i="1"/>
  <c r="S54" i="1"/>
  <c r="Q54" i="1"/>
  <c r="O54" i="1"/>
  <c r="M54" i="1"/>
  <c r="K54" i="1"/>
  <c r="I54" i="1"/>
  <c r="G54" i="1"/>
  <c r="E54" i="1"/>
  <c r="C54" i="1"/>
  <c r="AG53" i="1"/>
  <c r="AK53" i="1" s="1"/>
  <c r="AL53" i="1" s="1"/>
  <c r="AF53" i="1"/>
  <c r="AB53" i="1"/>
  <c r="AD53" i="1" s="1"/>
  <c r="AE53" i="1" s="1"/>
  <c r="AA53" i="1"/>
  <c r="Y53" i="1"/>
  <c r="W53" i="1"/>
  <c r="U53" i="1"/>
  <c r="S53" i="1"/>
  <c r="Q53" i="1"/>
  <c r="O53" i="1"/>
  <c r="M53" i="1"/>
  <c r="K53" i="1"/>
  <c r="I53" i="1"/>
  <c r="G53" i="1"/>
  <c r="E53" i="1"/>
  <c r="C53" i="1"/>
  <c r="Z52" i="1"/>
  <c r="AA52" i="1" s="1"/>
  <c r="X52" i="1"/>
  <c r="V52" i="1"/>
  <c r="W52" i="1" s="1"/>
  <c r="U52" i="1"/>
  <c r="T52" i="1"/>
  <c r="R52" i="1"/>
  <c r="S52" i="1" s="1"/>
  <c r="Q52" i="1"/>
  <c r="P52" i="1"/>
  <c r="N52" i="1"/>
  <c r="O52" i="1" s="1"/>
  <c r="L52" i="1"/>
  <c r="M52" i="1" s="1"/>
  <c r="K52" i="1"/>
  <c r="J52" i="1"/>
  <c r="H52" i="1"/>
  <c r="I52" i="1" s="1"/>
  <c r="F52" i="1"/>
  <c r="G52" i="1" s="1"/>
  <c r="D52" i="1"/>
  <c r="E52" i="1" s="1"/>
  <c r="B52" i="1"/>
  <c r="C52" i="1" s="1"/>
  <c r="AG51" i="1"/>
  <c r="AF51" i="1"/>
  <c r="AE51" i="1"/>
  <c r="AD51" i="1"/>
  <c r="AC51" i="1"/>
  <c r="AB51" i="1"/>
  <c r="AA51" i="1"/>
  <c r="Y51" i="1"/>
  <c r="W51" i="1"/>
  <c r="U51" i="1"/>
  <c r="S51" i="1"/>
  <c r="Q51" i="1"/>
  <c r="O51" i="1"/>
  <c r="M51" i="1"/>
  <c r="K51" i="1"/>
  <c r="I51" i="1"/>
  <c r="G51" i="1"/>
  <c r="E51" i="1"/>
  <c r="C51" i="1"/>
  <c r="AK50" i="1"/>
  <c r="AL50" i="1" s="1"/>
  <c r="AG50" i="1"/>
  <c r="AI50" i="1" s="1"/>
  <c r="AB50" i="1"/>
  <c r="AF50" i="1" s="1"/>
  <c r="AA50" i="1"/>
  <c r="Y50" i="1"/>
  <c r="W50" i="1"/>
  <c r="U50" i="1"/>
  <c r="S50" i="1"/>
  <c r="Q50" i="1"/>
  <c r="O50" i="1"/>
  <c r="M50" i="1"/>
  <c r="K50" i="1"/>
  <c r="I50" i="1"/>
  <c r="G50" i="1"/>
  <c r="E50" i="1"/>
  <c r="C50" i="1"/>
  <c r="AG49" i="1"/>
  <c r="AF49" i="1"/>
  <c r="AD49" i="1"/>
  <c r="AE49" i="1" s="1"/>
  <c r="AC49" i="1"/>
  <c r="AB49" i="1"/>
  <c r="AA49" i="1"/>
  <c r="Y49" i="1"/>
  <c r="W49" i="1"/>
  <c r="U49" i="1"/>
  <c r="S49" i="1"/>
  <c r="Q49" i="1"/>
  <c r="O49" i="1"/>
  <c r="M49" i="1"/>
  <c r="K49" i="1"/>
  <c r="I49" i="1"/>
  <c r="G49" i="1"/>
  <c r="E49" i="1"/>
  <c r="C49" i="1"/>
  <c r="AL48" i="1"/>
  <c r="AK48" i="1"/>
  <c r="AH48" i="1"/>
  <c r="AG48" i="1"/>
  <c r="AI48" i="1" s="1"/>
  <c r="AB48" i="1"/>
  <c r="AF48" i="1" s="1"/>
  <c r="AA48" i="1"/>
  <c r="Y48" i="1"/>
  <c r="W48" i="1"/>
  <c r="U48" i="1"/>
  <c r="S48" i="1"/>
  <c r="Q48" i="1"/>
  <c r="O48" i="1"/>
  <c r="M48" i="1"/>
  <c r="K48" i="1"/>
  <c r="I48" i="1"/>
  <c r="G48" i="1"/>
  <c r="E48" i="1"/>
  <c r="C48" i="1"/>
  <c r="AG47" i="1"/>
  <c r="AF47" i="1"/>
  <c r="AD47" i="1"/>
  <c r="AE47" i="1" s="1"/>
  <c r="AC47" i="1"/>
  <c r="AB47" i="1"/>
  <c r="AA47" i="1"/>
  <c r="Y47" i="1"/>
  <c r="W47" i="1"/>
  <c r="U47" i="1"/>
  <c r="S47" i="1"/>
  <c r="Q47" i="1"/>
  <c r="O47" i="1"/>
  <c r="M47" i="1"/>
  <c r="K47" i="1"/>
  <c r="I47" i="1"/>
  <c r="G47" i="1"/>
  <c r="E47" i="1"/>
  <c r="C47" i="1"/>
  <c r="AK46" i="1"/>
  <c r="AL46" i="1" s="1"/>
  <c r="AG46" i="1"/>
  <c r="AI46" i="1" s="1"/>
  <c r="AJ46" i="1" s="1"/>
  <c r="AB46" i="1"/>
  <c r="AF46" i="1" s="1"/>
  <c r="AA46" i="1"/>
  <c r="Y46" i="1"/>
  <c r="W46" i="1"/>
  <c r="U46" i="1"/>
  <c r="S46" i="1"/>
  <c r="Q46" i="1"/>
  <c r="O46" i="1"/>
  <c r="M46" i="1"/>
  <c r="K46" i="1"/>
  <c r="I46" i="1"/>
  <c r="G46" i="1"/>
  <c r="E46" i="1"/>
  <c r="C46" i="1"/>
  <c r="AG44" i="1"/>
  <c r="AH44" i="1" s="1"/>
  <c r="AF44" i="1"/>
  <c r="AD44" i="1"/>
  <c r="AE44" i="1" s="1"/>
  <c r="AC44" i="1"/>
  <c r="Z44" i="1"/>
  <c r="AA44" i="1" s="1"/>
  <c r="Y44" i="1"/>
  <c r="X44" i="1"/>
  <c r="AK44" i="1" s="1"/>
  <c r="AL44" i="1" s="1"/>
  <c r="V44" i="1"/>
  <c r="W44" i="1" s="1"/>
  <c r="T44" i="1"/>
  <c r="U44" i="1" s="1"/>
  <c r="S44" i="1"/>
  <c r="R44" i="1"/>
  <c r="AB44" i="1" s="1"/>
  <c r="Q44" i="1"/>
  <c r="P44" i="1"/>
  <c r="N44" i="1"/>
  <c r="O44" i="1" s="1"/>
  <c r="M44" i="1"/>
  <c r="L44" i="1"/>
  <c r="J44" i="1"/>
  <c r="K44" i="1" s="1"/>
  <c r="H44" i="1"/>
  <c r="I44" i="1" s="1"/>
  <c r="F44" i="1"/>
  <c r="G44" i="1" s="1"/>
  <c r="D44" i="1"/>
  <c r="E44" i="1" s="1"/>
  <c r="C44" i="1"/>
  <c r="B44" i="1"/>
  <c r="AK43" i="1"/>
  <c r="AL43" i="1" s="1"/>
  <c r="AJ43" i="1"/>
  <c r="AI43" i="1"/>
  <c r="AH43" i="1"/>
  <c r="AG43" i="1"/>
  <c r="AB43" i="1"/>
  <c r="AF43" i="1" s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G42" i="1"/>
  <c r="AK42" i="1" s="1"/>
  <c r="AL42" i="1" s="1"/>
  <c r="AB42" i="1"/>
  <c r="AF42" i="1" s="1"/>
  <c r="AA42" i="1"/>
  <c r="Y42" i="1"/>
  <c r="W42" i="1"/>
  <c r="U42" i="1"/>
  <c r="S42" i="1"/>
  <c r="Q42" i="1"/>
  <c r="O42" i="1"/>
  <c r="M42" i="1"/>
  <c r="K42" i="1"/>
  <c r="I42" i="1"/>
  <c r="G42" i="1"/>
  <c r="E42" i="1"/>
  <c r="C42" i="1"/>
  <c r="AL41" i="1"/>
  <c r="AK41" i="1"/>
  <c r="AI41" i="1"/>
  <c r="AJ41" i="1" s="1"/>
  <c r="AH41" i="1"/>
  <c r="AG41" i="1"/>
  <c r="AB41" i="1"/>
  <c r="AF41" i="1" s="1"/>
  <c r="AA41" i="1"/>
  <c r="Y41" i="1"/>
  <c r="W41" i="1"/>
  <c r="U41" i="1"/>
  <c r="S41" i="1"/>
  <c r="Q41" i="1"/>
  <c r="O41" i="1"/>
  <c r="M41" i="1"/>
  <c r="K41" i="1"/>
  <c r="I41" i="1"/>
  <c r="G41" i="1"/>
  <c r="E41" i="1"/>
  <c r="C41" i="1"/>
  <c r="AG40" i="1"/>
  <c r="AK40" i="1" s="1"/>
  <c r="AL40" i="1" s="1"/>
  <c r="AB40" i="1"/>
  <c r="AF40" i="1" s="1"/>
  <c r="AA40" i="1"/>
  <c r="Y40" i="1"/>
  <c r="W40" i="1"/>
  <c r="U40" i="1"/>
  <c r="S40" i="1"/>
  <c r="Q40" i="1"/>
  <c r="O40" i="1"/>
  <c r="M40" i="1"/>
  <c r="K40" i="1"/>
  <c r="I40" i="1"/>
  <c r="G40" i="1"/>
  <c r="E40" i="1"/>
  <c r="C40" i="1"/>
  <c r="AK39" i="1"/>
  <c r="AL39" i="1" s="1"/>
  <c r="AI39" i="1"/>
  <c r="AJ39" i="1" s="1"/>
  <c r="AH39" i="1"/>
  <c r="AG39" i="1"/>
  <c r="AB39" i="1"/>
  <c r="AF39" i="1" s="1"/>
  <c r="AA39" i="1"/>
  <c r="Y39" i="1"/>
  <c r="W39" i="1"/>
  <c r="U39" i="1"/>
  <c r="S39" i="1"/>
  <c r="Q39" i="1"/>
  <c r="O39" i="1"/>
  <c r="M39" i="1"/>
  <c r="K39" i="1"/>
  <c r="I39" i="1"/>
  <c r="G39" i="1"/>
  <c r="E39" i="1"/>
  <c r="C39" i="1"/>
  <c r="AG37" i="1"/>
  <c r="AK37" i="1" s="1"/>
  <c r="AD37" i="1"/>
  <c r="AE37" i="1" s="1"/>
  <c r="AB37" i="1"/>
  <c r="AF37" i="1" s="1"/>
  <c r="AA37" i="1"/>
  <c r="Y37" i="1"/>
  <c r="W37" i="1"/>
  <c r="U37" i="1"/>
  <c r="S37" i="1"/>
  <c r="Q37" i="1"/>
  <c r="O37" i="1"/>
  <c r="M37" i="1"/>
  <c r="K37" i="1"/>
  <c r="I37" i="1"/>
  <c r="G37" i="1"/>
  <c r="E37" i="1"/>
  <c r="C37" i="1"/>
  <c r="Z35" i="1"/>
  <c r="AA35" i="1" s="1"/>
  <c r="X35" i="1"/>
  <c r="V35" i="1"/>
  <c r="W35" i="1" s="1"/>
  <c r="T35" i="1"/>
  <c r="U35" i="1" s="1"/>
  <c r="S35" i="1"/>
  <c r="R35" i="1"/>
  <c r="P35" i="1"/>
  <c r="Q35" i="1" s="1"/>
  <c r="N35" i="1"/>
  <c r="O35" i="1" s="1"/>
  <c r="L35" i="1"/>
  <c r="M35" i="1" s="1"/>
  <c r="J35" i="1"/>
  <c r="H35" i="1"/>
  <c r="I35" i="1" s="1"/>
  <c r="F35" i="1"/>
  <c r="G35" i="1" s="1"/>
  <c r="D35" i="1"/>
  <c r="E35" i="1" s="1"/>
  <c r="B35" i="1"/>
  <c r="C35" i="1" s="1"/>
  <c r="AB34" i="1"/>
  <c r="AC34" i="1" s="1"/>
  <c r="Z34" i="1"/>
  <c r="AA34" i="1" s="1"/>
  <c r="X34" i="1"/>
  <c r="AK34" i="1" s="1"/>
  <c r="AL34" i="1" s="1"/>
  <c r="W34" i="1"/>
  <c r="V34" i="1"/>
  <c r="U34" i="1"/>
  <c r="T34" i="1"/>
  <c r="R34" i="1"/>
  <c r="S34" i="1" s="1"/>
  <c r="P34" i="1"/>
  <c r="Q34" i="1" s="1"/>
  <c r="N34" i="1"/>
  <c r="O34" i="1" s="1"/>
  <c r="L34" i="1"/>
  <c r="AG34" i="1" s="1"/>
  <c r="AH34" i="1" s="1"/>
  <c r="J34" i="1"/>
  <c r="K34" i="1" s="1"/>
  <c r="H34" i="1"/>
  <c r="I34" i="1" s="1"/>
  <c r="G34" i="1"/>
  <c r="F34" i="1"/>
  <c r="E34" i="1"/>
  <c r="D34" i="1"/>
  <c r="B34" i="1"/>
  <c r="C34" i="1" s="1"/>
  <c r="AG33" i="1"/>
  <c r="AK33" i="1" s="1"/>
  <c r="AL33" i="1" s="1"/>
  <c r="AB33" i="1"/>
  <c r="AF33" i="1" s="1"/>
  <c r="AA33" i="1"/>
  <c r="Y33" i="1"/>
  <c r="W33" i="1"/>
  <c r="U33" i="1"/>
  <c r="S33" i="1"/>
  <c r="Q33" i="1"/>
  <c r="O33" i="1"/>
  <c r="M33" i="1"/>
  <c r="K33" i="1"/>
  <c r="I33" i="1"/>
  <c r="G33" i="1"/>
  <c r="E33" i="1"/>
  <c r="C33" i="1"/>
  <c r="AK32" i="1"/>
  <c r="AL32" i="1" s="1"/>
  <c r="AJ32" i="1"/>
  <c r="AI32" i="1"/>
  <c r="AH32" i="1"/>
  <c r="AG32" i="1"/>
  <c r="AD32" i="1"/>
  <c r="AE32" i="1" s="1"/>
  <c r="AC32" i="1"/>
  <c r="AB32" i="1"/>
  <c r="AF32" i="1" s="1"/>
  <c r="AA32" i="1"/>
  <c r="Y32" i="1"/>
  <c r="W32" i="1"/>
  <c r="U32" i="1"/>
  <c r="S32" i="1"/>
  <c r="Q32" i="1"/>
  <c r="O32" i="1"/>
  <c r="M32" i="1"/>
  <c r="K32" i="1"/>
  <c r="I32" i="1"/>
  <c r="G32" i="1"/>
  <c r="E32" i="1"/>
  <c r="C32" i="1"/>
  <c r="AG31" i="1"/>
  <c r="AK31" i="1" s="1"/>
  <c r="AL31" i="1" s="1"/>
  <c r="AB31" i="1"/>
  <c r="AF31" i="1" s="1"/>
  <c r="AA31" i="1"/>
  <c r="Y31" i="1"/>
  <c r="W31" i="1"/>
  <c r="U31" i="1"/>
  <c r="S31" i="1"/>
  <c r="Q31" i="1"/>
  <c r="O31" i="1"/>
  <c r="M31" i="1"/>
  <c r="K31" i="1"/>
  <c r="I31" i="1"/>
  <c r="G31" i="1"/>
  <c r="E31" i="1"/>
  <c r="C31" i="1"/>
  <c r="AK30" i="1"/>
  <c r="AL30" i="1" s="1"/>
  <c r="AJ30" i="1"/>
  <c r="AI30" i="1"/>
  <c r="AH30" i="1"/>
  <c r="AG30" i="1"/>
  <c r="AD30" i="1"/>
  <c r="AE30" i="1" s="1"/>
  <c r="AC30" i="1"/>
  <c r="AB30" i="1"/>
  <c r="AF30" i="1" s="1"/>
  <c r="AA30" i="1"/>
  <c r="Y30" i="1"/>
  <c r="W30" i="1"/>
  <c r="U30" i="1"/>
  <c r="S30" i="1"/>
  <c r="Q30" i="1"/>
  <c r="O30" i="1"/>
  <c r="M30" i="1"/>
  <c r="K30" i="1"/>
  <c r="I30" i="1"/>
  <c r="G30" i="1"/>
  <c r="E30" i="1"/>
  <c r="C30" i="1"/>
  <c r="AG29" i="1"/>
  <c r="AK29" i="1" s="1"/>
  <c r="AL29" i="1" s="1"/>
  <c r="AB29" i="1"/>
  <c r="AF29" i="1" s="1"/>
  <c r="AA29" i="1"/>
  <c r="Y29" i="1"/>
  <c r="W29" i="1"/>
  <c r="U29" i="1"/>
  <c r="S29" i="1"/>
  <c r="Q29" i="1"/>
  <c r="O29" i="1"/>
  <c r="M29" i="1"/>
  <c r="K29" i="1"/>
  <c r="I29" i="1"/>
  <c r="G29" i="1"/>
  <c r="E29" i="1"/>
  <c r="C29" i="1"/>
  <c r="Z27" i="1"/>
  <c r="AA27" i="1" s="1"/>
  <c r="Y27" i="1"/>
  <c r="X27" i="1"/>
  <c r="W27" i="1"/>
  <c r="V27" i="1"/>
  <c r="T27" i="1"/>
  <c r="U27" i="1" s="1"/>
  <c r="R27" i="1"/>
  <c r="S27" i="1" s="1"/>
  <c r="Q27" i="1"/>
  <c r="P27" i="1"/>
  <c r="N27" i="1"/>
  <c r="O27" i="1" s="1"/>
  <c r="M27" i="1"/>
  <c r="L27" i="1"/>
  <c r="J27" i="1"/>
  <c r="AG27" i="1" s="1"/>
  <c r="I27" i="1"/>
  <c r="H27" i="1"/>
  <c r="G27" i="1"/>
  <c r="F27" i="1"/>
  <c r="D27" i="1"/>
  <c r="E27" i="1" s="1"/>
  <c r="B27" i="1"/>
  <c r="C27" i="1" s="1"/>
  <c r="AI26" i="1"/>
  <c r="AJ26" i="1" s="1"/>
  <c r="AH26" i="1"/>
  <c r="AG26" i="1"/>
  <c r="AK26" i="1" s="1"/>
  <c r="AL26" i="1" s="1"/>
  <c r="AD26" i="1"/>
  <c r="AE26" i="1" s="1"/>
  <c r="AB26" i="1"/>
  <c r="AC26" i="1" s="1"/>
  <c r="AA26" i="1"/>
  <c r="Y26" i="1"/>
  <c r="W26" i="1"/>
  <c r="U26" i="1"/>
  <c r="S26" i="1"/>
  <c r="Q26" i="1"/>
  <c r="O26" i="1"/>
  <c r="M26" i="1"/>
  <c r="K26" i="1"/>
  <c r="I26" i="1"/>
  <c r="G26" i="1"/>
  <c r="E26" i="1"/>
  <c r="C26" i="1"/>
  <c r="AG25" i="1"/>
  <c r="AK25" i="1" s="1"/>
  <c r="AL25" i="1" s="1"/>
  <c r="AB25" i="1"/>
  <c r="AF25" i="1" s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I24" i="1"/>
  <c r="AJ24" i="1" s="1"/>
  <c r="AH24" i="1"/>
  <c r="AG24" i="1"/>
  <c r="AK24" i="1" s="1"/>
  <c r="AL24" i="1" s="1"/>
  <c r="AD24" i="1"/>
  <c r="AE24" i="1" s="1"/>
  <c r="AB24" i="1"/>
  <c r="AC24" i="1" s="1"/>
  <c r="AA24" i="1"/>
  <c r="Y24" i="1"/>
  <c r="W24" i="1"/>
  <c r="U24" i="1"/>
  <c r="S24" i="1"/>
  <c r="Q24" i="1"/>
  <c r="O24" i="1"/>
  <c r="M24" i="1"/>
  <c r="K24" i="1"/>
  <c r="I24" i="1"/>
  <c r="G24" i="1"/>
  <c r="E24" i="1"/>
  <c r="C24" i="1"/>
  <c r="AG23" i="1"/>
  <c r="AK23" i="1" s="1"/>
  <c r="AL23" i="1" s="1"/>
  <c r="AB23" i="1"/>
  <c r="AF23" i="1" s="1"/>
  <c r="AA23" i="1"/>
  <c r="Y23" i="1"/>
  <c r="W23" i="1"/>
  <c r="U23" i="1"/>
  <c r="S23" i="1"/>
  <c r="Q23" i="1"/>
  <c r="O23" i="1"/>
  <c r="M23" i="1"/>
  <c r="K23" i="1"/>
  <c r="I23" i="1"/>
  <c r="G23" i="1"/>
  <c r="E23" i="1"/>
  <c r="C23" i="1"/>
  <c r="AI22" i="1"/>
  <c r="AJ22" i="1" s="1"/>
  <c r="AH22" i="1"/>
  <c r="AG22" i="1"/>
  <c r="AK22" i="1" s="1"/>
  <c r="AL22" i="1" s="1"/>
  <c r="AD22" i="1"/>
  <c r="AE22" i="1" s="1"/>
  <c r="AB22" i="1"/>
  <c r="AC22" i="1" s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G21" i="1"/>
  <c r="AK21" i="1" s="1"/>
  <c r="AL21" i="1" s="1"/>
  <c r="AB21" i="1"/>
  <c r="AF21" i="1" s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I20" i="1"/>
  <c r="AJ20" i="1" s="1"/>
  <c r="AH20" i="1"/>
  <c r="AG20" i="1"/>
  <c r="AK20" i="1" s="1"/>
  <c r="AL20" i="1" s="1"/>
  <c r="AD20" i="1"/>
  <c r="AE20" i="1" s="1"/>
  <c r="AB20" i="1"/>
  <c r="AC20" i="1" s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G19" i="1"/>
  <c r="AK19" i="1" s="1"/>
  <c r="AL19" i="1" s="1"/>
  <c r="AB19" i="1"/>
  <c r="AF19" i="1" s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I18" i="1"/>
  <c r="AJ18" i="1" s="1"/>
  <c r="AH18" i="1"/>
  <c r="AG18" i="1"/>
  <c r="AK18" i="1" s="1"/>
  <c r="AL18" i="1" s="1"/>
  <c r="AD18" i="1"/>
  <c r="AE18" i="1" s="1"/>
  <c r="AB18" i="1"/>
  <c r="AC18" i="1" s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G17" i="1"/>
  <c r="AK17" i="1" s="1"/>
  <c r="AL17" i="1" s="1"/>
  <c r="AB17" i="1"/>
  <c r="AF17" i="1" s="1"/>
  <c r="AA17" i="1"/>
  <c r="Y17" i="1"/>
  <c r="W17" i="1"/>
  <c r="U17" i="1"/>
  <c r="S17" i="1"/>
  <c r="Q17" i="1"/>
  <c r="O17" i="1"/>
  <c r="M17" i="1"/>
  <c r="K17" i="1"/>
  <c r="I17" i="1"/>
  <c r="G17" i="1"/>
  <c r="E17" i="1"/>
  <c r="C17" i="1"/>
  <c r="AI16" i="1"/>
  <c r="AJ16" i="1" s="1"/>
  <c r="AH16" i="1"/>
  <c r="AG16" i="1"/>
  <c r="AK16" i="1" s="1"/>
  <c r="AL16" i="1" s="1"/>
  <c r="AD16" i="1"/>
  <c r="AE16" i="1" s="1"/>
  <c r="AB16" i="1"/>
  <c r="AC16" i="1" s="1"/>
  <c r="AA16" i="1"/>
  <c r="Y16" i="1"/>
  <c r="W16" i="1"/>
  <c r="U16" i="1"/>
  <c r="S16" i="1"/>
  <c r="Q16" i="1"/>
  <c r="O16" i="1"/>
  <c r="M16" i="1"/>
  <c r="K16" i="1"/>
  <c r="I16" i="1"/>
  <c r="G16" i="1"/>
  <c r="E16" i="1"/>
  <c r="C16" i="1"/>
  <c r="AG15" i="1"/>
  <c r="AK15" i="1" s="1"/>
  <c r="AL15" i="1" s="1"/>
  <c r="AB15" i="1"/>
  <c r="AF15" i="1" s="1"/>
  <c r="AA15" i="1"/>
  <c r="Y15" i="1"/>
  <c r="W15" i="1"/>
  <c r="U15" i="1"/>
  <c r="S15" i="1"/>
  <c r="Q15" i="1"/>
  <c r="O15" i="1"/>
  <c r="M15" i="1"/>
  <c r="K15" i="1"/>
  <c r="I15" i="1"/>
  <c r="G15" i="1"/>
  <c r="E15" i="1"/>
  <c r="C15" i="1"/>
  <c r="AI13" i="1"/>
  <c r="AJ13" i="1" s="1"/>
  <c r="AH13" i="1"/>
  <c r="AG13" i="1"/>
  <c r="AK13" i="1" s="1"/>
  <c r="AL13" i="1" s="1"/>
  <c r="AD13" i="1"/>
  <c r="AE13" i="1" s="1"/>
  <c r="AB13" i="1"/>
  <c r="AC13" i="1" s="1"/>
  <c r="AA13" i="1"/>
  <c r="Y13" i="1"/>
  <c r="W13" i="1"/>
  <c r="U13" i="1"/>
  <c r="S13" i="1"/>
  <c r="Q13" i="1"/>
  <c r="O13" i="1"/>
  <c r="M13" i="1"/>
  <c r="K13" i="1"/>
  <c r="I13" i="1"/>
  <c r="G13" i="1"/>
  <c r="E13" i="1"/>
  <c r="C13" i="1"/>
  <c r="Z9" i="1"/>
  <c r="Z59" i="1" s="1"/>
  <c r="X9" i="1"/>
  <c r="X59" i="1" s="1"/>
  <c r="V9" i="1"/>
  <c r="V59" i="1" s="1"/>
  <c r="T9" i="1"/>
  <c r="U9" i="1" s="1"/>
  <c r="R9" i="1"/>
  <c r="R59" i="1" s="1"/>
  <c r="Q9" i="1"/>
  <c r="P9" i="1"/>
  <c r="P59" i="1" s="1"/>
  <c r="P87" i="1" s="1"/>
  <c r="O9" i="1"/>
  <c r="N9" i="1"/>
  <c r="N59" i="1" s="1"/>
  <c r="L9" i="1"/>
  <c r="L59" i="1" s="1"/>
  <c r="J9" i="1"/>
  <c r="J59" i="1" s="1"/>
  <c r="H9" i="1"/>
  <c r="H59" i="1" s="1"/>
  <c r="F9" i="1"/>
  <c r="F59" i="1" s="1"/>
  <c r="D9" i="1"/>
  <c r="E9" i="1" s="1"/>
  <c r="B9" i="1"/>
  <c r="C9" i="1" s="1"/>
  <c r="AG8" i="1"/>
  <c r="AK8" i="1" s="1"/>
  <c r="AL8" i="1" s="1"/>
  <c r="AB8" i="1"/>
  <c r="AF8" i="1" s="1"/>
  <c r="AA8" i="1"/>
  <c r="Y8" i="1"/>
  <c r="W8" i="1"/>
  <c r="U8" i="1"/>
  <c r="S8" i="1"/>
  <c r="Q8" i="1"/>
  <c r="O8" i="1"/>
  <c r="M8" i="1"/>
  <c r="K8" i="1"/>
  <c r="I8" i="1"/>
  <c r="G8" i="1"/>
  <c r="E8" i="1"/>
  <c r="C8" i="1"/>
  <c r="AI7" i="1"/>
  <c r="AJ7" i="1" s="1"/>
  <c r="AG7" i="1"/>
  <c r="AH7" i="1" s="1"/>
  <c r="AD7" i="1"/>
  <c r="AE7" i="1" s="1"/>
  <c r="AB7" i="1"/>
  <c r="AF7" i="1" s="1"/>
  <c r="AA7" i="1"/>
  <c r="Y7" i="1"/>
  <c r="W7" i="1"/>
  <c r="U7" i="1"/>
  <c r="S7" i="1"/>
  <c r="Q7" i="1"/>
  <c r="O7" i="1"/>
  <c r="M7" i="1"/>
  <c r="K7" i="1"/>
  <c r="I7" i="1"/>
  <c r="G7" i="1"/>
  <c r="E7" i="1"/>
  <c r="C7" i="1"/>
  <c r="L6" i="6" a="1"/>
  <c r="I7" i="6" a="1"/>
  <c r="F8" i="6" a="1"/>
  <c r="D9" i="6" a="1"/>
  <c r="M9" i="6" a="1"/>
  <c r="F5" i="6" a="1"/>
  <c r="C6" i="6"/>
  <c r="T7" i="6" a="1"/>
  <c r="D6" i="6" a="1"/>
  <c r="M6" i="6" a="1"/>
  <c r="J7" i="6" a="1"/>
  <c r="G8" i="6"/>
  <c r="E9" i="6" a="1"/>
  <c r="N9" i="6" a="1"/>
  <c r="J6" i="6" a="1"/>
  <c r="G5" i="6"/>
  <c r="U7" i="6" a="1"/>
  <c r="H8" i="6" a="1"/>
  <c r="R8" i="6"/>
  <c r="H5" i="6" a="1"/>
  <c r="R5" i="6"/>
  <c r="E6" i="6" a="1"/>
  <c r="N6" i="6" a="1"/>
  <c r="K7" i="6"/>
  <c r="S8" i="6" a="1"/>
  <c r="F9" i="6" a="1"/>
  <c r="G7" i="6"/>
  <c r="K9" i="6"/>
  <c r="S5" i="6" a="1"/>
  <c r="L7" i="6" a="1"/>
  <c r="I8" i="6" a="1"/>
  <c r="I5" i="6" a="1"/>
  <c r="F6" i="6" a="1"/>
  <c r="C7" i="6"/>
  <c r="T8" i="6" a="1"/>
  <c r="G9" i="6"/>
  <c r="T5" i="6" a="1"/>
  <c r="D7" i="6" a="1"/>
  <c r="M7" i="6" a="1"/>
  <c r="J8" i="6" a="1"/>
  <c r="H9" i="6" a="1"/>
  <c r="R9" i="6"/>
  <c r="M5" i="6" a="1"/>
  <c r="J5" i="6" a="1"/>
  <c r="G6" i="6"/>
  <c r="U8" i="6" a="1"/>
  <c r="S9" i="6" a="1"/>
  <c r="U5" i="6" a="1"/>
  <c r="H6" i="6" a="1"/>
  <c r="R6" i="6"/>
  <c r="E7" i="6" a="1"/>
  <c r="N7" i="6" a="1"/>
  <c r="K8" i="6"/>
  <c r="I9" i="6" a="1"/>
  <c r="K5" i="6"/>
  <c r="S6" i="6" a="1"/>
  <c r="L8" i="6" a="1"/>
  <c r="T9" i="6" a="1"/>
  <c r="L5" i="6" a="1"/>
  <c r="I6" i="6" a="1"/>
  <c r="F7" i="6" a="1"/>
  <c r="C8" i="6"/>
  <c r="J9" i="6" a="1"/>
  <c r="T6" i="6" a="1"/>
  <c r="D8" i="6" a="1"/>
  <c r="M8" i="6" a="1"/>
  <c r="U9" i="6" a="1"/>
  <c r="C5" i="6"/>
  <c r="U6" i="6" a="1"/>
  <c r="H7" i="6" a="1"/>
  <c r="R7" i="6"/>
  <c r="E8" i="6" a="1"/>
  <c r="N8" i="6" a="1"/>
  <c r="L9" i="6" a="1"/>
  <c r="N5" i="6" a="1"/>
  <c r="E5" i="6" a="1"/>
  <c r="K6" i="6"/>
  <c r="S7" i="6" a="1"/>
  <c r="C9" i="6"/>
  <c r="K40" i="7" l="1"/>
  <c r="K14" i="7"/>
  <c r="K55" i="7"/>
  <c r="K63" i="7"/>
  <c r="K24" i="7"/>
  <c r="K51" i="7"/>
  <c r="K23" i="7"/>
  <c r="K57" i="7"/>
  <c r="K12" i="7"/>
  <c r="K47" i="7"/>
  <c r="K8" i="7"/>
  <c r="K49" i="7"/>
  <c r="K83" i="7"/>
  <c r="K87" i="7"/>
  <c r="K73" i="7"/>
  <c r="K81" i="7"/>
  <c r="K59" i="7"/>
  <c r="K88" i="7"/>
  <c r="K9" i="7"/>
  <c r="K50" i="7"/>
  <c r="K33" i="7"/>
  <c r="K56" i="7"/>
  <c r="K54" i="7"/>
  <c r="K32" i="7"/>
  <c r="K7" i="7"/>
  <c r="K89" i="7"/>
  <c r="K84" i="7"/>
  <c r="K66" i="7"/>
  <c r="K27" i="7"/>
  <c r="K15" i="7"/>
  <c r="K64" i="7"/>
  <c r="K39" i="7"/>
  <c r="K58" i="7"/>
  <c r="K61" i="7"/>
  <c r="K48" i="7"/>
  <c r="K41" i="7"/>
  <c r="K62" i="7"/>
  <c r="K26" i="7"/>
  <c r="K25" i="7"/>
  <c r="K29" i="7"/>
  <c r="O9" i="6"/>
  <c r="V9" i="6"/>
  <c r="S7" i="6"/>
  <c r="E5" i="6"/>
  <c r="N5" i="6"/>
  <c r="L9" i="6"/>
  <c r="N8" i="6"/>
  <c r="E8" i="6"/>
  <c r="H7" i="6"/>
  <c r="U6" i="6"/>
  <c r="O5" i="6"/>
  <c r="V5" i="6"/>
  <c r="U9" i="6"/>
  <c r="M8" i="6"/>
  <c r="D8" i="6"/>
  <c r="T6" i="6"/>
  <c r="J9" i="6"/>
  <c r="O8" i="6"/>
  <c r="V8" i="6"/>
  <c r="F7" i="6"/>
  <c r="I6" i="6"/>
  <c r="L5" i="6"/>
  <c r="T9" i="6"/>
  <c r="L8" i="6"/>
  <c r="S6" i="6"/>
  <c r="I9" i="6"/>
  <c r="N7" i="6"/>
  <c r="E7" i="6"/>
  <c r="H6" i="6"/>
  <c r="U5" i="6"/>
  <c r="S9" i="6"/>
  <c r="U8" i="6"/>
  <c r="J5" i="6"/>
  <c r="M5" i="6"/>
  <c r="H9" i="6"/>
  <c r="J8" i="6"/>
  <c r="M7" i="6"/>
  <c r="D7" i="6"/>
  <c r="T5" i="6"/>
  <c r="T8" i="6"/>
  <c r="V7" i="6"/>
  <c r="O7" i="6"/>
  <c r="F6" i="6"/>
  <c r="I5" i="6"/>
  <c r="I8" i="6"/>
  <c r="L7" i="6"/>
  <c r="S5" i="6"/>
  <c r="W5" i="6" s="1"/>
  <c r="F9" i="6"/>
  <c r="S8" i="6"/>
  <c r="N6" i="6"/>
  <c r="E6" i="6"/>
  <c r="H5" i="6"/>
  <c r="H8" i="6"/>
  <c r="U7" i="6"/>
  <c r="J6" i="6"/>
  <c r="N9" i="6"/>
  <c r="E9" i="6"/>
  <c r="J7" i="6"/>
  <c r="M6" i="6"/>
  <c r="D6" i="6"/>
  <c r="T7" i="6"/>
  <c r="V6" i="6"/>
  <c r="O6" i="6"/>
  <c r="F5" i="6"/>
  <c r="M9" i="6"/>
  <c r="D9" i="6"/>
  <c r="F8" i="6"/>
  <c r="I7" i="6"/>
  <c r="L6" i="6"/>
  <c r="P5" i="6"/>
  <c r="K86" i="7"/>
  <c r="K75" i="7"/>
  <c r="K37" i="7"/>
  <c r="K92" i="7"/>
  <c r="K42" i="7"/>
  <c r="K13" i="7"/>
  <c r="K90" i="7"/>
  <c r="K82" i="7"/>
  <c r="K31" i="7"/>
  <c r="K11" i="7"/>
  <c r="K79" i="7"/>
  <c r="K38" i="7"/>
  <c r="K72" i="7"/>
  <c r="K22" i="7"/>
  <c r="K78" i="7"/>
  <c r="K53" i="7"/>
  <c r="K36" i="7"/>
  <c r="K16" i="7"/>
  <c r="K46" i="7"/>
  <c r="K91" i="7"/>
  <c r="K76" i="7"/>
  <c r="K28" i="7"/>
  <c r="K85" i="7"/>
  <c r="K60" i="7"/>
  <c r="K34" i="7"/>
  <c r="K6" i="7"/>
  <c r="K94" i="7"/>
  <c r="K30" i="7"/>
  <c r="K10" i="7"/>
  <c r="K74" i="7"/>
  <c r="K77" i="7"/>
  <c r="Q87" i="1"/>
  <c r="P101" i="1"/>
  <c r="Q101" i="1" s="1"/>
  <c r="P107" i="1"/>
  <c r="R87" i="1"/>
  <c r="S59" i="1"/>
  <c r="AK27" i="1"/>
  <c r="AL27" i="1" s="1"/>
  <c r="AI27" i="1"/>
  <c r="AJ27" i="1" s="1"/>
  <c r="AH27" i="1"/>
  <c r="AK135" i="1"/>
  <c r="AL135" i="1" s="1"/>
  <c r="AI135" i="1"/>
  <c r="AJ135" i="1" s="1"/>
  <c r="AH135" i="1"/>
  <c r="V87" i="1"/>
  <c r="W59" i="1"/>
  <c r="AH33" i="1"/>
  <c r="M34" i="1"/>
  <c r="T59" i="1"/>
  <c r="AB59" i="1" s="1"/>
  <c r="AK84" i="1"/>
  <c r="AL84" i="1" s="1"/>
  <c r="AI84" i="1"/>
  <c r="AJ84" i="1" s="1"/>
  <c r="AH84" i="1"/>
  <c r="AC117" i="1"/>
  <c r="AC127" i="1"/>
  <c r="Q135" i="1"/>
  <c r="AH145" i="1"/>
  <c r="AJ133" i="1"/>
  <c r="AJ131" i="1"/>
  <c r="AJ129" i="1"/>
  <c r="AJ127" i="1"/>
  <c r="AD33" i="3"/>
  <c r="AE33" i="3" s="1"/>
  <c r="AC33" i="3"/>
  <c r="AF33" i="3"/>
  <c r="AI65" i="3"/>
  <c r="AH65" i="3"/>
  <c r="F87" i="1"/>
  <c r="G59" i="1"/>
  <c r="AF16" i="2"/>
  <c r="AD16" i="2"/>
  <c r="AE16" i="2" s="1"/>
  <c r="AC16" i="2"/>
  <c r="AG105" i="2"/>
  <c r="AH105" i="2" s="1"/>
  <c r="K105" i="2"/>
  <c r="AH31" i="1"/>
  <c r="H87" i="1"/>
  <c r="I59" i="1"/>
  <c r="X87" i="1"/>
  <c r="Y59" i="1"/>
  <c r="AF13" i="1"/>
  <c r="AF16" i="1"/>
  <c r="AF18" i="1"/>
  <c r="AF20" i="1"/>
  <c r="AF22" i="1"/>
  <c r="AF24" i="1"/>
  <c r="AF26" i="1"/>
  <c r="K27" i="1"/>
  <c r="AI29" i="1"/>
  <c r="AJ29" i="1" s="1"/>
  <c r="AI31" i="1"/>
  <c r="AJ31" i="1" s="1"/>
  <c r="AI33" i="1"/>
  <c r="AJ33" i="1" s="1"/>
  <c r="AD34" i="1"/>
  <c r="AE34" i="1" s="1"/>
  <c r="AC40" i="1"/>
  <c r="AK51" i="1"/>
  <c r="AL51" i="1" s="1"/>
  <c r="AI51" i="1"/>
  <c r="AJ51" i="1" s="1"/>
  <c r="AH51" i="1"/>
  <c r="AD52" i="1"/>
  <c r="AE52" i="1" s="1"/>
  <c r="AG56" i="1"/>
  <c r="K84" i="1"/>
  <c r="AC84" i="1"/>
  <c r="AD99" i="1"/>
  <c r="AE99" i="1" s="1"/>
  <c r="AD117" i="1"/>
  <c r="AE117" i="1" s="1"/>
  <c r="AC123" i="1"/>
  <c r="AD127" i="1"/>
  <c r="AE127" i="1" s="1"/>
  <c r="P59" i="2"/>
  <c r="AK34" i="2"/>
  <c r="AL34" i="2" s="1"/>
  <c r="AI34" i="2"/>
  <c r="AJ34" i="2" s="1"/>
  <c r="AH34" i="2"/>
  <c r="AF18" i="3"/>
  <c r="AD18" i="3"/>
  <c r="AE18" i="3" s="1"/>
  <c r="AK65" i="3"/>
  <c r="AL65" i="3" s="1"/>
  <c r="G9" i="1"/>
  <c r="W9" i="1"/>
  <c r="AH29" i="1"/>
  <c r="AK7" i="1"/>
  <c r="AL7" i="1" s="1"/>
  <c r="AC8" i="1"/>
  <c r="AD8" i="1"/>
  <c r="AE8" i="1" s="1"/>
  <c r="I9" i="1"/>
  <c r="Y9" i="1"/>
  <c r="AB27" i="1"/>
  <c r="AB35" i="1"/>
  <c r="AC35" i="1" s="1"/>
  <c r="AD40" i="1"/>
  <c r="AE40" i="1" s="1"/>
  <c r="Y52" i="1"/>
  <c r="AF90" i="1"/>
  <c r="AD90" i="1"/>
  <c r="AE90" i="1" s="1"/>
  <c r="AC90" i="1"/>
  <c r="AJ104" i="1"/>
  <c r="AC113" i="1"/>
  <c r="AD123" i="1"/>
  <c r="AE123" i="1" s="1"/>
  <c r="AC131" i="1"/>
  <c r="S135" i="1"/>
  <c r="AC141" i="1"/>
  <c r="Q9" i="2"/>
  <c r="AI17" i="3"/>
  <c r="AH17" i="3"/>
  <c r="AK17" i="3"/>
  <c r="AL17" i="3" s="1"/>
  <c r="AC18" i="3"/>
  <c r="AD105" i="1"/>
  <c r="AE105" i="1" s="1"/>
  <c r="AC105" i="1"/>
  <c r="R59" i="2"/>
  <c r="AG59" i="2" s="1"/>
  <c r="AB9" i="2"/>
  <c r="AD9" i="2" s="1"/>
  <c r="AE9" i="2" s="1"/>
  <c r="AD18" i="2"/>
  <c r="AE18" i="2" s="1"/>
  <c r="AF18" i="2"/>
  <c r="AC18" i="2"/>
  <c r="AC56" i="1"/>
  <c r="AF63" i="1"/>
  <c r="AD63" i="1"/>
  <c r="AE63" i="1" s="1"/>
  <c r="AC77" i="1"/>
  <c r="Y85" i="1"/>
  <c r="AH91" i="1"/>
  <c r="AF92" i="1"/>
  <c r="AD92" i="1"/>
  <c r="AE92" i="1" s="1"/>
  <c r="AC92" i="1"/>
  <c r="S105" i="1"/>
  <c r="AK7" i="2"/>
  <c r="AL7" i="2" s="1"/>
  <c r="AI7" i="2"/>
  <c r="AJ7" i="2" s="1"/>
  <c r="AH7" i="2"/>
  <c r="S9" i="2"/>
  <c r="AF27" i="2"/>
  <c r="AD27" i="2"/>
  <c r="AE27" i="2" s="1"/>
  <c r="AC27" i="2"/>
  <c r="AK90" i="2"/>
  <c r="AL90" i="2" s="1"/>
  <c r="AI90" i="2"/>
  <c r="AJ90" i="2" s="1"/>
  <c r="AK92" i="2"/>
  <c r="AL92" i="2" s="1"/>
  <c r="AI92" i="2"/>
  <c r="AJ92" i="2" s="1"/>
  <c r="AK94" i="2"/>
  <c r="AL94" i="2" s="1"/>
  <c r="AI94" i="2"/>
  <c r="AJ94" i="2" s="1"/>
  <c r="AK96" i="2"/>
  <c r="AL96" i="2" s="1"/>
  <c r="AI96" i="2"/>
  <c r="AJ96" i="2" s="1"/>
  <c r="AK98" i="2"/>
  <c r="AL98" i="2" s="1"/>
  <c r="AI98" i="2"/>
  <c r="AJ98" i="2" s="1"/>
  <c r="K9" i="1"/>
  <c r="AB9" i="1"/>
  <c r="AC9" i="1" s="1"/>
  <c r="AI34" i="1"/>
  <c r="AJ34" i="1" s="1"/>
  <c r="AB52" i="1"/>
  <c r="AC52" i="1" s="1"/>
  <c r="AK57" i="1"/>
  <c r="AL57" i="1" s="1"/>
  <c r="AI57" i="1"/>
  <c r="AJ57" i="1" s="1"/>
  <c r="AD57" i="1"/>
  <c r="AE57" i="1" s="1"/>
  <c r="AC63" i="1"/>
  <c r="AG70" i="1"/>
  <c r="AH70" i="1" s="1"/>
  <c r="AD77" i="1"/>
  <c r="AE77" i="1" s="1"/>
  <c r="AH81" i="1"/>
  <c r="AI91" i="1"/>
  <c r="AJ91" i="1" s="1"/>
  <c r="AL123" i="1"/>
  <c r="T59" i="2"/>
  <c r="U9" i="2"/>
  <c r="S27" i="2"/>
  <c r="Z87" i="2"/>
  <c r="AH90" i="2"/>
  <c r="AH92" i="2"/>
  <c r="AH94" i="2"/>
  <c r="AH96" i="2"/>
  <c r="AH98" i="2"/>
  <c r="L87" i="1"/>
  <c r="M59" i="1"/>
  <c r="AH8" i="1"/>
  <c r="M9" i="1"/>
  <c r="AC15" i="1"/>
  <c r="AC17" i="1"/>
  <c r="AC19" i="1"/>
  <c r="AC21" i="1"/>
  <c r="AC23" i="1"/>
  <c r="AC25" i="1"/>
  <c r="AC42" i="1"/>
  <c r="AH53" i="1"/>
  <c r="AF54" i="1"/>
  <c r="AD54" i="1"/>
  <c r="AE54" i="1" s="1"/>
  <c r="AC54" i="1"/>
  <c r="Y57" i="1"/>
  <c r="AL83" i="1"/>
  <c r="AL93" i="1"/>
  <c r="AC119" i="1"/>
  <c r="AG141" i="1"/>
  <c r="AJ144" i="1"/>
  <c r="AH132" i="2"/>
  <c r="AK132" i="2"/>
  <c r="AL132" i="2" s="1"/>
  <c r="AI132" i="2"/>
  <c r="AJ132" i="2" s="1"/>
  <c r="J107" i="2"/>
  <c r="J101" i="2"/>
  <c r="K87" i="2"/>
  <c r="AI8" i="1"/>
  <c r="AJ8" i="1" s="1"/>
  <c r="N87" i="1"/>
  <c r="O59" i="1"/>
  <c r="AD9" i="1"/>
  <c r="AE9" i="1" s="1"/>
  <c r="AD15" i="1"/>
  <c r="AE15" i="1" s="1"/>
  <c r="AD17" i="1"/>
  <c r="AE17" i="1" s="1"/>
  <c r="AD19" i="1"/>
  <c r="AE19" i="1" s="1"/>
  <c r="AD21" i="1"/>
  <c r="AE21" i="1" s="1"/>
  <c r="AD23" i="1"/>
  <c r="AE23" i="1" s="1"/>
  <c r="AD25" i="1"/>
  <c r="AE25" i="1" s="1"/>
  <c r="AD42" i="1"/>
  <c r="AE42" i="1" s="1"/>
  <c r="AJ48" i="1"/>
  <c r="AG52" i="1"/>
  <c r="AH52" i="1" s="1"/>
  <c r="AI53" i="1"/>
  <c r="AJ53" i="1" s="1"/>
  <c r="AF94" i="1"/>
  <c r="AD94" i="1"/>
  <c r="AE94" i="1" s="1"/>
  <c r="AC94" i="1"/>
  <c r="AG99" i="1"/>
  <c r="AL118" i="1"/>
  <c r="AL127" i="1"/>
  <c r="AD135" i="1"/>
  <c r="AE135" i="1" s="1"/>
  <c r="AB145" i="1"/>
  <c r="AG85" i="2"/>
  <c r="O85" i="2"/>
  <c r="AK47" i="1"/>
  <c r="AL47" i="1" s="1"/>
  <c r="AI47" i="1"/>
  <c r="AJ47" i="1" s="1"/>
  <c r="AH47" i="1"/>
  <c r="AF66" i="1"/>
  <c r="AD66" i="1"/>
  <c r="AE66" i="1" s="1"/>
  <c r="AJ78" i="1"/>
  <c r="AJ83" i="1"/>
  <c r="AJ113" i="1"/>
  <c r="AL124" i="1"/>
  <c r="AJ128" i="1"/>
  <c r="B87" i="2"/>
  <c r="C59" i="2"/>
  <c r="AF39" i="2"/>
  <c r="AD39" i="2"/>
  <c r="AE39" i="2" s="1"/>
  <c r="AC39" i="2"/>
  <c r="AC7" i="1"/>
  <c r="AF9" i="1"/>
  <c r="B59" i="1"/>
  <c r="AC66" i="1"/>
  <c r="AJ93" i="1"/>
  <c r="AF96" i="1"/>
  <c r="AD96" i="1"/>
  <c r="AE96" i="1" s="1"/>
  <c r="AC96" i="1"/>
  <c r="AF105" i="1"/>
  <c r="AL131" i="1"/>
  <c r="AJ140" i="1"/>
  <c r="J87" i="1"/>
  <c r="K59" i="1"/>
  <c r="AG9" i="1"/>
  <c r="AH9" i="1" s="1"/>
  <c r="AG85" i="1"/>
  <c r="AH85" i="1" s="1"/>
  <c r="AJ96" i="1"/>
  <c r="AJ114" i="1"/>
  <c r="AJ120" i="1"/>
  <c r="AJ132" i="1"/>
  <c r="D59" i="2"/>
  <c r="E9" i="2"/>
  <c r="AG9" i="2"/>
  <c r="AF41" i="2"/>
  <c r="AD41" i="2"/>
  <c r="AE41" i="2" s="1"/>
  <c r="AC41" i="2"/>
  <c r="Z87" i="1"/>
  <c r="AA59" i="1"/>
  <c r="AA9" i="1"/>
  <c r="AH15" i="1"/>
  <c r="AH17" i="1"/>
  <c r="AH19" i="1"/>
  <c r="AH23" i="1"/>
  <c r="AH25" i="1"/>
  <c r="AC29" i="1"/>
  <c r="AC31" i="1"/>
  <c r="AC33" i="1"/>
  <c r="AF34" i="1"/>
  <c r="D59" i="1"/>
  <c r="AF68" i="1"/>
  <c r="AD68" i="1"/>
  <c r="AE68" i="1" s="1"/>
  <c r="AB99" i="1"/>
  <c r="AC115" i="1"/>
  <c r="AC121" i="1"/>
  <c r="AC133" i="1"/>
  <c r="AF13" i="2"/>
  <c r="AD13" i="2"/>
  <c r="AE13" i="2" s="1"/>
  <c r="AC13" i="2"/>
  <c r="AF43" i="2"/>
  <c r="AD43" i="2"/>
  <c r="AE43" i="2" s="1"/>
  <c r="AC43" i="2"/>
  <c r="AH21" i="1"/>
  <c r="S9" i="1"/>
  <c r="AI9" i="1"/>
  <c r="AJ9" i="1" s="1"/>
  <c r="AI15" i="1"/>
  <c r="AJ15" i="1" s="1"/>
  <c r="AI17" i="1"/>
  <c r="AJ17" i="1" s="1"/>
  <c r="AI19" i="1"/>
  <c r="AJ19" i="1" s="1"/>
  <c r="AI21" i="1"/>
  <c r="AJ21" i="1" s="1"/>
  <c r="AI23" i="1"/>
  <c r="AJ23" i="1" s="1"/>
  <c r="AI25" i="1"/>
  <c r="AJ25" i="1" s="1"/>
  <c r="AD29" i="1"/>
  <c r="AE29" i="1" s="1"/>
  <c r="AD31" i="1"/>
  <c r="AE31" i="1" s="1"/>
  <c r="AD33" i="1"/>
  <c r="AE33" i="1" s="1"/>
  <c r="Y34" i="1"/>
  <c r="AC37" i="1"/>
  <c r="AJ50" i="1"/>
  <c r="AC68" i="1"/>
  <c r="AL72" i="1"/>
  <c r="AF84" i="1"/>
  <c r="AL97" i="1"/>
  <c r="AD115" i="1"/>
  <c r="AE115" i="1" s="1"/>
  <c r="AD121" i="1"/>
  <c r="AE121" i="1" s="1"/>
  <c r="AD133" i="1"/>
  <c r="AE133" i="1" s="1"/>
  <c r="AK49" i="1"/>
  <c r="AL49" i="1" s="1"/>
  <c r="AI49" i="1"/>
  <c r="AJ49" i="1" s="1"/>
  <c r="AH49" i="1"/>
  <c r="AG57" i="1"/>
  <c r="AH57" i="1" s="1"/>
  <c r="K57" i="1"/>
  <c r="AF98" i="1"/>
  <c r="AD98" i="1"/>
  <c r="AE98" i="1" s="1"/>
  <c r="AC98" i="1"/>
  <c r="AG105" i="1"/>
  <c r="K59" i="2"/>
  <c r="AG35" i="1"/>
  <c r="K35" i="1"/>
  <c r="AL37" i="1"/>
  <c r="AI97" i="1"/>
  <c r="AJ97" i="1" s="1"/>
  <c r="AJ98" i="1"/>
  <c r="AL125" i="1"/>
  <c r="AK145" i="1"/>
  <c r="AL145" i="1" s="1"/>
  <c r="AK9" i="2"/>
  <c r="AL9" i="2" s="1"/>
  <c r="AK44" i="2"/>
  <c r="AL44" i="2" s="1"/>
  <c r="AB84" i="2"/>
  <c r="AC84" i="2" s="1"/>
  <c r="U84" i="2"/>
  <c r="AI44" i="1"/>
  <c r="AJ44" i="1" s="1"/>
  <c r="AB57" i="1"/>
  <c r="AC57" i="1" s="1"/>
  <c r="AH72" i="1"/>
  <c r="AH75" i="1"/>
  <c r="AH77" i="1"/>
  <c r="AH79" i="1"/>
  <c r="AK81" i="1"/>
  <c r="AL81" i="1" s="1"/>
  <c r="AC82" i="1"/>
  <c r="K85" i="1"/>
  <c r="Y99" i="1"/>
  <c r="AH111" i="1"/>
  <c r="AH115" i="1"/>
  <c r="AH119" i="1"/>
  <c r="AH121" i="1"/>
  <c r="AH123" i="1"/>
  <c r="F87" i="2"/>
  <c r="G59" i="2"/>
  <c r="V87" i="2"/>
  <c r="W59" i="2"/>
  <c r="AG35" i="2"/>
  <c r="AH35" i="2" s="1"/>
  <c r="M35" i="2"/>
  <c r="AI56" i="2"/>
  <c r="AJ56" i="2" s="1"/>
  <c r="AK82" i="2"/>
  <c r="AL82" i="2" s="1"/>
  <c r="AI82" i="2"/>
  <c r="AJ82" i="2" s="1"/>
  <c r="AH82" i="2"/>
  <c r="AF99" i="2"/>
  <c r="AD99" i="2"/>
  <c r="AE99" i="2" s="1"/>
  <c r="AF41" i="3"/>
  <c r="AD41" i="3"/>
  <c r="AE41" i="3" s="1"/>
  <c r="AC41" i="3"/>
  <c r="Y35" i="1"/>
  <c r="AI70" i="1"/>
  <c r="AJ70" i="1" s="1"/>
  <c r="AI75" i="1"/>
  <c r="AJ75" i="1" s="1"/>
  <c r="AI77" i="1"/>
  <c r="AJ77" i="1" s="1"/>
  <c r="AI79" i="1"/>
  <c r="AJ79" i="1" s="1"/>
  <c r="AD82" i="1"/>
  <c r="AE82" i="1" s="1"/>
  <c r="AB85" i="1"/>
  <c r="AC85" i="1" s="1"/>
  <c r="AC104" i="1"/>
  <c r="AI111" i="1"/>
  <c r="AJ111" i="1" s="1"/>
  <c r="AI115" i="1"/>
  <c r="AJ115" i="1" s="1"/>
  <c r="AI117" i="1"/>
  <c r="AJ117" i="1" s="1"/>
  <c r="AI119" i="1"/>
  <c r="AJ119" i="1" s="1"/>
  <c r="AI121" i="1"/>
  <c r="AJ121" i="1" s="1"/>
  <c r="AI123" i="1"/>
  <c r="AJ123" i="1" s="1"/>
  <c r="G9" i="2"/>
  <c r="W9" i="2"/>
  <c r="Q34" i="2"/>
  <c r="AC99" i="2"/>
  <c r="AH37" i="1"/>
  <c r="AH40" i="1"/>
  <c r="AH42" i="1"/>
  <c r="AC46" i="1"/>
  <c r="AC48" i="1"/>
  <c r="AC50" i="1"/>
  <c r="K99" i="1"/>
  <c r="AD104" i="1"/>
  <c r="AE104" i="1" s="1"/>
  <c r="H87" i="2"/>
  <c r="I59" i="2"/>
  <c r="X87" i="2"/>
  <c r="Y59" i="2"/>
  <c r="AG81" i="2"/>
  <c r="AH81" i="2" s="1"/>
  <c r="AI37" i="1"/>
  <c r="AJ37" i="1" s="1"/>
  <c r="AI40" i="1"/>
  <c r="AJ40" i="1" s="1"/>
  <c r="AI42" i="1"/>
  <c r="AJ42" i="1" s="1"/>
  <c r="AD46" i="1"/>
  <c r="AE46" i="1" s="1"/>
  <c r="AD48" i="1"/>
  <c r="AE48" i="1" s="1"/>
  <c r="AD50" i="1"/>
  <c r="AE50" i="1" s="1"/>
  <c r="AH66" i="1"/>
  <c r="AH68" i="1"/>
  <c r="AK70" i="1"/>
  <c r="AL70" i="1" s="1"/>
  <c r="AC71" i="1"/>
  <c r="AC74" i="1"/>
  <c r="AC76" i="1"/>
  <c r="AC78" i="1"/>
  <c r="AC110" i="1"/>
  <c r="AC116" i="1"/>
  <c r="AC118" i="1"/>
  <c r="AC120" i="1"/>
  <c r="AC134" i="1"/>
  <c r="AD144" i="1"/>
  <c r="AE144" i="1" s="1"/>
  <c r="Y145" i="1"/>
  <c r="AD8" i="2"/>
  <c r="AE8" i="2" s="1"/>
  <c r="I9" i="2"/>
  <c r="Y9" i="2"/>
  <c r="AH18" i="2"/>
  <c r="AG56" i="2"/>
  <c r="AB141" i="2"/>
  <c r="S141" i="2"/>
  <c r="AG141" i="2"/>
  <c r="AH141" i="2" s="1"/>
  <c r="AH54" i="1"/>
  <c r="AI63" i="1"/>
  <c r="AJ63" i="1" s="1"/>
  <c r="AI66" i="1"/>
  <c r="AJ66" i="1" s="1"/>
  <c r="AI68" i="1"/>
  <c r="AJ68" i="1" s="1"/>
  <c r="AD71" i="1"/>
  <c r="AE71" i="1" s="1"/>
  <c r="AD74" i="1"/>
  <c r="AE74" i="1" s="1"/>
  <c r="AD76" i="1"/>
  <c r="AE76" i="1" s="1"/>
  <c r="AD78" i="1"/>
  <c r="AE78" i="1" s="1"/>
  <c r="AD80" i="1"/>
  <c r="AE80" i="1" s="1"/>
  <c r="Y81" i="1"/>
  <c r="AH90" i="1"/>
  <c r="AH92" i="1"/>
  <c r="AH94" i="1"/>
  <c r="AH96" i="1"/>
  <c r="AH98" i="1"/>
  <c r="AD110" i="1"/>
  <c r="AE110" i="1" s="1"/>
  <c r="AD112" i="1"/>
  <c r="AE112" i="1" s="1"/>
  <c r="AD114" i="1"/>
  <c r="AE114" i="1" s="1"/>
  <c r="AD116" i="1"/>
  <c r="AE116" i="1" s="1"/>
  <c r="AD118" i="1"/>
  <c r="AE118" i="1" s="1"/>
  <c r="AD120" i="1"/>
  <c r="AE120" i="1" s="1"/>
  <c r="AD122" i="1"/>
  <c r="AE122" i="1" s="1"/>
  <c r="AD124" i="1"/>
  <c r="AE124" i="1" s="1"/>
  <c r="AD126" i="1"/>
  <c r="AE126" i="1" s="1"/>
  <c r="AD128" i="1"/>
  <c r="AE128" i="1" s="1"/>
  <c r="AD130" i="1"/>
  <c r="AE130" i="1" s="1"/>
  <c r="AD132" i="1"/>
  <c r="AE132" i="1" s="1"/>
  <c r="AD134" i="1"/>
  <c r="AE134" i="1" s="1"/>
  <c r="Y135" i="1"/>
  <c r="AH13" i="2"/>
  <c r="AH16" i="2"/>
  <c r="AI18" i="2"/>
  <c r="AJ18" i="2" s="1"/>
  <c r="AB52" i="2"/>
  <c r="AC52" i="2" s="1"/>
  <c r="S52" i="2"/>
  <c r="AI84" i="2"/>
  <c r="AJ84" i="2" s="1"/>
  <c r="AC85" i="2"/>
  <c r="AF85" i="2"/>
  <c r="AC39" i="1"/>
  <c r="AC41" i="1"/>
  <c r="AC43" i="1"/>
  <c r="AI54" i="1"/>
  <c r="AJ54" i="1" s="1"/>
  <c r="AH82" i="1"/>
  <c r="AI90" i="1"/>
  <c r="AJ90" i="1" s="1"/>
  <c r="AI92" i="1"/>
  <c r="AJ92" i="1" s="1"/>
  <c r="AI94" i="1"/>
  <c r="AJ94" i="1" s="1"/>
  <c r="AC140" i="1"/>
  <c r="K9" i="2"/>
  <c r="AA9" i="2"/>
  <c r="AC19" i="2"/>
  <c r="AF57" i="2"/>
  <c r="AK99" i="2"/>
  <c r="AL99" i="2" s="1"/>
  <c r="AI99" i="2"/>
  <c r="AJ99" i="2" s="1"/>
  <c r="AH99" i="2"/>
  <c r="AF140" i="2"/>
  <c r="AD140" i="2"/>
  <c r="AE140" i="2" s="1"/>
  <c r="AD39" i="1"/>
  <c r="AE39" i="1" s="1"/>
  <c r="AD41" i="1"/>
  <c r="AE41" i="1" s="1"/>
  <c r="AD43" i="1"/>
  <c r="AE43" i="1" s="1"/>
  <c r="AC65" i="1"/>
  <c r="AC67" i="1"/>
  <c r="AC69" i="1"/>
  <c r="AI82" i="1"/>
  <c r="AJ82" i="1" s="1"/>
  <c r="AD140" i="1"/>
  <c r="AE140" i="1" s="1"/>
  <c r="L87" i="2"/>
  <c r="M59" i="2"/>
  <c r="AD34" i="2"/>
  <c r="AE34" i="2" s="1"/>
  <c r="AG44" i="2"/>
  <c r="AH44" i="2" s="1"/>
  <c r="AG70" i="2"/>
  <c r="F87" i="3"/>
  <c r="G59" i="3"/>
  <c r="W35" i="3"/>
  <c r="AB35" i="3"/>
  <c r="AC35" i="3" s="1"/>
  <c r="AH46" i="1"/>
  <c r="AH50" i="1"/>
  <c r="AC53" i="1"/>
  <c r="AC55" i="1"/>
  <c r="AD65" i="1"/>
  <c r="AE65" i="1" s="1"/>
  <c r="AD67" i="1"/>
  <c r="AE67" i="1" s="1"/>
  <c r="AD69" i="1"/>
  <c r="AE69" i="1" s="1"/>
  <c r="AC91" i="1"/>
  <c r="AC95" i="1"/>
  <c r="AF52" i="2"/>
  <c r="AF35" i="3"/>
  <c r="Y35" i="3"/>
  <c r="AH76" i="1"/>
  <c r="AH78" i="1"/>
  <c r="AH80" i="1"/>
  <c r="AC83" i="1"/>
  <c r="AH110" i="1"/>
  <c r="AH112" i="1"/>
  <c r="AH114" i="1"/>
  <c r="AH116" i="1"/>
  <c r="AH118" i="1"/>
  <c r="AH120" i="1"/>
  <c r="AH122" i="1"/>
  <c r="AH124" i="1"/>
  <c r="AH126" i="1"/>
  <c r="AH128" i="1"/>
  <c r="AH130" i="1"/>
  <c r="AH132" i="1"/>
  <c r="AH134" i="1"/>
  <c r="N87" i="2"/>
  <c r="O59" i="2"/>
  <c r="AF25" i="2"/>
  <c r="AF34" i="2"/>
  <c r="O9" i="2"/>
  <c r="AF35" i="2"/>
  <c r="AD35" i="2"/>
  <c r="AE35" i="2" s="1"/>
  <c r="AC35" i="2"/>
  <c r="AG52" i="2"/>
  <c r="AK54" i="2"/>
  <c r="AL54" i="2" s="1"/>
  <c r="AI54" i="2"/>
  <c r="AJ54" i="2" s="1"/>
  <c r="AD85" i="2"/>
  <c r="AE85" i="2" s="1"/>
  <c r="AG70" i="3"/>
  <c r="AI70" i="3" s="1"/>
  <c r="AJ70" i="3" s="1"/>
  <c r="M70" i="3"/>
  <c r="AG57" i="2"/>
  <c r="AH57" i="2" s="1"/>
  <c r="AK84" i="2"/>
  <c r="AL84" i="2" s="1"/>
  <c r="Z87" i="3"/>
  <c r="AA59" i="3"/>
  <c r="AI23" i="3"/>
  <c r="AH23" i="3"/>
  <c r="AF24" i="3"/>
  <c r="AD24" i="3"/>
  <c r="AE24" i="3" s="1"/>
  <c r="AJ29" i="3"/>
  <c r="AK34" i="3"/>
  <c r="AL34" i="3" s="1"/>
  <c r="AI34" i="3"/>
  <c r="AH34" i="3"/>
  <c r="AK49" i="3"/>
  <c r="AL49" i="3" s="1"/>
  <c r="AH49" i="3"/>
  <c r="S34" i="2"/>
  <c r="AH104" i="2"/>
  <c r="AC105" i="2"/>
  <c r="K135" i="2"/>
  <c r="AG135" i="2"/>
  <c r="AG145" i="2"/>
  <c r="AA9" i="3"/>
  <c r="AI49" i="3"/>
  <c r="AG27" i="2"/>
  <c r="AH46" i="2"/>
  <c r="AH48" i="2"/>
  <c r="AH50" i="2"/>
  <c r="AK52" i="2"/>
  <c r="AL52" i="2" s="1"/>
  <c r="AC53" i="2"/>
  <c r="AC55" i="2"/>
  <c r="S57" i="2"/>
  <c r="AI57" i="2"/>
  <c r="AJ57" i="2" s="1"/>
  <c r="AD65" i="2"/>
  <c r="AE65" i="2" s="1"/>
  <c r="AD67" i="2"/>
  <c r="AE67" i="2" s="1"/>
  <c r="AD69" i="2"/>
  <c r="AE69" i="2" s="1"/>
  <c r="Y70" i="2"/>
  <c r="AB81" i="2"/>
  <c r="AC81" i="2" s="1"/>
  <c r="AC91" i="2"/>
  <c r="AC93" i="2"/>
  <c r="AC95" i="2"/>
  <c r="AC97" i="2"/>
  <c r="AI104" i="2"/>
  <c r="AJ104" i="2" s="1"/>
  <c r="AD105" i="2"/>
  <c r="AE105" i="2" s="1"/>
  <c r="AH114" i="2"/>
  <c r="AH129" i="2"/>
  <c r="AJ140" i="2"/>
  <c r="Y141" i="2"/>
  <c r="AK141" i="2"/>
  <c r="AL141" i="2" s="1"/>
  <c r="AF141" i="2"/>
  <c r="J87" i="3"/>
  <c r="K59" i="3"/>
  <c r="AG9" i="3"/>
  <c r="AF13" i="3"/>
  <c r="AD13" i="3"/>
  <c r="AE13" i="3" s="1"/>
  <c r="AK23" i="3"/>
  <c r="AL23" i="3" s="1"/>
  <c r="AG27" i="3"/>
  <c r="AH27" i="3" s="1"/>
  <c r="K27" i="3"/>
  <c r="AB57" i="3"/>
  <c r="W57" i="3"/>
  <c r="AI67" i="3"/>
  <c r="AH67" i="3"/>
  <c r="AI75" i="3"/>
  <c r="AK75" i="3"/>
  <c r="AL75" i="3" s="1"/>
  <c r="AH75" i="3"/>
  <c r="L87" i="3"/>
  <c r="AI99" i="3"/>
  <c r="AH99" i="3"/>
  <c r="AE82" i="5"/>
  <c r="AI46" i="2"/>
  <c r="AJ46" i="2" s="1"/>
  <c r="AI48" i="2"/>
  <c r="AJ48" i="2" s="1"/>
  <c r="AI50" i="2"/>
  <c r="AJ50" i="2" s="1"/>
  <c r="AD53" i="2"/>
  <c r="AE53" i="2" s="1"/>
  <c r="AD91" i="2"/>
  <c r="AE91" i="2" s="1"/>
  <c r="AD93" i="2"/>
  <c r="AE93" i="2" s="1"/>
  <c r="AD95" i="2"/>
  <c r="AE95" i="2" s="1"/>
  <c r="AD97" i="2"/>
  <c r="AE97" i="2" s="1"/>
  <c r="AI114" i="2"/>
  <c r="AJ114" i="2" s="1"/>
  <c r="AI129" i="2"/>
  <c r="AJ129" i="2" s="1"/>
  <c r="AK133" i="2"/>
  <c r="AL133" i="2" s="1"/>
  <c r="AH133" i="2"/>
  <c r="AI52" i="3"/>
  <c r="AF52" i="3"/>
  <c r="AD52" i="3"/>
  <c r="AE52" i="3" s="1"/>
  <c r="Y52" i="3"/>
  <c r="AK67" i="3"/>
  <c r="AL67" i="3" s="1"/>
  <c r="K70" i="2"/>
  <c r="AI19" i="3"/>
  <c r="AH19" i="3"/>
  <c r="AF20" i="3"/>
  <c r="AD20" i="3"/>
  <c r="AE20" i="3" s="1"/>
  <c r="AG44" i="3"/>
  <c r="R107" i="4"/>
  <c r="R101" i="4"/>
  <c r="S87" i="4"/>
  <c r="AH39" i="2"/>
  <c r="AH41" i="2"/>
  <c r="AH43" i="2"/>
  <c r="AC47" i="2"/>
  <c r="AC49" i="2"/>
  <c r="AC51" i="2"/>
  <c r="AB70" i="2"/>
  <c r="AC70" i="2" s="1"/>
  <c r="U85" i="2"/>
  <c r="AD144" i="2"/>
  <c r="AE144" i="2" s="1"/>
  <c r="AC144" i="2"/>
  <c r="AC20" i="3"/>
  <c r="AF43" i="3"/>
  <c r="AD43" i="3"/>
  <c r="AE43" i="3" s="1"/>
  <c r="AC43" i="3"/>
  <c r="AK51" i="3"/>
  <c r="AL51" i="3" s="1"/>
  <c r="AI51" i="3"/>
  <c r="AH51" i="3"/>
  <c r="AH19" i="2"/>
  <c r="AH23" i="2"/>
  <c r="AH25" i="2"/>
  <c r="AC29" i="2"/>
  <c r="AC31" i="2"/>
  <c r="AC33" i="2"/>
  <c r="AI39" i="2"/>
  <c r="AJ39" i="2" s="1"/>
  <c r="AI41" i="2"/>
  <c r="AJ41" i="2" s="1"/>
  <c r="AI43" i="2"/>
  <c r="AJ43" i="2" s="1"/>
  <c r="AD44" i="2"/>
  <c r="AE44" i="2" s="1"/>
  <c r="AD47" i="2"/>
  <c r="AE47" i="2" s="1"/>
  <c r="AD49" i="2"/>
  <c r="AE49" i="2" s="1"/>
  <c r="AD51" i="2"/>
  <c r="AE51" i="2" s="1"/>
  <c r="Y52" i="2"/>
  <c r="AB56" i="2"/>
  <c r="AC56" i="2" s="1"/>
  <c r="AH67" i="2"/>
  <c r="AH69" i="2"/>
  <c r="AC72" i="2"/>
  <c r="AC75" i="2"/>
  <c r="AC77" i="2"/>
  <c r="AC79" i="2"/>
  <c r="K84" i="2"/>
  <c r="AC111" i="2"/>
  <c r="AC113" i="2"/>
  <c r="AI130" i="2"/>
  <c r="AJ130" i="2" s="1"/>
  <c r="AK7" i="3"/>
  <c r="AL7" i="3" s="1"/>
  <c r="AI7" i="3"/>
  <c r="AD8" i="3"/>
  <c r="AE8" i="3" s="1"/>
  <c r="AC8" i="3"/>
  <c r="O59" i="3"/>
  <c r="N87" i="3"/>
  <c r="AK19" i="3"/>
  <c r="AL19" i="3" s="1"/>
  <c r="AI25" i="3"/>
  <c r="AH25" i="3"/>
  <c r="AF26" i="3"/>
  <c r="AD26" i="3"/>
  <c r="AE26" i="3" s="1"/>
  <c r="AD31" i="3"/>
  <c r="AE31" i="3" s="1"/>
  <c r="AC31" i="3"/>
  <c r="AG35" i="3"/>
  <c r="AH35" i="3" s="1"/>
  <c r="AI69" i="3"/>
  <c r="AH69" i="3"/>
  <c r="AJ78" i="3"/>
  <c r="AI19" i="2"/>
  <c r="AJ19" i="2" s="1"/>
  <c r="AI21" i="2"/>
  <c r="AJ21" i="2" s="1"/>
  <c r="AI23" i="2"/>
  <c r="AJ23" i="2" s="1"/>
  <c r="AI25" i="2"/>
  <c r="AJ25" i="2" s="1"/>
  <c r="AD29" i="2"/>
  <c r="AE29" i="2" s="1"/>
  <c r="AD31" i="2"/>
  <c r="AE31" i="2" s="1"/>
  <c r="AD33" i="2"/>
  <c r="AE33" i="2" s="1"/>
  <c r="Y34" i="2"/>
  <c r="AI65" i="2"/>
  <c r="AJ65" i="2" s="1"/>
  <c r="AI67" i="2"/>
  <c r="AJ67" i="2" s="1"/>
  <c r="AI69" i="2"/>
  <c r="AJ69" i="2" s="1"/>
  <c r="AD72" i="2"/>
  <c r="AE72" i="2" s="1"/>
  <c r="AD75" i="2"/>
  <c r="AE75" i="2" s="1"/>
  <c r="AD77" i="2"/>
  <c r="AE77" i="2" s="1"/>
  <c r="AD79" i="2"/>
  <c r="AE79" i="2" s="1"/>
  <c r="AI105" i="2"/>
  <c r="AJ105" i="2" s="1"/>
  <c r="AD111" i="2"/>
  <c r="AE111" i="2" s="1"/>
  <c r="AD113" i="2"/>
  <c r="AE113" i="2" s="1"/>
  <c r="AK130" i="2"/>
  <c r="AL130" i="2" s="1"/>
  <c r="AF144" i="2"/>
  <c r="AF39" i="3"/>
  <c r="AD39" i="3"/>
  <c r="AE39" i="3" s="1"/>
  <c r="AC39" i="3"/>
  <c r="AK69" i="3"/>
  <c r="AL69" i="3" s="1"/>
  <c r="AK80" i="3"/>
  <c r="AL80" i="3" s="1"/>
  <c r="AI80" i="3"/>
  <c r="AH80" i="3"/>
  <c r="AC37" i="2"/>
  <c r="AC40" i="2"/>
  <c r="AC42" i="2"/>
  <c r="AF44" i="2"/>
  <c r="AI53" i="2"/>
  <c r="AJ53" i="2" s="1"/>
  <c r="AI55" i="2"/>
  <c r="AJ55" i="2" s="1"/>
  <c r="AD56" i="2"/>
  <c r="AE56" i="2" s="1"/>
  <c r="Y57" i="2"/>
  <c r="AH83" i="2"/>
  <c r="AI91" i="2"/>
  <c r="AJ91" i="2" s="1"/>
  <c r="AI93" i="2"/>
  <c r="AJ93" i="2" s="1"/>
  <c r="AI95" i="2"/>
  <c r="AJ95" i="2" s="1"/>
  <c r="AI97" i="2"/>
  <c r="AJ97" i="2" s="1"/>
  <c r="AI118" i="2"/>
  <c r="AJ118" i="2" s="1"/>
  <c r="AH121" i="2"/>
  <c r="AH127" i="2"/>
  <c r="AF8" i="3"/>
  <c r="P107" i="3"/>
  <c r="P101" i="3"/>
  <c r="Q101" i="3" s="1"/>
  <c r="Q87" i="3"/>
  <c r="AI15" i="3"/>
  <c r="AH15" i="3"/>
  <c r="AF16" i="3"/>
  <c r="AD16" i="3"/>
  <c r="AE16" i="3" s="1"/>
  <c r="AK25" i="3"/>
  <c r="AL25" i="3" s="1"/>
  <c r="AF31" i="3"/>
  <c r="AJ43" i="3"/>
  <c r="AF54" i="3"/>
  <c r="AD54" i="3"/>
  <c r="AE54" i="3" s="1"/>
  <c r="AC54" i="3"/>
  <c r="Q59" i="3"/>
  <c r="AK120" i="3"/>
  <c r="AL120" i="3" s="1"/>
  <c r="AI120" i="3"/>
  <c r="AH120" i="3"/>
  <c r="AF40" i="4"/>
  <c r="AD40" i="4"/>
  <c r="AC40" i="4"/>
  <c r="AC20" i="2"/>
  <c r="AC22" i="2"/>
  <c r="AC24" i="2"/>
  <c r="AC63" i="2"/>
  <c r="AC66" i="2"/>
  <c r="AC68" i="2"/>
  <c r="AI83" i="2"/>
  <c r="AJ83" i="2" s="1"/>
  <c r="AK105" i="2"/>
  <c r="AL105" i="2" s="1"/>
  <c r="AH115" i="2"/>
  <c r="AK118" i="2"/>
  <c r="AL118" i="2" s="1"/>
  <c r="AI121" i="2"/>
  <c r="AJ121" i="2" s="1"/>
  <c r="AI124" i="2"/>
  <c r="AJ124" i="2" s="1"/>
  <c r="AI127" i="2"/>
  <c r="AJ127" i="2" s="1"/>
  <c r="AI134" i="2"/>
  <c r="AJ134" i="2" s="1"/>
  <c r="AC16" i="3"/>
  <c r="AB44" i="3"/>
  <c r="U59" i="3"/>
  <c r="AD20" i="2"/>
  <c r="AE20" i="2" s="1"/>
  <c r="AD22" i="2"/>
  <c r="AE22" i="2" s="1"/>
  <c r="AH47" i="2"/>
  <c r="AH49" i="2"/>
  <c r="AH51" i="2"/>
  <c r="AC54" i="2"/>
  <c r="AF56" i="2"/>
  <c r="AD63" i="2"/>
  <c r="AE63" i="2" s="1"/>
  <c r="AD66" i="2"/>
  <c r="AE66" i="2" s="1"/>
  <c r="AD68" i="2"/>
  <c r="AE68" i="2" s="1"/>
  <c r="AC90" i="2"/>
  <c r="AC92" i="2"/>
  <c r="AC94" i="2"/>
  <c r="AC96" i="2"/>
  <c r="AC98" i="2"/>
  <c r="AI115" i="2"/>
  <c r="AJ115" i="2" s="1"/>
  <c r="AK124" i="2"/>
  <c r="AL124" i="2" s="1"/>
  <c r="AK134" i="2"/>
  <c r="AL134" i="2" s="1"/>
  <c r="AB9" i="3"/>
  <c r="AC9" i="3" s="1"/>
  <c r="AK15" i="3"/>
  <c r="AL15" i="3" s="1"/>
  <c r="AI21" i="3"/>
  <c r="AH21" i="3"/>
  <c r="AF22" i="3"/>
  <c r="AD22" i="3"/>
  <c r="AE22" i="3" s="1"/>
  <c r="AK47" i="3"/>
  <c r="AL47" i="3" s="1"/>
  <c r="AH47" i="3"/>
  <c r="AH33" i="2"/>
  <c r="AI44" i="2"/>
  <c r="AJ44" i="2" s="1"/>
  <c r="AI47" i="2"/>
  <c r="AJ47" i="2" s="1"/>
  <c r="AI49" i="2"/>
  <c r="AJ49" i="2" s="1"/>
  <c r="AI51" i="2"/>
  <c r="AJ51" i="2" s="1"/>
  <c r="AD52" i="2"/>
  <c r="AE52" i="2" s="1"/>
  <c r="AD54" i="2"/>
  <c r="AE54" i="2" s="1"/>
  <c r="AH72" i="2"/>
  <c r="AD90" i="2"/>
  <c r="AE90" i="2" s="1"/>
  <c r="AD92" i="2"/>
  <c r="AE92" i="2" s="1"/>
  <c r="AD94" i="2"/>
  <c r="AE94" i="2" s="1"/>
  <c r="AD96" i="2"/>
  <c r="AE96" i="2" s="1"/>
  <c r="AD98" i="2"/>
  <c r="AE98" i="2" s="1"/>
  <c r="T101" i="3"/>
  <c r="U101" i="3" s="1"/>
  <c r="U87" i="3"/>
  <c r="T107" i="3"/>
  <c r="AI27" i="3"/>
  <c r="Y27" i="3"/>
  <c r="AK27" i="3"/>
  <c r="AL27" i="3" s="1"/>
  <c r="AG57" i="3"/>
  <c r="AH57" i="3" s="1"/>
  <c r="K57" i="3"/>
  <c r="AD135" i="2"/>
  <c r="AE135" i="2" s="1"/>
  <c r="AC135" i="2"/>
  <c r="AG52" i="3"/>
  <c r="AH52" i="3" s="1"/>
  <c r="M52" i="3"/>
  <c r="AF56" i="3"/>
  <c r="AD56" i="3"/>
  <c r="AE56" i="3" s="1"/>
  <c r="AC56" i="3"/>
  <c r="AD72" i="3"/>
  <c r="AE72" i="3" s="1"/>
  <c r="AC72" i="3"/>
  <c r="AH119" i="2"/>
  <c r="AI128" i="2"/>
  <c r="AJ128" i="2" s="1"/>
  <c r="AF135" i="2"/>
  <c r="D101" i="3"/>
  <c r="E101" i="3" s="1"/>
  <c r="E87" i="3"/>
  <c r="D107" i="3"/>
  <c r="V59" i="3"/>
  <c r="AD29" i="3"/>
  <c r="AE29" i="3" s="1"/>
  <c r="AC29" i="3"/>
  <c r="AF72" i="3"/>
  <c r="B59" i="3"/>
  <c r="R59" i="3"/>
  <c r="AG59" i="3" s="1"/>
  <c r="AH59" i="3" s="1"/>
  <c r="AB84" i="3"/>
  <c r="AC84" i="3" s="1"/>
  <c r="U59" i="4"/>
  <c r="T87" i="4"/>
  <c r="AF19" i="4"/>
  <c r="AD19" i="4"/>
  <c r="AI29" i="4"/>
  <c r="AK29" i="4"/>
  <c r="AL29" i="4" s="1"/>
  <c r="AK140" i="2"/>
  <c r="AL140" i="2" s="1"/>
  <c r="S145" i="2"/>
  <c r="AF7" i="3"/>
  <c r="S9" i="3"/>
  <c r="Y34" i="3"/>
  <c r="AD70" i="3"/>
  <c r="AE70" i="3" s="1"/>
  <c r="AI77" i="3"/>
  <c r="AH77" i="3"/>
  <c r="AF91" i="3"/>
  <c r="AI92" i="3"/>
  <c r="AH92" i="3"/>
  <c r="AI98" i="3"/>
  <c r="AH98" i="3"/>
  <c r="S99" i="3"/>
  <c r="AH118" i="3"/>
  <c r="AF119" i="3"/>
  <c r="AD119" i="3"/>
  <c r="AE119" i="3" s="1"/>
  <c r="AC119" i="3"/>
  <c r="AE120" i="3"/>
  <c r="AK144" i="3"/>
  <c r="AL144" i="3" s="1"/>
  <c r="AI144" i="3"/>
  <c r="AC19" i="4"/>
  <c r="AH29" i="4"/>
  <c r="AK47" i="4"/>
  <c r="AL47" i="4" s="1"/>
  <c r="AI47" i="4"/>
  <c r="AH47" i="4"/>
  <c r="AI118" i="3"/>
  <c r="AH144" i="3"/>
  <c r="AK8" i="4"/>
  <c r="AL8" i="4" s="1"/>
  <c r="AI8" i="4"/>
  <c r="AH99" i="4"/>
  <c r="AK99" i="4"/>
  <c r="AL99" i="4" s="1"/>
  <c r="AD63" i="3"/>
  <c r="AE63" i="3" s="1"/>
  <c r="AD66" i="3"/>
  <c r="AE66" i="3" s="1"/>
  <c r="AD68" i="3"/>
  <c r="AE68" i="3" s="1"/>
  <c r="AK81" i="3"/>
  <c r="AL81" i="3" s="1"/>
  <c r="AI81" i="3"/>
  <c r="AF81" i="3"/>
  <c r="AD93" i="3"/>
  <c r="AE93" i="3" s="1"/>
  <c r="AE128" i="3"/>
  <c r="AE130" i="3"/>
  <c r="AE132" i="3"/>
  <c r="AE134" i="3"/>
  <c r="AF21" i="4"/>
  <c r="AD21" i="4"/>
  <c r="AF111" i="3"/>
  <c r="AD111" i="3"/>
  <c r="AE111" i="3" s="1"/>
  <c r="AC111" i="3"/>
  <c r="AK122" i="3"/>
  <c r="AL122" i="3" s="1"/>
  <c r="AI122" i="3"/>
  <c r="Z107" i="4"/>
  <c r="Z101" i="4"/>
  <c r="AA101" i="4" s="1"/>
  <c r="AA87" i="4"/>
  <c r="AC21" i="4"/>
  <c r="AK57" i="4"/>
  <c r="AL57" i="4" s="1"/>
  <c r="AB57" i="4"/>
  <c r="AC57" i="4" s="1"/>
  <c r="Y57" i="4"/>
  <c r="AH56" i="3"/>
  <c r="H59" i="3"/>
  <c r="X59" i="3"/>
  <c r="AC76" i="3"/>
  <c r="Y84" i="3"/>
  <c r="S85" i="3"/>
  <c r="AI94" i="3"/>
  <c r="AH94" i="3"/>
  <c r="AG105" i="3"/>
  <c r="AI110" i="3"/>
  <c r="AH122" i="3"/>
  <c r="AK124" i="3"/>
  <c r="AL124" i="3" s="1"/>
  <c r="AI124" i="3"/>
  <c r="AH124" i="3"/>
  <c r="AK126" i="3"/>
  <c r="AL126" i="3" s="1"/>
  <c r="AI126" i="3"/>
  <c r="AH126" i="3"/>
  <c r="AK128" i="3"/>
  <c r="AL128" i="3" s="1"/>
  <c r="AI128" i="3"/>
  <c r="AH128" i="3"/>
  <c r="AK130" i="3"/>
  <c r="AL130" i="3" s="1"/>
  <c r="AI130" i="3"/>
  <c r="AH130" i="3"/>
  <c r="AK132" i="3"/>
  <c r="AL132" i="3" s="1"/>
  <c r="AI132" i="3"/>
  <c r="AH132" i="3"/>
  <c r="AK134" i="3"/>
  <c r="AL134" i="3" s="1"/>
  <c r="AI134" i="3"/>
  <c r="AH134" i="3"/>
  <c r="AG141" i="3"/>
  <c r="K141" i="3"/>
  <c r="Q44" i="4"/>
  <c r="AG44" i="4"/>
  <c r="AH44" i="4" s="1"/>
  <c r="AC130" i="2"/>
  <c r="Y145" i="2"/>
  <c r="Y9" i="3"/>
  <c r="AB27" i="3"/>
  <c r="AH37" i="3"/>
  <c r="AH40" i="3"/>
  <c r="AH42" i="3"/>
  <c r="AC46" i="3"/>
  <c r="AC48" i="3"/>
  <c r="AC50" i="3"/>
  <c r="AI56" i="3"/>
  <c r="AD57" i="3"/>
  <c r="AE57" i="3" s="1"/>
  <c r="AK72" i="3"/>
  <c r="AL72" i="3" s="1"/>
  <c r="AC74" i="3"/>
  <c r="AD76" i="3"/>
  <c r="AE76" i="3" s="1"/>
  <c r="AH78" i="3"/>
  <c r="AB99" i="3"/>
  <c r="AF43" i="4"/>
  <c r="AD43" i="4"/>
  <c r="AF66" i="4"/>
  <c r="AD66" i="4"/>
  <c r="AE66" i="4" s="1"/>
  <c r="AC66" i="4"/>
  <c r="AI81" i="4"/>
  <c r="AH81" i="4"/>
  <c r="AI111" i="5"/>
  <c r="AK111" i="5"/>
  <c r="AL111" i="5" s="1"/>
  <c r="AH111" i="5"/>
  <c r="AF79" i="3"/>
  <c r="AC79" i="3"/>
  <c r="AK94" i="3"/>
  <c r="AL94" i="3" s="1"/>
  <c r="AF113" i="3"/>
  <c r="AD113" i="3"/>
  <c r="AE113" i="3" s="1"/>
  <c r="AC113" i="3"/>
  <c r="AE114" i="3"/>
  <c r="AF15" i="4"/>
  <c r="AD15" i="4"/>
  <c r="AB35" i="4"/>
  <c r="AC35" i="4" s="1"/>
  <c r="AF54" i="4"/>
  <c r="AD54" i="4"/>
  <c r="AC54" i="4"/>
  <c r="AH54" i="3"/>
  <c r="AD79" i="3"/>
  <c r="AE79" i="3" s="1"/>
  <c r="AG145" i="3"/>
  <c r="AH145" i="3" s="1"/>
  <c r="E59" i="5"/>
  <c r="D87" i="5"/>
  <c r="AC34" i="5"/>
  <c r="AF34" i="5"/>
  <c r="AI54" i="3"/>
  <c r="AD81" i="3"/>
  <c r="AE81" i="3" s="1"/>
  <c r="AG84" i="3"/>
  <c r="AH84" i="3" s="1"/>
  <c r="K84" i="3"/>
  <c r="AI96" i="3"/>
  <c r="AH96" i="3"/>
  <c r="AH114" i="3"/>
  <c r="AF115" i="3"/>
  <c r="AD115" i="3"/>
  <c r="AE115" i="3" s="1"/>
  <c r="AC115" i="3"/>
  <c r="AE116" i="3"/>
  <c r="L87" i="4"/>
  <c r="M59" i="4"/>
  <c r="AI144" i="2"/>
  <c r="AJ144" i="2" s="1"/>
  <c r="AD145" i="2"/>
  <c r="AE145" i="2" s="1"/>
  <c r="AI8" i="3"/>
  <c r="AD9" i="3"/>
  <c r="AE9" i="3" s="1"/>
  <c r="AD15" i="3"/>
  <c r="AE15" i="3" s="1"/>
  <c r="AD17" i="3"/>
  <c r="AE17" i="3" s="1"/>
  <c r="AD19" i="3"/>
  <c r="AE19" i="3" s="1"/>
  <c r="AD21" i="3"/>
  <c r="AE21" i="3" s="1"/>
  <c r="AD23" i="3"/>
  <c r="AE23" i="3" s="1"/>
  <c r="AD25" i="3"/>
  <c r="AE25" i="3" s="1"/>
  <c r="AH46" i="3"/>
  <c r="AH48" i="3"/>
  <c r="AH50" i="3"/>
  <c r="AC53" i="3"/>
  <c r="AC55" i="3"/>
  <c r="AI57" i="3"/>
  <c r="AD65" i="3"/>
  <c r="AE65" i="3" s="1"/>
  <c r="AD67" i="3"/>
  <c r="AE67" i="3" s="1"/>
  <c r="AD69" i="3"/>
  <c r="AE69" i="3" s="1"/>
  <c r="AH74" i="3"/>
  <c r="AI76" i="3"/>
  <c r="AC80" i="3"/>
  <c r="AD85" i="3"/>
  <c r="AE85" i="3" s="1"/>
  <c r="AI90" i="3"/>
  <c r="AH90" i="3"/>
  <c r="AI114" i="3"/>
  <c r="AJ114" i="3" s="1"/>
  <c r="AC98" i="3"/>
  <c r="AF148" i="3"/>
  <c r="AC134" i="3"/>
  <c r="AC132" i="3"/>
  <c r="AC130" i="3"/>
  <c r="AC128" i="3"/>
  <c r="AC126" i="3"/>
  <c r="AC124" i="3"/>
  <c r="AC122" i="3"/>
  <c r="AC120" i="3"/>
  <c r="AC118" i="3"/>
  <c r="AC116" i="3"/>
  <c r="AC114" i="3"/>
  <c r="AC112" i="3"/>
  <c r="AC144" i="3"/>
  <c r="M9" i="4"/>
  <c r="AF17" i="4"/>
  <c r="AD17" i="4"/>
  <c r="AG85" i="3"/>
  <c r="AE31" i="5"/>
  <c r="AC77" i="3"/>
  <c r="AC83" i="3"/>
  <c r="AK90" i="3"/>
  <c r="AL90" i="3" s="1"/>
  <c r="AH116" i="3"/>
  <c r="AF117" i="3"/>
  <c r="AD117" i="3"/>
  <c r="AE117" i="3" s="1"/>
  <c r="AC117" i="3"/>
  <c r="AE118" i="3"/>
  <c r="D87" i="4"/>
  <c r="B107" i="5"/>
  <c r="B101" i="5"/>
  <c r="C101" i="5" s="1"/>
  <c r="C87" i="5"/>
  <c r="AF90" i="3"/>
  <c r="AF92" i="3"/>
  <c r="AF94" i="3"/>
  <c r="AF96" i="3"/>
  <c r="H87" i="4"/>
  <c r="I59" i="4"/>
  <c r="X59" i="4"/>
  <c r="AG27" i="4"/>
  <c r="AH27" i="4" s="1"/>
  <c r="K27" i="4"/>
  <c r="AF52" i="4"/>
  <c r="AD52" i="4"/>
  <c r="AC52" i="4"/>
  <c r="AA59" i="4"/>
  <c r="AK84" i="4"/>
  <c r="AL84" i="4" s="1"/>
  <c r="AI84" i="4"/>
  <c r="AH84" i="4"/>
  <c r="AI99" i="4"/>
  <c r="AE129" i="5"/>
  <c r="AE53" i="4"/>
  <c r="AF63" i="4"/>
  <c r="AD63" i="4"/>
  <c r="AG145" i="4"/>
  <c r="K145" i="4"/>
  <c r="AF104" i="3"/>
  <c r="Y135" i="3"/>
  <c r="W141" i="3"/>
  <c r="AG59" i="4"/>
  <c r="AH59" i="4" s="1"/>
  <c r="AH13" i="4"/>
  <c r="AH16" i="4"/>
  <c r="AH18" i="4"/>
  <c r="AH20" i="4"/>
  <c r="AH22" i="4"/>
  <c r="AD32" i="4"/>
  <c r="AF39" i="4"/>
  <c r="AD39" i="4"/>
  <c r="AC63" i="4"/>
  <c r="AK123" i="4"/>
  <c r="AL123" i="4" s="1"/>
  <c r="AI123" i="4"/>
  <c r="AH123" i="4"/>
  <c r="AF85" i="3"/>
  <c r="AB105" i="3"/>
  <c r="K145" i="3"/>
  <c r="K9" i="4"/>
  <c r="AA9" i="4"/>
  <c r="AD23" i="4"/>
  <c r="AE23" i="4" s="1"/>
  <c r="AC23" i="4"/>
  <c r="AC26" i="4"/>
  <c r="AF34" i="4"/>
  <c r="AC39" i="4"/>
  <c r="AG52" i="4"/>
  <c r="B137" i="4"/>
  <c r="C107" i="4"/>
  <c r="AF94" i="4"/>
  <c r="AD94" i="4"/>
  <c r="AC94" i="4"/>
  <c r="AK105" i="4"/>
  <c r="AL105" i="4" s="1"/>
  <c r="AA9" i="5"/>
  <c r="Z59" i="5"/>
  <c r="AF13" i="5"/>
  <c r="AD13" i="5"/>
  <c r="AE13" i="5" s="1"/>
  <c r="AC13" i="5"/>
  <c r="AD145" i="3"/>
  <c r="AE145" i="3" s="1"/>
  <c r="N87" i="4"/>
  <c r="O59" i="4"/>
  <c r="AD9" i="4"/>
  <c r="AK82" i="4"/>
  <c r="AL82" i="4" s="1"/>
  <c r="AI82" i="4"/>
  <c r="AH82" i="4"/>
  <c r="J87" i="4"/>
  <c r="AJ141" i="5"/>
  <c r="AB145" i="5"/>
  <c r="AC145" i="5" s="1"/>
  <c r="AD135" i="3"/>
  <c r="AE135" i="3" s="1"/>
  <c r="O9" i="4"/>
  <c r="AH23" i="4"/>
  <c r="AH83" i="4"/>
  <c r="AF96" i="4"/>
  <c r="AD96" i="4"/>
  <c r="AC96" i="4"/>
  <c r="S145" i="5"/>
  <c r="AH140" i="3"/>
  <c r="AF145" i="3"/>
  <c r="AI148" i="3"/>
  <c r="AJ129" i="3" s="1"/>
  <c r="AC7" i="4"/>
  <c r="P59" i="4"/>
  <c r="AF9" i="4"/>
  <c r="AI23" i="4"/>
  <c r="AI26" i="4"/>
  <c r="AD30" i="4"/>
  <c r="AH33" i="4"/>
  <c r="AK70" i="4"/>
  <c r="AL70" i="4" s="1"/>
  <c r="AH70" i="4"/>
  <c r="AI83" i="4"/>
  <c r="AJ17" i="5"/>
  <c r="AJ30" i="5"/>
  <c r="AC121" i="3"/>
  <c r="AC123" i="3"/>
  <c r="AC125" i="3"/>
  <c r="AC127" i="3"/>
  <c r="AC129" i="3"/>
  <c r="AC131" i="3"/>
  <c r="AC133" i="3"/>
  <c r="AF135" i="3"/>
  <c r="AI140" i="3"/>
  <c r="AD141" i="3"/>
  <c r="AE141" i="3" s="1"/>
  <c r="AD7" i="4"/>
  <c r="Q9" i="4"/>
  <c r="AG9" i="4"/>
  <c r="AH9" i="4" s="1"/>
  <c r="AK49" i="4"/>
  <c r="AL49" i="4" s="1"/>
  <c r="AI49" i="4"/>
  <c r="AH49" i="4"/>
  <c r="AI56" i="4"/>
  <c r="AH56" i="4"/>
  <c r="AF68" i="4"/>
  <c r="AD68" i="4"/>
  <c r="O70" i="4"/>
  <c r="AK129" i="4"/>
  <c r="AL129" i="4" s="1"/>
  <c r="AI129" i="4"/>
  <c r="F87" i="5"/>
  <c r="G59" i="5"/>
  <c r="AH91" i="3"/>
  <c r="AH93" i="3"/>
  <c r="AH95" i="3"/>
  <c r="AH97" i="3"/>
  <c r="AK99" i="3"/>
  <c r="AL99" i="3" s="1"/>
  <c r="AD121" i="3"/>
  <c r="AE121" i="3" s="1"/>
  <c r="AD123" i="3"/>
  <c r="AE123" i="3" s="1"/>
  <c r="AD125" i="3"/>
  <c r="AE125" i="3" s="1"/>
  <c r="AD127" i="3"/>
  <c r="AE127" i="3" s="1"/>
  <c r="AD129" i="3"/>
  <c r="AE129" i="3" s="1"/>
  <c r="AD131" i="3"/>
  <c r="AE131" i="3" s="1"/>
  <c r="AD133" i="3"/>
  <c r="AE133" i="3" s="1"/>
  <c r="AB59" i="4"/>
  <c r="AC59" i="4" s="1"/>
  <c r="AH15" i="4"/>
  <c r="AH17" i="4"/>
  <c r="AH19" i="4"/>
  <c r="AH21" i="4"/>
  <c r="AC24" i="4"/>
  <c r="AK27" i="4"/>
  <c r="AL27" i="4" s="1"/>
  <c r="AF27" i="4"/>
  <c r="AK33" i="4"/>
  <c r="AL33" i="4" s="1"/>
  <c r="O56" i="4"/>
  <c r="AC68" i="4"/>
  <c r="AF105" i="4"/>
  <c r="AD105" i="4"/>
  <c r="AC105" i="4"/>
  <c r="AH129" i="4"/>
  <c r="AI91" i="3"/>
  <c r="AI93" i="3"/>
  <c r="AI95" i="3"/>
  <c r="AI97" i="3"/>
  <c r="AJ97" i="3" s="1"/>
  <c r="AF141" i="3"/>
  <c r="C9" i="4"/>
  <c r="S9" i="4"/>
  <c r="AD24" i="4"/>
  <c r="Y27" i="4"/>
  <c r="AF41" i="4"/>
  <c r="AD41" i="4"/>
  <c r="AB84" i="4"/>
  <c r="AF90" i="4"/>
  <c r="AD90" i="4"/>
  <c r="AC90" i="4"/>
  <c r="AF98" i="4"/>
  <c r="AD98" i="4"/>
  <c r="AC98" i="4"/>
  <c r="U105" i="4"/>
  <c r="AJ19" i="5"/>
  <c r="AF40" i="5"/>
  <c r="AD40" i="5"/>
  <c r="AJ54" i="5"/>
  <c r="AI83" i="3"/>
  <c r="AI135" i="3"/>
  <c r="AK34" i="4"/>
  <c r="AL34" i="4" s="1"/>
  <c r="AG35" i="4"/>
  <c r="AD44" i="4"/>
  <c r="Y44" i="4"/>
  <c r="AK44" i="4"/>
  <c r="AL44" i="4" s="1"/>
  <c r="K59" i="4"/>
  <c r="AH111" i="4"/>
  <c r="AC40" i="5"/>
  <c r="Q56" i="5"/>
  <c r="AG56" i="5"/>
  <c r="AE79" i="5"/>
  <c r="AC90" i="3"/>
  <c r="AC92" i="3"/>
  <c r="AC94" i="3"/>
  <c r="AC96" i="3"/>
  <c r="AK9" i="4"/>
  <c r="AL9" i="4" s="1"/>
  <c r="AK51" i="4"/>
  <c r="AL51" i="4" s="1"/>
  <c r="AI51" i="4"/>
  <c r="AH51" i="4"/>
  <c r="AH79" i="3"/>
  <c r="AC82" i="3"/>
  <c r="AH111" i="3"/>
  <c r="AH113" i="3"/>
  <c r="AH115" i="3"/>
  <c r="AH117" i="3"/>
  <c r="AH119" i="3"/>
  <c r="AH121" i="3"/>
  <c r="AH123" i="3"/>
  <c r="AH125" i="3"/>
  <c r="AH127" i="3"/>
  <c r="AH129" i="3"/>
  <c r="AH131" i="3"/>
  <c r="AH133" i="3"/>
  <c r="F87" i="4"/>
  <c r="G59" i="4"/>
  <c r="V87" i="4"/>
  <c r="W59" i="4"/>
  <c r="AH24" i="4"/>
  <c r="AF25" i="4"/>
  <c r="AD25" i="4"/>
  <c r="AC25" i="4"/>
  <c r="AD37" i="4"/>
  <c r="AG57" i="4"/>
  <c r="AH57" i="4" s="1"/>
  <c r="K57" i="4"/>
  <c r="S81" i="4"/>
  <c r="AD99" i="4"/>
  <c r="AC99" i="4"/>
  <c r="G9" i="4"/>
  <c r="W9" i="4"/>
  <c r="AI24" i="4"/>
  <c r="AD27" i="4"/>
  <c r="AH31" i="4"/>
  <c r="AC42" i="4"/>
  <c r="AK85" i="4"/>
  <c r="AL85" i="4" s="1"/>
  <c r="AI85" i="4"/>
  <c r="AF92" i="4"/>
  <c r="AD92" i="4"/>
  <c r="AC92" i="4"/>
  <c r="W99" i="4"/>
  <c r="AJ95" i="5"/>
  <c r="AG34" i="5"/>
  <c r="AD44" i="5"/>
  <c r="AK44" i="5"/>
  <c r="AL44" i="5" s="1"/>
  <c r="AI44" i="5"/>
  <c r="AJ55" i="5"/>
  <c r="AG59" i="5"/>
  <c r="AH59" i="5" s="1"/>
  <c r="J87" i="5"/>
  <c r="K59" i="5"/>
  <c r="AF104" i="5"/>
  <c r="AD104" i="5"/>
  <c r="AC104" i="5"/>
  <c r="S44" i="4"/>
  <c r="AH72" i="4"/>
  <c r="AH75" i="4"/>
  <c r="AH77" i="4"/>
  <c r="AH79" i="4"/>
  <c r="AK81" i="4"/>
  <c r="AL81" i="4" s="1"/>
  <c r="AC82" i="4"/>
  <c r="K85" i="4"/>
  <c r="Y99" i="4"/>
  <c r="AB145" i="4"/>
  <c r="AC145" i="4" s="1"/>
  <c r="AC20" i="5"/>
  <c r="AI31" i="5"/>
  <c r="AH31" i="5"/>
  <c r="K34" i="5"/>
  <c r="Y44" i="5"/>
  <c r="AB105" i="5"/>
  <c r="AC105" i="5" s="1"/>
  <c r="U105" i="5"/>
  <c r="AE115" i="5"/>
  <c r="Y35" i="4"/>
  <c r="S70" i="4"/>
  <c r="AI70" i="4"/>
  <c r="AI72" i="4"/>
  <c r="AI75" i="4"/>
  <c r="AI77" i="4"/>
  <c r="AI79" i="4"/>
  <c r="AD82" i="4"/>
  <c r="AB85" i="4"/>
  <c r="AC85" i="4" s="1"/>
  <c r="AC104" i="4"/>
  <c r="AK125" i="4"/>
  <c r="AL125" i="4" s="1"/>
  <c r="AI125" i="4"/>
  <c r="AG9" i="5"/>
  <c r="K9" i="5"/>
  <c r="AD20" i="5"/>
  <c r="AE20" i="5" s="1"/>
  <c r="AC26" i="5"/>
  <c r="AK31" i="5"/>
  <c r="AL31" i="5" s="1"/>
  <c r="AI35" i="5"/>
  <c r="AJ35" i="5" s="1"/>
  <c r="AJ51" i="5"/>
  <c r="AF80" i="5"/>
  <c r="AD80" i="5"/>
  <c r="AK83" i="5"/>
  <c r="AL83" i="5" s="1"/>
  <c r="AI83" i="5"/>
  <c r="AJ83" i="5" s="1"/>
  <c r="AH83" i="5"/>
  <c r="AF90" i="5"/>
  <c r="AD90" i="5"/>
  <c r="AC90" i="5"/>
  <c r="AK104" i="5"/>
  <c r="AL104" i="5" s="1"/>
  <c r="AI104" i="5"/>
  <c r="AJ104" i="5" s="1"/>
  <c r="AH104" i="5"/>
  <c r="AI121" i="5"/>
  <c r="AK121" i="5"/>
  <c r="AL121" i="5" s="1"/>
  <c r="AH121" i="5"/>
  <c r="AK117" i="4"/>
  <c r="AL117" i="4" s="1"/>
  <c r="AI117" i="4"/>
  <c r="AG135" i="4"/>
  <c r="AK90" i="5"/>
  <c r="AL90" i="5" s="1"/>
  <c r="AH90" i="5"/>
  <c r="AI90" i="5"/>
  <c r="AJ97" i="5"/>
  <c r="AJ115" i="5"/>
  <c r="AE123" i="5"/>
  <c r="AK131" i="4"/>
  <c r="AL131" i="4" s="1"/>
  <c r="AI131" i="4"/>
  <c r="AJ40" i="5"/>
  <c r="AF44" i="5"/>
  <c r="AF105" i="5"/>
  <c r="AH115" i="5"/>
  <c r="AI27" i="5"/>
  <c r="AJ27" i="5" s="1"/>
  <c r="AF27" i="5"/>
  <c r="AD27" i="5"/>
  <c r="AE27" i="5" s="1"/>
  <c r="AE63" i="5"/>
  <c r="AH113" i="4"/>
  <c r="AC16" i="5"/>
  <c r="Y27" i="5"/>
  <c r="AC37" i="5"/>
  <c r="AK98" i="5"/>
  <c r="AL98" i="5" s="1"/>
  <c r="AH98" i="5"/>
  <c r="AI98" i="5"/>
  <c r="AJ98" i="5" s="1"/>
  <c r="AI34" i="4"/>
  <c r="AD35" i="4"/>
  <c r="AC65" i="4"/>
  <c r="AC67" i="4"/>
  <c r="AC69" i="4"/>
  <c r="AH104" i="4"/>
  <c r="AK113" i="4"/>
  <c r="AL113" i="4" s="1"/>
  <c r="AD16" i="5"/>
  <c r="AC22" i="5"/>
  <c r="AI33" i="5"/>
  <c r="AJ33" i="5" s="1"/>
  <c r="AH33" i="5"/>
  <c r="AG35" i="5"/>
  <c r="AD37" i="5"/>
  <c r="AC52" i="5"/>
  <c r="AJ65" i="5"/>
  <c r="AE75" i="5"/>
  <c r="AF94" i="5"/>
  <c r="AD94" i="5"/>
  <c r="AH46" i="4"/>
  <c r="AH48" i="4"/>
  <c r="AH50" i="4"/>
  <c r="AK52" i="4"/>
  <c r="AL52" i="4" s="1"/>
  <c r="AD65" i="4"/>
  <c r="AE65" i="4" s="1"/>
  <c r="AD67" i="4"/>
  <c r="AD69" i="4"/>
  <c r="AC91" i="4"/>
  <c r="AC93" i="4"/>
  <c r="AC95" i="4"/>
  <c r="AC97" i="4"/>
  <c r="AF99" i="4"/>
  <c r="AI104" i="4"/>
  <c r="AK127" i="4"/>
  <c r="AL127" i="4" s="1"/>
  <c r="AI127" i="4"/>
  <c r="AK133" i="4"/>
  <c r="AL133" i="4" s="1"/>
  <c r="AI133" i="4"/>
  <c r="S135" i="4"/>
  <c r="AD22" i="5"/>
  <c r="AE22" i="5" s="1"/>
  <c r="AK33" i="5"/>
  <c r="AL33" i="5" s="1"/>
  <c r="AG52" i="5"/>
  <c r="AD52" i="5"/>
  <c r="AC94" i="5"/>
  <c r="AH32" i="4"/>
  <c r="AF35" i="4"/>
  <c r="AI46" i="4"/>
  <c r="AI48" i="4"/>
  <c r="AI50" i="4"/>
  <c r="AH71" i="4"/>
  <c r="AH74" i="4"/>
  <c r="AH76" i="4"/>
  <c r="AH78" i="4"/>
  <c r="AH80" i="4"/>
  <c r="AC83" i="4"/>
  <c r="AD91" i="4"/>
  <c r="AD93" i="4"/>
  <c r="AD95" i="4"/>
  <c r="AD97" i="4"/>
  <c r="AH110" i="4"/>
  <c r="AK119" i="4"/>
  <c r="AL119" i="4" s="1"/>
  <c r="AI119" i="4"/>
  <c r="AH127" i="4"/>
  <c r="AH133" i="4"/>
  <c r="AH7" i="5"/>
  <c r="U59" i="5"/>
  <c r="T87" i="5"/>
  <c r="K52" i="5"/>
  <c r="AG84" i="5"/>
  <c r="M84" i="5"/>
  <c r="AI133" i="5"/>
  <c r="AJ133" i="5" s="1"/>
  <c r="AK133" i="5"/>
  <c r="AL133" i="5" s="1"/>
  <c r="AI30" i="4"/>
  <c r="AI32" i="4"/>
  <c r="AD81" i="4"/>
  <c r="AJ7" i="5"/>
  <c r="AJ42" i="5"/>
  <c r="AF67" i="5"/>
  <c r="AD67" i="5"/>
  <c r="AC67" i="5"/>
  <c r="AD99" i="5"/>
  <c r="AE119" i="5"/>
  <c r="AH39" i="4"/>
  <c r="AH41" i="4"/>
  <c r="AH43" i="4"/>
  <c r="AC47" i="4"/>
  <c r="AC49" i="4"/>
  <c r="AC51" i="4"/>
  <c r="AL120" i="4"/>
  <c r="AL134" i="4"/>
  <c r="AF140" i="4"/>
  <c r="AD140" i="4"/>
  <c r="AC140" i="4"/>
  <c r="V59" i="5"/>
  <c r="W9" i="5"/>
  <c r="AI29" i="5"/>
  <c r="AJ29" i="5" s="1"/>
  <c r="AH29" i="5"/>
  <c r="AI34" i="5"/>
  <c r="AJ34" i="5" s="1"/>
  <c r="AB70" i="5"/>
  <c r="AK121" i="4"/>
  <c r="AL121" i="4" s="1"/>
  <c r="AI121" i="4"/>
  <c r="AL128" i="4"/>
  <c r="AF135" i="4"/>
  <c r="S141" i="4"/>
  <c r="X87" i="5"/>
  <c r="AI59" i="5"/>
  <c r="AJ59" i="5" s="1"/>
  <c r="AC18" i="5"/>
  <c r="AG27" i="5"/>
  <c r="AH27" i="5" s="1"/>
  <c r="AK29" i="5"/>
  <c r="AL29" i="5" s="1"/>
  <c r="AK66" i="5"/>
  <c r="AL66" i="5" s="1"/>
  <c r="AI66" i="5"/>
  <c r="AJ66" i="5" s="1"/>
  <c r="AH66" i="5"/>
  <c r="AF68" i="5"/>
  <c r="AD68" i="5"/>
  <c r="AE68" i="5" s="1"/>
  <c r="AC68" i="5"/>
  <c r="S70" i="5"/>
  <c r="AG99" i="5"/>
  <c r="AJ120" i="5"/>
  <c r="AJ129" i="5"/>
  <c r="AK141" i="4"/>
  <c r="AL141" i="4" s="1"/>
  <c r="AC144" i="4"/>
  <c r="K27" i="5"/>
  <c r="AD34" i="5"/>
  <c r="Y35" i="5"/>
  <c r="AB56" i="5"/>
  <c r="H59" i="5"/>
  <c r="AH72" i="5"/>
  <c r="AB81" i="5"/>
  <c r="AC81" i="5" s="1"/>
  <c r="AJ82" i="5"/>
  <c r="AK94" i="5"/>
  <c r="AL94" i="5" s="1"/>
  <c r="AH94" i="5"/>
  <c r="AB135" i="5"/>
  <c r="AC135" i="5" s="1"/>
  <c r="AC120" i="4"/>
  <c r="AC122" i="4"/>
  <c r="AC124" i="4"/>
  <c r="AC132" i="4"/>
  <c r="AD144" i="4"/>
  <c r="Y145" i="4"/>
  <c r="AD8" i="5"/>
  <c r="Y9" i="5"/>
  <c r="AB27" i="5"/>
  <c r="AC27" i="5" s="1"/>
  <c r="AE53" i="5"/>
  <c r="AK57" i="5"/>
  <c r="AL57" i="5" s="1"/>
  <c r="AI57" i="5"/>
  <c r="AF74" i="5"/>
  <c r="AD74" i="5"/>
  <c r="AJ94" i="5"/>
  <c r="AE98" i="5"/>
  <c r="AJ125" i="5"/>
  <c r="AK129" i="5"/>
  <c r="AL129" i="5" s="1"/>
  <c r="S135" i="5"/>
  <c r="AI13" i="5"/>
  <c r="AJ13" i="5" s="1"/>
  <c r="AI16" i="5"/>
  <c r="AI18" i="5"/>
  <c r="AJ18" i="5" s="1"/>
  <c r="AI20" i="5"/>
  <c r="AJ20" i="5" s="1"/>
  <c r="AI22" i="5"/>
  <c r="AJ22" i="5" s="1"/>
  <c r="AI24" i="5"/>
  <c r="AJ24" i="5" s="1"/>
  <c r="AI26" i="5"/>
  <c r="AD30" i="5"/>
  <c r="AD32" i="5"/>
  <c r="AB35" i="5"/>
  <c r="L59" i="5"/>
  <c r="AI77" i="5"/>
  <c r="AJ77" i="5" s="1"/>
  <c r="AF78" i="5"/>
  <c r="AD78" i="5"/>
  <c r="AE78" i="5" s="1"/>
  <c r="AK125" i="5"/>
  <c r="AL125" i="5" s="1"/>
  <c r="K135" i="4"/>
  <c r="AB9" i="5"/>
  <c r="AC9" i="5" s="1"/>
  <c r="AC41" i="5"/>
  <c r="AJ48" i="5"/>
  <c r="AC78" i="5"/>
  <c r="R87" i="5"/>
  <c r="AH117" i="5"/>
  <c r="AD141" i="5"/>
  <c r="Y141" i="5"/>
  <c r="AK141" i="5"/>
  <c r="AL141" i="5" s="1"/>
  <c r="AH144" i="4"/>
  <c r="AD148" i="4"/>
  <c r="AE26" i="4" s="1"/>
  <c r="AH8" i="5"/>
  <c r="AC15" i="5"/>
  <c r="AC19" i="5"/>
  <c r="AC21" i="5"/>
  <c r="AC23" i="5"/>
  <c r="AC25" i="5"/>
  <c r="AD41" i="5"/>
  <c r="AE41" i="5" s="1"/>
  <c r="AB57" i="5"/>
  <c r="AC57" i="5" s="1"/>
  <c r="AK63" i="5"/>
  <c r="AL63" i="5" s="1"/>
  <c r="AI63" i="5"/>
  <c r="AJ63" i="5" s="1"/>
  <c r="AF65" i="5"/>
  <c r="AD65" i="5"/>
  <c r="AE65" i="5" s="1"/>
  <c r="AC65" i="5"/>
  <c r="AK85" i="5"/>
  <c r="AL85" i="5" s="1"/>
  <c r="AI85" i="5"/>
  <c r="AJ85" i="5" s="1"/>
  <c r="AB85" i="5"/>
  <c r="AD85" i="5" s="1"/>
  <c r="AE85" i="5" s="1"/>
  <c r="AH112" i="4"/>
  <c r="AH114" i="4"/>
  <c r="AH116" i="4"/>
  <c r="AH118" i="4"/>
  <c r="AH120" i="4"/>
  <c r="AH122" i="4"/>
  <c r="AH124" i="4"/>
  <c r="AH126" i="4"/>
  <c r="AH128" i="4"/>
  <c r="AH130" i="4"/>
  <c r="AH132" i="4"/>
  <c r="AH134" i="4"/>
  <c r="AI144" i="4"/>
  <c r="AD145" i="4"/>
  <c r="AE145" i="4" s="1"/>
  <c r="AI8" i="5"/>
  <c r="AJ8" i="5" s="1"/>
  <c r="N87" i="5"/>
  <c r="AD9" i="5"/>
  <c r="AD15" i="5"/>
  <c r="AD17" i="5"/>
  <c r="AD19" i="5"/>
  <c r="AD21" i="5"/>
  <c r="AD23" i="5"/>
  <c r="AE23" i="5" s="1"/>
  <c r="AD25" i="5"/>
  <c r="AE25" i="5" s="1"/>
  <c r="AC54" i="5"/>
  <c r="AH63" i="5"/>
  <c r="AG70" i="5"/>
  <c r="AD81" i="5"/>
  <c r="AE81" i="5" s="1"/>
  <c r="Y81" i="5"/>
  <c r="Y85" i="5"/>
  <c r="AI99" i="5"/>
  <c r="AJ99" i="5" s="1"/>
  <c r="AF99" i="5"/>
  <c r="AH113" i="5"/>
  <c r="AJ131" i="5"/>
  <c r="AF135" i="5"/>
  <c r="AD135" i="5"/>
  <c r="Y135" i="5"/>
  <c r="AG145" i="5"/>
  <c r="AI120" i="4"/>
  <c r="AI122" i="4"/>
  <c r="AI124" i="4"/>
  <c r="AI132" i="4"/>
  <c r="AI134" i="4"/>
  <c r="AD135" i="4"/>
  <c r="AC46" i="5"/>
  <c r="AK52" i="5"/>
  <c r="AL52" i="5" s="1"/>
  <c r="AD54" i="5"/>
  <c r="AE54" i="5" s="1"/>
  <c r="K57" i="5"/>
  <c r="AK68" i="5"/>
  <c r="AL68" i="5" s="1"/>
  <c r="AI68" i="5"/>
  <c r="AF69" i="5"/>
  <c r="AD69" i="5"/>
  <c r="AC69" i="5"/>
  <c r="AC92" i="5"/>
  <c r="Y99" i="5"/>
  <c r="AG105" i="5"/>
  <c r="K105" i="5"/>
  <c r="AK113" i="5"/>
  <c r="AL113" i="5" s="1"/>
  <c r="AJ122" i="5"/>
  <c r="AH131" i="5"/>
  <c r="AH140" i="4"/>
  <c r="AI148" i="4"/>
  <c r="AJ67" i="4" s="1"/>
  <c r="AC7" i="5"/>
  <c r="P87" i="5"/>
  <c r="Q59" i="5"/>
  <c r="AF9" i="5"/>
  <c r="AB44" i="5"/>
  <c r="AC44" i="5" s="1"/>
  <c r="AD46" i="5"/>
  <c r="AI49" i="5"/>
  <c r="AJ49" i="5" s="1"/>
  <c r="AH68" i="5"/>
  <c r="AF71" i="5"/>
  <c r="AD71" i="5"/>
  <c r="AG81" i="5"/>
  <c r="AD92" i="5"/>
  <c r="AE92" i="5" s="1"/>
  <c r="AD96" i="5"/>
  <c r="AE96" i="5" s="1"/>
  <c r="AJ127" i="5"/>
  <c r="AK131" i="5"/>
  <c r="AL131" i="5" s="1"/>
  <c r="AG135" i="5"/>
  <c r="AF141" i="5"/>
  <c r="AC111" i="4"/>
  <c r="AC115" i="4"/>
  <c r="AC117" i="4"/>
  <c r="AC119" i="4"/>
  <c r="AC121" i="4"/>
  <c r="AC123" i="4"/>
  <c r="AC125" i="4"/>
  <c r="AC127" i="4"/>
  <c r="AC129" i="4"/>
  <c r="AC131" i="4"/>
  <c r="Q9" i="5"/>
  <c r="AH39" i="5"/>
  <c r="AH41" i="5"/>
  <c r="S44" i="5"/>
  <c r="AC71" i="5"/>
  <c r="AH75" i="5"/>
  <c r="AK92" i="5"/>
  <c r="AL92" i="5" s="1"/>
  <c r="AH92" i="5"/>
  <c r="AK96" i="5"/>
  <c r="AL96" i="5" s="1"/>
  <c r="AH96" i="5"/>
  <c r="AK54" i="5"/>
  <c r="AL54" i="5" s="1"/>
  <c r="AH54" i="5"/>
  <c r="AF76" i="5"/>
  <c r="AD76" i="5"/>
  <c r="AG85" i="5"/>
  <c r="AH85" i="5" s="1"/>
  <c r="AI92" i="5"/>
  <c r="AJ92" i="5" s="1"/>
  <c r="AI96" i="5"/>
  <c r="AJ96" i="5" s="1"/>
  <c r="AE97" i="5"/>
  <c r="AJ119" i="5"/>
  <c r="AK127" i="5"/>
  <c r="AL127" i="5" s="1"/>
  <c r="AD110" i="5"/>
  <c r="AD112" i="5"/>
  <c r="AD114" i="5"/>
  <c r="AD116" i="5"/>
  <c r="AE116" i="5" s="1"/>
  <c r="AD118" i="5"/>
  <c r="AE118" i="5" s="1"/>
  <c r="AD120" i="5"/>
  <c r="AD122" i="5"/>
  <c r="AE122" i="5" s="1"/>
  <c r="AD124" i="5"/>
  <c r="AD126" i="5"/>
  <c r="AE126" i="5" s="1"/>
  <c r="AD128" i="5"/>
  <c r="AE128" i="5" s="1"/>
  <c r="AD130" i="5"/>
  <c r="AD132" i="5"/>
  <c r="AE132" i="5" s="1"/>
  <c r="AD134" i="5"/>
  <c r="AE134" i="5" s="1"/>
  <c r="AH46" i="5"/>
  <c r="AH48" i="5"/>
  <c r="AH50" i="5"/>
  <c r="AC53" i="5"/>
  <c r="AC55" i="5"/>
  <c r="AC91" i="5"/>
  <c r="AC93" i="5"/>
  <c r="AD105" i="5"/>
  <c r="AE105" i="5" s="1"/>
  <c r="AH144" i="5"/>
  <c r="AD148" i="5"/>
  <c r="AE144" i="5" s="1"/>
  <c r="AI144" i="5"/>
  <c r="AF148" i="5"/>
  <c r="AI71" i="5"/>
  <c r="AJ71" i="5" s="1"/>
  <c r="AI74" i="5"/>
  <c r="AJ74" i="5" s="1"/>
  <c r="AI76" i="5"/>
  <c r="AJ76" i="5" s="1"/>
  <c r="AI78" i="5"/>
  <c r="AI80" i="5"/>
  <c r="AJ80" i="5" s="1"/>
  <c r="AD83" i="5"/>
  <c r="AI110" i="5"/>
  <c r="AI112" i="5"/>
  <c r="AJ112" i="5" s="1"/>
  <c r="AI114" i="5"/>
  <c r="AJ114" i="5" s="1"/>
  <c r="AI116" i="5"/>
  <c r="AJ116" i="5" s="1"/>
  <c r="AI118" i="5"/>
  <c r="AJ118" i="5" s="1"/>
  <c r="AI124" i="5"/>
  <c r="AI126" i="5"/>
  <c r="AJ126" i="5" s="1"/>
  <c r="AI128" i="5"/>
  <c r="AI130" i="5"/>
  <c r="AJ130" i="5" s="1"/>
  <c r="AI132" i="5"/>
  <c r="AJ132" i="5" s="1"/>
  <c r="AI134" i="5"/>
  <c r="AJ134" i="5" s="1"/>
  <c r="AH43" i="5"/>
  <c r="AC47" i="5"/>
  <c r="AH140" i="5"/>
  <c r="AI148" i="5"/>
  <c r="AJ25" i="5" s="1"/>
  <c r="P8" i="6" l="1"/>
  <c r="W8" i="6"/>
  <c r="W6" i="6"/>
  <c r="P6" i="6"/>
  <c r="X7" i="6"/>
  <c r="Q7" i="6"/>
  <c r="X9" i="6"/>
  <c r="Q9" i="6"/>
  <c r="Q8" i="6"/>
  <c r="X8" i="6"/>
  <c r="W7" i="6"/>
  <c r="P7" i="6"/>
  <c r="Q5" i="6"/>
  <c r="X5" i="6"/>
  <c r="X6" i="6"/>
  <c r="Q6" i="6"/>
  <c r="P9" i="6"/>
  <c r="W9" i="6"/>
  <c r="AH59" i="2"/>
  <c r="AK59" i="2"/>
  <c r="AL59" i="2" s="1"/>
  <c r="AI59" i="2"/>
  <c r="AJ59" i="2" s="1"/>
  <c r="AC59" i="1"/>
  <c r="AD59" i="1"/>
  <c r="AE59" i="1" s="1"/>
  <c r="AF59" i="1"/>
  <c r="H107" i="4"/>
  <c r="H101" i="4"/>
  <c r="I101" i="4" s="1"/>
  <c r="I87" i="4"/>
  <c r="AK59" i="5"/>
  <c r="AL59" i="5" s="1"/>
  <c r="AJ130" i="4"/>
  <c r="AC27" i="3"/>
  <c r="AD27" i="3"/>
  <c r="AE27" i="3" s="1"/>
  <c r="AE22" i="4"/>
  <c r="AJ80" i="3"/>
  <c r="AJ52" i="3"/>
  <c r="AJ18" i="4"/>
  <c r="AJ66" i="3"/>
  <c r="AH70" i="2"/>
  <c r="AK70" i="2"/>
  <c r="AL70" i="2" s="1"/>
  <c r="AK35" i="1"/>
  <c r="AL35" i="1" s="1"/>
  <c r="AI35" i="1"/>
  <c r="AJ35" i="1" s="1"/>
  <c r="AH35" i="1"/>
  <c r="AH99" i="1"/>
  <c r="AI99" i="1"/>
  <c r="AJ99" i="1" s="1"/>
  <c r="AK99" i="1"/>
  <c r="AL99" i="1" s="1"/>
  <c r="L101" i="1"/>
  <c r="M101" i="1" s="1"/>
  <c r="M87" i="1"/>
  <c r="L107" i="1"/>
  <c r="AD27" i="1"/>
  <c r="AE27" i="1" s="1"/>
  <c r="AC27" i="1"/>
  <c r="AF27" i="1"/>
  <c r="AE130" i="5"/>
  <c r="AJ144" i="4"/>
  <c r="AE95" i="5"/>
  <c r="X107" i="5"/>
  <c r="X101" i="5"/>
  <c r="Y87" i="5"/>
  <c r="AE99" i="5"/>
  <c r="AI84" i="5"/>
  <c r="AJ84" i="5" s="1"/>
  <c r="AH84" i="5"/>
  <c r="AK84" i="5"/>
  <c r="AL84" i="5" s="1"/>
  <c r="AJ133" i="4"/>
  <c r="AE16" i="5"/>
  <c r="AE7" i="5"/>
  <c r="AJ46" i="5"/>
  <c r="AJ117" i="4"/>
  <c r="AE80" i="5"/>
  <c r="AJ79" i="4"/>
  <c r="AJ44" i="5"/>
  <c r="AF85" i="4"/>
  <c r="AE44" i="4"/>
  <c r="AJ95" i="3"/>
  <c r="AJ56" i="4"/>
  <c r="Z87" i="5"/>
  <c r="AA59" i="5"/>
  <c r="AE125" i="4"/>
  <c r="AJ90" i="3"/>
  <c r="AJ96" i="3"/>
  <c r="AE16" i="4"/>
  <c r="AE43" i="4"/>
  <c r="AK84" i="3"/>
  <c r="AL84" i="3" s="1"/>
  <c r="AE20" i="4"/>
  <c r="AJ77" i="3"/>
  <c r="B87" i="3"/>
  <c r="C59" i="3"/>
  <c r="AF27" i="3"/>
  <c r="AD44" i="3"/>
  <c r="AE44" i="3" s="1"/>
  <c r="AF44" i="3"/>
  <c r="AC44" i="3"/>
  <c r="AD70" i="2"/>
  <c r="AE70" i="2" s="1"/>
  <c r="AJ69" i="3"/>
  <c r="S101" i="4"/>
  <c r="AK52" i="3"/>
  <c r="AL52" i="3" s="1"/>
  <c r="AJ49" i="3"/>
  <c r="AJ30" i="3"/>
  <c r="AK9" i="1"/>
  <c r="AL9" i="1" s="1"/>
  <c r="E59" i="1"/>
  <c r="D87" i="1"/>
  <c r="AI9" i="2"/>
  <c r="AJ9" i="2" s="1"/>
  <c r="AH9" i="2"/>
  <c r="O87" i="1"/>
  <c r="N101" i="1"/>
  <c r="O101" i="1" s="1"/>
  <c r="N107" i="1"/>
  <c r="AF57" i="1"/>
  <c r="P87" i="2"/>
  <c r="Q59" i="2"/>
  <c r="AJ32" i="3"/>
  <c r="V107" i="1"/>
  <c r="V101" i="1"/>
  <c r="W101" i="1" s="1"/>
  <c r="W87" i="1"/>
  <c r="AD145" i="5"/>
  <c r="AE145" i="5" s="1"/>
  <c r="AJ134" i="4"/>
  <c r="AF35" i="5"/>
  <c r="AC35" i="5"/>
  <c r="AF145" i="5"/>
  <c r="T107" i="5"/>
  <c r="T101" i="5"/>
  <c r="U101" i="5" s="1"/>
  <c r="U87" i="5"/>
  <c r="AJ127" i="4"/>
  <c r="AJ141" i="4"/>
  <c r="AJ112" i="4"/>
  <c r="AE44" i="5"/>
  <c r="AJ91" i="3"/>
  <c r="F107" i="5"/>
  <c r="F101" i="5"/>
  <c r="G101" i="5" s="1"/>
  <c r="G87" i="5"/>
  <c r="AJ49" i="4"/>
  <c r="AF105" i="3"/>
  <c r="AC105" i="3"/>
  <c r="AD105" i="3"/>
  <c r="AE105" i="3" s="1"/>
  <c r="AJ99" i="4"/>
  <c r="AJ113" i="3"/>
  <c r="AC99" i="3"/>
  <c r="AF99" i="3"/>
  <c r="AJ128" i="3"/>
  <c r="AF84" i="3"/>
  <c r="AJ144" i="3"/>
  <c r="AJ63" i="3"/>
  <c r="AJ26" i="3"/>
  <c r="AJ20" i="3"/>
  <c r="AJ46" i="3"/>
  <c r="AI35" i="2"/>
  <c r="AJ35" i="2" s="1"/>
  <c r="AJ24" i="3"/>
  <c r="L107" i="3"/>
  <c r="M87" i="3"/>
  <c r="L101" i="3"/>
  <c r="M101" i="3" s="1"/>
  <c r="AJ23" i="3"/>
  <c r="AJ42" i="3"/>
  <c r="AJ40" i="3"/>
  <c r="D87" i="2"/>
  <c r="E59" i="2"/>
  <c r="AJ40" i="4"/>
  <c r="AJ95" i="4"/>
  <c r="AJ43" i="4"/>
  <c r="AJ91" i="4"/>
  <c r="AJ31" i="4"/>
  <c r="AJ16" i="4"/>
  <c r="AJ42" i="4"/>
  <c r="AJ93" i="4"/>
  <c r="AJ39" i="4"/>
  <c r="AE135" i="4"/>
  <c r="AJ93" i="3"/>
  <c r="AD84" i="3"/>
  <c r="AE84" i="3" s="1"/>
  <c r="AJ27" i="3"/>
  <c r="H107" i="1"/>
  <c r="H101" i="1"/>
  <c r="I101" i="1" s="1"/>
  <c r="I87" i="1"/>
  <c r="AF81" i="5"/>
  <c r="AE74" i="5"/>
  <c r="AH99" i="5"/>
  <c r="AK99" i="5"/>
  <c r="AL99" i="5" s="1"/>
  <c r="W59" i="5"/>
  <c r="V87" i="5"/>
  <c r="AB59" i="5"/>
  <c r="AE67" i="5"/>
  <c r="AJ75" i="4"/>
  <c r="AE90" i="4"/>
  <c r="AJ128" i="5"/>
  <c r="AJ144" i="5"/>
  <c r="AE124" i="5"/>
  <c r="AI81" i="5"/>
  <c r="AJ81" i="5" s="1"/>
  <c r="AH81" i="5"/>
  <c r="AK81" i="5"/>
  <c r="AL81" i="5" s="1"/>
  <c r="AJ132" i="4"/>
  <c r="AK70" i="5"/>
  <c r="AL70" i="5" s="1"/>
  <c r="AI70" i="5"/>
  <c r="AJ70" i="5" s="1"/>
  <c r="AH70" i="5"/>
  <c r="AE141" i="5"/>
  <c r="AE32" i="5"/>
  <c r="AE77" i="5"/>
  <c r="AJ140" i="5"/>
  <c r="AJ32" i="5"/>
  <c r="AE47" i="5"/>
  <c r="AJ72" i="4"/>
  <c r="AK34" i="5"/>
  <c r="AL34" i="5" s="1"/>
  <c r="AH34" i="5"/>
  <c r="AJ80" i="4"/>
  <c r="AE37" i="4"/>
  <c r="AJ135" i="3"/>
  <c r="AJ93" i="5"/>
  <c r="AE18" i="5"/>
  <c r="AE117" i="4"/>
  <c r="AJ94" i="4"/>
  <c r="AD99" i="3"/>
  <c r="AE99" i="3" s="1"/>
  <c r="AJ76" i="3"/>
  <c r="AE34" i="4"/>
  <c r="AI84" i="3"/>
  <c r="AJ84" i="3" s="1"/>
  <c r="AJ105" i="4"/>
  <c r="AJ48" i="3"/>
  <c r="T137" i="3"/>
  <c r="U107" i="3"/>
  <c r="AH44" i="3"/>
  <c r="AI44" i="3"/>
  <c r="AJ44" i="3" s="1"/>
  <c r="K87" i="3"/>
  <c r="J101" i="3"/>
  <c r="J107" i="3"/>
  <c r="AI145" i="2"/>
  <c r="AJ145" i="2" s="1"/>
  <c r="AH145" i="2"/>
  <c r="AK145" i="2"/>
  <c r="AL145" i="2" s="1"/>
  <c r="L107" i="2"/>
  <c r="L101" i="2"/>
  <c r="M101" i="2" s="1"/>
  <c r="M87" i="2"/>
  <c r="V101" i="2"/>
  <c r="W101" i="2" s="1"/>
  <c r="W87" i="2"/>
  <c r="V107" i="2"/>
  <c r="C59" i="1"/>
  <c r="B87" i="1"/>
  <c r="K101" i="2"/>
  <c r="AJ39" i="5"/>
  <c r="AJ41" i="4"/>
  <c r="AE82" i="4"/>
  <c r="AJ53" i="4"/>
  <c r="AJ99" i="3"/>
  <c r="AE71" i="5"/>
  <c r="AJ50" i="4"/>
  <c r="AJ83" i="3"/>
  <c r="AE129" i="4"/>
  <c r="AE94" i="4"/>
  <c r="AJ84" i="4"/>
  <c r="AJ25" i="4"/>
  <c r="X87" i="3"/>
  <c r="AF59" i="3"/>
  <c r="Y59" i="3"/>
  <c r="AI59" i="3"/>
  <c r="AJ59" i="3" s="1"/>
  <c r="AK59" i="3"/>
  <c r="AL59" i="3" s="1"/>
  <c r="Z137" i="4"/>
  <c r="AA107" i="4"/>
  <c r="AE21" i="4"/>
  <c r="AE72" i="4"/>
  <c r="AJ15" i="3"/>
  <c r="AK135" i="2"/>
  <c r="AL135" i="2" s="1"/>
  <c r="AH135" i="2"/>
  <c r="AI135" i="2"/>
  <c r="AJ135" i="2" s="1"/>
  <c r="AA87" i="3"/>
  <c r="Z101" i="3"/>
  <c r="AA101" i="3" s="1"/>
  <c r="Z107" i="3"/>
  <c r="AH105" i="1"/>
  <c r="AK105" i="1"/>
  <c r="AL105" i="1" s="1"/>
  <c r="AI105" i="1"/>
  <c r="AJ105" i="1" s="1"/>
  <c r="J137" i="2"/>
  <c r="K107" i="2"/>
  <c r="AJ20" i="4"/>
  <c r="AI27" i="2"/>
  <c r="AJ27" i="2" s="1"/>
  <c r="AH27" i="2"/>
  <c r="G87" i="3"/>
  <c r="F107" i="3"/>
  <c r="F101" i="3"/>
  <c r="G101" i="3" s="1"/>
  <c r="AD85" i="4"/>
  <c r="AE85" i="4" s="1"/>
  <c r="AE98" i="4"/>
  <c r="AF145" i="4"/>
  <c r="AJ85" i="4"/>
  <c r="AJ31" i="3"/>
  <c r="R137" i="4"/>
  <c r="S107" i="4"/>
  <c r="AJ18" i="3"/>
  <c r="AI9" i="3"/>
  <c r="AJ9" i="3" s="1"/>
  <c r="AH9" i="3"/>
  <c r="AK9" i="3"/>
  <c r="AL9" i="3" s="1"/>
  <c r="AJ41" i="3"/>
  <c r="AJ74" i="3"/>
  <c r="AI70" i="2"/>
  <c r="AJ70" i="2" s="1"/>
  <c r="AE131" i="5"/>
  <c r="AE121" i="5"/>
  <c r="AE66" i="5"/>
  <c r="AE133" i="5"/>
  <c r="AE33" i="5"/>
  <c r="AE72" i="5"/>
  <c r="AE111" i="5"/>
  <c r="AE51" i="5"/>
  <c r="AE76" i="5"/>
  <c r="AH105" i="5"/>
  <c r="AK105" i="5"/>
  <c r="AL105" i="5" s="1"/>
  <c r="AI105" i="5"/>
  <c r="AJ105" i="5" s="1"/>
  <c r="AJ124" i="4"/>
  <c r="AE30" i="5"/>
  <c r="AF57" i="5"/>
  <c r="AJ140" i="4"/>
  <c r="AE140" i="4"/>
  <c r="AJ118" i="4"/>
  <c r="AE117" i="5"/>
  <c r="AE140" i="5"/>
  <c r="AJ131" i="4"/>
  <c r="AJ70" i="4"/>
  <c r="AE141" i="4"/>
  <c r="AF84" i="4"/>
  <c r="AD84" i="4"/>
  <c r="AE84" i="4" s="1"/>
  <c r="AC84" i="4"/>
  <c r="AJ129" i="4"/>
  <c r="AJ83" i="4"/>
  <c r="J107" i="4"/>
  <c r="J101" i="4"/>
  <c r="K87" i="4"/>
  <c r="AJ124" i="5"/>
  <c r="AE120" i="5"/>
  <c r="AJ122" i="4"/>
  <c r="R101" i="5"/>
  <c r="S87" i="5"/>
  <c r="R107" i="5"/>
  <c r="AJ26" i="5"/>
  <c r="AJ57" i="5"/>
  <c r="AE39" i="5"/>
  <c r="AJ48" i="4"/>
  <c r="AE114" i="4"/>
  <c r="AE94" i="5"/>
  <c r="AJ91" i="5"/>
  <c r="AJ121" i="5"/>
  <c r="AE130" i="4"/>
  <c r="AE25" i="4"/>
  <c r="AE55" i="5"/>
  <c r="AE74" i="4"/>
  <c r="AE116" i="4"/>
  <c r="AJ50" i="5"/>
  <c r="B137" i="5"/>
  <c r="C107" i="5"/>
  <c r="AJ8" i="3"/>
  <c r="AJ15" i="4"/>
  <c r="AJ65" i="4"/>
  <c r="AJ21" i="4"/>
  <c r="AJ126" i="3"/>
  <c r="H87" i="3"/>
  <c r="I59" i="3"/>
  <c r="AJ133" i="3"/>
  <c r="AJ19" i="4"/>
  <c r="AE40" i="4"/>
  <c r="AJ75" i="3"/>
  <c r="AI141" i="2"/>
  <c r="AJ141" i="2" s="1"/>
  <c r="AF84" i="2"/>
  <c r="F101" i="2"/>
  <c r="G101" i="2" s="1"/>
  <c r="G87" i="2"/>
  <c r="F107" i="2"/>
  <c r="AG87" i="2"/>
  <c r="AH87" i="2" s="1"/>
  <c r="Z107" i="2"/>
  <c r="Z101" i="2"/>
  <c r="AA101" i="2" s="1"/>
  <c r="AA87" i="2"/>
  <c r="AJ97" i="4"/>
  <c r="AJ46" i="4"/>
  <c r="AE126" i="4"/>
  <c r="AE41" i="4"/>
  <c r="AE105" i="4"/>
  <c r="AJ128" i="4"/>
  <c r="AE7" i="4"/>
  <c r="AJ82" i="4"/>
  <c r="AE127" i="4"/>
  <c r="AJ63" i="4"/>
  <c r="AE113" i="5"/>
  <c r="AJ131" i="3"/>
  <c r="AJ8" i="4"/>
  <c r="AJ16" i="3"/>
  <c r="AJ39" i="3"/>
  <c r="AJ13" i="3"/>
  <c r="AK27" i="2"/>
  <c r="AL27" i="2" s="1"/>
  <c r="AK85" i="2"/>
  <c r="AL85" i="2" s="1"/>
  <c r="AI85" i="2"/>
  <c r="AJ85" i="2" s="1"/>
  <c r="AH85" i="2"/>
  <c r="AC9" i="2"/>
  <c r="AF9" i="2"/>
  <c r="AJ120" i="4"/>
  <c r="AK145" i="5"/>
  <c r="AL145" i="5" s="1"/>
  <c r="AI145" i="5"/>
  <c r="AJ145" i="5" s="1"/>
  <c r="AH145" i="5"/>
  <c r="AJ119" i="4"/>
  <c r="AE112" i="4"/>
  <c r="AJ24" i="4"/>
  <c r="AK56" i="5"/>
  <c r="AL56" i="5" s="1"/>
  <c r="AI56" i="5"/>
  <c r="AJ56" i="5" s="1"/>
  <c r="AH56" i="5"/>
  <c r="AE40" i="5"/>
  <c r="AE111" i="4"/>
  <c r="AJ54" i="4"/>
  <c r="AE96" i="4"/>
  <c r="C137" i="4"/>
  <c r="B147" i="4"/>
  <c r="C147" i="4" s="1"/>
  <c r="AJ123" i="4"/>
  <c r="AE84" i="5"/>
  <c r="D107" i="4"/>
  <c r="D101" i="4"/>
  <c r="E101" i="4" s="1"/>
  <c r="E87" i="4"/>
  <c r="AE18" i="4"/>
  <c r="AH141" i="3"/>
  <c r="AK141" i="3"/>
  <c r="AL141" i="3" s="1"/>
  <c r="AE83" i="4"/>
  <c r="V87" i="3"/>
  <c r="W59" i="3"/>
  <c r="P137" i="3"/>
  <c r="Q107" i="3"/>
  <c r="AJ25" i="3"/>
  <c r="AJ19" i="3"/>
  <c r="AJ67" i="3"/>
  <c r="N107" i="2"/>
  <c r="N101" i="2"/>
  <c r="O101" i="2" s="1"/>
  <c r="O87" i="2"/>
  <c r="AD81" i="2"/>
  <c r="AE81" i="2" s="1"/>
  <c r="AF35" i="1"/>
  <c r="R87" i="2"/>
  <c r="S59" i="2"/>
  <c r="AB59" i="2"/>
  <c r="AK56" i="1"/>
  <c r="AL56" i="1" s="1"/>
  <c r="AI56" i="1"/>
  <c r="AJ56" i="1" s="1"/>
  <c r="AH56" i="1"/>
  <c r="AK135" i="4"/>
  <c r="AL135" i="4" s="1"/>
  <c r="AI135" i="4"/>
  <c r="AJ135" i="4" s="1"/>
  <c r="AH135" i="4"/>
  <c r="AJ66" i="4"/>
  <c r="AJ90" i="4"/>
  <c r="AJ82" i="3"/>
  <c r="AJ112" i="3"/>
  <c r="AJ55" i="3"/>
  <c r="AJ53" i="3"/>
  <c r="AJ13" i="4"/>
  <c r="L87" i="5"/>
  <c r="M59" i="5"/>
  <c r="AJ77" i="4"/>
  <c r="AJ121" i="4"/>
  <c r="AE134" i="4"/>
  <c r="AE35" i="4"/>
  <c r="AE48" i="5"/>
  <c r="AJ96" i="4"/>
  <c r="AE110" i="4"/>
  <c r="AJ140" i="3"/>
  <c r="AE9" i="4"/>
  <c r="AJ76" i="4"/>
  <c r="AE24" i="5"/>
  <c r="AE52" i="4"/>
  <c r="AE79" i="4"/>
  <c r="AJ7" i="4"/>
  <c r="AJ57" i="3"/>
  <c r="AE54" i="4"/>
  <c r="AJ56" i="3"/>
  <c r="AJ124" i="3"/>
  <c r="AE75" i="4"/>
  <c r="AJ127" i="3"/>
  <c r="AJ29" i="4"/>
  <c r="D137" i="3"/>
  <c r="E107" i="3"/>
  <c r="AJ120" i="3"/>
  <c r="AK70" i="3"/>
  <c r="AL70" i="3" s="1"/>
  <c r="AH70" i="3"/>
  <c r="AC141" i="2"/>
  <c r="AD141" i="2"/>
  <c r="AE141" i="2" s="1"/>
  <c r="AF81" i="2"/>
  <c r="T87" i="2"/>
  <c r="U59" i="2"/>
  <c r="AK145" i="3"/>
  <c r="AL145" i="3" s="1"/>
  <c r="AB87" i="1"/>
  <c r="AC87" i="1" s="1"/>
  <c r="R107" i="1"/>
  <c r="S87" i="1"/>
  <c r="R101" i="1"/>
  <c r="AH135" i="5"/>
  <c r="AK135" i="5"/>
  <c r="AL135" i="5" s="1"/>
  <c r="AJ94" i="3"/>
  <c r="AE122" i="4"/>
  <c r="AJ104" i="4"/>
  <c r="AE43" i="5"/>
  <c r="AJ34" i="4"/>
  <c r="AE19" i="5"/>
  <c r="AJ115" i="4"/>
  <c r="AE120" i="4"/>
  <c r="AE125" i="5"/>
  <c r="AE91" i="5"/>
  <c r="AH9" i="5"/>
  <c r="AK9" i="5"/>
  <c r="AL9" i="5" s="1"/>
  <c r="AI9" i="5"/>
  <c r="AJ9" i="5" s="1"/>
  <c r="AE42" i="5"/>
  <c r="V107" i="4"/>
  <c r="V101" i="4"/>
  <c r="W101" i="4" s="1"/>
  <c r="W87" i="4"/>
  <c r="AE24" i="4"/>
  <c r="AE104" i="4"/>
  <c r="AE30" i="4"/>
  <c r="AI52" i="4"/>
  <c r="AJ52" i="4" s="1"/>
  <c r="AH52" i="4"/>
  <c r="AJ92" i="4"/>
  <c r="AJ55" i="4"/>
  <c r="AH85" i="3"/>
  <c r="AK85" i="3"/>
  <c r="AL85" i="3" s="1"/>
  <c r="AI85" i="3"/>
  <c r="AJ85" i="3" s="1"/>
  <c r="L107" i="4"/>
  <c r="L101" i="4"/>
  <c r="M101" i="4" s="1"/>
  <c r="M87" i="4"/>
  <c r="AJ54" i="3"/>
  <c r="AJ111" i="5"/>
  <c r="AJ134" i="3"/>
  <c r="AJ125" i="3"/>
  <c r="AJ119" i="3"/>
  <c r="AE19" i="4"/>
  <c r="AE51" i="4"/>
  <c r="AK35" i="2"/>
  <c r="AL35" i="2" s="1"/>
  <c r="N107" i="3"/>
  <c r="O87" i="3"/>
  <c r="N101" i="3"/>
  <c r="O101" i="3" s="1"/>
  <c r="AK57" i="2"/>
  <c r="AL57" i="2" s="1"/>
  <c r="AF57" i="3"/>
  <c r="AC57" i="3"/>
  <c r="AJ72" i="3"/>
  <c r="AJ71" i="3"/>
  <c r="AH56" i="2"/>
  <c r="AK56" i="2"/>
  <c r="AL56" i="2" s="1"/>
  <c r="AK87" i="2"/>
  <c r="AL87" i="2" s="1"/>
  <c r="X107" i="2"/>
  <c r="X101" i="2"/>
  <c r="Y87" i="2"/>
  <c r="AI81" i="2"/>
  <c r="AJ81" i="2" s="1"/>
  <c r="AF52" i="1"/>
  <c r="AC85" i="5"/>
  <c r="AF85" i="5"/>
  <c r="AJ126" i="4"/>
  <c r="AH35" i="4"/>
  <c r="AK35" i="4"/>
  <c r="AL35" i="4" s="1"/>
  <c r="AJ17" i="3"/>
  <c r="AE114" i="5"/>
  <c r="AE128" i="4"/>
  <c r="AJ110" i="5"/>
  <c r="AE110" i="5"/>
  <c r="AE93" i="5"/>
  <c r="AJ68" i="5"/>
  <c r="AE17" i="5"/>
  <c r="AJ16" i="5"/>
  <c r="AD56" i="5"/>
  <c r="AE56" i="5" s="1"/>
  <c r="AC56" i="5"/>
  <c r="AF56" i="5"/>
  <c r="AE127" i="5"/>
  <c r="AE81" i="4"/>
  <c r="AE97" i="4"/>
  <c r="AE49" i="5"/>
  <c r="AK27" i="5"/>
  <c r="AL27" i="5" s="1"/>
  <c r="AJ90" i="5"/>
  <c r="AJ125" i="4"/>
  <c r="AE104" i="5"/>
  <c r="AJ23" i="5"/>
  <c r="AJ41" i="5"/>
  <c r="AJ21" i="5"/>
  <c r="AE119" i="4"/>
  <c r="AE131" i="4"/>
  <c r="AI9" i="4"/>
  <c r="AJ9" i="4" s="1"/>
  <c r="AJ78" i="4"/>
  <c r="AJ26" i="4"/>
  <c r="AE78" i="4"/>
  <c r="N101" i="4"/>
  <c r="O101" i="4" s="1"/>
  <c r="O87" i="4"/>
  <c r="N107" i="4"/>
  <c r="AH145" i="4"/>
  <c r="AK145" i="4"/>
  <c r="AL145" i="4" s="1"/>
  <c r="AI145" i="4"/>
  <c r="AJ145" i="4" s="1"/>
  <c r="AJ37" i="4"/>
  <c r="AJ69" i="4"/>
  <c r="AJ43" i="5"/>
  <c r="AF57" i="4"/>
  <c r="AJ123" i="3"/>
  <c r="AJ121" i="3"/>
  <c r="AJ118" i="3"/>
  <c r="AJ104" i="3"/>
  <c r="AJ21" i="3"/>
  <c r="AE70" i="4"/>
  <c r="AJ79" i="3"/>
  <c r="AJ50" i="3"/>
  <c r="AK35" i="3"/>
  <c r="AL35" i="3" s="1"/>
  <c r="J107" i="1"/>
  <c r="J101" i="1"/>
  <c r="K87" i="1"/>
  <c r="B107" i="2"/>
  <c r="B101" i="2"/>
  <c r="C101" i="2" s="1"/>
  <c r="C87" i="2"/>
  <c r="AK81" i="2"/>
  <c r="AL81" i="2" s="1"/>
  <c r="AK141" i="1"/>
  <c r="AL141" i="1" s="1"/>
  <c r="AI141" i="1"/>
  <c r="AJ141" i="1" s="1"/>
  <c r="AH141" i="1"/>
  <c r="AD85" i="1"/>
  <c r="AE85" i="1" s="1"/>
  <c r="AK44" i="3"/>
  <c r="AL44" i="3" s="1"/>
  <c r="AI52" i="1"/>
  <c r="AJ52" i="1" s="1"/>
  <c r="F107" i="1"/>
  <c r="F101" i="1"/>
  <c r="G101" i="1" s="1"/>
  <c r="G87" i="1"/>
  <c r="P137" i="1"/>
  <c r="Q107" i="1"/>
  <c r="AJ98" i="4"/>
  <c r="AJ51" i="4"/>
  <c r="AE69" i="5"/>
  <c r="AJ114" i="4"/>
  <c r="AE8" i="5"/>
  <c r="AC70" i="5"/>
  <c r="AF70" i="5"/>
  <c r="AD70" i="5"/>
  <c r="AE70" i="5" s="1"/>
  <c r="AJ32" i="4"/>
  <c r="AE95" i="4"/>
  <c r="AE52" i="5"/>
  <c r="AE37" i="5"/>
  <c r="AE132" i="4"/>
  <c r="AE90" i="5"/>
  <c r="AE113" i="4"/>
  <c r="F107" i="4"/>
  <c r="F101" i="4"/>
  <c r="G101" i="4" s="1"/>
  <c r="G87" i="4"/>
  <c r="AE80" i="4"/>
  <c r="AJ111" i="4"/>
  <c r="AJ23" i="4"/>
  <c r="AJ71" i="4"/>
  <c r="AE39" i="4"/>
  <c r="AE76" i="4"/>
  <c r="AE29" i="4"/>
  <c r="AE17" i="4"/>
  <c r="AJ33" i="4"/>
  <c r="AJ111" i="3"/>
  <c r="AJ122" i="3"/>
  <c r="AE71" i="4"/>
  <c r="AJ98" i="3"/>
  <c r="T107" i="4"/>
  <c r="T101" i="4"/>
  <c r="U101" i="4" s="1"/>
  <c r="U87" i="4"/>
  <c r="AD84" i="2"/>
  <c r="AE84" i="2" s="1"/>
  <c r="AE47" i="4"/>
  <c r="AJ68" i="3"/>
  <c r="AK57" i="3"/>
  <c r="AL57" i="3" s="1"/>
  <c r="AJ33" i="3"/>
  <c r="AI35" i="3"/>
  <c r="AJ35" i="3" s="1"/>
  <c r="H107" i="2"/>
  <c r="H101" i="2"/>
  <c r="I101" i="2" s="1"/>
  <c r="I87" i="2"/>
  <c r="AC145" i="1"/>
  <c r="AF145" i="1"/>
  <c r="AF85" i="1"/>
  <c r="AK52" i="1"/>
  <c r="AL52" i="1" s="1"/>
  <c r="R87" i="3"/>
  <c r="AG87" i="3" s="1"/>
  <c r="AH87" i="3" s="1"/>
  <c r="AB59" i="3"/>
  <c r="AC59" i="3" s="1"/>
  <c r="S59" i="3"/>
  <c r="AE13" i="4"/>
  <c r="AE124" i="4"/>
  <c r="AE21" i="5"/>
  <c r="AE112" i="5"/>
  <c r="AE83" i="5"/>
  <c r="AI135" i="5"/>
  <c r="AJ135" i="5" s="1"/>
  <c r="Q87" i="5"/>
  <c r="P101" i="5"/>
  <c r="Q101" i="5" s="1"/>
  <c r="P107" i="5"/>
  <c r="AD57" i="5"/>
  <c r="AE57" i="5" s="1"/>
  <c r="AE34" i="5"/>
  <c r="AE50" i="5"/>
  <c r="AJ30" i="4"/>
  <c r="AE93" i="4"/>
  <c r="AH52" i="5"/>
  <c r="AI52" i="5"/>
  <c r="AJ52" i="5" s="1"/>
  <c r="AE69" i="4"/>
  <c r="AH35" i="5"/>
  <c r="AK35" i="5"/>
  <c r="AL35" i="5" s="1"/>
  <c r="AJ47" i="5"/>
  <c r="AE118" i="4"/>
  <c r="AJ116" i="4"/>
  <c r="AJ74" i="4"/>
  <c r="AJ110" i="4"/>
  <c r="AE68" i="4"/>
  <c r="AE55" i="4"/>
  <c r="AE63" i="4"/>
  <c r="AF59" i="4"/>
  <c r="AD59" i="4"/>
  <c r="AE59" i="4" s="1"/>
  <c r="X87" i="4"/>
  <c r="AG87" i="4" s="1"/>
  <c r="AH87" i="4" s="1"/>
  <c r="Y59" i="4"/>
  <c r="AK59" i="4"/>
  <c r="AL59" i="4" s="1"/>
  <c r="AI59" i="4"/>
  <c r="AJ59" i="4" s="1"/>
  <c r="AJ17" i="4"/>
  <c r="AE29" i="5"/>
  <c r="AE15" i="4"/>
  <c r="AJ81" i="4"/>
  <c r="AJ132" i="3"/>
  <c r="AJ110" i="3"/>
  <c r="AD57" i="4"/>
  <c r="AE57" i="4" s="1"/>
  <c r="AJ22" i="4"/>
  <c r="AJ34" i="3"/>
  <c r="AI52" i="2"/>
  <c r="AJ52" i="2" s="1"/>
  <c r="AH52" i="2"/>
  <c r="AF9" i="3"/>
  <c r="AD35" i="1"/>
  <c r="AE35" i="1" s="1"/>
  <c r="Z107" i="1"/>
  <c r="Z101" i="1"/>
  <c r="AA101" i="1" s="1"/>
  <c r="AA87" i="1"/>
  <c r="AI85" i="1"/>
  <c r="AJ85" i="1" s="1"/>
  <c r="AJ65" i="3"/>
  <c r="U59" i="1"/>
  <c r="T87" i="1"/>
  <c r="AE121" i="4"/>
  <c r="AE115" i="4"/>
  <c r="AE133" i="4"/>
  <c r="AE31" i="4"/>
  <c r="AE50" i="4"/>
  <c r="AE56" i="4"/>
  <c r="AE49" i="4"/>
  <c r="AE48" i="4"/>
  <c r="AE46" i="4"/>
  <c r="AE42" i="4"/>
  <c r="AE123" i="4"/>
  <c r="AE77" i="4"/>
  <c r="AE33" i="4"/>
  <c r="AJ130" i="3"/>
  <c r="AE27" i="4"/>
  <c r="AE46" i="5"/>
  <c r="AD35" i="5"/>
  <c r="AE35" i="5" s="1"/>
  <c r="AE135" i="5"/>
  <c r="H87" i="5"/>
  <c r="I59" i="5"/>
  <c r="AE15" i="5"/>
  <c r="AJ53" i="5"/>
  <c r="AJ75" i="5"/>
  <c r="AJ72" i="5"/>
  <c r="AJ15" i="5"/>
  <c r="AJ79" i="5"/>
  <c r="AJ69" i="5"/>
  <c r="AJ67" i="5"/>
  <c r="AE9" i="5"/>
  <c r="AJ78" i="5"/>
  <c r="AJ123" i="5"/>
  <c r="N101" i="5"/>
  <c r="O101" i="5" s="1"/>
  <c r="O87" i="5"/>
  <c r="N107" i="5"/>
  <c r="AJ113" i="5"/>
  <c r="AJ117" i="5"/>
  <c r="AE144" i="4"/>
  <c r="AJ37" i="5"/>
  <c r="AE91" i="4"/>
  <c r="AE67" i="4"/>
  <c r="AJ113" i="4"/>
  <c r="AE26" i="5"/>
  <c r="AJ31" i="5"/>
  <c r="J107" i="5"/>
  <c r="J101" i="5"/>
  <c r="K87" i="5"/>
  <c r="AE92" i="4"/>
  <c r="AE99" i="4"/>
  <c r="AJ68" i="4"/>
  <c r="AI44" i="4"/>
  <c r="AJ44" i="4" s="1"/>
  <c r="AI145" i="3"/>
  <c r="AJ145" i="3" s="1"/>
  <c r="AI27" i="4"/>
  <c r="AJ27" i="4" s="1"/>
  <c r="P87" i="4"/>
  <c r="Q59" i="4"/>
  <c r="AI35" i="4"/>
  <c r="AJ35" i="4" s="1"/>
  <c r="AE32" i="4"/>
  <c r="AI141" i="3"/>
  <c r="AJ141" i="3" s="1"/>
  <c r="AJ115" i="3"/>
  <c r="D107" i="5"/>
  <c r="D101" i="5"/>
  <c r="E101" i="5" s="1"/>
  <c r="E87" i="5"/>
  <c r="AK105" i="3"/>
  <c r="AL105" i="3" s="1"/>
  <c r="AI105" i="3"/>
  <c r="AJ105" i="3" s="1"/>
  <c r="AH105" i="3"/>
  <c r="AI57" i="4"/>
  <c r="AJ57" i="4" s="1"/>
  <c r="AJ81" i="3"/>
  <c r="AJ47" i="4"/>
  <c r="AJ92" i="3"/>
  <c r="AE8" i="4"/>
  <c r="AJ47" i="3"/>
  <c r="AF70" i="2"/>
  <c r="AJ116" i="3"/>
  <c r="AJ117" i="3"/>
  <c r="AJ7" i="3"/>
  <c r="AJ51" i="3"/>
  <c r="AD35" i="3"/>
  <c r="AE35" i="3" s="1"/>
  <c r="AJ22" i="3"/>
  <c r="AD145" i="1"/>
  <c r="AE145" i="1" s="1"/>
  <c r="AF99" i="1"/>
  <c r="AC99" i="1"/>
  <c r="AK85" i="1"/>
  <c r="AL85" i="1" s="1"/>
  <c r="AJ37" i="3"/>
  <c r="AD87" i="1"/>
  <c r="AE87" i="1" s="1"/>
  <c r="X107" i="1"/>
  <c r="X101" i="1"/>
  <c r="Y87" i="1"/>
  <c r="AG59" i="1"/>
  <c r="F137" i="4" l="1"/>
  <c r="G107" i="4"/>
  <c r="V107" i="5"/>
  <c r="V101" i="5"/>
  <c r="W101" i="5" s="1"/>
  <c r="W87" i="5"/>
  <c r="X137" i="1"/>
  <c r="Y107" i="1"/>
  <c r="F137" i="1"/>
  <c r="G107" i="1"/>
  <c r="W87" i="3"/>
  <c r="V107" i="3"/>
  <c r="V101" i="3"/>
  <c r="W101" i="3" s="1"/>
  <c r="AA137" i="4"/>
  <c r="Z147" i="4"/>
  <c r="AA147" i="4" s="1"/>
  <c r="J137" i="3"/>
  <c r="K107" i="3"/>
  <c r="P107" i="2"/>
  <c r="P101" i="2"/>
  <c r="Q101" i="2" s="1"/>
  <c r="Q87" i="2"/>
  <c r="Z107" i="5"/>
  <c r="Z101" i="5"/>
  <c r="AA101" i="5" s="1"/>
  <c r="AA87" i="5"/>
  <c r="P137" i="5"/>
  <c r="Q107" i="5"/>
  <c r="L137" i="4"/>
  <c r="M107" i="4"/>
  <c r="R137" i="1"/>
  <c r="S107" i="1"/>
  <c r="K101" i="3"/>
  <c r="H107" i="5"/>
  <c r="H101" i="5"/>
  <c r="I101" i="5" s="1"/>
  <c r="I87" i="5"/>
  <c r="AC59" i="2"/>
  <c r="AF59" i="2"/>
  <c r="AD59" i="2"/>
  <c r="AE59" i="2" s="1"/>
  <c r="Z137" i="2"/>
  <c r="AA107" i="2"/>
  <c r="J147" i="2"/>
  <c r="K137" i="2"/>
  <c r="O107" i="1"/>
  <c r="N137" i="1"/>
  <c r="K101" i="1"/>
  <c r="Q87" i="4"/>
  <c r="P107" i="4"/>
  <c r="P101" i="4"/>
  <c r="Q101" i="4" s="1"/>
  <c r="D107" i="2"/>
  <c r="D101" i="2"/>
  <c r="E101" i="2" s="1"/>
  <c r="E87" i="2"/>
  <c r="L107" i="5"/>
  <c r="L101" i="5"/>
  <c r="M101" i="5" s="1"/>
  <c r="M87" i="5"/>
  <c r="R107" i="2"/>
  <c r="R101" i="2"/>
  <c r="S87" i="2"/>
  <c r="AB87" i="2"/>
  <c r="F137" i="2"/>
  <c r="G107" i="2"/>
  <c r="AB107" i="5"/>
  <c r="AC107" i="5" s="1"/>
  <c r="R137" i="5"/>
  <c r="S107" i="5"/>
  <c r="S137" i="4"/>
  <c r="R147" i="4"/>
  <c r="AD59" i="3"/>
  <c r="AE59" i="3" s="1"/>
  <c r="H137" i="1"/>
  <c r="I107" i="1"/>
  <c r="Y101" i="5"/>
  <c r="H137" i="4"/>
  <c r="I107" i="4"/>
  <c r="T137" i="4"/>
  <c r="U107" i="4"/>
  <c r="T107" i="1"/>
  <c r="T101" i="1"/>
  <c r="U101" i="1" s="1"/>
  <c r="U87" i="1"/>
  <c r="T107" i="2"/>
  <c r="T101" i="2"/>
  <c r="U101" i="2" s="1"/>
  <c r="U87" i="2"/>
  <c r="B147" i="5"/>
  <c r="C147" i="5" s="1"/>
  <c r="C137" i="5"/>
  <c r="B107" i="1"/>
  <c r="C87" i="1"/>
  <c r="B101" i="1"/>
  <c r="C101" i="1" s="1"/>
  <c r="T137" i="5"/>
  <c r="U107" i="5"/>
  <c r="X137" i="5"/>
  <c r="Y107" i="5"/>
  <c r="AF107" i="5"/>
  <c r="AD107" i="5"/>
  <c r="AE107" i="5" s="1"/>
  <c r="Q137" i="3"/>
  <c r="P147" i="3"/>
  <c r="Q147" i="3" s="1"/>
  <c r="AB101" i="1"/>
  <c r="AC101" i="1" s="1"/>
  <c r="S101" i="1"/>
  <c r="AB107" i="4"/>
  <c r="AC107" i="4" s="1"/>
  <c r="N137" i="3"/>
  <c r="O107" i="3"/>
  <c r="S101" i="5"/>
  <c r="Z137" i="3"/>
  <c r="AA107" i="3"/>
  <c r="AK87" i="3"/>
  <c r="AL87" i="3" s="1"/>
  <c r="AI87" i="3"/>
  <c r="AJ87" i="3" s="1"/>
  <c r="X101" i="3"/>
  <c r="X107" i="3"/>
  <c r="AF87" i="3"/>
  <c r="AD87" i="3"/>
  <c r="AE87" i="3" s="1"/>
  <c r="Y87" i="3"/>
  <c r="B107" i="3"/>
  <c r="B101" i="3"/>
  <c r="C101" i="3" s="1"/>
  <c r="C87" i="3"/>
  <c r="E137" i="3"/>
  <c r="D147" i="3"/>
  <c r="E147" i="3" s="1"/>
  <c r="K101" i="5"/>
  <c r="E107" i="4"/>
  <c r="D137" i="4"/>
  <c r="AB87" i="5"/>
  <c r="V137" i="2"/>
  <c r="W107" i="2"/>
  <c r="U137" i="3"/>
  <c r="T147" i="3"/>
  <c r="U147" i="3" s="1"/>
  <c r="D107" i="1"/>
  <c r="D101" i="1"/>
  <c r="E101" i="1" s="1"/>
  <c r="E87" i="1"/>
  <c r="R107" i="3"/>
  <c r="R101" i="3"/>
  <c r="AG101" i="3" s="1"/>
  <c r="AH101" i="3" s="1"/>
  <c r="S87" i="3"/>
  <c r="AB87" i="3"/>
  <c r="AC87" i="3" s="1"/>
  <c r="V137" i="1"/>
  <c r="W107" i="1"/>
  <c r="V137" i="4"/>
  <c r="W107" i="4"/>
  <c r="M107" i="1"/>
  <c r="L137" i="1"/>
  <c r="N137" i="4"/>
  <c r="O107" i="4"/>
  <c r="N137" i="5"/>
  <c r="O107" i="5"/>
  <c r="Y101" i="2"/>
  <c r="J137" i="5"/>
  <c r="K107" i="5"/>
  <c r="X137" i="2"/>
  <c r="Y107" i="2"/>
  <c r="Q137" i="1"/>
  <c r="P147" i="1"/>
  <c r="Q147" i="1" s="1"/>
  <c r="J137" i="4"/>
  <c r="K107" i="4"/>
  <c r="AG107" i="4"/>
  <c r="AH107" i="4" s="1"/>
  <c r="F137" i="5"/>
  <c r="G107" i="5"/>
  <c r="O107" i="2"/>
  <c r="N137" i="2"/>
  <c r="L137" i="3"/>
  <c r="M107" i="3"/>
  <c r="AH59" i="1"/>
  <c r="AI59" i="1"/>
  <c r="AJ59" i="1" s="1"/>
  <c r="AK59" i="1"/>
  <c r="AL59" i="1" s="1"/>
  <c r="AF87" i="4"/>
  <c r="AD87" i="4"/>
  <c r="AE87" i="4" s="1"/>
  <c r="X107" i="4"/>
  <c r="X101" i="4"/>
  <c r="Y87" i="4"/>
  <c r="AK87" i="4"/>
  <c r="AL87" i="4" s="1"/>
  <c r="AI87" i="4"/>
  <c r="AJ87" i="4" s="1"/>
  <c r="K101" i="4"/>
  <c r="AG101" i="4"/>
  <c r="AH101" i="4" s="1"/>
  <c r="L137" i="2"/>
  <c r="M107" i="2"/>
  <c r="K107" i="1"/>
  <c r="J137" i="1"/>
  <c r="H101" i="3"/>
  <c r="I101" i="3" s="1"/>
  <c r="H107" i="3"/>
  <c r="I87" i="3"/>
  <c r="Y101" i="1"/>
  <c r="AF101" i="1"/>
  <c r="H137" i="2"/>
  <c r="I107" i="2"/>
  <c r="D137" i="5"/>
  <c r="E107" i="5"/>
  <c r="AG87" i="5"/>
  <c r="B137" i="2"/>
  <c r="C107" i="2"/>
  <c r="AF87" i="1"/>
  <c r="AA107" i="1"/>
  <c r="Z137" i="1"/>
  <c r="AG87" i="1"/>
  <c r="AI87" i="2"/>
  <c r="AJ87" i="2" s="1"/>
  <c r="G107" i="3"/>
  <c r="F137" i="3"/>
  <c r="AC59" i="5"/>
  <c r="AD59" i="5"/>
  <c r="AE59" i="5" s="1"/>
  <c r="AF59" i="5"/>
  <c r="AB87" i="4"/>
  <c r="AC87" i="4" s="1"/>
  <c r="S101" i="2" l="1"/>
  <c r="AB101" i="2"/>
  <c r="L147" i="4"/>
  <c r="M147" i="4" s="1"/>
  <c r="M137" i="4"/>
  <c r="D147" i="5"/>
  <c r="E147" i="5" s="1"/>
  <c r="E137" i="5"/>
  <c r="S107" i="3"/>
  <c r="R137" i="3"/>
  <c r="AB107" i="3"/>
  <c r="AC107" i="3" s="1"/>
  <c r="K147" i="2"/>
  <c r="Z147" i="2"/>
  <c r="AA147" i="2" s="1"/>
  <c r="AA137" i="2"/>
  <c r="AG101" i="2"/>
  <c r="O137" i="3"/>
  <c r="N147" i="3"/>
  <c r="O147" i="3" s="1"/>
  <c r="F147" i="3"/>
  <c r="G147" i="3" s="1"/>
  <c r="G137" i="3"/>
  <c r="I137" i="1"/>
  <c r="H147" i="1"/>
  <c r="I147" i="1" s="1"/>
  <c r="D137" i="1"/>
  <c r="E107" i="1"/>
  <c r="X137" i="4"/>
  <c r="Y107" i="4"/>
  <c r="AK107" i="4"/>
  <c r="AL107" i="4" s="1"/>
  <c r="AI107" i="4"/>
  <c r="AJ107" i="4" s="1"/>
  <c r="AF107" i="4"/>
  <c r="AD107" i="4"/>
  <c r="AE107" i="4" s="1"/>
  <c r="Z137" i="5"/>
  <c r="AA107" i="5"/>
  <c r="W107" i="3"/>
  <c r="V137" i="3"/>
  <c r="K137" i="4"/>
  <c r="J147" i="4"/>
  <c r="Y101" i="4"/>
  <c r="AK101" i="4"/>
  <c r="AL101" i="4" s="1"/>
  <c r="AI101" i="4"/>
  <c r="AJ101" i="4" s="1"/>
  <c r="I137" i="2"/>
  <c r="H147" i="2"/>
  <c r="I147" i="2" s="1"/>
  <c r="O137" i="4"/>
  <c r="N147" i="4"/>
  <c r="O147" i="4" s="1"/>
  <c r="AK101" i="3"/>
  <c r="AL101" i="3" s="1"/>
  <c r="AI101" i="3"/>
  <c r="AJ101" i="3" s="1"/>
  <c r="AF101" i="3"/>
  <c r="Y101" i="3"/>
  <c r="T137" i="1"/>
  <c r="U107" i="1"/>
  <c r="D137" i="2"/>
  <c r="E107" i="2"/>
  <c r="Q137" i="5"/>
  <c r="P147" i="5"/>
  <c r="Q147" i="5" s="1"/>
  <c r="AD101" i="1"/>
  <c r="AE101" i="1" s="1"/>
  <c r="H137" i="3"/>
  <c r="I107" i="3"/>
  <c r="L147" i="1"/>
  <c r="M147" i="1" s="1"/>
  <c r="M137" i="1"/>
  <c r="V147" i="2"/>
  <c r="W147" i="2" s="1"/>
  <c r="W137" i="2"/>
  <c r="AB101" i="4"/>
  <c r="AC101" i="4" s="1"/>
  <c r="P137" i="2"/>
  <c r="Q107" i="2"/>
  <c r="Y137" i="1"/>
  <c r="X147" i="1"/>
  <c r="AF137" i="1"/>
  <c r="AD137" i="1"/>
  <c r="AE137" i="1" s="1"/>
  <c r="AF107" i="3"/>
  <c r="AD107" i="3"/>
  <c r="AE107" i="3" s="1"/>
  <c r="X137" i="3"/>
  <c r="AK107" i="3"/>
  <c r="AL107" i="3" s="1"/>
  <c r="Y107" i="3"/>
  <c r="AC87" i="5"/>
  <c r="AF87" i="5"/>
  <c r="AD87" i="5"/>
  <c r="AE87" i="5" s="1"/>
  <c r="P137" i="4"/>
  <c r="Q107" i="4"/>
  <c r="H137" i="5"/>
  <c r="I107" i="5"/>
  <c r="G137" i="5"/>
  <c r="F147" i="5"/>
  <c r="G147" i="5" s="1"/>
  <c r="C107" i="3"/>
  <c r="B137" i="3"/>
  <c r="R137" i="2"/>
  <c r="S107" i="2"/>
  <c r="AB107" i="2"/>
  <c r="S147" i="4"/>
  <c r="B137" i="1"/>
  <c r="C107" i="1"/>
  <c r="G137" i="1"/>
  <c r="F147" i="1"/>
  <c r="G147" i="1" s="1"/>
  <c r="M107" i="5"/>
  <c r="L137" i="5"/>
  <c r="J147" i="1"/>
  <c r="AG137" i="1"/>
  <c r="AH137" i="1" s="1"/>
  <c r="K137" i="1"/>
  <c r="E137" i="4"/>
  <c r="D147" i="4"/>
  <c r="E147" i="4" s="1"/>
  <c r="U137" i="4"/>
  <c r="T147" i="4"/>
  <c r="U147" i="4" s="1"/>
  <c r="R147" i="5"/>
  <c r="AB137" i="5"/>
  <c r="AC137" i="5" s="1"/>
  <c r="S137" i="5"/>
  <c r="AG107" i="1"/>
  <c r="Y137" i="2"/>
  <c r="X147" i="2"/>
  <c r="W137" i="4"/>
  <c r="V147" i="4"/>
  <c r="W147" i="4" s="1"/>
  <c r="AA137" i="3"/>
  <c r="Z147" i="3"/>
  <c r="AA147" i="3" s="1"/>
  <c r="AG101" i="1"/>
  <c r="AG107" i="3"/>
  <c r="AH107" i="3" s="1"/>
  <c r="V137" i="5"/>
  <c r="W107" i="5"/>
  <c r="M137" i="3"/>
  <c r="L147" i="3"/>
  <c r="M147" i="3" s="1"/>
  <c r="AG107" i="5"/>
  <c r="AG101" i="5"/>
  <c r="U137" i="5"/>
  <c r="T147" i="5"/>
  <c r="U147" i="5" s="1"/>
  <c r="I137" i="4"/>
  <c r="H147" i="4"/>
  <c r="I147" i="4" s="1"/>
  <c r="AB107" i="1"/>
  <c r="S101" i="3"/>
  <c r="AB101" i="3"/>
  <c r="AC101" i="3" s="1"/>
  <c r="T137" i="2"/>
  <c r="U107" i="2"/>
  <c r="AH87" i="1"/>
  <c r="AI87" i="1"/>
  <c r="AJ87" i="1" s="1"/>
  <c r="AK87" i="1"/>
  <c r="AL87" i="1" s="1"/>
  <c r="Z147" i="1"/>
  <c r="AA147" i="1" s="1"/>
  <c r="AA137" i="1"/>
  <c r="C137" i="2"/>
  <c r="B147" i="2"/>
  <c r="C147" i="2" s="1"/>
  <c r="Y137" i="5"/>
  <c r="X147" i="5"/>
  <c r="AB101" i="5"/>
  <c r="O137" i="1"/>
  <c r="N147" i="1"/>
  <c r="O147" i="1" s="1"/>
  <c r="G137" i="4"/>
  <c r="F147" i="4"/>
  <c r="G147" i="4" s="1"/>
  <c r="N147" i="5"/>
  <c r="O147" i="5" s="1"/>
  <c r="O137" i="5"/>
  <c r="AG137" i="3"/>
  <c r="AH137" i="3" s="1"/>
  <c r="K137" i="3"/>
  <c r="J147" i="3"/>
  <c r="AH87" i="5"/>
  <c r="AK87" i="5"/>
  <c r="AL87" i="5" s="1"/>
  <c r="AI87" i="5"/>
  <c r="AJ87" i="5" s="1"/>
  <c r="N147" i="2"/>
  <c r="O147" i="2" s="1"/>
  <c r="O137" i="2"/>
  <c r="W137" i="1"/>
  <c r="V147" i="1"/>
  <c r="W147" i="1" s="1"/>
  <c r="F147" i="2"/>
  <c r="G147" i="2" s="1"/>
  <c r="G137" i="2"/>
  <c r="M137" i="2"/>
  <c r="L147" i="2"/>
  <c r="M147" i="2" s="1"/>
  <c r="K137" i="5"/>
  <c r="J147" i="5"/>
  <c r="AG137" i="5"/>
  <c r="AH137" i="5" s="1"/>
  <c r="AC87" i="2"/>
  <c r="AF87" i="2"/>
  <c r="AD87" i="2"/>
  <c r="AE87" i="2" s="1"/>
  <c r="S137" i="1"/>
  <c r="R147" i="1"/>
  <c r="AB137" i="1"/>
  <c r="AC137" i="1" s="1"/>
  <c r="AG107" i="2"/>
  <c r="AC107" i="2" l="1"/>
  <c r="AF107" i="2"/>
  <c r="AD107" i="2"/>
  <c r="AE107" i="2" s="1"/>
  <c r="AD137" i="3"/>
  <c r="AE137" i="3" s="1"/>
  <c r="Y137" i="3"/>
  <c r="AK137" i="3"/>
  <c r="AL137" i="3" s="1"/>
  <c r="AI137" i="3"/>
  <c r="AJ137" i="3" s="1"/>
  <c r="X147" i="3"/>
  <c r="AA137" i="5"/>
  <c r="Z147" i="5"/>
  <c r="AA147" i="5" s="1"/>
  <c r="K147" i="5"/>
  <c r="AG147" i="5"/>
  <c r="AH147" i="5" s="1"/>
  <c r="Y137" i="4"/>
  <c r="X147" i="4"/>
  <c r="AH101" i="1"/>
  <c r="AK101" i="1"/>
  <c r="AL101" i="1" s="1"/>
  <c r="AI101" i="1"/>
  <c r="AJ101" i="1" s="1"/>
  <c r="AI107" i="3"/>
  <c r="AJ107" i="3" s="1"/>
  <c r="AH107" i="5"/>
  <c r="AI107" i="5"/>
  <c r="AJ107" i="5" s="1"/>
  <c r="AK107" i="5"/>
  <c r="AL107" i="5" s="1"/>
  <c r="C137" i="1"/>
  <c r="B147" i="1"/>
  <c r="C147" i="1" s="1"/>
  <c r="AF101" i="4"/>
  <c r="AI137" i="5"/>
  <c r="AJ137" i="5" s="1"/>
  <c r="AI137" i="1"/>
  <c r="AJ137" i="1" s="1"/>
  <c r="E137" i="1"/>
  <c r="D147" i="1"/>
  <c r="E147" i="1" s="1"/>
  <c r="AD137" i="5"/>
  <c r="AE137" i="5" s="1"/>
  <c r="K147" i="1"/>
  <c r="AK137" i="1"/>
  <c r="AL137" i="1" s="1"/>
  <c r="D147" i="2"/>
  <c r="E147" i="2" s="1"/>
  <c r="E137" i="2"/>
  <c r="AD101" i="4"/>
  <c r="AE101" i="4" s="1"/>
  <c r="S147" i="5"/>
  <c r="AH101" i="2"/>
  <c r="AI101" i="2"/>
  <c r="AJ101" i="2" s="1"/>
  <c r="AK101" i="2"/>
  <c r="AL101" i="2" s="1"/>
  <c r="AC101" i="5"/>
  <c r="AF101" i="5"/>
  <c r="AD101" i="5"/>
  <c r="AE101" i="5" s="1"/>
  <c r="AK137" i="5"/>
  <c r="AL137" i="5" s="1"/>
  <c r="S147" i="1"/>
  <c r="AF137" i="5"/>
  <c r="L147" i="5"/>
  <c r="M147" i="5" s="1"/>
  <c r="M137" i="5"/>
  <c r="AG137" i="4"/>
  <c r="AH137" i="4" s="1"/>
  <c r="Y147" i="5"/>
  <c r="U137" i="1"/>
  <c r="T147" i="1"/>
  <c r="U147" i="1" s="1"/>
  <c r="K147" i="4"/>
  <c r="AC101" i="2"/>
  <c r="AD101" i="2"/>
  <c r="AE101" i="2" s="1"/>
  <c r="AF101" i="2"/>
  <c r="AH107" i="1"/>
  <c r="AK107" i="1"/>
  <c r="AL107" i="1" s="1"/>
  <c r="AI107" i="1"/>
  <c r="AJ107" i="1" s="1"/>
  <c r="S137" i="2"/>
  <c r="AB137" i="2"/>
  <c r="R147" i="2"/>
  <c r="W137" i="5"/>
  <c r="V147" i="5"/>
  <c r="W147" i="5" s="1"/>
  <c r="I137" i="3"/>
  <c r="H147" i="3"/>
  <c r="I147" i="3" s="1"/>
  <c r="T147" i="2"/>
  <c r="U147" i="2" s="1"/>
  <c r="U137" i="2"/>
  <c r="B147" i="3"/>
  <c r="C147" i="3" s="1"/>
  <c r="C137" i="3"/>
  <c r="R147" i="3"/>
  <c r="AB137" i="3"/>
  <c r="AC137" i="3" s="1"/>
  <c r="S137" i="3"/>
  <c r="AH107" i="2"/>
  <c r="AI107" i="2"/>
  <c r="AJ107" i="2" s="1"/>
  <c r="AK107" i="2"/>
  <c r="AL107" i="2" s="1"/>
  <c r="AC107" i="1"/>
  <c r="AD107" i="1"/>
  <c r="AE107" i="1" s="1"/>
  <c r="AF107" i="1"/>
  <c r="I137" i="5"/>
  <c r="H147" i="5"/>
  <c r="I147" i="5" s="1"/>
  <c r="Y147" i="1"/>
  <c r="Q137" i="4"/>
  <c r="P147" i="4"/>
  <c r="Q147" i="4" s="1"/>
  <c r="AD101" i="3"/>
  <c r="AE101" i="3" s="1"/>
  <c r="K147" i="3"/>
  <c r="AH101" i="5"/>
  <c r="AI101" i="5"/>
  <c r="AJ101" i="5" s="1"/>
  <c r="AK101" i="5"/>
  <c r="AL101" i="5" s="1"/>
  <c r="Y147" i="2"/>
  <c r="P147" i="2"/>
  <c r="Q147" i="2" s="1"/>
  <c r="Q137" i="2"/>
  <c r="AG137" i="2"/>
  <c r="V147" i="3"/>
  <c r="W147" i="3" s="1"/>
  <c r="W137" i="3"/>
  <c r="AB137" i="4"/>
  <c r="AC137" i="4" s="1"/>
  <c r="Y147" i="3" l="1"/>
  <c r="AG147" i="3"/>
  <c r="AH147" i="3" s="1"/>
  <c r="S147" i="2"/>
  <c r="AB147" i="2"/>
  <c r="AK147" i="5"/>
  <c r="AL147" i="5" s="1"/>
  <c r="AB147" i="1"/>
  <c r="AG147" i="1"/>
  <c r="AD137" i="4"/>
  <c r="AE137" i="4" s="1"/>
  <c r="AF137" i="3"/>
  <c r="AB147" i="3"/>
  <c r="AC147" i="3" s="1"/>
  <c r="S147" i="3"/>
  <c r="AF137" i="4"/>
  <c r="AI147" i="5"/>
  <c r="AJ147" i="5" s="1"/>
  <c r="AG147" i="2"/>
  <c r="AC137" i="2"/>
  <c r="AD137" i="2"/>
  <c r="AE137" i="2" s="1"/>
  <c r="AF137" i="2"/>
  <c r="AH137" i="2"/>
  <c r="AI137" i="2"/>
  <c r="AJ137" i="2" s="1"/>
  <c r="AK137" i="2"/>
  <c r="AL137" i="2" s="1"/>
  <c r="AI137" i="4"/>
  <c r="AJ137" i="4" s="1"/>
  <c r="Y147" i="4"/>
  <c r="AI147" i="4"/>
  <c r="AJ147" i="4" s="1"/>
  <c r="AK147" i="4"/>
  <c r="AL147" i="4" s="1"/>
  <c r="AB147" i="4"/>
  <c r="AC147" i="4" s="1"/>
  <c r="AB147" i="5"/>
  <c r="AG147" i="4"/>
  <c r="AH147" i="4" s="1"/>
  <c r="AK137" i="4"/>
  <c r="AL137" i="4" s="1"/>
  <c r="AD147" i="4" l="1"/>
  <c r="AE147" i="4" s="1"/>
  <c r="AC147" i="1"/>
  <c r="AF147" i="1"/>
  <c r="AD147" i="1"/>
  <c r="AE147" i="1" s="1"/>
  <c r="AF147" i="4"/>
  <c r="AH147" i="1"/>
  <c r="AI147" i="1"/>
  <c r="AJ147" i="1" s="1"/>
  <c r="AK147" i="1"/>
  <c r="AL147" i="1" s="1"/>
  <c r="AH147" i="2"/>
  <c r="AK147" i="2"/>
  <c r="AL147" i="2" s="1"/>
  <c r="AI147" i="2"/>
  <c r="AJ147" i="2" s="1"/>
  <c r="AD147" i="3"/>
  <c r="AE147" i="3" s="1"/>
  <c r="AC147" i="5"/>
  <c r="AF147" i="5"/>
  <c r="AD147" i="5"/>
  <c r="AE147" i="5" s="1"/>
  <c r="AC147" i="2"/>
  <c r="AF147" i="2"/>
  <c r="AD147" i="2"/>
  <c r="AE147" i="2" s="1"/>
  <c r="AI147" i="3"/>
  <c r="AJ147" i="3" s="1"/>
  <c r="AK147" i="3"/>
  <c r="AL147" i="3" s="1"/>
  <c r="AF14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<sst xmlns="http://schemas.openxmlformats.org/spreadsheetml/2006/main" count="1751" uniqueCount="249">
  <si>
    <t>Prime Margin - Trailing 12 Week</t>
  </si>
  <si>
    <t>09/13/2026</t>
  </si>
  <si>
    <t>Consolidated</t>
  </si>
  <si>
    <t/>
  </si>
  <si>
    <t>Week Ending 06/28/2026</t>
  </si>
  <si>
    <t>Week Ending 07/05/2026</t>
  </si>
  <si>
    <t>Week Ending 07/12/2026</t>
  </si>
  <si>
    <t>Week Ending 07/19/2026</t>
  </si>
  <si>
    <t>Week Ending 07/26/2026</t>
  </si>
  <si>
    <t>Week Ending 08/02/2026</t>
  </si>
  <si>
    <t>Week Ending 08/09/2026</t>
  </si>
  <si>
    <t>Week Ending 08/16/2026</t>
  </si>
  <si>
    <t>Week Ending 08/23/2026</t>
  </si>
  <si>
    <t>Week Ending 08/30/2026</t>
  </si>
  <si>
    <t>Week Ending 09/06/2026</t>
  </si>
  <si>
    <t>Week Ending 09/13/2026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</si>
  <si>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</si>
  <si>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</si>
  <si>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</si>
  <si>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</si>
  <si>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</si>
  <si>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</si>
  <si>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</si>
  <si>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</si>
  <si>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</si>
  <si>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</si>
  <si>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</si>
  <si>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</si>
  <si>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</si>
  <si>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</si>
  <si>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</si>
  <si>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</si>
  <si>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</si>
  <si>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</si>
  <si>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</si>
  <si>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</si>
  <si>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</si>
  <si>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</si>
  <si>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</si>
  <si>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</si>
  <si>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</si>
  <si>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</si>
  <si>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</si>
  <si>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</si>
  <si>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</si>
  <si>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</si>
  <si>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</si>
  <si>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</si>
  <si>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</si>
  <si>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</si>
  <si>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</si>
  <si>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</si>
  <si>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</si>
  <si>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</si>
  <si>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</si>
  <si>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</si>
  <si>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</si>
  <si>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</si>
  <si>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</si>
  <si>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</si>
  <si>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</si>
  <si>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</si>
  <si>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</si>
  <si>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</si>
  <si>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</si>
  <si>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</si>
  <si>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</si>
  <si>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</si>
  <si>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</si>
  <si>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</si>
  <si>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</si>
  <si>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</si>
  <si>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</si>
  <si>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</si>
  <si>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</si>
  <si>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</si>
  <si>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</si>
  <si>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</si>
  <si>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</si>
  <si>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</si>
  <si>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</si>
  <si>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</si>
  <si>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</si>
  <si>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</si>
  <si>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</si>
  <si>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</si>
  <si>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</si>
  <si>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</si>
  <si>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</si>
  <si>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</si>
  <si>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</si>
  <si>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</si>
  <si>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</si>
  <si>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</si>
  <si>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</si>
  <si>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</si>
  <si>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</si>
  <si>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</si>
  <si>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</si>
  <si>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</si>
  <si>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</si>
  <si>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</si>
  <si>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</si>
  <si>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</si>
  <si>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</si>
  <si>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</si>
  <si>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</si>
  <si>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</si>
  <si>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</si>
  <si>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</si>
  <si>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</si>
  <si>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</si>
  <si>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</si>
  <si>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</si>
  <si>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</si>
  <si>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</si>
  <si>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</si>
  <si>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</si>
  <si>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</si>
  <si>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</si>
  <si>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</si>
  <si>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</si>
  <si>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</si>
  <si>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</si>
  <si>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</si>
  <si>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</si>
  <si>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</si>
  <si>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</si>
  <si>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</si>
  <si>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</si>
  <si>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</si>
  <si>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</si>
  <si>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</si>
  <si>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</si>
  <si>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</si>
  <si>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</si>
  <si>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</si>
  <si>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</si>
  <si>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</si>
  <si>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</si>
  <si>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</si>
  <si>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</si>
  <si>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</si>
  <si>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</si>
  <si>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</si>
  <si>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</si>
  <si>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</si>
  <si>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</si>
  <si>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</si>
  <si>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</si>
  <si>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</si>
  <si>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09/18/2026 04:11 AM PDT</t>
  </si>
  <si>
    <t>4 - RASA - MVT</t>
  </si>
  <si>
    <t>5 - RASA - National Landing</t>
  </si>
  <si>
    <t>6 - RASA - Mosaic</t>
  </si>
  <si>
    <t>7 - RASA - Rockville</t>
  </si>
  <si>
    <t>Week 52</t>
  </si>
  <si>
    <t>Week 51</t>
  </si>
  <si>
    <t>Week 50</t>
  </si>
  <si>
    <t>Week 49</t>
  </si>
  <si>
    <t>Week 48</t>
  </si>
  <si>
    <t>Week 47</t>
  </si>
  <si>
    <t>Week 46</t>
  </si>
  <si>
    <t>Week 45</t>
  </si>
  <si>
    <t>Week 44</t>
  </si>
  <si>
    <t>Week 43</t>
  </si>
  <si>
    <t>Week 42</t>
  </si>
  <si>
    <t>Week 41</t>
  </si>
  <si>
    <t>Week 40</t>
  </si>
  <si>
    <t>Week 39</t>
  </si>
  <si>
    <t>Week 38</t>
  </si>
  <si>
    <t>Week 37</t>
  </si>
  <si>
    <t>Week 36</t>
  </si>
  <si>
    <t>Week 35</t>
  </si>
  <si>
    <t>Week 34</t>
  </si>
  <si>
    <t>Week 33</t>
  </si>
  <si>
    <t>Week 32</t>
  </si>
  <si>
    <t>Week 31</t>
  </si>
  <si>
    <t>Week 30</t>
  </si>
  <si>
    <t>Week 29</t>
  </si>
  <si>
    <t>Labor -</t>
  </si>
  <si>
    <t>Week 28</t>
  </si>
  <si>
    <t>COGS -</t>
  </si>
  <si>
    <t>Week 27</t>
  </si>
  <si>
    <t>RASA - Rockville</t>
  </si>
  <si>
    <t>Week 26</t>
  </si>
  <si>
    <t>Week 25</t>
  </si>
  <si>
    <t>Week 24</t>
  </si>
  <si>
    <t>Week 23</t>
  </si>
  <si>
    <t xml:space="preserve"> RASA - Mosaic</t>
  </si>
  <si>
    <t>Week 22</t>
  </si>
  <si>
    <t>Week 21</t>
  </si>
  <si>
    <t>Week 20</t>
  </si>
  <si>
    <t>Week 19</t>
  </si>
  <si>
    <t>RASA - National Landing</t>
  </si>
  <si>
    <t>Week 18</t>
  </si>
  <si>
    <t>Week 17</t>
  </si>
  <si>
    <t>Week 16</t>
  </si>
  <si>
    <t>Week 15</t>
  </si>
  <si>
    <t xml:space="preserve"> RASA - MVT</t>
  </si>
  <si>
    <t>Week 10</t>
  </si>
  <si>
    <t>Week 9</t>
  </si>
  <si>
    <t>Notes:</t>
  </si>
  <si>
    <t>Week 8</t>
  </si>
  <si>
    <t>Week 7</t>
  </si>
  <si>
    <t>Week 6</t>
  </si>
  <si>
    <t>All</t>
  </si>
  <si>
    <t>Week 5</t>
  </si>
  <si>
    <t>Week 4</t>
  </si>
  <si>
    <t>Week 3</t>
  </si>
  <si>
    <t>5 - RASA - National Landin</t>
  </si>
  <si>
    <t>Week 2</t>
  </si>
  <si>
    <t>Location</t>
  </si>
  <si>
    <t>Labor
 Current Week vs 8-week</t>
  </si>
  <si>
    <t>COGS
 Current Week vs 8-week</t>
  </si>
  <si>
    <t>Sales
 Current Week vs 8-week</t>
  </si>
  <si>
    <t>Prime Margin</t>
  </si>
  <si>
    <t>Total Labor Cost</t>
  </si>
  <si>
    <t>COGS</t>
  </si>
  <si>
    <t>Labor
 Current Week vs 4-week</t>
  </si>
  <si>
    <t>COGS
 Current Week vs 4-week</t>
  </si>
  <si>
    <t>Sales
 Current Week vs 4-week</t>
  </si>
  <si>
    <t>Labor</t>
  </si>
  <si>
    <t>8-Week Average Comparison</t>
  </si>
  <si>
    <t>8-Week Average</t>
  </si>
  <si>
    <t>4-Week Average Comparison</t>
  </si>
  <si>
    <t>4-Week Average</t>
  </si>
  <si>
    <t>Current Period</t>
  </si>
  <si>
    <t>Trailing 8 week</t>
  </si>
  <si>
    <t>Trailing 4 week</t>
  </si>
  <si>
    <t>Period To Date</t>
  </si>
  <si>
    <t>82605 - Other Income_To Good To Go</t>
  </si>
  <si>
    <t>82604 - Other Income_OTP</t>
  </si>
  <si>
    <t>82602 - Other Income_WCK</t>
  </si>
  <si>
    <t>Discounts / Refunds</t>
  </si>
  <si>
    <t>45000 - Sales Adjustments</t>
  </si>
  <si>
    <t>Delivery Fee Income</t>
  </si>
  <si>
    <t>43000 - Delivery Sales - Rasa Website</t>
  </si>
  <si>
    <t>Catering Sales</t>
  </si>
  <si>
    <t>Digital Sales</t>
  </si>
  <si>
    <t>Single Plate In-House Sales</t>
  </si>
  <si>
    <t>Total</t>
  </si>
  <si>
    <t>6 - Rasa - Mosaic</t>
  </si>
  <si>
    <t>5 - Rasa - National Landin</t>
  </si>
  <si>
    <t>4 - Rasa - MVT</t>
  </si>
  <si>
    <t>06/04/2023</t>
  </si>
  <si>
    <t>No notes</t>
  </si>
  <si>
    <t xml:space="preserve">Produce - 5.0% vs 3.8% 4-8 week comp.  Reviewed and nothing stands out.  Stock adjustment was small.  </t>
  </si>
  <si>
    <t>Sales down 20% vs 4 week comp but total labor $s are only down 3.6% vs 4 week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</si>
</sst>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#,##0.0;\(#,##0.0\)"/>
    <numFmt numFmtId="167" formatCode="0.0%"/>
    <numFmt numFmtId="168" formatCode="_(&quot;$&quot;* #,##0_);_(&quot;$&quot;* \(#,##0\);_(&quot;$&quot;* &quot;-&quot;??_);_(@_)"/>
    <numFmt numFmtId="169" formatCode="#,##0.0"/>
    <numFmt numFmtId="170" formatCode="_(* #,##0_);_(* \(#,##0\);_(* &quot;-&quot;??_);_(@_)"/>
  </numFmts>
  <fonts count="40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rgb="FF0070C0"/>
      <name val="Arial"/>
      <family val="2"/>
    </font>
    <font>
      <b/>
      <i/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i/>
      <sz val="8"/>
      <name val="Calibri"/>
      <family val="2"/>
      <scheme val="minor"/>
    </font>
    <font>
      <b/>
      <sz val="12"/>
      <name val="Calibri"/>
      <family val="2"/>
      <scheme val="minor"/>
    </font>
    <font>
      <i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26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57">
    <xf numFmtId="0" fontId="0" fillId="0" borderId="0" xfId="0"/>
    <xf numFmtId="0" fontId="7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39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39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39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39" fontId="7" fillId="0" borderId="0" xfId="0" applyNumberFormat="1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39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39" fontId="16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7" fillId="0" borderId="0" xfId="0" applyNumberFormat="1" applyFont="1" applyAlignment="1">
      <alignment horizontal="left" vertical="center" wrapText="1" indent="2"/>
    </xf>
    <xf numFmtId="39" fontId="7" fillId="0" borderId="0" xfId="0" applyNumberFormat="1" applyFont="1" applyAlignment="1">
      <alignment horizontal="left" vertical="center" wrapText="1" indent="1"/>
    </xf>
    <xf numFmtId="39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9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 wrapText="1"/>
    </xf>
    <xf numFmtId="39" fontId="17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9" fontId="3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39" fontId="1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/>
    </xf>
    <xf numFmtId="0" fontId="22" fillId="0" borderId="0" xfId="0" applyFont="1"/>
    <xf numFmtId="0" fontId="23" fillId="2" borderId="0" xfId="0" applyFont="1" applyFill="1"/>
    <xf numFmtId="10" fontId="21" fillId="0" borderId="0" xfId="0" applyNumberFormat="1" applyFont="1"/>
    <xf numFmtId="10" fontId="21" fillId="0" borderId="0" xfId="1" applyNumberFormat="1" applyFont="1"/>
    <xf numFmtId="0" fontId="21" fillId="0" borderId="0" xfId="0" applyFont="1" applyAlignment="1">
      <alignment horizontal="right"/>
    </xf>
    <xf numFmtId="167" fontId="21" fillId="0" borderId="0" xfId="0" applyNumberFormat="1" applyFont="1" applyAlignment="1">
      <alignment horizontal="center"/>
    </xf>
    <xf numFmtId="167" fontId="21" fillId="0" borderId="0" xfId="0" applyNumberFormat="1" applyFont="1"/>
    <xf numFmtId="0" fontId="24" fillId="0" borderId="0" xfId="0" applyFont="1"/>
    <xf numFmtId="168" fontId="21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167" fontId="0" fillId="3" borderId="2" xfId="1" applyNumberFormat="1" applyFont="1" applyFill="1" applyBorder="1" applyAlignment="1">
      <alignment horizontal="center" vertical="center"/>
    </xf>
    <xf numFmtId="167" fontId="0" fillId="3" borderId="3" xfId="1" applyNumberFormat="1" applyFont="1" applyFill="1" applyBorder="1" applyAlignment="1">
      <alignment horizontal="center" vertical="center"/>
    </xf>
    <xf numFmtId="9" fontId="0" fillId="3" borderId="4" xfId="1" applyFont="1" applyFill="1" applyBorder="1" applyAlignment="1">
      <alignment horizontal="center" vertical="center"/>
    </xf>
    <xf numFmtId="168" fontId="0" fillId="3" borderId="4" xfId="2" applyNumberFormat="1" applyFont="1" applyFill="1" applyBorder="1" applyAlignment="1">
      <alignment horizontal="center" vertical="center"/>
    </xf>
    <xf numFmtId="167" fontId="0" fillId="3" borderId="5" xfId="1" applyNumberFormat="1" applyFont="1" applyFill="1" applyBorder="1" applyAlignment="1">
      <alignment horizontal="center" vertical="center"/>
    </xf>
    <xf numFmtId="43" fontId="20" fillId="3" borderId="6" xfId="3" applyFont="1" applyFill="1" applyBorder="1" applyAlignment="1">
      <alignment horizontal="left" vertical="center"/>
    </xf>
    <xf numFmtId="167" fontId="0" fillId="4" borderId="7" xfId="1" applyNumberFormat="1" applyFont="1" applyFill="1" applyBorder="1" applyAlignment="1">
      <alignment horizontal="center" vertical="center"/>
    </xf>
    <xf numFmtId="167" fontId="0" fillId="4" borderId="8" xfId="1" applyNumberFormat="1" applyFont="1" applyFill="1" applyBorder="1" applyAlignment="1">
      <alignment horizontal="center" vertical="center"/>
    </xf>
    <xf numFmtId="9" fontId="0" fillId="4" borderId="9" xfId="1" applyFont="1" applyFill="1" applyBorder="1" applyAlignment="1">
      <alignment horizontal="center" vertical="center"/>
    </xf>
    <xf numFmtId="168" fontId="0" fillId="4" borderId="9" xfId="2" applyNumberFormat="1" applyFont="1" applyFill="1" applyBorder="1" applyAlignment="1">
      <alignment horizontal="center" vertical="center"/>
    </xf>
    <xf numFmtId="167" fontId="0" fillId="4" borderId="10" xfId="1" applyNumberFormat="1" applyFont="1" applyFill="1" applyBorder="1" applyAlignment="1">
      <alignment horizontal="center" vertical="center"/>
    </xf>
    <xf numFmtId="167" fontId="19" fillId="4" borderId="7" xfId="1" applyNumberFormat="1" applyFont="1" applyFill="1" applyBorder="1" applyAlignment="1">
      <alignment horizontal="center" vertical="center"/>
    </xf>
    <xf numFmtId="167" fontId="19" fillId="4" borderId="8" xfId="1" applyNumberFormat="1" applyFont="1" applyFill="1" applyBorder="1" applyAlignment="1">
      <alignment horizontal="center" vertical="center"/>
    </xf>
    <xf numFmtId="168" fontId="19" fillId="4" borderId="9" xfId="2" applyNumberFormat="1" applyFont="1" applyFill="1" applyBorder="1" applyAlignment="1">
      <alignment horizontal="center" vertical="center"/>
    </xf>
    <xf numFmtId="43" fontId="20" fillId="5" borderId="11" xfId="3" applyFont="1" applyFill="1" applyBorder="1" applyAlignment="1">
      <alignment horizontal="left" vertical="center"/>
    </xf>
    <xf numFmtId="167" fontId="0" fillId="0" borderId="0" xfId="0" applyNumberForma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4" fontId="25" fillId="0" borderId="12" xfId="0" applyNumberFormat="1" applyFont="1" applyBorder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39" fontId="25" fillId="0" borderId="0" xfId="0" applyNumberFormat="1" applyFont="1" applyAlignment="1">
      <alignment vertical="center" wrapText="1"/>
    </xf>
    <xf numFmtId="0" fontId="0" fillId="0" borderId="13" xfId="0" applyBorder="1"/>
    <xf numFmtId="4" fontId="25" fillId="0" borderId="0" xfId="0" applyNumberFormat="1" applyFont="1" applyAlignment="1">
      <alignment vertical="center" wrapText="1"/>
    </xf>
    <xf numFmtId="0" fontId="27" fillId="6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7" borderId="15" xfId="0" applyFont="1" applyFill="1" applyBorder="1" applyAlignment="1">
      <alignment horizontal="center" wrapText="1"/>
    </xf>
    <xf numFmtId="0" fontId="27" fillId="7" borderId="16" xfId="0" applyFont="1" applyFill="1" applyBorder="1" applyAlignment="1">
      <alignment horizontal="center" wrapText="1"/>
    </xf>
    <xf numFmtId="0" fontId="27" fillId="7" borderId="17" xfId="0" applyFont="1" applyFill="1" applyBorder="1" applyAlignment="1">
      <alignment horizontal="center" wrapText="1"/>
    </xf>
    <xf numFmtId="39" fontId="28" fillId="7" borderId="18" xfId="0" applyNumberFormat="1" applyFont="1" applyFill="1" applyBorder="1" applyAlignment="1">
      <alignment horizontal="center" vertical="center" wrapText="1"/>
    </xf>
    <xf numFmtId="39" fontId="28" fillId="7" borderId="16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4" xfId="0" applyFont="1" applyFill="1" applyBorder="1" applyAlignment="1">
      <alignment horizontal="center" vertical="center" wrapText="1"/>
    </xf>
    <xf numFmtId="0" fontId="27" fillId="5" borderId="15" xfId="0" applyFont="1" applyFill="1" applyBorder="1" applyAlignment="1">
      <alignment horizontal="center" wrapText="1"/>
    </xf>
    <xf numFmtId="0" fontId="27" fillId="5" borderId="16" xfId="0" applyFont="1" applyFill="1" applyBorder="1" applyAlignment="1">
      <alignment horizontal="center" wrapText="1"/>
    </xf>
    <xf numFmtId="0" fontId="27" fillId="5" borderId="17" xfId="0" applyFont="1" applyFill="1" applyBorder="1" applyAlignment="1">
      <alignment horizontal="center" wrapText="1"/>
    </xf>
    <xf numFmtId="39" fontId="28" fillId="8" borderId="19" xfId="0" applyNumberFormat="1" applyFont="1" applyFill="1" applyBorder="1" applyAlignment="1">
      <alignment horizontal="center" vertical="center" wrapText="1"/>
    </xf>
    <xf numFmtId="39" fontId="28" fillId="8" borderId="16" xfId="0" applyNumberFormat="1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8" borderId="14" xfId="0" applyFont="1" applyFill="1" applyBorder="1" applyAlignment="1">
      <alignment horizontal="center" vertical="center" wrapText="1"/>
    </xf>
    <xf numFmtId="39" fontId="28" fillId="9" borderId="18" xfId="0" applyNumberFormat="1" applyFont="1" applyFill="1" applyBorder="1" applyAlignment="1">
      <alignment horizontal="center" vertical="center" wrapText="1"/>
    </xf>
    <xf numFmtId="39" fontId="28" fillId="9" borderId="16" xfId="0" applyNumberFormat="1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14" xfId="0" applyFont="1" applyFill="1" applyBorder="1" applyAlignment="1">
      <alignment horizontal="center" vertical="center" wrapText="1"/>
    </xf>
    <xf numFmtId="39" fontId="28" fillId="6" borderId="19" xfId="0" applyNumberFormat="1" applyFont="1" applyFill="1" applyBorder="1" applyAlignment="1">
      <alignment horizontal="center" vertical="center" wrapText="1"/>
    </xf>
    <xf numFmtId="39" fontId="28" fillId="6" borderId="16" xfId="0" applyNumberFormat="1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0" fillId="10" borderId="0" xfId="0" applyFill="1"/>
    <xf numFmtId="0" fontId="29" fillId="10" borderId="0" xfId="0" applyFont="1" applyFill="1"/>
    <xf numFmtId="4" fontId="30" fillId="0" borderId="0" xfId="0" applyNumberFormat="1" applyFont="1" applyAlignment="1">
      <alignment horizontal="center" vertical="center" wrapText="1"/>
    </xf>
    <xf numFmtId="4" fontId="0" fillId="0" borderId="0" xfId="0" applyNumberFormat="1"/>
    <xf numFmtId="170" fontId="0" fillId="0" borderId="0" xfId="3" applyNumberFormat="1" applyFont="1"/>
    <xf numFmtId="165" fontId="32" fillId="0" borderId="0" xfId="0" applyNumberFormat="1" applyFont="1" applyAlignment="1">
      <alignment vertical="center"/>
    </xf>
    <xf numFmtId="170" fontId="26" fillId="0" borderId="0" xfId="3" applyNumberFormat="1" applyFont="1" applyAlignment="1">
      <alignment vertical="center"/>
    </xf>
    <xf numFmtId="0" fontId="26" fillId="0" borderId="0" xfId="0" applyFont="1" applyAlignment="1">
      <alignment vertical="center" wrapText="1"/>
    </xf>
    <xf numFmtId="165" fontId="33" fillId="11" borderId="0" xfId="0" applyNumberFormat="1" applyFont="1" applyFill="1" applyAlignment="1">
      <alignment horizontal="right" vertical="center"/>
    </xf>
    <xf numFmtId="170" fontId="25" fillId="0" borderId="0" xfId="3" applyNumberFormat="1" applyFont="1" applyAlignment="1">
      <alignment horizontal="right" vertical="center"/>
    </xf>
    <xf numFmtId="165" fontId="33" fillId="0" borderId="0" xfId="0" applyNumberFormat="1" applyFont="1" applyAlignment="1">
      <alignment horizontal="right" vertical="center"/>
    </xf>
    <xf numFmtId="165" fontId="34" fillId="11" borderId="1" xfId="0" applyNumberFormat="1" applyFont="1" applyFill="1" applyBorder="1" applyAlignment="1">
      <alignment horizontal="right" vertical="center"/>
    </xf>
    <xf numFmtId="170" fontId="35" fillId="0" borderId="1" xfId="3" applyNumberFormat="1" applyFont="1" applyBorder="1" applyAlignment="1">
      <alignment horizontal="right" vertical="center"/>
    </xf>
    <xf numFmtId="165" fontId="34" fillId="0" borderId="1" xfId="0" applyNumberFormat="1" applyFont="1" applyBorder="1" applyAlignment="1">
      <alignment horizontal="right" vertical="center"/>
    </xf>
    <xf numFmtId="39" fontId="35" fillId="0" borderId="0" xfId="0" applyNumberFormat="1" applyFont="1" applyAlignment="1">
      <alignment vertical="center" wrapText="1"/>
    </xf>
    <xf numFmtId="165" fontId="34" fillId="0" borderId="0" xfId="0" applyNumberFormat="1" applyFont="1" applyAlignment="1">
      <alignment horizontal="right" vertical="center"/>
    </xf>
    <xf numFmtId="170" fontId="35" fillId="0" borderId="0" xfId="3" applyNumberFormat="1" applyFont="1" applyAlignment="1">
      <alignment horizontal="right" vertical="center"/>
    </xf>
    <xf numFmtId="39" fontId="35" fillId="0" borderId="0" xfId="0" applyNumberFormat="1" applyFont="1" applyAlignment="1">
      <alignment vertical="center" wrapText="1" indent="1"/>
    </xf>
    <xf numFmtId="165" fontId="36" fillId="0" borderId="0" xfId="0" applyNumberFormat="1" applyFont="1" applyAlignment="1">
      <alignment horizontal="right" vertical="center"/>
    </xf>
    <xf numFmtId="170" fontId="31" fillId="0" borderId="0" xfId="3" applyNumberFormat="1" applyFont="1" applyAlignment="1">
      <alignment vertical="center"/>
    </xf>
    <xf numFmtId="0" fontId="31" fillId="0" borderId="0" xfId="0" applyFont="1" applyAlignment="1">
      <alignment vertical="center" wrapText="1" indent="2"/>
    </xf>
    <xf numFmtId="39" fontId="35" fillId="0" borderId="0" xfId="0" applyNumberFormat="1" applyFont="1" applyAlignment="1">
      <alignment vertical="center" wrapText="1" indent="2"/>
    </xf>
    <xf numFmtId="0" fontId="31" fillId="0" borderId="0" xfId="0" applyFont="1" applyAlignment="1">
      <alignment vertical="center" wrapText="1" indent="3"/>
    </xf>
    <xf numFmtId="165" fontId="34" fillId="0" borderId="0" xfId="0" applyNumberFormat="1" applyFont="1" applyAlignment="1">
      <alignment vertical="center"/>
    </xf>
    <xf numFmtId="170" fontId="35" fillId="0" borderId="0" xfId="3" applyNumberFormat="1" applyFont="1" applyAlignment="1">
      <alignment vertical="center"/>
    </xf>
    <xf numFmtId="0" fontId="35" fillId="0" borderId="0" xfId="0" applyFont="1" applyAlignment="1">
      <alignment vertical="center" wrapText="1" indent="2"/>
    </xf>
    <xf numFmtId="0" fontId="35" fillId="0" borderId="0" xfId="0" applyFont="1" applyAlignment="1">
      <alignment vertical="center" wrapText="1" indent="1"/>
    </xf>
    <xf numFmtId="0" fontId="35" fillId="0" borderId="0" xfId="0" applyFont="1" applyAlignment="1">
      <alignment vertical="center" wrapText="1"/>
    </xf>
    <xf numFmtId="170" fontId="37" fillId="0" borderId="0" xfId="3" applyNumberFormat="1" applyFont="1" applyAlignment="1">
      <alignment vertical="center"/>
    </xf>
    <xf numFmtId="0" fontId="37" fillId="0" borderId="0" xfId="0" applyFont="1" applyAlignment="1">
      <alignment vertical="center" wrapText="1"/>
    </xf>
    <xf numFmtId="170" fontId="31" fillId="0" borderId="0" xfId="3" applyNumberFormat="1" applyFont="1" applyAlignment="1">
      <alignment horizontal="right" vertical="center"/>
    </xf>
    <xf numFmtId="0" fontId="31" fillId="0" borderId="0" xfId="0" applyFont="1" applyAlignment="1">
      <alignment horizontal="left" vertical="center" wrapText="1" indent="2"/>
    </xf>
    <xf numFmtId="10" fontId="0" fillId="0" borderId="0" xfId="1" applyNumberFormat="1" applyFont="1"/>
    <xf numFmtId="9" fontId="0" fillId="0" borderId="0" xfId="1" applyFont="1"/>
    <xf numFmtId="0" fontId="31" fillId="0" borderId="0" xfId="0" applyFont="1" applyAlignment="1">
      <alignment vertical="center" wrapText="1" indent="1"/>
    </xf>
    <xf numFmtId="0" fontId="0" fillId="0" borderId="0" xfId="0" quotePrefix="1"/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9" fillId="10" borderId="20" xfId="0" applyFont="1" applyFill="1" applyBorder="1" applyAlignment="1">
      <alignment horizontal="center"/>
    </xf>
    <xf numFmtId="4" fontId="30" fillId="0" borderId="0" xfId="0" applyNumberFormat="1" applyFont="1" applyAlignment="1">
      <alignment horizontal="center" vertical="center" wrapText="1"/>
    </xf>
    <xf numFmtId="169" fontId="31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4">
    <cellStyle name="Comma 2" xfId="3" xr:uid="{D27D85E2-C20D-43CB-9821-3A76EFC7B765}"/>
    <cellStyle name="Currency 2" xfId="2" xr:uid="{06278ECF-C2A4-49F7-BF2F-9650DA63F468}"/>
    <cellStyle name="Normal" xfId="0" builtinId="0"/>
    <cellStyle name="Percent 2" xfId="1" xr:uid="{E8152749-784A-4D6A-A81B-B2A37EB48850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E026-B783-4CE3-82CC-A12AECB1965A}">
  <sheetPr>
    <tabColor theme="4" tint="0.39997558519241921"/>
  </sheetPr>
  <dimension ref="A1:AP65"/>
  <sheetViews>
    <sheetView tabSelected="1" topLeftCell="B2" workbookViewId="0">
      <selection activeCell="L16" sqref="L16"/>
    </sheetView>
  </sheetViews>
  <sheetFormatPr defaultRowHeight="43.5" customHeight="1"/>
  <cols>
    <col min="1" max="1" width="23.44140625" hidden="1" customWidth="1"/>
    <col min="2" max="2" width="26.88671875" customWidth="1"/>
    <col min="3" max="3" width="11.109375" customWidth="1"/>
    <col min="4" max="4" width="6.88671875" customWidth="1"/>
    <col min="5" max="5" width="9.109375" bestFit="1" customWidth="1"/>
    <col min="6" max="6" width="9.88671875" bestFit="1" customWidth="1"/>
    <col min="7" max="7" width="10.109375" customWidth="1"/>
    <col min="8" max="8" width="8.109375" customWidth="1"/>
    <col min="9" max="9" width="9.109375" bestFit="1" customWidth="1"/>
    <col min="10" max="10" width="9.88671875" bestFit="1" customWidth="1"/>
    <col min="11" max="11" width="10.109375" customWidth="1"/>
    <col min="12" max="12" width="8.109375" customWidth="1"/>
    <col min="13" max="13" width="7.5546875" customWidth="1"/>
    <col min="14" max="14" width="7.109375" bestFit="1" customWidth="1"/>
    <col min="15" max="15" width="9.6640625" style="44" customWidth="1"/>
    <col min="16" max="16" width="9.6640625" style="44" bestFit="1" customWidth="1"/>
    <col min="17" max="17" width="11.109375" style="44" customWidth="1"/>
    <col min="18" max="18" width="10.109375" bestFit="1" customWidth="1"/>
    <col min="19" max="19" width="8.109375" bestFit="1" customWidth="1"/>
    <col min="20" max="21" width="7.109375" bestFit="1" customWidth="1"/>
    <col min="22" max="23" width="9.6640625" style="44" bestFit="1" customWidth="1"/>
    <col min="24" max="24" width="11.6640625" style="44" customWidth="1"/>
    <col min="34" max="36" width="0" hidden="1" customWidth="1"/>
    <col min="37" max="37" width="8.88671875" hidden="1" customWidth="1"/>
    <col min="38" max="38" width="10.88671875" hidden="1" customWidth="1"/>
    <col min="39" max="39" width="8.88671875" hidden="1" customWidth="1"/>
    <col min="40" max="40" width="12.5546875" hidden="1" customWidth="1"/>
    <col min="41" max="41" width="18.88671875" hidden="1" customWidth="1"/>
    <col min="42" max="42" width="8.88671875" hidden="1" customWidth="1"/>
  </cols>
  <sheetData>
    <row r="1" spans="1:41" ht="55.2" hidden="1">
      <c r="A1" s="151"/>
      <c r="B1" s="152"/>
      <c r="C1" s="109" t="str">
        <f>B2</f>
        <v>Week Ending 09/13/2026</v>
      </c>
      <c r="D1" s="108" t="str">
        <f>C1</f>
        <v>Week Ending 09/13/2026</v>
      </c>
      <c r="E1" s="108" t="str">
        <f>+D1</f>
        <v>Week Ending 09/13/2026</v>
      </c>
      <c r="F1" s="108" t="str">
        <f>+E1</f>
        <v>Week Ending 09/13/2026</v>
      </c>
      <c r="G1" s="108" t="s">
        <v>230</v>
      </c>
      <c r="H1" s="108" t="s">
        <v>230</v>
      </c>
      <c r="I1" s="108" t="s">
        <v>230</v>
      </c>
      <c r="J1" s="108" t="s">
        <v>230</v>
      </c>
      <c r="K1" s="108" t="s">
        <v>229</v>
      </c>
      <c r="L1" s="108" t="s">
        <v>229</v>
      </c>
      <c r="M1" s="108" t="s">
        <v>229</v>
      </c>
      <c r="N1" s="108" t="s">
        <v>229</v>
      </c>
      <c r="R1" s="108" t="s">
        <v>228</v>
      </c>
      <c r="S1" s="108" t="s">
        <v>228</v>
      </c>
      <c r="T1" s="108" t="s">
        <v>228</v>
      </c>
      <c r="U1" s="108" t="s">
        <v>228</v>
      </c>
    </row>
    <row r="2" spans="1:41" s="106" customFormat="1" ht="15" thickBot="1">
      <c r="B2" s="107" t="s">
        <v>15</v>
      </c>
      <c r="G2" s="150" t="s">
        <v>227</v>
      </c>
      <c r="H2" s="150"/>
      <c r="I2" s="150"/>
      <c r="J2" s="150"/>
      <c r="K2" s="150" t="s">
        <v>226</v>
      </c>
      <c r="L2" s="150"/>
      <c r="M2" s="150"/>
      <c r="N2" s="150"/>
      <c r="O2" s="150" t="s">
        <v>225</v>
      </c>
      <c r="P2" s="150"/>
      <c r="Q2" s="150"/>
      <c r="R2" s="150" t="s">
        <v>224</v>
      </c>
      <c r="S2" s="150"/>
      <c r="T2" s="150"/>
      <c r="U2" s="150"/>
      <c r="V2" s="150" t="s">
        <v>223</v>
      </c>
      <c r="W2" s="150"/>
      <c r="X2" s="150"/>
    </row>
    <row r="3" spans="1:41" s="84" customFormat="1" ht="55.8" thickBot="1">
      <c r="B3" s="83" t="s">
        <v>212</v>
      </c>
      <c r="C3" s="83" t="s">
        <v>23</v>
      </c>
      <c r="D3" s="105" t="s">
        <v>218</v>
      </c>
      <c r="E3" s="104" t="s">
        <v>222</v>
      </c>
      <c r="F3" s="103" t="s">
        <v>216</v>
      </c>
      <c r="G3" s="102" t="s">
        <v>23</v>
      </c>
      <c r="H3" s="101" t="s">
        <v>218</v>
      </c>
      <c r="I3" s="100" t="s">
        <v>217</v>
      </c>
      <c r="J3" s="99" t="s">
        <v>216</v>
      </c>
      <c r="K3" s="98" t="s">
        <v>23</v>
      </c>
      <c r="L3" s="97" t="s">
        <v>218</v>
      </c>
      <c r="M3" s="96" t="s">
        <v>217</v>
      </c>
      <c r="N3" s="95" t="s">
        <v>216</v>
      </c>
      <c r="O3" s="94" t="s">
        <v>221</v>
      </c>
      <c r="P3" s="93" t="s">
        <v>220</v>
      </c>
      <c r="Q3" s="92" t="s">
        <v>219</v>
      </c>
      <c r="R3" s="91" t="s">
        <v>23</v>
      </c>
      <c r="S3" s="90" t="s">
        <v>218</v>
      </c>
      <c r="T3" s="89" t="s">
        <v>217</v>
      </c>
      <c r="U3" s="88" t="s">
        <v>216</v>
      </c>
      <c r="V3" s="87" t="s">
        <v>215</v>
      </c>
      <c r="W3" s="86" t="s">
        <v>214</v>
      </c>
      <c r="X3" s="85" t="s">
        <v>213</v>
      </c>
    </row>
    <row r="4" spans="1:41" ht="78.599999999999994" hidden="1" thickBot="1">
      <c r="B4" s="83" t="s">
        <v>212</v>
      </c>
      <c r="C4" t="s">
        <v>25</v>
      </c>
      <c r="D4" s="80" t="s">
        <v>72</v>
      </c>
      <c r="E4" s="79" t="s">
        <v>96</v>
      </c>
      <c r="F4" s="82" t="s">
        <v>97</v>
      </c>
      <c r="G4" t="s">
        <v>25</v>
      </c>
      <c r="H4" s="80" t="s">
        <v>72</v>
      </c>
      <c r="I4" s="79" t="s">
        <v>96</v>
      </c>
      <c r="J4" s="82" t="s">
        <v>97</v>
      </c>
      <c r="K4" t="s">
        <v>25</v>
      </c>
      <c r="L4" s="80" t="s">
        <v>72</v>
      </c>
      <c r="M4" s="79" t="s">
        <v>96</v>
      </c>
      <c r="N4" s="82" t="s">
        <v>97</v>
      </c>
      <c r="O4" s="77"/>
      <c r="P4" s="77"/>
      <c r="Q4" s="76"/>
      <c r="R4" s="81" t="s">
        <v>25</v>
      </c>
      <c r="S4" s="80" t="s">
        <v>72</v>
      </c>
      <c r="T4" s="79" t="s">
        <v>96</v>
      </c>
      <c r="U4" s="78" t="s">
        <v>97</v>
      </c>
      <c r="V4" s="77"/>
      <c r="W4" s="77"/>
      <c r="X4" s="76"/>
    </row>
    <row r="5" spans="1:41" ht="15" customHeight="1">
      <c r="A5" t="s">
        <v>152</v>
      </c>
      <c r="B5" s="74" t="str">
        <f>A5</f>
        <v>4 - RASA - MVT</v>
      </c>
      <c r="C5" s="73">
        <f ca="1">INDEX(INDIRECT("'"&amp;$A5&amp;"'!$1:$1048576"),MATCH(C$4,INDIRECT("'"&amp;$A5&amp;"'!A:A"),0),MATCH(C$1,INDIRECT("'"&amp;$A5&amp;"'!$5:$5"),0))</f>
        <v>41536.820000000007</v>
      </c>
      <c r="D5" s="72" cm="1">
        <f t="array" aca="1" ref="D5" ca="1">INDEX(INDIRECT("'"&amp;$A5&amp;"'!$1:$1048576"),MATCH(D$4,INDIRECT("'"&amp;$A5&amp;"'!A:A"),0),MATCH(D$1,INDIRECT("'"&amp;$A5&amp;"'!$5:$5"),0)+1)</f>
        <v>0.24799394850159456</v>
      </c>
      <c r="E5" s="72" cm="1">
        <f t="array" aca="1" ref="E5" ca="1">INDEX(INDIRECT("'"&amp;$A5&amp;"'!$1:$1048576"),MATCH(E$4,INDIRECT("'"&amp;$A5&amp;"'!A:A"),0),MATCH(E$1,INDIRECT("'"&amp;$A5&amp;"'!$5:$5"),0)+1)</f>
        <v>0.25952708945942421</v>
      </c>
      <c r="F5" s="66" cm="1">
        <f t="array" aca="1" ref="F5" ca="1">INDEX(INDIRECT("'"&amp;$A5&amp;"'!$1:$1048576"),MATCH(F$4,INDIRECT("'"&amp;$A5&amp;"'!A:A"),0),MATCH(F$1,INDIRECT("'"&amp;$A5&amp;"'!$5:$5"),0)+1)</f>
        <v>0.49247896203898139</v>
      </c>
      <c r="G5" s="69">
        <f ca="1">INDEX(INDIRECT("'"&amp;$A5&amp;"'!$1:$1048576"),MATCH(G$4,INDIRECT("'"&amp;$A5&amp;"'!A:A"),0),MATCH(G$1,INDIRECT("'"&amp;$A5&amp;"'!$5:$5"),0))</f>
        <v>135050.95000000001</v>
      </c>
      <c r="H5" s="67" cm="1">
        <f t="array" aca="1" ref="H5" ca="1">INDEX(INDIRECT("'"&amp;$A5&amp;"'!$1:$1048576"),MATCH(H$4,INDIRECT("'"&amp;$A5&amp;"'!A:A"),0),MATCH(H$1,INDIRECT("'"&amp;$A5&amp;"'!$5:$5"),0)+1)</f>
        <v>0.23111270228013939</v>
      </c>
      <c r="I5" s="67" cm="1">
        <f t="array" aca="1" ref="I5" ca="1">INDEX(INDIRECT("'"&amp;$A5&amp;"'!$1:$1048576"),MATCH(I$4,INDIRECT("'"&amp;$A5&amp;"'!A:A"),0),MATCH(I$1,INDIRECT("'"&amp;$A5&amp;"'!$5:$5"),0)+1)</f>
        <v>0.24414785679034468</v>
      </c>
      <c r="J5" s="66" cm="1">
        <f t="array" aca="1" ref="J5" ca="1">INDEX(INDIRECT("'"&amp;$A5&amp;"'!$1:$1048576"),MATCH(J$4,INDIRECT("'"&amp;$A5&amp;"'!A:A"),0),MATCH(J$1,INDIRECT("'"&amp;$A5&amp;"'!$5:$5"),0)+1)</f>
        <v>0.52473944092951597</v>
      </c>
      <c r="K5" s="69">
        <f ca="1">INDEX(INDIRECT("'"&amp;$A5&amp;"'!$1:$1048576"),MATCH(K$4,INDIRECT("'"&amp;$A5&amp;"'!A:A"),0),MATCH(K$1,INDIRECT("'"&amp;$A5&amp;"'!$5:$5"),0))</f>
        <v>45606.705000000009</v>
      </c>
      <c r="L5" s="67" cm="1">
        <f t="array" aca="1" ref="L5" ca="1">INDEX(INDIRECT("'"&amp;$A5&amp;"'!$1:$1048576"),MATCH(L$4,INDIRECT("'"&amp;$A5&amp;"'!A:A"),0),MATCH(L$1,INDIRECT("'"&amp;$A5&amp;"'!$5:$5"),0)+1)</f>
        <v>0.23187226527327509</v>
      </c>
      <c r="M5" s="67" cm="1">
        <f t="array" aca="1" ref="M5" ca="1">INDEX(INDIRECT("'"&amp;$A5&amp;"'!$1:$1048576"),MATCH(M$4,INDIRECT("'"&amp;$A5&amp;"'!A:A"),0),MATCH(M$1,INDIRECT("'"&amp;$A5&amp;"'!$5:$5"),0)+1)</f>
        <v>0.2437655274591751</v>
      </c>
      <c r="N5" s="70" cm="1">
        <f t="array" aca="1" ref="N5" ca="1">INDEX(INDIRECT("'"&amp;$A5&amp;"'!$1:$1048576"),MATCH(N$4,INDIRECT("'"&amp;$A5&amp;"'!A:A"),0),MATCH(N$1,INDIRECT("'"&amp;$A5&amp;"'!$5:$5"),0)+1)</f>
        <v>0.52436220726755001</v>
      </c>
      <c r="O5" s="68">
        <f ca="1">+(C5-K5)/K5</f>
        <v>-8.9238742417370454E-2</v>
      </c>
      <c r="P5" s="67">
        <f t="shared" ref="P5:Q9" ca="1" si="0">+D5-L5</f>
        <v>1.6121683228319472E-2</v>
      </c>
      <c r="Q5" s="66">
        <f t="shared" ca="1" si="0"/>
        <v>1.5761562000249113E-2</v>
      </c>
      <c r="R5" s="69">
        <f ca="1">INDEX(INDIRECT("'"&amp;$A5&amp;"'!$1:$1048576"),MATCH(R$4,INDIRECT("'"&amp;$A5&amp;"'!A:A"),0),MATCH(R$1,INDIRECT("'"&amp;$A5&amp;"'!$5:$5"),0))</f>
        <v>46621.787500000006</v>
      </c>
      <c r="S5" s="67" cm="1">
        <f t="array" aca="1" ref="S5" ca="1">INDEX(INDIRECT("'"&amp;$A5&amp;"'!$1:$1048576"),MATCH(S$4,INDIRECT("'"&amp;$A5&amp;"'!A:A"),0),MATCH(S$1,INDIRECT("'"&amp;$A5&amp;"'!$5:$5"),0)+1)</f>
        <v>0.2370446703700497</v>
      </c>
      <c r="T5" s="67" cm="1">
        <f t="array" aca="1" ref="T5" ca="1">INDEX(INDIRECT("'"&amp;$A5&amp;"'!$1:$1048576"),MATCH(T$4,INDIRECT("'"&amp;$A5&amp;"'!A:A"),0),MATCH(T$1,INDIRECT("'"&amp;$A5&amp;"'!$5:$5"),0)+1)</f>
        <v>0.23658203795811131</v>
      </c>
      <c r="U5" s="66" cm="1">
        <f t="array" aca="1" ref="U5" ca="1">INDEX(INDIRECT("'"&amp;$A5&amp;"'!$1:$1048576"),MATCH(U$4,INDIRECT("'"&amp;$A5&amp;"'!A:A"),0),MATCH(U$1,INDIRECT("'"&amp;$A5&amp;"'!$5:$5"),0)+1)</f>
        <v>0.52637329167183911</v>
      </c>
      <c r="V5" s="68">
        <f ca="1">+(C5-R5)/R5</f>
        <v>-0.10906848005345136</v>
      </c>
      <c r="W5" s="67">
        <f t="shared" ref="W5:X9" ca="1" si="1">+D5-S5</f>
        <v>1.0949278131544865E-2</v>
      </c>
      <c r="X5" s="66">
        <f t="shared" ca="1" si="1"/>
        <v>2.2945051501312902E-2</v>
      </c>
      <c r="Z5" s="75"/>
      <c r="AK5" t="s">
        <v>211</v>
      </c>
      <c r="AL5" s="45">
        <v>46033</v>
      </c>
      <c r="AM5">
        <f t="shared" ref="AM5:AM51" si="2">YEAR(AL5)</f>
        <v>2026</v>
      </c>
      <c r="AN5" t="str">
        <f t="shared" ref="AN5:AN51" si="3">AK5&amp;", "&amp;AM5</f>
        <v>Week 2, 2026</v>
      </c>
      <c r="AO5" t="str">
        <f t="shared" ref="AO5:AO51" si="4">"Week Ending "&amp;TEXT(AL5,"mm/dd/yyyy")</f>
        <v>Week Ending 01/11/2026</v>
      </c>
    </row>
    <row r="6" spans="1:41" ht="15" customHeight="1">
      <c r="A6" t="s">
        <v>210</v>
      </c>
      <c r="B6" s="74" t="str">
        <f>A6</f>
        <v>5 - RASA - National Landin</v>
      </c>
      <c r="C6" s="73">
        <f ca="1">INDEX(INDIRECT("'"&amp;$A6&amp;"'!$1:$1048576"),MATCH(C$4,INDIRECT("'"&amp;$A6&amp;"'!A:A"),0),MATCH(C$1,INDIRECT("'"&amp;$A6&amp;"'!$5:$5"),0))</f>
        <v>20601.12</v>
      </c>
      <c r="D6" s="72" cm="1">
        <f t="array" aca="1" ref="D6" ca="1">INDEX(INDIRECT("'"&amp;$A6&amp;"'!$1:$1048576"),MATCH(D$4,INDIRECT("'"&amp;$A6&amp;"'!A:A"),0),MATCH(D$1,INDIRECT("'"&amp;$A6&amp;"'!$5:$5"),0)+1)</f>
        <v>0.27722716046506202</v>
      </c>
      <c r="E6" s="72" cm="1">
        <f t="array" aca="1" ref="E6" ca="1">INDEX(INDIRECT("'"&amp;$A6&amp;"'!$1:$1048576"),MATCH(E$4,INDIRECT("'"&amp;$A6&amp;"'!A:A"),0),MATCH(E$1,INDIRECT("'"&amp;$A6&amp;"'!$5:$5"),0)+1)</f>
        <v>0.30901766505898709</v>
      </c>
      <c r="F6" s="66" cm="1">
        <f t="array" aca="1" ref="F6" ca="1">INDEX(INDIRECT("'"&amp;$A6&amp;"'!$1:$1048576"),MATCH(F$4,INDIRECT("'"&amp;$A6&amp;"'!A:A"),0),MATCH(F$1,INDIRECT("'"&amp;$A6&amp;"'!$5:$5"),0)+1)</f>
        <v>0.41375517447595084</v>
      </c>
      <c r="G6" s="69">
        <f ca="1">INDEX(INDIRECT("'"&amp;$A6&amp;"'!$1:$1048576"),MATCH(G$4,INDIRECT("'"&amp;$A6&amp;"'!A:A"),0),MATCH(G$1,INDIRECT("'"&amp;$A6&amp;"'!$5:$5"),0))</f>
        <v>73646.55</v>
      </c>
      <c r="H6" s="67" cm="1">
        <f t="array" aca="1" ref="H6" ca="1">INDEX(INDIRECT("'"&amp;$A6&amp;"'!$1:$1048576"),MATCH(H$4,INDIRECT("'"&amp;$A6&amp;"'!A:A"),0),MATCH(H$1,INDIRECT("'"&amp;$A6&amp;"'!$5:$5"),0)+1)</f>
        <v>0.2377299411852965</v>
      </c>
      <c r="I6" s="67" cm="1">
        <f t="array" aca="1" ref="I6" ca="1">INDEX(INDIRECT("'"&amp;$A6&amp;"'!$1:$1048576"),MATCH(I$4,INDIRECT("'"&amp;$A6&amp;"'!A:A"),0),MATCH(I$1,INDIRECT("'"&amp;$A6&amp;"'!$5:$5"),0)+1)</f>
        <v>0.28767416803638463</v>
      </c>
      <c r="J6" s="66" cm="1">
        <f t="array" aca="1" ref="J6" ca="1">INDEX(INDIRECT("'"&amp;$A6&amp;"'!$1:$1048576"),MATCH(J$4,INDIRECT("'"&amp;$A6&amp;"'!A:A"),0),MATCH(J$1,INDIRECT("'"&amp;$A6&amp;"'!$5:$5"),0)+1)</f>
        <v>0.47459589077831893</v>
      </c>
      <c r="K6" s="69">
        <f ca="1">INDEX(INDIRECT("'"&amp;$A6&amp;"'!$1:$1048576"),MATCH(K$4,INDIRECT("'"&amp;$A6&amp;"'!A:A"),0),MATCH(K$1,INDIRECT("'"&amp;$A6&amp;"'!$5:$5"),0))</f>
        <v>24872.837500000001</v>
      </c>
      <c r="L6" s="67" cm="1">
        <f t="array" aca="1" ref="L6" ca="1">INDEX(INDIRECT("'"&amp;$A6&amp;"'!$1:$1048576"),MATCH(L$4,INDIRECT("'"&amp;$A6&amp;"'!A:A"),0),MATCH(L$1,INDIRECT("'"&amp;$A6&amp;"'!$5:$5"),0)+1)</f>
        <v>0.23488544481505177</v>
      </c>
      <c r="M6" s="67" cm="1">
        <f t="array" aca="1" ref="M6" ca="1">INDEX(INDIRECT("'"&amp;$A6&amp;"'!$1:$1048576"),MATCH(M$4,INDIRECT("'"&amp;$A6&amp;"'!A:A"),0),MATCH(M$1,INDIRECT("'"&amp;$A6&amp;"'!$5:$5"),0)+1)</f>
        <v>0.29049299260689498</v>
      </c>
      <c r="N6" s="70" cm="1">
        <f t="array" aca="1" ref="N6" ca="1">INDEX(INDIRECT("'"&amp;$A6&amp;"'!$1:$1048576"),MATCH(N$4,INDIRECT("'"&amp;$A6&amp;"'!A:A"),0),MATCH(N$1,INDIRECT("'"&amp;$A6&amp;"'!$5:$5"),0)+1)</f>
        <v>0.47462156257805327</v>
      </c>
      <c r="O6" s="68">
        <f ca="1">+(C6-K6)/K6</f>
        <v>-0.17174226704130569</v>
      </c>
      <c r="P6" s="67">
        <f t="shared" ca="1" si="0"/>
        <v>4.2341715650010242E-2</v>
      </c>
      <c r="Q6" s="66">
        <f t="shared" ca="1" si="0"/>
        <v>1.8524672452092106E-2</v>
      </c>
      <c r="R6" s="69">
        <f ca="1">INDEX(INDIRECT("'"&amp;$A6&amp;"'!$1:$1048576"),MATCH(R$4,INDIRECT("'"&amp;$A6&amp;"'!A:A"),0),MATCH(R$1,INDIRECT("'"&amp;$A6&amp;"'!$5:$5"),0))</f>
        <v>26632.588750000003</v>
      </c>
      <c r="S6" s="67" cm="1">
        <f t="array" aca="1" ref="S6" ca="1">INDEX(INDIRECT("'"&amp;$A6&amp;"'!$1:$1048576"),MATCH(S$4,INDIRECT("'"&amp;$A6&amp;"'!A:A"),0),MATCH(S$1,INDIRECT("'"&amp;$A6&amp;"'!$5:$5"),0)+1)</f>
        <v>0.24141485307169025</v>
      </c>
      <c r="T6" s="67" cm="1">
        <f t="array" aca="1" ref="T6" ca="1">INDEX(INDIRECT("'"&amp;$A6&amp;"'!$1:$1048576"),MATCH(T$4,INDIRECT("'"&amp;$A6&amp;"'!A:A"),0),MATCH(T$1,INDIRECT("'"&amp;$A6&amp;"'!$5:$5"),0)+1)</f>
        <v>0.2987167366521965</v>
      </c>
      <c r="U6" s="66" cm="1">
        <f t="array" aca="1" ref="U6" ca="1">INDEX(INDIRECT("'"&amp;$A6&amp;"'!$1:$1048576"),MATCH(U$4,INDIRECT("'"&amp;$A6&amp;"'!A:A"),0),MATCH(U$1,INDIRECT("'"&amp;$A6&amp;"'!$5:$5"),0)+1)</f>
        <v>0.45986841027611325</v>
      </c>
      <c r="V6" s="68">
        <f ca="1">+(C6-R6)/R6</f>
        <v>-0.22646948843829548</v>
      </c>
      <c r="W6" s="67">
        <f t="shared" ca="1" si="1"/>
        <v>3.5812307393371767E-2</v>
      </c>
      <c r="X6" s="66">
        <f t="shared" ca="1" si="1"/>
        <v>1.0300928406790588E-2</v>
      </c>
      <c r="Z6" s="75"/>
      <c r="AK6" t="s">
        <v>209</v>
      </c>
      <c r="AL6" s="45">
        <v>46040</v>
      </c>
      <c r="AM6">
        <f t="shared" si="2"/>
        <v>2026</v>
      </c>
      <c r="AN6" t="str">
        <f t="shared" si="3"/>
        <v>Week 3, 2026</v>
      </c>
      <c r="AO6" t="str">
        <f t="shared" si="4"/>
        <v>Week Ending 01/18/2026</v>
      </c>
    </row>
    <row r="7" spans="1:41" ht="14.4">
      <c r="A7" t="s">
        <v>154</v>
      </c>
      <c r="B7" s="74" t="str">
        <f>A7</f>
        <v>6 - RASA - Mosaic</v>
      </c>
      <c r="C7" s="73">
        <f ca="1">INDEX(INDIRECT("'"&amp;$A7&amp;"'!$1:$1048576"),MATCH(C$4,INDIRECT("'"&amp;$A7&amp;"'!A:A"),0),MATCH(C$1,INDIRECT("'"&amp;$A7&amp;"'!$5:$5"),0))</f>
        <v>20662.48</v>
      </c>
      <c r="D7" s="72" cm="1">
        <f t="array" aca="1" ref="D7" ca="1">INDEX(INDIRECT("'"&amp;$A7&amp;"'!$1:$1048576"),MATCH(D$4,INDIRECT("'"&amp;$A7&amp;"'!A:A"),0),MATCH(D$1,INDIRECT("'"&amp;$A7&amp;"'!$5:$5"),0)+1)</f>
        <v>0.27231919885705885</v>
      </c>
      <c r="E7" s="72" cm="1">
        <f t="array" aca="1" ref="E7" ca="1">INDEX(INDIRECT("'"&amp;$A7&amp;"'!$1:$1048576"),MATCH(E$4,INDIRECT("'"&amp;$A7&amp;"'!A:A"),0),MATCH(E$1,INDIRECT("'"&amp;$A7&amp;"'!$5:$5"),0)+1)</f>
        <v>0.33798314626317849</v>
      </c>
      <c r="F7" s="66" cm="1">
        <f t="array" aca="1" ref="F7" ca="1">INDEX(INDIRECT("'"&amp;$A7&amp;"'!$1:$1048576"),MATCH(F$4,INDIRECT("'"&amp;$A7&amp;"'!A:A"),0),MATCH(F$1,INDIRECT("'"&amp;$A7&amp;"'!$5:$5"),0)+1)</f>
        <v>0.38969765487976271</v>
      </c>
      <c r="G7" s="69">
        <f ca="1">INDEX(INDIRECT("'"&amp;$A7&amp;"'!$1:$1048576"),MATCH(G$4,INDIRECT("'"&amp;$A7&amp;"'!A:A"),0),MATCH(G$1,INDIRECT("'"&amp;$A7&amp;"'!$5:$5"),0))</f>
        <v>74466.540000000008</v>
      </c>
      <c r="H7" s="67" cm="1">
        <f t="array" aca="1" ref="H7" ca="1">INDEX(INDIRECT("'"&amp;$A7&amp;"'!$1:$1048576"),MATCH(H$4,INDIRECT("'"&amp;$A7&amp;"'!A:A"),0),MATCH(H$1,INDIRECT("'"&amp;$A7&amp;"'!$5:$5"),0)+1)</f>
        <v>0.25322460262018348</v>
      </c>
      <c r="I7" s="67" cm="1">
        <f t="array" aca="1" ref="I7" ca="1">INDEX(INDIRECT("'"&amp;$A7&amp;"'!$1:$1048576"),MATCH(I$4,INDIRECT("'"&amp;$A7&amp;"'!A:A"),0),MATCH(I$1,INDIRECT("'"&amp;$A7&amp;"'!$5:$5"),0)+1)</f>
        <v>0.29501585544326353</v>
      </c>
      <c r="J7" s="66" cm="1">
        <f t="array" aca="1" ref="J7" ca="1">INDEX(INDIRECT("'"&amp;$A7&amp;"'!$1:$1048576"),MATCH(J$4,INDIRECT("'"&amp;$A7&amp;"'!A:A"),0),MATCH(J$1,INDIRECT("'"&amp;$A7&amp;"'!$5:$5"),0)+1)</f>
        <v>0.45175954193655321</v>
      </c>
      <c r="K7" s="69">
        <f ca="1">INDEX(INDIRECT("'"&amp;$A7&amp;"'!$1:$1048576"),MATCH(K$4,INDIRECT("'"&amp;$A7&amp;"'!A:A"),0),MATCH(K$1,INDIRECT("'"&amp;$A7&amp;"'!$5:$5"),0))</f>
        <v>25775.014999999996</v>
      </c>
      <c r="L7" s="67" cm="1">
        <f t="array" aca="1" ref="L7" ca="1">INDEX(INDIRECT("'"&amp;$A7&amp;"'!$1:$1048576"),MATCH(L$4,INDIRECT("'"&amp;$A7&amp;"'!A:A"),0),MATCH(L$1,INDIRECT("'"&amp;$A7&amp;"'!$5:$5"),0)+1)</f>
        <v>0.25723874457493046</v>
      </c>
      <c r="M7" s="67" cm="1">
        <f t="array" aca="1" ref="M7" ca="1">INDEX(INDIRECT("'"&amp;$A7&amp;"'!$1:$1048576"),MATCH(M$4,INDIRECT("'"&amp;$A7&amp;"'!A:A"),0),MATCH(M$1,INDIRECT("'"&amp;$A7&amp;"'!$5:$5"),0)+1)</f>
        <v>0.28106870160890307</v>
      </c>
      <c r="N7" s="70" cm="1">
        <f t="array" aca="1" ref="N7" ca="1">INDEX(INDIRECT("'"&amp;$A7&amp;"'!$1:$1048576"),MATCH(N$4,INDIRECT("'"&amp;$A7&amp;"'!A:A"),0),MATCH(N$1,INDIRECT("'"&amp;$A7&amp;"'!$5:$5"),0)+1)</f>
        <v>0.46169255381616642</v>
      </c>
      <c r="O7" s="68">
        <f ca="1">+(C7-K7)/K7</f>
        <v>-0.19835235789387501</v>
      </c>
      <c r="P7" s="67">
        <f t="shared" ca="1" si="0"/>
        <v>1.5080454282128397E-2</v>
      </c>
      <c r="Q7" s="66">
        <f t="shared" ca="1" si="0"/>
        <v>5.691444465427542E-2</v>
      </c>
      <c r="R7" s="69">
        <f ca="1">INDEX(INDIRECT("'"&amp;$A7&amp;"'!$1:$1048576"),MATCH(R$4,INDIRECT("'"&amp;$A7&amp;"'!A:A"),0),MATCH(R$1,INDIRECT("'"&amp;$A7&amp;"'!$5:$5"),0))</f>
        <v>26087.483749999996</v>
      </c>
      <c r="S7" s="67" cm="1">
        <f t="array" aca="1" ref="S7" ca="1">INDEX(INDIRECT("'"&amp;$A7&amp;"'!$1:$1048576"),MATCH(S$4,INDIRECT("'"&amp;$A7&amp;"'!A:A"),0),MATCH(S$1,INDIRECT("'"&amp;$A7&amp;"'!$5:$5"),0)+1)</f>
        <v>0.26185239118740228</v>
      </c>
      <c r="T7" s="67" cm="1">
        <f t="array" aca="1" ref="T7" ca="1">INDEX(INDIRECT("'"&amp;$A7&amp;"'!$1:$1048576"),MATCH(T$4,INDIRECT("'"&amp;$A7&amp;"'!A:A"),0),MATCH(T$1,INDIRECT("'"&amp;$A7&amp;"'!$5:$5"),0)+1)</f>
        <v>0.26677731040273289</v>
      </c>
      <c r="U7" s="66" cm="1">
        <f t="array" aca="1" ref="U7" ca="1">INDEX(INDIRECT("'"&amp;$A7&amp;"'!$1:$1048576"),MATCH(U$4,INDIRECT("'"&amp;$A7&amp;"'!A:A"),0),MATCH(U$1,INDIRECT("'"&amp;$A7&amp;"'!$5:$5"),0)+1)</f>
        <v>0.47137029840986472</v>
      </c>
      <c r="V7" s="68">
        <f ca="1">+(C7-R7)/R7</f>
        <v>-0.20795427424080321</v>
      </c>
      <c r="W7" s="67">
        <f t="shared" ca="1" si="1"/>
        <v>1.0466807669656575E-2</v>
      </c>
      <c r="X7" s="66">
        <f t="shared" ca="1" si="1"/>
        <v>7.1205835860445599E-2</v>
      </c>
      <c r="AK7" t="s">
        <v>208</v>
      </c>
      <c r="AL7" s="45">
        <v>46047</v>
      </c>
      <c r="AM7">
        <f t="shared" si="2"/>
        <v>2026</v>
      </c>
      <c r="AN7" t="str">
        <f t="shared" si="3"/>
        <v>Week 4, 2026</v>
      </c>
      <c r="AO7" t="str">
        <f t="shared" si="4"/>
        <v>Week Ending 01/25/2026</v>
      </c>
    </row>
    <row r="8" spans="1:41" ht="14.4">
      <c r="A8" t="s">
        <v>155</v>
      </c>
      <c r="B8" s="74" t="str">
        <f>A8</f>
        <v>7 - RASA - Rockville</v>
      </c>
      <c r="C8" s="73">
        <f ca="1">INDEX(INDIRECT("'"&amp;$A8&amp;"'!$1:$1048576"),MATCH(C$4,INDIRECT("'"&amp;$A8&amp;"'!A:A"),0),MATCH(C$1,INDIRECT("'"&amp;$A8&amp;"'!$5:$5"),0))</f>
        <v>27687.49</v>
      </c>
      <c r="D8" s="72" cm="1">
        <f t="array" aca="1" ref="D8" ca="1">INDEX(INDIRECT("'"&amp;$A8&amp;"'!$1:$1048576"),MATCH(D$4,INDIRECT("'"&amp;$A8&amp;"'!A:A"),0),MATCH(D$1,INDIRECT("'"&amp;$A8&amp;"'!$5:$5"),0)+1)</f>
        <v>0.25020216711590687</v>
      </c>
      <c r="E8" s="72" cm="1">
        <f t="array" aca="1" ref="E8" ca="1">INDEX(INDIRECT("'"&amp;$A8&amp;"'!$1:$1048576"),MATCH(E$4,INDIRECT("'"&amp;$A8&amp;"'!A:A"),0),MATCH(E$1,INDIRECT("'"&amp;$A8&amp;"'!$5:$5"),0)+1)</f>
        <v>0.27474899313733386</v>
      </c>
      <c r="F8" s="71" cm="1">
        <f t="array" aca="1" ref="F8" ca="1">INDEX(INDIRECT("'"&amp;$A8&amp;"'!$1:$1048576"),MATCH(F$4,INDIRECT("'"&amp;$A8&amp;"'!A:A"),0),MATCH(F$1,INDIRECT("'"&amp;$A8&amp;"'!$5:$5"),0)+1)</f>
        <v>0.47504883974675927</v>
      </c>
      <c r="G8" s="69">
        <f ca="1">INDEX(INDIRECT("'"&amp;$A8&amp;"'!$1:$1048576"),MATCH(G$4,INDIRECT("'"&amp;$A8&amp;"'!A:A"),0),MATCH(G$1,INDIRECT("'"&amp;$A8&amp;"'!$5:$5"),0))</f>
        <v>78214.820000000007</v>
      </c>
      <c r="H8" s="67" cm="1">
        <f t="array" aca="1" ref="H8" ca="1">INDEX(INDIRECT("'"&amp;$A8&amp;"'!$1:$1048576"),MATCH(H$4,INDIRECT("'"&amp;$A8&amp;"'!A:A"),0),MATCH(H$1,INDIRECT("'"&amp;$A8&amp;"'!$5:$5"),0)+1)</f>
        <v>0.24668266193030941</v>
      </c>
      <c r="I8" s="67" cm="1">
        <f t="array" aca="1" ref="I8" ca="1">INDEX(INDIRECT("'"&amp;$A8&amp;"'!$1:$1048576"),MATCH(I$4,INDIRECT("'"&amp;$A8&amp;"'!A:A"),0),MATCH(I$1,INDIRECT("'"&amp;$A8&amp;"'!$5:$5"),0)+1)</f>
        <v>0.28231299388018793</v>
      </c>
      <c r="J8" s="66" cm="1">
        <f t="array" aca="1" ref="J8" ca="1">INDEX(INDIRECT("'"&amp;$A8&amp;"'!$1:$1048576"),MATCH(J$4,INDIRECT("'"&amp;$A8&amp;"'!A:A"),0),MATCH(J$1,INDIRECT("'"&amp;$A8&amp;"'!$5:$5"),0)+1)</f>
        <v>0.47100434418950271</v>
      </c>
      <c r="K8" s="69">
        <f ca="1">INDEX(INDIRECT("'"&amp;$A8&amp;"'!$1:$1048576"),MATCH(K$4,INDIRECT("'"&amp;$A8&amp;"'!A:A"),0),MATCH(K$1,INDIRECT("'"&amp;$A8&amp;"'!$5:$5"),0))</f>
        <v>25828.890000000003</v>
      </c>
      <c r="L8" s="67" cm="1">
        <f t="array" aca="1" ref="L8" ca="1">INDEX(INDIRECT("'"&amp;$A8&amp;"'!$1:$1048576"),MATCH(L$4,INDIRECT("'"&amp;$A8&amp;"'!A:A"),0),MATCH(L$1,INDIRECT("'"&amp;$A8&amp;"'!$5:$5"),0)+1)</f>
        <v>0.249644680820585</v>
      </c>
      <c r="M8" s="67" cm="1">
        <f t="array" aca="1" ref="M8" ca="1">INDEX(INDIRECT("'"&amp;$A8&amp;"'!$1:$1048576"),MATCH(M$4,INDIRECT("'"&amp;$A8&amp;"'!A:A"),0),MATCH(M$1,INDIRECT("'"&amp;$A8&amp;"'!$5:$5"),0)+1)</f>
        <v>0.28154200587017092</v>
      </c>
      <c r="N8" s="70" cm="1">
        <f t="array" aca="1" ref="N8" ca="1">INDEX(INDIRECT("'"&amp;$A8&amp;"'!$1:$1048576"),MATCH(N$4,INDIRECT("'"&amp;$A8&amp;"'!A:A"),0),MATCH(N$1,INDIRECT("'"&amp;$A8&amp;"'!$5:$5"),0)+1)</f>
        <v>0.46881331330924403</v>
      </c>
      <c r="O8" s="68">
        <f ca="1">+(C8-K8)/K8</f>
        <v>7.1958183259133404E-2</v>
      </c>
      <c r="P8" s="67">
        <f t="shared" ca="1" si="0"/>
        <v>5.5748629532187399E-4</v>
      </c>
      <c r="Q8" s="66">
        <f t="shared" ca="1" si="0"/>
        <v>-6.793012732837056E-3</v>
      </c>
      <c r="R8" s="69">
        <f ca="1">INDEX(INDIRECT("'"&amp;$A8&amp;"'!$1:$1048576"),MATCH(R$4,INDIRECT("'"&amp;$A8&amp;"'!A:A"),0),MATCH(R$1,INDIRECT("'"&amp;$A8&amp;"'!$5:$5"),0))</f>
        <v>25484.567499999994</v>
      </c>
      <c r="S8" s="67" cm="1">
        <f t="array" aca="1" ref="S8" ca="1">INDEX(INDIRECT("'"&amp;$A8&amp;"'!$1:$1048576"),MATCH(S$4,INDIRECT("'"&amp;$A8&amp;"'!A:A"),0),MATCH(S$1,INDIRECT("'"&amp;$A8&amp;"'!$5:$5"),0)+1)</f>
        <v>0.25380399333832132</v>
      </c>
      <c r="T8" s="67" cm="1">
        <f t="array" aca="1" ref="T8" ca="1">INDEX(INDIRECT("'"&amp;$A8&amp;"'!$1:$1048576"),MATCH(T$4,INDIRECT("'"&amp;$A8&amp;"'!A:A"),0),MATCH(T$1,INDIRECT("'"&amp;$A8&amp;"'!$5:$5"),0)+1)</f>
        <v>0.29333340658027651</v>
      </c>
      <c r="U8" s="66" cm="1">
        <f t="array" aca="1" ref="U8" ca="1">INDEX(INDIRECT("'"&amp;$A8&amp;"'!$1:$1048576"),MATCH(U$4,INDIRECT("'"&amp;$A8&amp;"'!A:A"),0),MATCH(U$1,INDIRECT("'"&amp;$A8&amp;"'!$5:$5"),0)+1)</f>
        <v>0.45286260008140222</v>
      </c>
      <c r="V8" s="68">
        <f ca="1">+(C8-R8)/R8</f>
        <v>8.6441431662515306E-2</v>
      </c>
      <c r="W8" s="67">
        <f t="shared" ca="1" si="1"/>
        <v>-3.6018262224144504E-3</v>
      </c>
      <c r="X8" s="66">
        <f t="shared" ca="1" si="1"/>
        <v>-1.8584413442942649E-2</v>
      </c>
      <c r="AK8" t="s">
        <v>207</v>
      </c>
      <c r="AL8" s="45">
        <v>46054</v>
      </c>
      <c r="AM8">
        <f t="shared" si="2"/>
        <v>2026</v>
      </c>
      <c r="AN8" t="str">
        <f t="shared" si="3"/>
        <v>Week 5, 2026</v>
      </c>
      <c r="AO8" t="str">
        <f t="shared" si="4"/>
        <v>Week Ending 02/01/2026</v>
      </c>
    </row>
    <row r="9" spans="1:41" ht="15" customHeight="1" thickBot="1">
      <c r="A9" t="s">
        <v>2</v>
      </c>
      <c r="B9" s="65" t="s">
        <v>206</v>
      </c>
      <c r="C9" s="63">
        <f ca="1">INDEX(INDIRECT("'"&amp;$A9&amp;"'!$1:$1048576"),MATCH(C$4,INDIRECT("'"&amp;$A9&amp;"'!A:A"),0),MATCH(C$1,INDIRECT("'"&amp;$A9&amp;"'!$5:$5"),0))</f>
        <v>110487.90999999999</v>
      </c>
      <c r="D9" s="61" cm="1">
        <f t="array" aca="1" ref="D9" ca="1">INDEX(INDIRECT("'"&amp;$A9&amp;"'!$1:$1048576"),MATCH(D$4,INDIRECT("'"&amp;$A9&amp;"'!A:A"),0),MATCH(D$1,INDIRECT("'"&amp;$A9&amp;"'!$5:$5"),0)+1)</f>
        <v>0.25854711162515431</v>
      </c>
      <c r="E9" s="61" cm="1">
        <f t="array" aca="1" ref="E9" ca="1">INDEX(INDIRECT("'"&amp;$A9&amp;"'!$1:$1048576"),MATCH(E$4,INDIRECT("'"&amp;$A9&amp;"'!A:A"),0),MATCH(E$1,INDIRECT("'"&amp;$A9&amp;"'!$5:$5"),0)+1)</f>
        <v>0.28724156335294965</v>
      </c>
      <c r="F9" s="60" cm="1">
        <f t="array" aca="1" ref="F9" ca="1">INDEX(INDIRECT("'"&amp;$A9&amp;"'!$1:$1048576"),MATCH(F$4,INDIRECT("'"&amp;$A9&amp;"'!A:A"),0),MATCH(F$1,INDIRECT("'"&amp;$A9&amp;"'!$5:$5"),0)+1)</f>
        <v>0.45421132502189593</v>
      </c>
      <c r="G9" s="63">
        <f ca="1">INDEX(INDIRECT("'"&amp;$A9&amp;"'!$1:$1048576"),MATCH(G$4,INDIRECT("'"&amp;$A9&amp;"'!A:A"),0),MATCH(G$1,INDIRECT("'"&amp;$A9&amp;"'!$5:$5"),0))</f>
        <v>361378.86000000004</v>
      </c>
      <c r="H9" s="61" cm="1">
        <f t="array" aca="1" ref="H9" ca="1">INDEX(INDIRECT("'"&amp;$A9&amp;"'!$1:$1048576"),MATCH(H$4,INDIRECT("'"&amp;$A9&amp;"'!A:A"),0),MATCH(H$1,INDIRECT("'"&amp;$A9&amp;"'!$5:$5"),0)+1)</f>
        <v>0.24038755338372583</v>
      </c>
      <c r="I9" s="61" cm="1">
        <f t="array" aca="1" ref="I9" ca="1">INDEX(INDIRECT("'"&amp;$A9&amp;"'!$1:$1048576"),MATCH(I$4,INDIRECT("'"&amp;$A9&amp;"'!A:A"),0),MATCH(I$1,INDIRECT("'"&amp;$A9&amp;"'!$5:$5"),0)+1)</f>
        <v>0.27176044553353229</v>
      </c>
      <c r="J9" s="60" cm="1">
        <f t="array" aca="1" ref="J9" ca="1">INDEX(INDIRECT("'"&amp;$A9&amp;"'!$1:$1048576"),MATCH(J$4,INDIRECT("'"&amp;$A9&amp;"'!A:A"),0),MATCH(J$1,INDIRECT("'"&amp;$A9&amp;"'!$5:$5"),0)+1)</f>
        <v>0.48785200108274207</v>
      </c>
      <c r="K9" s="63">
        <f ca="1">INDEX(INDIRECT("'"&amp;$A9&amp;"'!$1:$1048576"),MATCH(K$4,INDIRECT("'"&amp;$A9&amp;"'!A:A"),0),MATCH(K$1,INDIRECT("'"&amp;$A9&amp;"'!$5:$5"),0))</f>
        <v>122083.44749999999</v>
      </c>
      <c r="L9" s="61" cm="1">
        <f t="array" aca="1" ref="L9" ca="1">INDEX(INDIRECT("'"&amp;$A9&amp;"'!$1:$1048576"),MATCH(L$4,INDIRECT("'"&amp;$A9&amp;"'!A:A"),0),MATCH(L$1,INDIRECT("'"&amp;$A9&amp;"'!$5:$5"),0)+1)</f>
        <v>0.2416017535874386</v>
      </c>
      <c r="M9" s="61" cm="1">
        <f t="array" aca="1" ref="M9" ca="1">INDEX(INDIRECT("'"&amp;$A9&amp;"'!$1:$1048576"),MATCH(M$4,INDIRECT("'"&amp;$A9&amp;"'!A:A"),0),MATCH(M$1,INDIRECT("'"&amp;$A9&amp;"'!$5:$5"),0)+1)</f>
        <v>0.26915356399973883</v>
      </c>
      <c r="N9" s="64" cm="1">
        <f t="array" aca="1" ref="N9" ca="1">INDEX(INDIRECT("'"&amp;$A9&amp;"'!$1:$1048576"),MATCH(N$4,INDIRECT("'"&amp;$A9&amp;"'!A:A"),0),MATCH(N$1,INDIRECT("'"&amp;$A9&amp;"'!$5:$5"),0)+1)</f>
        <v>0.48924468241282254</v>
      </c>
      <c r="O9" s="62">
        <f ca="1">+(C9-K9)/K9</f>
        <v>-9.4980423124109481E-2</v>
      </c>
      <c r="P9" s="61">
        <f t="shared" ca="1" si="0"/>
        <v>1.6945358037715713E-2</v>
      </c>
      <c r="Q9" s="60">
        <f t="shared" ca="1" si="0"/>
        <v>1.8087999353210815E-2</v>
      </c>
      <c r="R9" s="63">
        <f ca="1">INDEX(INDIRECT("'"&amp;$A9&amp;"'!$1:$1048576"),MATCH(R$4,INDIRECT("'"&amp;$A9&amp;"'!A:A"),0),MATCH(R$1,INDIRECT("'"&amp;$A9&amp;"'!$5:$5"),0))</f>
        <v>124826.42750000001</v>
      </c>
      <c r="S9" s="61" cm="1">
        <f t="array" aca="1" ref="S9" ca="1">INDEX(INDIRECT("'"&amp;$A9&amp;"'!$1:$1048576"),MATCH(S$4,INDIRECT("'"&amp;$A9&amp;"'!A:A"),0),MATCH(S$1,INDIRECT("'"&amp;$A9&amp;"'!$5:$5"),0)+1)</f>
        <v>0.24658323054226641</v>
      </c>
      <c r="T9" s="61" cm="1">
        <f t="array" aca="1" ref="T9" ca="1">INDEX(INDIRECT("'"&amp;$A9&amp;"'!$1:$1048576"),MATCH(T$4,INDIRECT("'"&amp;$A9&amp;"'!A:A"),0),MATCH(T$1,INDIRECT("'"&amp;$A9&amp;"'!$5:$5"),0)+1)</f>
        <v>0.2677357825529374</v>
      </c>
      <c r="U9" s="60" cm="1">
        <f t="array" aca="1" ref="U9" ca="1">INDEX(INDIRECT("'"&amp;$A9&amp;"'!$1:$1048576"),MATCH(U$4,INDIRECT("'"&amp;$A9&amp;"'!A:A"),0),MATCH(U$1,INDIRECT("'"&amp;$A9&amp;"'!$5:$5"),0)+1)</f>
        <v>0.48568098690479644</v>
      </c>
      <c r="V9" s="62">
        <f ca="1">+(C9-R9)/R9</f>
        <v>-0.11486764291159431</v>
      </c>
      <c r="W9" s="61">
        <f t="shared" ca="1" si="1"/>
        <v>1.1963881082887901E-2</v>
      </c>
      <c r="X9" s="60">
        <f t="shared" ca="1" si="1"/>
        <v>1.9505780800012251E-2</v>
      </c>
      <c r="AK9" t="s">
        <v>205</v>
      </c>
      <c r="AL9" s="45">
        <v>46061</v>
      </c>
      <c r="AM9">
        <f t="shared" si="2"/>
        <v>2026</v>
      </c>
      <c r="AN9" t="str">
        <f t="shared" si="3"/>
        <v>Week 6, 2026</v>
      </c>
      <c r="AO9" t="str">
        <f t="shared" si="4"/>
        <v>Week Ending 02/08/2026</v>
      </c>
    </row>
    <row r="10" spans="1:41" ht="14.4">
      <c r="E10" s="59"/>
      <c r="AK10" t="s">
        <v>204</v>
      </c>
      <c r="AL10" s="45">
        <v>46068</v>
      </c>
      <c r="AM10">
        <f t="shared" si="2"/>
        <v>2026</v>
      </c>
      <c r="AN10" t="str">
        <f t="shared" si="3"/>
        <v>Week 7, 2026</v>
      </c>
      <c r="AO10" t="str">
        <f t="shared" si="4"/>
        <v>Week Ending 02/15/2026</v>
      </c>
    </row>
    <row r="11" spans="1:41" s="46" customFormat="1" ht="14.4">
      <c r="C11" s="58"/>
      <c r="E11" s="53"/>
      <c r="F11" s="52"/>
      <c r="K11" s="56"/>
      <c r="M11" s="56"/>
      <c r="O11" s="47"/>
      <c r="P11" s="47"/>
      <c r="Q11" s="47"/>
      <c r="V11" s="47"/>
      <c r="W11" s="47"/>
      <c r="X11" s="47"/>
      <c r="AK11" t="s">
        <v>203</v>
      </c>
      <c r="AL11" s="45">
        <v>46075</v>
      </c>
      <c r="AM11">
        <f t="shared" si="2"/>
        <v>2026</v>
      </c>
      <c r="AN11" t="str">
        <f t="shared" si="3"/>
        <v>Week 8, 2026</v>
      </c>
      <c r="AO11" t="str">
        <f t="shared" si="4"/>
        <v>Week Ending 02/22/2026</v>
      </c>
    </row>
    <row r="12" spans="1:41" s="46" customFormat="1" ht="15.6">
      <c r="A12"/>
      <c r="B12" s="57" t="s">
        <v>202</v>
      </c>
      <c r="C12" s="54"/>
      <c r="E12" s="53"/>
      <c r="F12" s="52"/>
      <c r="H12" s="56"/>
      <c r="K12" s="56"/>
      <c r="L12" s="56"/>
      <c r="O12" s="47"/>
      <c r="P12" s="47"/>
      <c r="Q12" s="55"/>
      <c r="V12" s="47"/>
      <c r="W12" s="47"/>
      <c r="X12" s="47"/>
      <c r="AK12" t="s">
        <v>201</v>
      </c>
      <c r="AL12" s="45">
        <v>46082</v>
      </c>
      <c r="AM12">
        <f t="shared" si="2"/>
        <v>2026</v>
      </c>
      <c r="AN12" t="str">
        <f t="shared" si="3"/>
        <v>Week 9, 2026</v>
      </c>
      <c r="AO12" t="str">
        <f t="shared" si="4"/>
        <v>Week Ending 03/01/2026</v>
      </c>
    </row>
    <row r="13" spans="1:41" s="46" customFormat="1" ht="14.4">
      <c r="A13"/>
      <c r="C13" s="54"/>
      <c r="E13" s="53"/>
      <c r="F13" s="52"/>
      <c r="O13" s="47"/>
      <c r="P13" s="47"/>
      <c r="Q13" s="47"/>
      <c r="V13" s="47"/>
      <c r="W13" s="47"/>
      <c r="X13" s="47"/>
      <c r="AK13" t="s">
        <v>200</v>
      </c>
      <c r="AL13" s="45">
        <v>46089</v>
      </c>
      <c r="AM13">
        <f t="shared" si="2"/>
        <v>2026</v>
      </c>
      <c r="AN13" t="str">
        <f t="shared" si="3"/>
        <v>Week 10, 2026</v>
      </c>
      <c r="AO13" t="str">
        <f t="shared" si="4"/>
        <v>Week Ending 03/08/2026</v>
      </c>
    </row>
    <row r="14" spans="1:41" s="46" customFormat="1" ht="14.4">
      <c r="B14" s="51" t="s">
        <v>199</v>
      </c>
      <c r="C14" s="48"/>
      <c r="O14" s="47"/>
      <c r="P14" s="47"/>
      <c r="Q14" s="47"/>
      <c r="V14" s="47"/>
      <c r="W14" s="47"/>
      <c r="X14" s="47"/>
      <c r="AK14" t="s">
        <v>198</v>
      </c>
      <c r="AL14" s="45">
        <v>46124</v>
      </c>
      <c r="AM14">
        <f t="shared" si="2"/>
        <v>2026</v>
      </c>
      <c r="AN14" t="str">
        <f t="shared" si="3"/>
        <v>Week 15, 2026</v>
      </c>
      <c r="AO14" t="str">
        <f t="shared" si="4"/>
        <v>Week Ending 04/12/2026</v>
      </c>
    </row>
    <row r="15" spans="1:41" s="46" customFormat="1" ht="14.4">
      <c r="B15" s="49" t="s">
        <v>182</v>
      </c>
      <c r="C15" s="48" t="s">
        <v>246</v>
      </c>
      <c r="O15" s="47"/>
      <c r="P15" s="47"/>
      <c r="Q15" s="47"/>
      <c r="V15" s="47"/>
      <c r="W15" s="47"/>
      <c r="X15" s="47"/>
      <c r="AK15" t="s">
        <v>197</v>
      </c>
      <c r="AL15" s="45">
        <v>46131</v>
      </c>
      <c r="AM15">
        <f t="shared" si="2"/>
        <v>2026</v>
      </c>
      <c r="AN15" t="str">
        <f t="shared" si="3"/>
        <v>Week 16, 2026</v>
      </c>
      <c r="AO15" t="str">
        <f t="shared" si="4"/>
        <v>Week Ending 04/19/2026</v>
      </c>
    </row>
    <row r="16" spans="1:41" s="46" customFormat="1" ht="14.4">
      <c r="B16" s="49" t="s">
        <v>180</v>
      </c>
      <c r="C16" s="48" t="s">
        <v>246</v>
      </c>
      <c r="O16" s="47"/>
      <c r="P16" s="47"/>
      <c r="Q16" s="47"/>
      <c r="V16" s="47"/>
      <c r="W16" s="47"/>
      <c r="X16" s="47"/>
      <c r="AK16" t="s">
        <v>196</v>
      </c>
      <c r="AL16" s="45">
        <v>46138</v>
      </c>
      <c r="AM16">
        <f t="shared" si="2"/>
        <v>2026</v>
      </c>
      <c r="AN16" t="str">
        <f t="shared" si="3"/>
        <v>Week 17, 2026</v>
      </c>
      <c r="AO16" t="str">
        <f t="shared" si="4"/>
        <v>Week Ending 04/26/2026</v>
      </c>
    </row>
    <row r="17" spans="2:41" s="46" customFormat="1" ht="14.4">
      <c r="B17" s="49"/>
      <c r="C17" s="48"/>
      <c r="O17" s="47"/>
      <c r="P17" s="47"/>
      <c r="Q17" s="47"/>
      <c r="V17" s="47"/>
      <c r="W17" s="47"/>
      <c r="X17" s="47"/>
      <c r="AK17" t="s">
        <v>195</v>
      </c>
      <c r="AL17" s="45">
        <v>46145</v>
      </c>
      <c r="AM17">
        <f t="shared" si="2"/>
        <v>2026</v>
      </c>
      <c r="AN17" t="str">
        <f t="shared" si="3"/>
        <v>Week 18, 2026</v>
      </c>
      <c r="AO17" t="str">
        <f t="shared" si="4"/>
        <v>Week Ending 05/03/2026</v>
      </c>
    </row>
    <row r="18" spans="2:41" s="46" customFormat="1" ht="14.4">
      <c r="B18" s="51" t="s">
        <v>194</v>
      </c>
      <c r="C18" s="48"/>
      <c r="O18" s="47"/>
      <c r="P18" s="47"/>
      <c r="Q18" s="47"/>
      <c r="V18" s="47"/>
      <c r="W18" s="47"/>
      <c r="X18" s="47"/>
      <c r="AK18" t="s">
        <v>193</v>
      </c>
      <c r="AL18" s="45">
        <v>46152</v>
      </c>
      <c r="AM18">
        <f t="shared" si="2"/>
        <v>2026</v>
      </c>
      <c r="AN18" t="str">
        <f t="shared" si="3"/>
        <v>Week 19, 2026</v>
      </c>
      <c r="AO18" t="str">
        <f t="shared" si="4"/>
        <v>Week Ending 05/10/2026</v>
      </c>
    </row>
    <row r="19" spans="2:41" s="46" customFormat="1" ht="14.4">
      <c r="B19" s="49" t="s">
        <v>182</v>
      </c>
      <c r="C19" s="48" t="s">
        <v>247</v>
      </c>
      <c r="O19" s="47"/>
      <c r="P19" s="47"/>
      <c r="Q19" s="47"/>
      <c r="V19" s="47"/>
      <c r="W19" s="47"/>
      <c r="X19" s="47"/>
      <c r="AK19" t="s">
        <v>192</v>
      </c>
      <c r="AL19" s="45">
        <v>46159</v>
      </c>
      <c r="AM19">
        <f t="shared" si="2"/>
        <v>2026</v>
      </c>
      <c r="AN19" t="str">
        <f t="shared" si="3"/>
        <v>Week 20, 2026</v>
      </c>
      <c r="AO19" t="str">
        <f t="shared" si="4"/>
        <v>Week Ending 05/17/2026</v>
      </c>
    </row>
    <row r="20" spans="2:41" s="46" customFormat="1" ht="14.4">
      <c r="B20" s="49" t="s">
        <v>180</v>
      </c>
      <c r="C20" s="48" t="s">
        <v>246</v>
      </c>
      <c r="O20" s="47"/>
      <c r="P20" s="47"/>
      <c r="Q20" s="47"/>
      <c r="V20" s="47"/>
      <c r="W20" s="47"/>
      <c r="X20" s="47"/>
      <c r="AK20" t="s">
        <v>191</v>
      </c>
      <c r="AL20" s="45">
        <v>46166</v>
      </c>
      <c r="AM20">
        <f t="shared" si="2"/>
        <v>2026</v>
      </c>
      <c r="AN20" t="str">
        <f t="shared" si="3"/>
        <v>Week 21, 2026</v>
      </c>
      <c r="AO20" t="str">
        <f t="shared" si="4"/>
        <v>Week Ending 05/24/2026</v>
      </c>
    </row>
    <row r="21" spans="2:41" s="46" customFormat="1" ht="14.4">
      <c r="B21" s="49"/>
      <c r="C21" s="48"/>
      <c r="O21" s="47"/>
      <c r="P21" s="47"/>
      <c r="Q21" s="47"/>
      <c r="V21" s="47"/>
      <c r="W21" s="47"/>
      <c r="X21" s="47"/>
      <c r="AK21" t="s">
        <v>190</v>
      </c>
      <c r="AL21" s="45">
        <v>46173</v>
      </c>
      <c r="AM21">
        <f t="shared" si="2"/>
        <v>2026</v>
      </c>
      <c r="AN21" t="str">
        <f t="shared" si="3"/>
        <v>Week 22, 2026</v>
      </c>
      <c r="AO21" t="str">
        <f t="shared" si="4"/>
        <v>Week Ending 05/31/2026</v>
      </c>
    </row>
    <row r="22" spans="2:41" s="46" customFormat="1" ht="14.4">
      <c r="B22" s="51" t="s">
        <v>189</v>
      </c>
      <c r="C22" s="48"/>
      <c r="O22" s="47"/>
      <c r="P22" s="47"/>
      <c r="Q22" s="47"/>
      <c r="V22" s="47"/>
      <c r="W22" s="47"/>
      <c r="X22" s="47"/>
      <c r="AK22" t="s">
        <v>188</v>
      </c>
      <c r="AL22" s="45">
        <v>46180</v>
      </c>
      <c r="AM22">
        <f t="shared" si="2"/>
        <v>2026</v>
      </c>
      <c r="AN22" t="str">
        <f t="shared" si="3"/>
        <v>Week 23, 2026</v>
      </c>
      <c r="AO22" t="str">
        <f t="shared" si="4"/>
        <v>Week Ending 06/07/2026</v>
      </c>
    </row>
    <row r="23" spans="2:41" s="46" customFormat="1" ht="14.4">
      <c r="B23" s="49" t="s">
        <v>182</v>
      </c>
      <c r="C23" s="48" t="s">
        <v>246</v>
      </c>
      <c r="O23" s="47"/>
      <c r="P23" s="47"/>
      <c r="Q23" s="47"/>
      <c r="V23" s="47"/>
      <c r="W23" s="47"/>
      <c r="X23" s="47"/>
      <c r="AK23" t="s">
        <v>187</v>
      </c>
      <c r="AL23" s="45">
        <v>46187</v>
      </c>
      <c r="AM23">
        <f t="shared" si="2"/>
        <v>2026</v>
      </c>
      <c r="AN23" t="str">
        <f t="shared" si="3"/>
        <v>Week 24, 2026</v>
      </c>
      <c r="AO23" t="str">
        <f t="shared" si="4"/>
        <v>Week Ending 06/14/2026</v>
      </c>
    </row>
    <row r="24" spans="2:41" s="46" customFormat="1" ht="14.4">
      <c r="B24" s="49" t="s">
        <v>180</v>
      </c>
      <c r="C24" s="48" t="s">
        <v>248</v>
      </c>
      <c r="O24" s="47"/>
      <c r="P24" s="47"/>
      <c r="Q24" s="47"/>
      <c r="V24" s="47"/>
      <c r="W24" s="47"/>
      <c r="X24" s="47"/>
      <c r="AK24" t="s">
        <v>186</v>
      </c>
      <c r="AL24" s="45">
        <v>46194</v>
      </c>
      <c r="AM24">
        <f t="shared" si="2"/>
        <v>2026</v>
      </c>
      <c r="AN24" t="str">
        <f t="shared" si="3"/>
        <v>Week 25, 2026</v>
      </c>
      <c r="AO24" t="str">
        <f t="shared" si="4"/>
        <v>Week Ending 06/21/2026</v>
      </c>
    </row>
    <row r="25" spans="2:41" s="46" customFormat="1" ht="14.4">
      <c r="B25" s="49"/>
      <c r="C25" s="48"/>
      <c r="O25" s="47"/>
      <c r="P25" s="47"/>
      <c r="Q25" s="47"/>
      <c r="V25" s="47"/>
      <c r="W25" s="47"/>
      <c r="X25" s="47"/>
      <c r="AK25" t="s">
        <v>185</v>
      </c>
      <c r="AL25" s="45">
        <v>46201</v>
      </c>
      <c r="AM25">
        <f t="shared" si="2"/>
        <v>2026</v>
      </c>
      <c r="AN25" t="str">
        <f t="shared" si="3"/>
        <v>Week 26, 2026</v>
      </c>
      <c r="AO25" t="str">
        <f t="shared" si="4"/>
        <v>Week Ending 06/28/2026</v>
      </c>
    </row>
    <row r="26" spans="2:41" s="46" customFormat="1" ht="14.4">
      <c r="B26" s="51" t="s">
        <v>184</v>
      </c>
      <c r="C26" s="50"/>
      <c r="O26" s="47"/>
      <c r="P26" s="47"/>
      <c r="Q26" s="47"/>
      <c r="V26" s="47"/>
      <c r="W26" s="47"/>
      <c r="X26" s="47"/>
      <c r="AK26" t="s">
        <v>183</v>
      </c>
      <c r="AL26" s="45">
        <v>46208</v>
      </c>
      <c r="AM26">
        <f t="shared" si="2"/>
        <v>2026</v>
      </c>
      <c r="AN26" t="str">
        <f t="shared" si="3"/>
        <v>Week 27, 2026</v>
      </c>
      <c r="AO26" t="str">
        <f t="shared" si="4"/>
        <v>Week Ending 07/05/2026</v>
      </c>
    </row>
    <row r="27" spans="2:41" s="46" customFormat="1" ht="14.4">
      <c r="B27" s="49" t="s">
        <v>182</v>
      </c>
      <c r="C27" s="48" t="s">
        <v>246</v>
      </c>
      <c r="O27" s="47"/>
      <c r="P27" s="47"/>
      <c r="Q27" s="47"/>
      <c r="V27" s="47"/>
      <c r="W27" s="47"/>
      <c r="X27" s="47"/>
      <c r="AK27" t="s">
        <v>181</v>
      </c>
      <c r="AL27" s="45">
        <v>46215</v>
      </c>
      <c r="AM27">
        <f t="shared" si="2"/>
        <v>2026</v>
      </c>
      <c r="AN27" t="str">
        <f t="shared" si="3"/>
        <v>Week 28, 2026</v>
      </c>
      <c r="AO27" t="str">
        <f t="shared" si="4"/>
        <v>Week Ending 07/12/2026</v>
      </c>
    </row>
    <row r="28" spans="2:41" s="46" customFormat="1" ht="14.4">
      <c r="B28" s="49" t="s">
        <v>180</v>
      </c>
      <c r="C28" s="48" t="s">
        <v>246</v>
      </c>
      <c r="O28" s="47"/>
      <c r="P28" s="47"/>
      <c r="Q28" s="47"/>
      <c r="V28" s="47"/>
      <c r="W28" s="47"/>
      <c r="X28" s="47"/>
      <c r="AK28" t="s">
        <v>179</v>
      </c>
      <c r="AL28" s="45">
        <v>46222</v>
      </c>
      <c r="AM28">
        <f t="shared" si="2"/>
        <v>2026</v>
      </c>
      <c r="AN28" t="str">
        <f t="shared" si="3"/>
        <v>Week 29, 2026</v>
      </c>
      <c r="AO28" t="str">
        <f t="shared" si="4"/>
        <v>Week Ending 07/19/2026</v>
      </c>
    </row>
    <row r="29" spans="2:41" s="46" customFormat="1" ht="14.4">
      <c r="B29" s="49"/>
      <c r="C29" s="48"/>
      <c r="L29"/>
      <c r="O29" s="47"/>
      <c r="P29" s="47"/>
      <c r="Q29" s="47"/>
      <c r="V29" s="47"/>
      <c r="W29" s="47"/>
      <c r="X29" s="47"/>
      <c r="AK29" t="s">
        <v>178</v>
      </c>
      <c r="AL29" s="45">
        <v>46229</v>
      </c>
      <c r="AM29">
        <f t="shared" si="2"/>
        <v>2026</v>
      </c>
      <c r="AN29" t="str">
        <f t="shared" si="3"/>
        <v>Week 30, 2026</v>
      </c>
      <c r="AO29" t="str">
        <f t="shared" si="4"/>
        <v>Week Ending 07/26/2026</v>
      </c>
    </row>
    <row r="30" spans="2:41" ht="14.4">
      <c r="AK30" t="s">
        <v>177</v>
      </c>
      <c r="AL30" s="45">
        <v>46236</v>
      </c>
      <c r="AM30">
        <f t="shared" si="2"/>
        <v>2026</v>
      </c>
      <c r="AN30" t="str">
        <f t="shared" si="3"/>
        <v>Week 31, 2026</v>
      </c>
      <c r="AO30" t="str">
        <f t="shared" si="4"/>
        <v>Week Ending 08/02/2026</v>
      </c>
    </row>
    <row r="31" spans="2:41" ht="14.4">
      <c r="AK31" t="s">
        <v>176</v>
      </c>
      <c r="AL31" s="45">
        <v>46243</v>
      </c>
      <c r="AM31">
        <f t="shared" si="2"/>
        <v>2026</v>
      </c>
      <c r="AN31" t="str">
        <f t="shared" si="3"/>
        <v>Week 32, 2026</v>
      </c>
      <c r="AO31" t="str">
        <f t="shared" si="4"/>
        <v>Week Ending 08/09/2026</v>
      </c>
    </row>
    <row r="32" spans="2:41" ht="14.4">
      <c r="AK32" t="s">
        <v>175</v>
      </c>
      <c r="AL32" s="45">
        <v>46250</v>
      </c>
      <c r="AM32">
        <f t="shared" si="2"/>
        <v>2026</v>
      </c>
      <c r="AN32" t="str">
        <f t="shared" si="3"/>
        <v>Week 33, 2026</v>
      </c>
      <c r="AO32" t="str">
        <f t="shared" si="4"/>
        <v>Week Ending 08/16/2026</v>
      </c>
    </row>
    <row r="33" spans="37:41" ht="14.4">
      <c r="AK33" t="s">
        <v>174</v>
      </c>
      <c r="AL33" s="45">
        <v>46257</v>
      </c>
      <c r="AM33">
        <f t="shared" si="2"/>
        <v>2026</v>
      </c>
      <c r="AN33" t="str">
        <f t="shared" si="3"/>
        <v>Week 34, 2026</v>
      </c>
      <c r="AO33" t="str">
        <f t="shared" si="4"/>
        <v>Week Ending 08/23/2026</v>
      </c>
    </row>
    <row r="34" spans="37:41" ht="14.4">
      <c r="AK34" t="s">
        <v>173</v>
      </c>
      <c r="AL34" s="45">
        <v>46264</v>
      </c>
      <c r="AM34">
        <f t="shared" si="2"/>
        <v>2026</v>
      </c>
      <c r="AN34" t="str">
        <f t="shared" si="3"/>
        <v>Week 35, 2026</v>
      </c>
      <c r="AO34" t="str">
        <f t="shared" si="4"/>
        <v>Week Ending 08/30/2026</v>
      </c>
    </row>
    <row r="35" spans="37:41" ht="14.4">
      <c r="AK35" t="s">
        <v>172</v>
      </c>
      <c r="AL35" s="45">
        <v>46271</v>
      </c>
      <c r="AM35">
        <f t="shared" si="2"/>
        <v>2026</v>
      </c>
      <c r="AN35" t="str">
        <f t="shared" si="3"/>
        <v>Week 36, 2026</v>
      </c>
      <c r="AO35" t="str">
        <f t="shared" si="4"/>
        <v>Week Ending 09/06/2026</v>
      </c>
    </row>
    <row r="36" spans="37:41" ht="14.4">
      <c r="AK36" t="s">
        <v>171</v>
      </c>
      <c r="AL36" s="45">
        <v>46278</v>
      </c>
      <c r="AM36">
        <f t="shared" si="2"/>
        <v>2026</v>
      </c>
      <c r="AN36" t="str">
        <f t="shared" si="3"/>
        <v>Week 37, 2026</v>
      </c>
      <c r="AO36" t="str">
        <f t="shared" si="4"/>
        <v>Week Ending 09/13/2026</v>
      </c>
    </row>
    <row r="37" spans="37:41" ht="14.4">
      <c r="AK37" t="s">
        <v>170</v>
      </c>
      <c r="AL37" s="45">
        <v>46285</v>
      </c>
      <c r="AM37">
        <f t="shared" si="2"/>
        <v>2026</v>
      </c>
      <c r="AN37" t="str">
        <f t="shared" si="3"/>
        <v>Week 38, 2026</v>
      </c>
      <c r="AO37" t="str">
        <f t="shared" si="4"/>
        <v>Week Ending 09/20/2026</v>
      </c>
    </row>
    <row r="38" spans="37:41" ht="14.4">
      <c r="AK38" t="s">
        <v>169</v>
      </c>
      <c r="AL38" s="45">
        <v>46292</v>
      </c>
      <c r="AM38">
        <f t="shared" si="2"/>
        <v>2026</v>
      </c>
      <c r="AN38" t="str">
        <f t="shared" si="3"/>
        <v>Week 39, 2026</v>
      </c>
      <c r="AO38" t="str">
        <f t="shared" si="4"/>
        <v>Week Ending 09/27/2026</v>
      </c>
    </row>
    <row r="39" spans="37:41" ht="14.4">
      <c r="AK39" t="s">
        <v>168</v>
      </c>
      <c r="AL39" s="45">
        <v>46299</v>
      </c>
      <c r="AM39">
        <f t="shared" si="2"/>
        <v>2026</v>
      </c>
      <c r="AN39" t="str">
        <f t="shared" si="3"/>
        <v>Week 40, 2026</v>
      </c>
      <c r="AO39" t="str">
        <f t="shared" si="4"/>
        <v>Week Ending 10/04/2026</v>
      </c>
    </row>
    <row r="40" spans="37:41" ht="14.4">
      <c r="AK40" t="s">
        <v>167</v>
      </c>
      <c r="AL40" s="45">
        <v>46306</v>
      </c>
      <c r="AM40">
        <f t="shared" si="2"/>
        <v>2026</v>
      </c>
      <c r="AN40" t="str">
        <f t="shared" si="3"/>
        <v>Week 41, 2026</v>
      </c>
      <c r="AO40" t="str">
        <f t="shared" si="4"/>
        <v>Week Ending 10/11/2026</v>
      </c>
    </row>
    <row r="41" spans="37:41" ht="14.4">
      <c r="AK41" t="s">
        <v>166</v>
      </c>
      <c r="AL41" s="45">
        <v>46313</v>
      </c>
      <c r="AM41">
        <f t="shared" si="2"/>
        <v>2026</v>
      </c>
      <c r="AN41" t="str">
        <f t="shared" si="3"/>
        <v>Week 42, 2026</v>
      </c>
      <c r="AO41" t="str">
        <f t="shared" si="4"/>
        <v>Week Ending 10/18/2026</v>
      </c>
    </row>
    <row r="42" spans="37:41" ht="14.4">
      <c r="AK42" t="s">
        <v>165</v>
      </c>
      <c r="AL42" s="45">
        <v>46320</v>
      </c>
      <c r="AM42">
        <f t="shared" si="2"/>
        <v>2026</v>
      </c>
      <c r="AN42" t="str">
        <f t="shared" si="3"/>
        <v>Week 43, 2026</v>
      </c>
      <c r="AO42" t="str">
        <f t="shared" si="4"/>
        <v>Week Ending 10/25/2026</v>
      </c>
    </row>
    <row r="43" spans="37:41" ht="14.4">
      <c r="AK43" t="s">
        <v>164</v>
      </c>
      <c r="AL43" s="45">
        <v>46327</v>
      </c>
      <c r="AM43">
        <f t="shared" si="2"/>
        <v>2026</v>
      </c>
      <c r="AN43" t="str">
        <f t="shared" si="3"/>
        <v>Week 44, 2026</v>
      </c>
      <c r="AO43" t="str">
        <f t="shared" si="4"/>
        <v>Week Ending 11/01/2026</v>
      </c>
    </row>
    <row r="44" spans="37:41" ht="14.4">
      <c r="AK44" t="s">
        <v>163</v>
      </c>
      <c r="AL44" s="45">
        <v>46334</v>
      </c>
      <c r="AM44">
        <f t="shared" si="2"/>
        <v>2026</v>
      </c>
      <c r="AN44" t="str">
        <f t="shared" si="3"/>
        <v>Week 45, 2026</v>
      </c>
      <c r="AO44" t="str">
        <f t="shared" si="4"/>
        <v>Week Ending 11/08/2026</v>
      </c>
    </row>
    <row r="45" spans="37:41" ht="14.4">
      <c r="AK45" t="s">
        <v>162</v>
      </c>
      <c r="AL45" s="45">
        <v>46341</v>
      </c>
      <c r="AM45">
        <f t="shared" si="2"/>
        <v>2026</v>
      </c>
      <c r="AN45" t="str">
        <f t="shared" si="3"/>
        <v>Week 46, 2026</v>
      </c>
      <c r="AO45" t="str">
        <f t="shared" si="4"/>
        <v>Week Ending 11/15/2026</v>
      </c>
    </row>
    <row r="46" spans="37:41" ht="14.4">
      <c r="AK46" t="s">
        <v>161</v>
      </c>
      <c r="AL46" s="45">
        <v>46348</v>
      </c>
      <c r="AM46">
        <f t="shared" si="2"/>
        <v>2026</v>
      </c>
      <c r="AN46" t="str">
        <f t="shared" si="3"/>
        <v>Week 47, 2026</v>
      </c>
      <c r="AO46" t="str">
        <f t="shared" si="4"/>
        <v>Week Ending 11/22/2026</v>
      </c>
    </row>
    <row r="47" spans="37:41" ht="14.4">
      <c r="AK47" t="s">
        <v>160</v>
      </c>
      <c r="AL47" s="45">
        <v>46355</v>
      </c>
      <c r="AM47">
        <f t="shared" si="2"/>
        <v>2026</v>
      </c>
      <c r="AN47" t="str">
        <f t="shared" si="3"/>
        <v>Week 48, 2026</v>
      </c>
      <c r="AO47" t="str">
        <f t="shared" si="4"/>
        <v>Week Ending 11/29/2026</v>
      </c>
    </row>
    <row r="48" spans="37:41" ht="14.4">
      <c r="AK48" t="s">
        <v>159</v>
      </c>
      <c r="AL48" s="45">
        <v>46362</v>
      </c>
      <c r="AM48">
        <f t="shared" si="2"/>
        <v>2026</v>
      </c>
      <c r="AN48" t="str">
        <f t="shared" si="3"/>
        <v>Week 49, 2026</v>
      </c>
      <c r="AO48" t="str">
        <f t="shared" si="4"/>
        <v>Week Ending 12/06/2026</v>
      </c>
    </row>
    <row r="49" spans="37:41" ht="14.4">
      <c r="AK49" t="s">
        <v>158</v>
      </c>
      <c r="AL49" s="45">
        <v>46369</v>
      </c>
      <c r="AM49">
        <f t="shared" si="2"/>
        <v>2026</v>
      </c>
      <c r="AN49" t="str">
        <f t="shared" si="3"/>
        <v>Week 50, 2026</v>
      </c>
      <c r="AO49" t="str">
        <f t="shared" si="4"/>
        <v>Week Ending 12/13/2026</v>
      </c>
    </row>
    <row r="50" spans="37:41" ht="14.4">
      <c r="AK50" t="s">
        <v>157</v>
      </c>
      <c r="AL50" s="45">
        <v>46376</v>
      </c>
      <c r="AM50">
        <f t="shared" si="2"/>
        <v>2026</v>
      </c>
      <c r="AN50" t="str">
        <f t="shared" si="3"/>
        <v>Week 51, 2026</v>
      </c>
      <c r="AO50" t="str">
        <f t="shared" si="4"/>
        <v>Week Ending 12/20/2026</v>
      </c>
    </row>
    <row r="51" spans="37:41" ht="14.4">
      <c r="AK51" t="s">
        <v>156</v>
      </c>
      <c r="AL51" s="45">
        <v>46383</v>
      </c>
      <c r="AM51">
        <f t="shared" si="2"/>
        <v>2026</v>
      </c>
      <c r="AN51" t="str">
        <f t="shared" si="3"/>
        <v>Week 52, 2026</v>
      </c>
      <c r="AO51" t="str">
        <f t="shared" si="4"/>
        <v>Week Ending 12/27/2026</v>
      </c>
    </row>
    <row r="52" spans="37:41" ht="43.5" customHeight="1">
      <c r="AL52" s="45"/>
    </row>
    <row r="53" spans="37:41" ht="43.5" customHeight="1">
      <c r="AL53" s="45"/>
    </row>
    <row r="54" spans="37:41" ht="43.5" customHeight="1">
      <c r="AL54" s="45"/>
    </row>
    <row r="55" spans="37:41" ht="43.5" customHeight="1">
      <c r="AL55" s="45"/>
    </row>
    <row r="56" spans="37:41" ht="43.5" customHeight="1">
      <c r="AL56" s="45"/>
    </row>
    <row r="57" spans="37:41" ht="43.5" customHeight="1">
      <c r="AL57" s="45"/>
    </row>
    <row r="58" spans="37:41" ht="43.5" customHeight="1">
      <c r="AL58" s="45"/>
    </row>
    <row r="59" spans="37:41" ht="43.5" customHeight="1">
      <c r="AL59" s="45"/>
    </row>
    <row r="60" spans="37:41" ht="43.5" customHeight="1">
      <c r="AL60" s="45"/>
    </row>
    <row r="61" spans="37:41" ht="43.5" customHeight="1">
      <c r="AL61" s="45"/>
    </row>
    <row r="62" spans="37:41" ht="43.5" customHeight="1">
      <c r="AL62" s="45"/>
    </row>
    <row r="63" spans="37:41" ht="43.5" customHeight="1">
      <c r="AL63" s="45"/>
    </row>
    <row r="64" spans="37:41" ht="43.5" customHeight="1">
      <c r="AL64" s="45"/>
    </row>
    <row r="65" spans="38:38" ht="43.5" customHeight="1">
      <c r="AL65" s="45"/>
    </row>
  </sheetData>
  <mergeCells count="6">
    <mergeCell ref="V2:X2"/>
    <mergeCell ref="A1:B1"/>
    <mergeCell ref="G2:J2"/>
    <mergeCell ref="K2:N2"/>
    <mergeCell ref="O2:Q2"/>
    <mergeCell ref="R2:U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B2" xr:uid="{91DAC01A-2B00-459B-AF62-A1BAE58D6368}">
      <formula1>$AO$5:$AO$65</formula1>
    </dataValidation>
    <dataValidation type="list" allowBlank="1" showInputMessage="1" showErrorMessage="1" sqref="AO5:AO65" xr:uid="{FCF4CCE6-1817-459D-A566-B629C63297AB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65C4-BAD3-4DC0-9936-D345A6589D1B}">
  <sheetPr>
    <outlinePr summaryBelow="0"/>
  </sheetPr>
  <dimension ref="A1:M96"/>
  <sheetViews>
    <sheetView showGridLines="0" tabSelected="1" zoomScaleNormal="100" workbookViewId="0">
      <pane xSplit="1" ySplit="4" topLeftCell="B5" activePane="bottomRight" state="frozen"/>
      <selection activeCell="L16" sqref="L16"/>
      <selection pane="topRight" activeCell="L16" sqref="L16"/>
      <selection pane="bottomLeft" activeCell="L16" sqref="L16"/>
      <selection pane="bottomRight" activeCell="L16" sqref="L16"/>
    </sheetView>
  </sheetViews>
  <sheetFormatPr defaultRowHeight="14.4"/>
  <cols>
    <col min="1" max="1" width="42.88671875" customWidth="1"/>
    <col min="2" max="2" width="17.109375" style="110" customWidth="1"/>
    <col min="3" max="3" width="9.44140625" customWidth="1"/>
    <col min="4" max="4" width="17.109375" style="110" customWidth="1"/>
    <col min="5" max="5" width="9.44140625" customWidth="1"/>
    <col min="6" max="6" width="17.109375" style="110" customWidth="1"/>
    <col min="7" max="7" width="9.44140625" customWidth="1"/>
    <col min="8" max="8" width="17.109375" style="110" customWidth="1"/>
    <col min="9" max="9" width="9.44140625" customWidth="1"/>
    <col min="10" max="10" width="13.33203125" style="110" customWidth="1"/>
    <col min="11" max="11" width="8.6640625" customWidth="1"/>
    <col min="12" max="12" width="22" customWidth="1"/>
    <col min="13" max="13" width="21.33203125" bestFit="1" customWidth="1"/>
  </cols>
  <sheetData>
    <row r="1" spans="1:13" ht="33.6">
      <c r="A1" s="154" t="s">
        <v>0</v>
      </c>
      <c r="B1" s="154" t="s">
        <v>0</v>
      </c>
      <c r="C1" s="154" t="s">
        <v>0</v>
      </c>
      <c r="D1" s="154" t="s">
        <v>0</v>
      </c>
      <c r="E1" s="154" t="s">
        <v>0</v>
      </c>
      <c r="F1" s="154" t="s">
        <v>0</v>
      </c>
      <c r="G1" s="154" t="s">
        <v>0</v>
      </c>
      <c r="H1" s="154" t="s">
        <v>0</v>
      </c>
      <c r="I1" s="154" t="s">
        <v>0</v>
      </c>
    </row>
    <row r="2" spans="1:13" ht="23.4">
      <c r="A2" s="155" t="str">
        <f>+Summary!B2</f>
        <v>Week Ending 09/13/2026</v>
      </c>
      <c r="B2" s="155" t="s">
        <v>245</v>
      </c>
      <c r="C2" s="155" t="s">
        <v>245</v>
      </c>
      <c r="D2" s="155" t="s">
        <v>245</v>
      </c>
      <c r="E2" s="155" t="s">
        <v>245</v>
      </c>
      <c r="F2" s="155" t="s">
        <v>245</v>
      </c>
      <c r="G2" s="155" t="s">
        <v>245</v>
      </c>
      <c r="H2" s="155" t="s">
        <v>245</v>
      </c>
      <c r="I2" s="155" t="s">
        <v>245</v>
      </c>
    </row>
    <row r="3" spans="1:13" ht="15.6">
      <c r="A3" s="156"/>
      <c r="B3" s="156" t="s">
        <v>155</v>
      </c>
      <c r="C3" s="156" t="s">
        <v>155</v>
      </c>
      <c r="D3" s="156" t="s">
        <v>155</v>
      </c>
      <c r="E3" s="156" t="s">
        <v>155</v>
      </c>
      <c r="F3" s="156" t="s">
        <v>155</v>
      </c>
      <c r="G3" s="156" t="s">
        <v>155</v>
      </c>
      <c r="H3" s="156" t="s">
        <v>155</v>
      </c>
      <c r="I3" s="156" t="s">
        <v>155</v>
      </c>
    </row>
    <row r="4" spans="1:13">
      <c r="B4" s="153" t="s">
        <v>244</v>
      </c>
      <c r="C4" s="153"/>
      <c r="D4" s="153" t="s">
        <v>243</v>
      </c>
      <c r="E4" s="153"/>
      <c r="F4" s="153" t="s">
        <v>242</v>
      </c>
      <c r="G4" s="153"/>
      <c r="H4" s="153" t="s">
        <v>155</v>
      </c>
      <c r="I4" s="153"/>
      <c r="J4" s="153" t="s">
        <v>241</v>
      </c>
      <c r="K4" s="153"/>
    </row>
    <row r="5" spans="1:13" ht="18" customHeight="1">
      <c r="A5" s="133" t="s">
        <v>23</v>
      </c>
      <c r="B5" s="130"/>
      <c r="C5" s="129"/>
      <c r="D5" s="130"/>
      <c r="E5" s="129"/>
      <c r="F5" s="130"/>
      <c r="G5" s="129"/>
      <c r="H5" s="130"/>
      <c r="I5" s="129"/>
    </row>
    <row r="6" spans="1:13" ht="16.5" hidden="1" customHeight="1">
      <c r="A6" s="140" t="s">
        <v>240</v>
      </c>
      <c r="B6" s="125" t="e">
        <f t="shared" ref="B6:B16" ca="1" si="0">INDEX(INDIRECT("'"&amp;B$4&amp;"'!$1:$1048576"),MATCH($A6,INDIRECT("'"&amp;B$4&amp;"'!$A:$A"),0),MATCH($A$2,INDIRECT("'"&amp;B$4&amp;"'!$5:$5"),0))</f>
        <v>#N/A</v>
      </c>
      <c r="C6" s="124" t="str">
        <f ca="1">IFERROR(B6/B16, "NA")</f>
        <v>NA</v>
      </c>
      <c r="D6" s="125" t="e">
        <f t="shared" ref="D6:D16" ca="1" si="1">INDEX(INDIRECT("'"&amp;D$4&amp;"'!$1:$1048576"),MATCH($A6,INDIRECT("'"&amp;D$4&amp;"'!$A:$A"),0),MATCH($A$2,INDIRECT("'"&amp;D$4&amp;"'!$5:$5"),0))</f>
        <v>#N/A</v>
      </c>
      <c r="E6" s="124" t="str">
        <f ca="1">IFERROR(D6/D16, "NA")</f>
        <v>NA</v>
      </c>
      <c r="F6" s="125" t="e">
        <f t="shared" ref="F6:F16" ca="1" si="2">INDEX(INDIRECT("'"&amp;F$4&amp;"'!$1:$1048576"),MATCH($A6,INDIRECT("'"&amp;F$4&amp;"'!$A:$A"),0),MATCH($A$2,INDIRECT("'"&amp;F$4&amp;"'!$5:$5"),0))</f>
        <v>#N/A</v>
      </c>
      <c r="G6" s="124" t="str">
        <f ca="1">IFERROR(F6/F16, "NA")</f>
        <v>NA</v>
      </c>
      <c r="H6" s="125" t="e">
        <f t="shared" ref="H6:H16" ca="1" si="3">INDEX(INDIRECT("'"&amp;H$4&amp;"'!$1:$1048576"),MATCH($A6,INDIRECT("'"&amp;H$4&amp;"'!$A:$A"),0),MATCH($A$2,INDIRECT("'"&amp;H$4&amp;"'!$5:$5"),0))</f>
        <v>#N/A</v>
      </c>
      <c r="I6" s="124" t="str">
        <f ca="1">IFERROR(H6/H16, "NA")</f>
        <v>NA</v>
      </c>
      <c r="J6" s="125" t="e">
        <f ca="1">+H6+F6+D6+B6+#REF!</f>
        <v>#N/A</v>
      </c>
      <c r="K6" s="124" t="str">
        <f ca="1">IFERROR(J6/J16, "NA")</f>
        <v>NA</v>
      </c>
      <c r="M6" s="141"/>
    </row>
    <row r="7" spans="1:13" ht="16.5" hidden="1" customHeight="1">
      <c r="A7" s="140" t="s">
        <v>239</v>
      </c>
      <c r="B7" s="125" t="e">
        <f t="shared" ca="1" si="0"/>
        <v>#N/A</v>
      </c>
      <c r="C7" s="124" t="str">
        <f ca="1">IFERROR(B7/B16, "NA")</f>
        <v>NA</v>
      </c>
      <c r="D7" s="125" t="e">
        <f t="shared" ca="1" si="1"/>
        <v>#N/A</v>
      </c>
      <c r="E7" s="124" t="str">
        <f ca="1">IFERROR(D7/D16, "NA")</f>
        <v>NA</v>
      </c>
      <c r="F7" s="125" t="e">
        <f t="shared" ca="1" si="2"/>
        <v>#N/A</v>
      </c>
      <c r="G7" s="124" t="str">
        <f ca="1">IFERROR(F7/F16, "NA")</f>
        <v>NA</v>
      </c>
      <c r="H7" s="125" t="e">
        <f t="shared" ca="1" si="3"/>
        <v>#N/A</v>
      </c>
      <c r="I7" s="124" t="str">
        <f ca="1">IFERROR(H7/H16, "NA")</f>
        <v>NA</v>
      </c>
      <c r="J7" s="125" t="e">
        <f ca="1">+H7+F7+D7+B7+#REF!</f>
        <v>#N/A</v>
      </c>
      <c r="K7" s="124" t="str">
        <f ca="1">IFERROR(J7/J16, "NA")</f>
        <v>NA</v>
      </c>
    </row>
    <row r="8" spans="1:13" ht="16.5" hidden="1" customHeight="1">
      <c r="A8" s="140" t="s">
        <v>238</v>
      </c>
      <c r="B8" s="125" t="e">
        <f t="shared" ca="1" si="0"/>
        <v>#N/A</v>
      </c>
      <c r="C8" s="124" t="str">
        <f ca="1">IFERROR(B8/B16, "NA")</f>
        <v>NA</v>
      </c>
      <c r="D8" s="125" t="e">
        <f t="shared" ca="1" si="1"/>
        <v>#N/A</v>
      </c>
      <c r="E8" s="124" t="str">
        <f ca="1">IFERROR(D8/D16, "NA")</f>
        <v>NA</v>
      </c>
      <c r="F8" s="125" t="e">
        <f t="shared" ca="1" si="2"/>
        <v>#N/A</v>
      </c>
      <c r="G8" s="124" t="str">
        <f ca="1">IFERROR(F8/F16, "NA")</f>
        <v>NA</v>
      </c>
      <c r="H8" s="125" t="e">
        <f t="shared" ca="1" si="3"/>
        <v>#N/A</v>
      </c>
      <c r="I8" s="124" t="str">
        <f ca="1">IFERROR(H8/H16, "NA")</f>
        <v>NA</v>
      </c>
      <c r="J8" s="125" t="e">
        <f ca="1">+H8+F8+D8+B8+#REF!</f>
        <v>#N/A</v>
      </c>
      <c r="K8" s="124" t="str">
        <f ca="1">IFERROR(J8/J16, "NA")</f>
        <v>NA</v>
      </c>
    </row>
    <row r="9" spans="1:13" ht="16.5" hidden="1" customHeight="1">
      <c r="A9" s="140" t="s">
        <v>237</v>
      </c>
      <c r="B9" s="125" t="e">
        <f t="shared" ca="1" si="0"/>
        <v>#N/A</v>
      </c>
      <c r="C9" s="124" t="str">
        <f ca="1">IFERROR(B9/B16, "NA")</f>
        <v>NA</v>
      </c>
      <c r="D9" s="125" t="e">
        <f t="shared" ca="1" si="1"/>
        <v>#N/A</v>
      </c>
      <c r="E9" s="124" t="str">
        <f ca="1">IFERROR(D9/D16, "NA")</f>
        <v>NA</v>
      </c>
      <c r="F9" s="125" t="e">
        <f t="shared" ca="1" si="2"/>
        <v>#N/A</v>
      </c>
      <c r="G9" s="124" t="str">
        <f ca="1">IFERROR(F9/F16, "NA")</f>
        <v>NA</v>
      </c>
      <c r="H9" s="125" t="e">
        <f t="shared" ca="1" si="3"/>
        <v>#N/A</v>
      </c>
      <c r="I9" s="124" t="str">
        <f ca="1">IFERROR(H9/H16, "NA")</f>
        <v>NA</v>
      </c>
      <c r="J9" s="125" t="e">
        <f ca="1">+H9+F9+D9+B9+#REF!</f>
        <v>#N/A</v>
      </c>
      <c r="K9" s="124" t="str">
        <f ca="1">IFERROR(J9/J16, "NA")</f>
        <v>NA</v>
      </c>
    </row>
    <row r="10" spans="1:13" ht="16.5" hidden="1" customHeight="1">
      <c r="A10" s="140" t="s">
        <v>236</v>
      </c>
      <c r="B10" s="125" t="e">
        <f t="shared" ca="1" si="0"/>
        <v>#N/A</v>
      </c>
      <c r="C10" s="124" t="str">
        <f ca="1">IFERROR(B10/B16, "NA")</f>
        <v>NA</v>
      </c>
      <c r="D10" s="125" t="e">
        <f t="shared" ca="1" si="1"/>
        <v>#N/A</v>
      </c>
      <c r="E10" s="124" t="str">
        <f ca="1">IFERROR(D10/D16, "NA")</f>
        <v>NA</v>
      </c>
      <c r="F10" s="125" t="e">
        <f t="shared" ca="1" si="2"/>
        <v>#N/A</v>
      </c>
      <c r="G10" s="124" t="str">
        <f ca="1">IFERROR(F10/F16, "NA")</f>
        <v>NA</v>
      </c>
      <c r="H10" s="125" t="e">
        <f t="shared" ca="1" si="3"/>
        <v>#N/A</v>
      </c>
      <c r="I10" s="124" t="str">
        <f ca="1">IFERROR(H10/H16, "NA")</f>
        <v>NA</v>
      </c>
      <c r="J10" s="125" t="e">
        <f ca="1">+H10+F10+D10+B10+#REF!</f>
        <v>#N/A</v>
      </c>
      <c r="K10" s="124" t="str">
        <f ca="1">IFERROR(J10/J16, "NA")</f>
        <v>NA</v>
      </c>
    </row>
    <row r="11" spans="1:13" ht="16.5" hidden="1" customHeight="1">
      <c r="A11" s="140" t="s">
        <v>235</v>
      </c>
      <c r="B11" s="125" t="e">
        <f t="shared" ca="1" si="0"/>
        <v>#N/A</v>
      </c>
      <c r="C11" s="124" t="str">
        <f ca="1">IFERROR(B11/B16, "NA")</f>
        <v>NA</v>
      </c>
      <c r="D11" s="125" t="e">
        <f t="shared" ca="1" si="1"/>
        <v>#N/A</v>
      </c>
      <c r="E11" s="124" t="str">
        <f ca="1">IFERROR(D11/D16, "NA")</f>
        <v>NA</v>
      </c>
      <c r="F11" s="125" t="e">
        <f t="shared" ca="1" si="2"/>
        <v>#N/A</v>
      </c>
      <c r="G11" s="124" t="str">
        <f ca="1">IFERROR(F11/F16, "NA")</f>
        <v>NA</v>
      </c>
      <c r="H11" s="125" t="e">
        <f t="shared" ca="1" si="3"/>
        <v>#N/A</v>
      </c>
      <c r="I11" s="124" t="str">
        <f ca="1">IFERROR(H11/H16, "NA")</f>
        <v>NA</v>
      </c>
      <c r="J11" s="125" t="e">
        <f ca="1">+H11+F11+D11+B11+#REF!</f>
        <v>#N/A</v>
      </c>
      <c r="K11" s="124" t="str">
        <f ca="1">IFERROR(J11/J16, "NA")</f>
        <v>NA</v>
      </c>
    </row>
    <row r="12" spans="1:13" ht="16.5" hidden="1" customHeight="1">
      <c r="A12" s="140" t="s">
        <v>234</v>
      </c>
      <c r="B12" s="125" t="e">
        <f t="shared" ca="1" si="0"/>
        <v>#N/A</v>
      </c>
      <c r="C12" s="124" t="str">
        <f ca="1">IFERROR(B12/B16, "NA")</f>
        <v>NA</v>
      </c>
      <c r="D12" s="125" t="e">
        <f t="shared" ca="1" si="1"/>
        <v>#N/A</v>
      </c>
      <c r="E12" s="124" t="str">
        <f ca="1">IFERROR(D12/D16, "NA")</f>
        <v>NA</v>
      </c>
      <c r="F12" s="125" t="e">
        <f t="shared" ca="1" si="2"/>
        <v>#N/A</v>
      </c>
      <c r="G12" s="124" t="str">
        <f ca="1">IFERROR(F12/F16, "NA")</f>
        <v>NA</v>
      </c>
      <c r="H12" s="125" t="e">
        <f t="shared" ca="1" si="3"/>
        <v>#N/A</v>
      </c>
      <c r="I12" s="124" t="str">
        <f ca="1">IFERROR(H12/H16, "NA")</f>
        <v>NA</v>
      </c>
      <c r="J12" s="125" t="e">
        <f ca="1">+H12+F12+D12+B12+#REF!</f>
        <v>#N/A</v>
      </c>
      <c r="K12" s="124" t="str">
        <f ca="1">IFERROR(J12/J16, "NA")</f>
        <v>NA</v>
      </c>
    </row>
    <row r="13" spans="1:13" ht="16.5" hidden="1" customHeight="1">
      <c r="A13" s="140" t="s">
        <v>233</v>
      </c>
      <c r="B13" s="125" t="e">
        <f t="shared" ca="1" si="0"/>
        <v>#N/A</v>
      </c>
      <c r="C13" s="124" t="str">
        <f ca="1">IFERROR(B13/B16, "NA")</f>
        <v>NA</v>
      </c>
      <c r="D13" s="125" t="e">
        <f t="shared" ca="1" si="1"/>
        <v>#N/A</v>
      </c>
      <c r="E13" s="124" t="str">
        <f ca="1">IFERROR(D13/D16, "NA")</f>
        <v>NA</v>
      </c>
      <c r="F13" s="125" t="e">
        <f t="shared" ca="1" si="2"/>
        <v>#N/A</v>
      </c>
      <c r="G13" s="124" t="str">
        <f ca="1">IFERROR(F13/F16, "NA")</f>
        <v>NA</v>
      </c>
      <c r="H13" s="125" t="e">
        <f t="shared" ca="1" si="3"/>
        <v>#N/A</v>
      </c>
      <c r="I13" s="124" t="str">
        <f ca="1">IFERROR(H13/H16, "NA")</f>
        <v>NA</v>
      </c>
      <c r="J13" s="125" t="e">
        <f ca="1">+H13+F13+D13+B13+#REF!</f>
        <v>#N/A</v>
      </c>
      <c r="K13" s="124" t="str">
        <f ca="1">IFERROR(J13/J16, "NA")</f>
        <v>NA</v>
      </c>
    </row>
    <row r="14" spans="1:13" ht="16.5" hidden="1" customHeight="1">
      <c r="A14" s="140" t="s">
        <v>232</v>
      </c>
      <c r="B14" s="125" t="e">
        <f t="shared" ca="1" si="0"/>
        <v>#N/A</v>
      </c>
      <c r="C14" s="124" t="str">
        <f ca="1">IFERROR(B14/B16, "NA")</f>
        <v>NA</v>
      </c>
      <c r="D14" s="125" t="e">
        <f t="shared" ca="1" si="1"/>
        <v>#N/A</v>
      </c>
      <c r="E14" s="124" t="str">
        <f ca="1">IFERROR(D14/D16, "NA")</f>
        <v>NA</v>
      </c>
      <c r="F14" s="125" t="e">
        <f t="shared" ca="1" si="2"/>
        <v>#N/A</v>
      </c>
      <c r="G14" s="124" t="str">
        <f ca="1">IFERROR(F14/F16, "NA")</f>
        <v>NA</v>
      </c>
      <c r="H14" s="125" t="e">
        <f t="shared" ca="1" si="3"/>
        <v>#N/A</v>
      </c>
      <c r="I14" s="124" t="str">
        <f ca="1">IFERROR(H14/H16, "NA")</f>
        <v>NA</v>
      </c>
      <c r="J14" s="125" t="e">
        <f ca="1">+H14+F14+D14+B14+#REF!</f>
        <v>#N/A</v>
      </c>
      <c r="K14" s="124" t="str">
        <f ca="1">IFERROR(J14/J16, "NA")</f>
        <v>NA</v>
      </c>
    </row>
    <row r="15" spans="1:13" ht="16.5" hidden="1" customHeight="1">
      <c r="A15" s="140" t="s">
        <v>231</v>
      </c>
      <c r="B15" s="125" t="e">
        <f t="shared" ca="1" si="0"/>
        <v>#N/A</v>
      </c>
      <c r="C15" s="124" t="s">
        <v>246</v>
      </c>
      <c r="D15" s="125" t="e">
        <f t="shared" ca="1" si="1"/>
        <v>#N/A</v>
      </c>
      <c r="E15" s="124" t="str">
        <f ca="1">IFERROR(D15/D16, "NA")</f>
        <v>NA</v>
      </c>
      <c r="F15" s="125" t="e">
        <f t="shared" ca="1" si="2"/>
        <v>#N/A</v>
      </c>
      <c r="G15" s="124" t="str">
        <f ca="1">IFERROR(F15/F16, "NA")</f>
        <v>NA</v>
      </c>
      <c r="H15" s="125" t="e">
        <f t="shared" ca="1" si="3"/>
        <v>#N/A</v>
      </c>
      <c r="I15" s="124" t="str">
        <f ca="1">IFERROR(H15/H16, "NA")</f>
        <v>NA</v>
      </c>
      <c r="J15" s="125" t="e">
        <f ca="1">+H15+F15+D15+B15+#REF!</f>
        <v>#N/A</v>
      </c>
      <c r="K15" s="124" t="str">
        <f ca="1">IFERROR(J15/J16, "NA")</f>
        <v>NA</v>
      </c>
    </row>
    <row r="16" spans="1:13" ht="16.5" customHeight="1">
      <c r="A16" s="120" t="s">
        <v>25</v>
      </c>
      <c r="B16" s="122">
        <f t="shared" ca="1" si="0"/>
        <v>41536.820000000007</v>
      </c>
      <c r="C16" s="121" t="s">
        <v>246</v>
      </c>
      <c r="D16" s="122">
        <f t="shared" ca="1" si="1"/>
        <v>20601.12</v>
      </c>
      <c r="E16" s="121">
        <f ca="1">IFERROR(D16/D16, "NA")</f>
        <v>1</v>
      </c>
      <c r="F16" s="122">
        <f t="shared" ca="1" si="2"/>
        <v>20662.48</v>
      </c>
      <c r="G16" s="121">
        <f ca="1">IFERROR(F16/F16, "NA")</f>
        <v>1</v>
      </c>
      <c r="H16" s="122">
        <f t="shared" ca="1" si="3"/>
        <v>27687.49</v>
      </c>
      <c r="I16" s="121">
        <f ca="1">IFERROR(H16/H16, "NA")</f>
        <v>1</v>
      </c>
      <c r="J16" s="122">
        <f ca="1">+H16+F16+D16+B16</f>
        <v>110487.91</v>
      </c>
      <c r="K16" s="121">
        <f ca="1">IFERROR(J16/J16, "NA")</f>
        <v>1</v>
      </c>
    </row>
    <row r="17" spans="1:13" ht="3.75" customHeight="1">
      <c r="A17" s="135" t="s">
        <v>3</v>
      </c>
      <c r="B17" s="134"/>
      <c r="C17" s="111"/>
      <c r="D17" s="134"/>
      <c r="E17" s="111"/>
      <c r="F17" s="134"/>
      <c r="G17" s="111"/>
      <c r="H17" s="134"/>
      <c r="I17" s="111"/>
      <c r="J17" s="134"/>
      <c r="K17" s="111"/>
    </row>
    <row r="18" spans="1:13" ht="16.5" customHeight="1">
      <c r="A18" s="133" t="s">
        <v>26</v>
      </c>
      <c r="B18" s="130"/>
      <c r="C18" s="129"/>
      <c r="D18" s="130"/>
      <c r="E18" s="129"/>
      <c r="F18" s="130"/>
      <c r="G18" s="129"/>
      <c r="H18" s="130"/>
      <c r="I18" s="129"/>
      <c r="J18" s="130"/>
      <c r="K18" s="129"/>
    </row>
    <row r="19" spans="1:13" ht="16.5" customHeight="1">
      <c r="A19" s="132" t="s">
        <v>27</v>
      </c>
      <c r="B19" s="130"/>
      <c r="C19" s="129" t="s">
        <v>247</v>
      </c>
      <c r="D19" s="130"/>
      <c r="E19" s="129"/>
      <c r="F19" s="130"/>
      <c r="G19" s="129"/>
      <c r="H19" s="130"/>
      <c r="I19" s="129"/>
      <c r="J19" s="130"/>
      <c r="K19" s="129"/>
    </row>
    <row r="20" spans="1:13" ht="16.5" hidden="1" customHeight="1">
      <c r="A20" s="126" t="s">
        <v>28</v>
      </c>
      <c r="B20" s="125"/>
      <c r="C20" s="124" t="s">
        <v>246</v>
      </c>
      <c r="D20" s="125"/>
      <c r="E20" s="124"/>
      <c r="F20" s="125"/>
      <c r="G20" s="124"/>
      <c r="H20" s="125"/>
      <c r="I20" s="124"/>
      <c r="J20" s="125"/>
      <c r="K20" s="124"/>
    </row>
    <row r="21" spans="1:13" ht="16.5" customHeight="1">
      <c r="A21" s="131" t="s">
        <v>29</v>
      </c>
      <c r="B21" s="130"/>
      <c r="C21" s="129"/>
      <c r="D21" s="130"/>
      <c r="E21" s="129"/>
      <c r="F21" s="130"/>
      <c r="G21" s="129"/>
      <c r="H21" s="130"/>
      <c r="I21" s="129"/>
      <c r="J21" s="130"/>
      <c r="K21" s="129"/>
    </row>
    <row r="22" spans="1:13" ht="16.5" hidden="1" customHeight="1">
      <c r="A22" s="128" t="s">
        <v>30</v>
      </c>
      <c r="B22" s="125">
        <f t="shared" ref="B22:B34" ca="1" si="4">INDEX(INDIRECT("'"&amp;B$4&amp;"'!$1:$1048576"),MATCH($A22,INDIRECT("'"&amp;B$4&amp;"'!$A:$A"),0),MATCH($A$2,INDIRECT("'"&amp;B$4&amp;"'!$5:$5"),0))</f>
        <v>0</v>
      </c>
      <c r="C22" s="124">
        <f ca="1">IFERROR(B22/B16, "NA")</f>
        <v>0</v>
      </c>
      <c r="D22" s="125">
        <f t="shared" ref="D22:D34" ca="1" si="5">INDEX(INDIRECT("'"&amp;D$4&amp;"'!$1:$1048576"),MATCH($A22,INDIRECT("'"&amp;D$4&amp;"'!$A:$A"),0),MATCH($A$2,INDIRECT("'"&amp;D$4&amp;"'!$5:$5"),0))</f>
        <v>0</v>
      </c>
      <c r="E22" s="124">
        <f ca="1">IFERROR(D22/D16, "NA")</f>
        <v>0</v>
      </c>
      <c r="F22" s="125">
        <f t="shared" ref="F22:F34" ca="1" si="6">INDEX(INDIRECT("'"&amp;F$4&amp;"'!$1:$1048576"),MATCH($A22,INDIRECT("'"&amp;F$4&amp;"'!$A:$A"),0),MATCH($A$2,INDIRECT("'"&amp;F$4&amp;"'!$5:$5"),0))</f>
        <v>0</v>
      </c>
      <c r="G22" s="124">
        <f ca="1">IFERROR(F22/F16, "NA")</f>
        <v>0</v>
      </c>
      <c r="H22" s="125">
        <f t="shared" ref="H22:H34" ca="1" si="7">INDEX(INDIRECT("'"&amp;H$4&amp;"'!$1:$1048576"),MATCH($A22,INDIRECT("'"&amp;H$4&amp;"'!$A:$A"),0),MATCH($A$2,INDIRECT("'"&amp;H$4&amp;"'!$5:$5"),0))</f>
        <v>0</v>
      </c>
      <c r="I22" s="124">
        <f ca="1">IFERROR(H22/H16, "NA")</f>
        <v>0</v>
      </c>
      <c r="J22" s="125"/>
      <c r="K22" s="124">
        <f ca="1">IFERROR(J22/J16, "NA")</f>
        <v>0</v>
      </c>
    </row>
    <row r="23" spans="1:13" ht="16.5" customHeight="1">
      <c r="A23" s="128" t="s">
        <v>31</v>
      </c>
      <c r="B23" s="125">
        <f t="shared" ca="1" si="4"/>
        <v>1684.72</v>
      </c>
      <c r="C23" s="124" t="s">
        <v>246</v>
      </c>
      <c r="D23" s="125">
        <f t="shared" ca="1" si="5"/>
        <v>1021.44</v>
      </c>
      <c r="E23" s="124">
        <f ca="1">IFERROR(D23/D16, "NA")</f>
        <v>4.9581770311517046E-2</v>
      </c>
      <c r="F23" s="125">
        <f t="shared" ca="1" si="6"/>
        <v>864.22</v>
      </c>
      <c r="G23" s="124">
        <f ca="1">IFERROR(F23/F16, "NA")</f>
        <v>4.1825569825112964E-2</v>
      </c>
      <c r="H23" s="125">
        <f t="shared" ca="1" si="7"/>
        <v>982.39</v>
      </c>
      <c r="I23" s="124">
        <f ca="1">IFERROR(H23/H16, "NA")</f>
        <v>3.548136721674662E-2</v>
      </c>
      <c r="J23" s="136">
        <f t="shared" ref="J23:J34" ca="1" si="8">+H23+F23+D23+B23</f>
        <v>4552.7700000000004</v>
      </c>
      <c r="K23" s="124">
        <f ca="1">IFERROR(J23/J16, "NA")</f>
        <v>4.1206046887845016E-2</v>
      </c>
      <c r="L23" s="139"/>
      <c r="M23" s="138"/>
    </row>
    <row r="24" spans="1:13" ht="16.5" customHeight="1">
      <c r="A24" s="128" t="s">
        <v>32</v>
      </c>
      <c r="B24" s="125">
        <f t="shared" ca="1" si="4"/>
        <v>1057.67</v>
      </c>
      <c r="C24" s="124" t="s">
        <v>248</v>
      </c>
      <c r="D24" s="125">
        <f t="shared" ca="1" si="5"/>
        <v>677.4</v>
      </c>
      <c r="E24" s="124">
        <f ca="1">IFERROR(D24/D16, "NA")</f>
        <v>3.2881707402315989E-2</v>
      </c>
      <c r="F24" s="125">
        <f t="shared" ca="1" si="6"/>
        <v>725.28</v>
      </c>
      <c r="G24" s="124">
        <f ca="1">IFERROR(F24/F16, "NA")</f>
        <v>3.5101304393277091E-2</v>
      </c>
      <c r="H24" s="125">
        <f t="shared" ca="1" si="7"/>
        <v>747.69</v>
      </c>
      <c r="I24" s="124">
        <f ca="1">IFERROR(H24/H16, "NA")</f>
        <v>2.7004614719499675E-2</v>
      </c>
      <c r="J24" s="136">
        <f t="shared" ca="1" si="8"/>
        <v>3208.04</v>
      </c>
      <c r="K24" s="124">
        <f ca="1">IFERROR(J24/J16, "NA")</f>
        <v>2.9035212992987194E-2</v>
      </c>
      <c r="L24" s="139"/>
      <c r="M24" s="138"/>
    </row>
    <row r="25" spans="1:13" ht="16.5" customHeight="1">
      <c r="A25" s="128" t="s">
        <v>33</v>
      </c>
      <c r="B25" s="125">
        <f t="shared" ca="1" si="4"/>
        <v>1246.3800000000001</v>
      </c>
      <c r="C25" s="124">
        <f ca="1">IFERROR(B25/B16, "NA")</f>
        <v>3.0006630262018129E-2</v>
      </c>
      <c r="D25" s="125">
        <f t="shared" ca="1" si="5"/>
        <v>687.61</v>
      </c>
      <c r="E25" s="124">
        <f ca="1">IFERROR(D25/D16, "NA")</f>
        <v>3.3377311524810306E-2</v>
      </c>
      <c r="F25" s="125">
        <f t="shared" ca="1" si="6"/>
        <v>736.21</v>
      </c>
      <c r="G25" s="124">
        <f ca="1">IFERROR(F25/F16, "NA")</f>
        <v>3.5630282521749566E-2</v>
      </c>
      <c r="H25" s="125">
        <f t="shared" ca="1" si="7"/>
        <v>1039.69</v>
      </c>
      <c r="I25" s="124">
        <f ca="1">IFERROR(H25/H16, "NA")</f>
        <v>3.7550893923573428E-2</v>
      </c>
      <c r="J25" s="136">
        <f t="shared" ca="1" si="8"/>
        <v>3709.8900000000003</v>
      </c>
      <c r="K25" s="124">
        <f ca="1">IFERROR(J25/J16, "NA")</f>
        <v>3.3577338914275778E-2</v>
      </c>
      <c r="L25" s="139"/>
      <c r="M25" s="138"/>
    </row>
    <row r="26" spans="1:13" ht="16.5" customHeight="1">
      <c r="A26" s="128" t="s">
        <v>34</v>
      </c>
      <c r="B26" s="125">
        <f t="shared" ca="1" si="4"/>
        <v>754.02</v>
      </c>
      <c r="C26" s="124">
        <f ca="1">IFERROR(B26/B16, "NA")</f>
        <v>1.8153050715004178E-2</v>
      </c>
      <c r="D26" s="125">
        <f t="shared" ca="1" si="5"/>
        <v>427.59</v>
      </c>
      <c r="E26" s="124">
        <f ca="1">IFERROR(D26/D16, "NA")</f>
        <v>2.0755667653020806E-2</v>
      </c>
      <c r="F26" s="125">
        <f t="shared" ca="1" si="6"/>
        <v>494.15</v>
      </c>
      <c r="G26" s="124">
        <f ca="1">IFERROR(F26/F16, "NA")</f>
        <v>2.3915328653675648E-2</v>
      </c>
      <c r="H26" s="125">
        <f t="shared" ca="1" si="7"/>
        <v>559.58000000000004</v>
      </c>
      <c r="I26" s="124">
        <f ca="1">IFERROR(H26/H16, "NA")</f>
        <v>2.0210571633615039E-2</v>
      </c>
      <c r="J26" s="136">
        <f t="shared" ca="1" si="8"/>
        <v>2235.34</v>
      </c>
      <c r="K26" s="124">
        <f ca="1">IFERROR(J26/J16, "NA")</f>
        <v>2.023153483489732E-2</v>
      </c>
      <c r="L26" s="139"/>
      <c r="M26" s="138"/>
    </row>
    <row r="27" spans="1:13" ht="16.5" customHeight="1">
      <c r="A27" s="128" t="s">
        <v>35</v>
      </c>
      <c r="B27" s="125">
        <f t="shared" ca="1" si="4"/>
        <v>597.42999999999995</v>
      </c>
      <c r="C27" s="124" t="s">
        <v>246</v>
      </c>
      <c r="D27" s="125">
        <f t="shared" ca="1" si="5"/>
        <v>291.58999999999997</v>
      </c>
      <c r="E27" s="124">
        <f ca="1">IFERROR(D27/D16, "NA")</f>
        <v>1.4154084826456036E-2</v>
      </c>
      <c r="F27" s="125">
        <f t="shared" ca="1" si="6"/>
        <v>319.86</v>
      </c>
      <c r="G27" s="124">
        <f ca="1">IFERROR(F27/F16, "NA")</f>
        <v>1.5480232769735289E-2</v>
      </c>
      <c r="H27" s="125">
        <f t="shared" ca="1" si="7"/>
        <v>424.62</v>
      </c>
      <c r="I27" s="124">
        <f ca="1">IFERROR(H27/H16, "NA")</f>
        <v>1.5336168067239031E-2</v>
      </c>
      <c r="J27" s="136">
        <f t="shared" ca="1" si="8"/>
        <v>1633.5</v>
      </c>
      <c r="K27" s="124">
        <f ca="1">IFERROR(J27/J16, "NA")</f>
        <v>1.4784423019676994E-2</v>
      </c>
      <c r="L27" s="139"/>
      <c r="M27" s="138"/>
    </row>
    <row r="28" spans="1:13" ht="16.5" customHeight="1">
      <c r="A28" s="128" t="s">
        <v>36</v>
      </c>
      <c r="B28" s="125">
        <f t="shared" ca="1" si="4"/>
        <v>391.1</v>
      </c>
      <c r="C28" s="124" t="s">
        <v>246</v>
      </c>
      <c r="D28" s="125">
        <f t="shared" ca="1" si="5"/>
        <v>304.02</v>
      </c>
      <c r="E28" s="124">
        <f ca="1">IFERROR(D28/D16, "NA")</f>
        <v>1.4757450080383979E-2</v>
      </c>
      <c r="F28" s="125">
        <f t="shared" ca="1" si="6"/>
        <v>92.61</v>
      </c>
      <c r="G28" s="124">
        <f ca="1">IFERROR(F28/F16, "NA")</f>
        <v>4.4820370062064185E-3</v>
      </c>
      <c r="H28" s="125">
        <f t="shared" ca="1" si="7"/>
        <v>220.59</v>
      </c>
      <c r="I28" s="124">
        <f ca="1">IFERROR(H28/H16, "NA")</f>
        <v>7.9671360603651674E-3</v>
      </c>
      <c r="J28" s="136">
        <f t="shared" ca="1" si="8"/>
        <v>1008.32</v>
      </c>
      <c r="K28" s="124">
        <f ca="1">IFERROR(J28/J16, "NA")</f>
        <v>9.1260663723297872E-3</v>
      </c>
      <c r="L28" s="139"/>
      <c r="M28" s="138"/>
    </row>
    <row r="29" spans="1:13" ht="16.5" customHeight="1">
      <c r="A29" s="128" t="s">
        <v>37</v>
      </c>
      <c r="B29" s="125">
        <f t="shared" ca="1" si="4"/>
        <v>0</v>
      </c>
      <c r="C29" s="124">
        <f ca="1">IFERROR(B29/B16, "NA")</f>
        <v>0</v>
      </c>
      <c r="D29" s="125">
        <f t="shared" ca="1" si="5"/>
        <v>0</v>
      </c>
      <c r="E29" s="124">
        <f ca="1">IFERROR(D29/D16, "NA")</f>
        <v>0</v>
      </c>
      <c r="F29" s="125">
        <f t="shared" ca="1" si="6"/>
        <v>0</v>
      </c>
      <c r="G29" s="124">
        <f ca="1">IFERROR(F29/F16, "NA")</f>
        <v>0</v>
      </c>
      <c r="H29" s="125">
        <f t="shared" ca="1" si="7"/>
        <v>0</v>
      </c>
      <c r="I29" s="124">
        <f ca="1">IFERROR(H29/H16, "NA")</f>
        <v>0</v>
      </c>
      <c r="J29" s="136">
        <f t="shared" ca="1" si="8"/>
        <v>0</v>
      </c>
      <c r="K29" s="124">
        <f ca="1">IFERROR(J29/J16, "NA")</f>
        <v>0</v>
      </c>
      <c r="L29" s="139"/>
      <c r="M29" s="138"/>
    </row>
    <row r="30" spans="1:13" ht="16.5" customHeight="1">
      <c r="A30" s="128" t="s">
        <v>38</v>
      </c>
      <c r="B30" s="125">
        <f t="shared" ca="1" si="4"/>
        <v>234.84</v>
      </c>
      <c r="C30" s="124">
        <f ca="1">IFERROR(B30/B16, "NA")</f>
        <v>5.6537789845250543E-3</v>
      </c>
      <c r="D30" s="125">
        <f t="shared" ca="1" si="5"/>
        <v>163.1</v>
      </c>
      <c r="E30" s="124">
        <f ca="1">IFERROR(D30/D16, "NA")</f>
        <v>7.917045286858191E-3</v>
      </c>
      <c r="F30" s="125">
        <f t="shared" ca="1" si="6"/>
        <v>-68.25</v>
      </c>
      <c r="G30" s="124">
        <f ca="1">IFERROR(F30/F16, "NA")</f>
        <v>-3.3030884966373836E-3</v>
      </c>
      <c r="H30" s="125">
        <f t="shared" ca="1" si="7"/>
        <v>191.95</v>
      </c>
      <c r="I30" s="124">
        <f ca="1">IFERROR(H30/H16, "NA")</f>
        <v>6.9327338808971121E-3</v>
      </c>
      <c r="J30" s="136">
        <f t="shared" ca="1" si="8"/>
        <v>521.64</v>
      </c>
      <c r="K30" s="124">
        <f ca="1">IFERROR(J30/J16, "NA")</f>
        <v>4.7212405411596612E-3</v>
      </c>
      <c r="L30" s="139"/>
      <c r="M30" s="138"/>
    </row>
    <row r="31" spans="1:13" ht="16.5" customHeight="1">
      <c r="A31" s="128" t="s">
        <v>39</v>
      </c>
      <c r="B31" s="125">
        <f t="shared" ca="1" si="4"/>
        <v>2413.1</v>
      </c>
      <c r="C31" s="124">
        <f ca="1">IFERROR(B31/B16, "NA")</f>
        <v>5.8095443994027454E-2</v>
      </c>
      <c r="D31" s="125">
        <f t="shared" ca="1" si="5"/>
        <v>891.25</v>
      </c>
      <c r="E31" s="124">
        <f ca="1">IFERROR(D31/D16, "NA")</f>
        <v>4.3262210986587141E-2</v>
      </c>
      <c r="F31" s="125">
        <f t="shared" ca="1" si="6"/>
        <v>1533.11</v>
      </c>
      <c r="G31" s="124">
        <f ca="1">IFERROR(F31/F16, "NA")</f>
        <v>7.4197772968201292E-2</v>
      </c>
      <c r="H31" s="125">
        <f t="shared" ca="1" si="7"/>
        <v>1641.1</v>
      </c>
      <c r="I31" s="124">
        <f ca="1">IFERROR(H31/H16, "NA")</f>
        <v>5.9272256170566556E-2</v>
      </c>
      <c r="J31" s="136">
        <f t="shared" ca="1" si="8"/>
        <v>6478.5599999999995</v>
      </c>
      <c r="K31" s="124">
        <f ca="1">IFERROR(J31/J16, "NA")</f>
        <v>5.8635917721676513E-2</v>
      </c>
      <c r="L31" s="139"/>
      <c r="M31" s="138"/>
    </row>
    <row r="32" spans="1:13" ht="16.5" hidden="1" customHeight="1">
      <c r="A32" s="128" t="s">
        <v>40</v>
      </c>
      <c r="B32" s="125">
        <f t="shared" ca="1" si="4"/>
        <v>0</v>
      </c>
      <c r="C32" s="124">
        <f ca="1">IFERROR(B32/B16, "NA")</f>
        <v>0</v>
      </c>
      <c r="D32" s="125">
        <f t="shared" ca="1" si="5"/>
        <v>0</v>
      </c>
      <c r="E32" s="124">
        <f ca="1">IFERROR(D32/D16, "NA")</f>
        <v>0</v>
      </c>
      <c r="F32" s="125">
        <f t="shared" ca="1" si="6"/>
        <v>0</v>
      </c>
      <c r="G32" s="124">
        <f ca="1">IFERROR(F32/F16, "NA")</f>
        <v>0</v>
      </c>
      <c r="H32" s="125">
        <f t="shared" ca="1" si="7"/>
        <v>0</v>
      </c>
      <c r="I32" s="124">
        <f ca="1">IFERROR(H32/H16, "NA")</f>
        <v>0</v>
      </c>
      <c r="J32" s="136">
        <f t="shared" ca="1" si="8"/>
        <v>0</v>
      </c>
      <c r="K32" s="124">
        <f ca="1">IFERROR(J32/J16, "NA")</f>
        <v>0</v>
      </c>
      <c r="L32" s="139"/>
      <c r="M32" s="138"/>
    </row>
    <row r="33" spans="1:13" ht="16.5" customHeight="1">
      <c r="A33" s="128" t="s">
        <v>41</v>
      </c>
      <c r="B33" s="125">
        <f t="shared" ca="1" si="4"/>
        <v>0</v>
      </c>
      <c r="C33" s="124">
        <f ca="1">IFERROR(B33/B16, "NA")</f>
        <v>0</v>
      </c>
      <c r="D33" s="125">
        <f t="shared" ca="1" si="5"/>
        <v>0</v>
      </c>
      <c r="E33" s="124">
        <f ca="1">IFERROR(D33/D16, "NA")</f>
        <v>0</v>
      </c>
      <c r="F33" s="125">
        <f t="shared" ca="1" si="6"/>
        <v>0</v>
      </c>
      <c r="G33" s="124">
        <f ca="1">IFERROR(F33/F16, "NA")</f>
        <v>0</v>
      </c>
      <c r="H33" s="125">
        <f t="shared" ca="1" si="7"/>
        <v>0</v>
      </c>
      <c r="I33" s="124">
        <f ca="1">IFERROR(H33/H16, "NA")</f>
        <v>0</v>
      </c>
      <c r="J33" s="136">
        <f t="shared" ca="1" si="8"/>
        <v>0</v>
      </c>
      <c r="K33" s="124">
        <f ca="1">IFERROR(J33/J16, "NA")</f>
        <v>0</v>
      </c>
      <c r="L33" s="139"/>
      <c r="M33" s="138"/>
    </row>
    <row r="34" spans="1:13" ht="16.5" customHeight="1">
      <c r="A34" s="127" t="s">
        <v>42</v>
      </c>
      <c r="B34" s="122">
        <f t="shared" ca="1" si="4"/>
        <v>8379.260000000002</v>
      </c>
      <c r="C34" s="121">
        <f ca="1">IFERROR(B34/B16, "NA")</f>
        <v>0.20173089803215558</v>
      </c>
      <c r="D34" s="122">
        <f t="shared" ca="1" si="5"/>
        <v>4464</v>
      </c>
      <c r="E34" s="121">
        <f ca="1">IFERROR(D34/D16, "NA")</f>
        <v>0.2166872480719495</v>
      </c>
      <c r="F34" s="122">
        <f t="shared" ca="1" si="6"/>
        <v>4697.1900000000005</v>
      </c>
      <c r="G34" s="121">
        <f ca="1">IFERROR(F34/F16, "NA")</f>
        <v>0.22732943964132091</v>
      </c>
      <c r="H34" s="122">
        <f t="shared" ca="1" si="7"/>
        <v>5807.6100000000006</v>
      </c>
      <c r="I34" s="121">
        <f ca="1">IFERROR(H34/H16, "NA")</f>
        <v>0.20975574167250263</v>
      </c>
      <c r="J34" s="122">
        <f t="shared" ca="1" si="8"/>
        <v>23348.060000000005</v>
      </c>
      <c r="K34" s="121">
        <f ca="1">IFERROR(J34/J16, "NA")</f>
        <v>0.21131778128484832</v>
      </c>
      <c r="L34" s="139"/>
      <c r="M34" s="138"/>
    </row>
    <row r="35" spans="1:13" ht="16.5" customHeight="1">
      <c r="A35" s="131" t="s">
        <v>43</v>
      </c>
      <c r="B35" s="130"/>
      <c r="C35" s="129"/>
      <c r="D35" s="130"/>
      <c r="E35" s="129"/>
      <c r="F35" s="130"/>
      <c r="G35" s="129"/>
      <c r="H35" s="130"/>
      <c r="I35" s="129"/>
      <c r="J35" s="130"/>
      <c r="K35" s="129"/>
    </row>
    <row r="36" spans="1:13" ht="16.5" hidden="1" customHeight="1">
      <c r="A36" s="128" t="s">
        <v>44</v>
      </c>
      <c r="B36" s="125">
        <f t="shared" ref="B36:B42" ca="1" si="9">INDEX(INDIRECT("'"&amp;B$4&amp;"'!$1:$1048576"),MATCH($A36,INDIRECT("'"&amp;B$4&amp;"'!$A:$A"),0),MATCH($A$2,INDIRECT("'"&amp;B$4&amp;"'!$5:$5"),0))</f>
        <v>0</v>
      </c>
      <c r="C36" s="124">
        <f ca="1">IFERROR(B36/B16, "NA")</f>
        <v>0</v>
      </c>
      <c r="D36" s="125">
        <f t="shared" ref="D36:D42" ca="1" si="10">INDEX(INDIRECT("'"&amp;D$4&amp;"'!$1:$1048576"),MATCH($A36,INDIRECT("'"&amp;D$4&amp;"'!$A:$A"),0),MATCH($A$2,INDIRECT("'"&amp;D$4&amp;"'!$5:$5"),0))</f>
        <v>0</v>
      </c>
      <c r="E36" s="124">
        <f ca="1">IFERROR(D36/D16, "NA")</f>
        <v>0</v>
      </c>
      <c r="F36" s="125">
        <f t="shared" ref="F36:F42" ca="1" si="11">INDEX(INDIRECT("'"&amp;F$4&amp;"'!$1:$1048576"),MATCH($A36,INDIRECT("'"&amp;F$4&amp;"'!$A:$A"),0),MATCH($A$2,INDIRECT("'"&amp;F$4&amp;"'!$5:$5"),0))</f>
        <v>0</v>
      </c>
      <c r="G36" s="124">
        <f ca="1">IFERROR(F36/F16, "NA")</f>
        <v>0</v>
      </c>
      <c r="H36" s="125">
        <f t="shared" ref="H36:H42" ca="1" si="12">INDEX(INDIRECT("'"&amp;H$4&amp;"'!$1:$1048576"),MATCH($A36,INDIRECT("'"&amp;H$4&amp;"'!$A:$A"),0),MATCH($A$2,INDIRECT("'"&amp;H$4&amp;"'!$5:$5"),0))</f>
        <v>0</v>
      </c>
      <c r="I36" s="124">
        <f ca="1">IFERROR(H36/H16, "NA")</f>
        <v>0</v>
      </c>
      <c r="J36" s="125"/>
      <c r="K36" s="124">
        <f ca="1">IFERROR(J36/J16, "NA")</f>
        <v>0</v>
      </c>
    </row>
    <row r="37" spans="1:13" ht="16.5" customHeight="1">
      <c r="A37" s="128" t="s">
        <v>45</v>
      </c>
      <c r="B37" s="125">
        <f t="shared" ca="1" si="9"/>
        <v>586.84</v>
      </c>
      <c r="C37" s="124">
        <f ca="1">IFERROR(B37/B16, "NA")</f>
        <v>1.4128187954686948E-2</v>
      </c>
      <c r="D37" s="125">
        <f t="shared" ca="1" si="10"/>
        <v>218.86</v>
      </c>
      <c r="E37" s="124">
        <f ca="1">IFERROR(D37/D16, "NA")</f>
        <v>1.0623694245749746E-2</v>
      </c>
      <c r="F37" s="125">
        <f t="shared" ca="1" si="11"/>
        <v>340.59</v>
      </c>
      <c r="G37" s="124">
        <f ca="1">IFERROR(F37/F16, "NA")</f>
        <v>1.648350052849416E-2</v>
      </c>
      <c r="H37" s="125">
        <f t="shared" ca="1" si="12"/>
        <v>154.09</v>
      </c>
      <c r="I37" s="124">
        <f ca="1">IFERROR(H37/H16, "NA")</f>
        <v>5.5653293238209743E-3</v>
      </c>
      <c r="J37" s="136">
        <f t="shared" ref="J37:J42" ca="1" si="13">+H37+F37+D37+B37</f>
        <v>1300.3800000000001</v>
      </c>
      <c r="K37" s="124">
        <f ca="1">IFERROR(J37/J16, "NA")</f>
        <v>1.176943251076068E-2</v>
      </c>
    </row>
    <row r="38" spans="1:13" ht="16.5" customHeight="1">
      <c r="A38" s="128" t="s">
        <v>46</v>
      </c>
      <c r="B38" s="125">
        <f t="shared" ca="1" si="9"/>
        <v>138.07</v>
      </c>
      <c r="C38" s="124">
        <f ca="1">IFERROR(B38/B16, "NA")</f>
        <v>3.3240387684950359E-3</v>
      </c>
      <c r="D38" s="125">
        <f t="shared" ca="1" si="10"/>
        <v>2.44</v>
      </c>
      <c r="E38" s="124">
        <f ca="1">IFERROR(D38/D16, "NA")</f>
        <v>1.1844016247660321E-4</v>
      </c>
      <c r="F38" s="125">
        <f t="shared" ca="1" si="11"/>
        <v>12.18</v>
      </c>
      <c r="G38" s="124">
        <f ca="1">IFERROR(F38/F16, "NA")</f>
        <v>5.8947425478451769E-4</v>
      </c>
      <c r="H38" s="125">
        <f t="shared" ca="1" si="12"/>
        <v>5.58</v>
      </c>
      <c r="I38" s="124">
        <f ca="1">IFERROR(H38/H16, "NA")</f>
        <v>2.0153506150250526E-4</v>
      </c>
      <c r="J38" s="136">
        <f t="shared" ca="1" si="13"/>
        <v>158.26999999999998</v>
      </c>
      <c r="K38" s="124">
        <f ca="1">IFERROR(J38/J16, "NA")</f>
        <v>1.4324644207678466E-3</v>
      </c>
    </row>
    <row r="39" spans="1:13" ht="16.5" customHeight="1">
      <c r="A39" s="128" t="s">
        <v>47</v>
      </c>
      <c r="B39" s="125">
        <f t="shared" ca="1" si="9"/>
        <v>-1.59</v>
      </c>
      <c r="C39" s="124">
        <f ca="1">IFERROR(B39/B16, "NA")</f>
        <v>-3.8279290518629008E-5</v>
      </c>
      <c r="D39" s="125">
        <f t="shared" ca="1" si="10"/>
        <v>0</v>
      </c>
      <c r="E39" s="124">
        <f ca="1">IFERROR(D39/D16, "NA")</f>
        <v>0</v>
      </c>
      <c r="F39" s="125">
        <f t="shared" ca="1" si="11"/>
        <v>27.91</v>
      </c>
      <c r="G39" s="124">
        <f ca="1">IFERROR(F39/F16, "NA")</f>
        <v>1.3507575082952288E-3</v>
      </c>
      <c r="H39" s="125">
        <f t="shared" ca="1" si="12"/>
        <v>0</v>
      </c>
      <c r="I39" s="124">
        <f ca="1">IFERROR(H39/H16, "NA")</f>
        <v>0</v>
      </c>
      <c r="J39" s="136">
        <f t="shared" ca="1" si="13"/>
        <v>26.32</v>
      </c>
      <c r="K39" s="124">
        <f ca="1">IFERROR(J39/J16, "NA")</f>
        <v>2.3821610889372419E-4</v>
      </c>
    </row>
    <row r="40" spans="1:13" ht="16.5" customHeight="1">
      <c r="A40" s="128" t="s">
        <v>48</v>
      </c>
      <c r="B40" s="125">
        <f t="shared" ca="1" si="9"/>
        <v>-2.1800000000000002</v>
      </c>
      <c r="C40" s="124">
        <f ca="1">IFERROR(B40/B16, "NA")</f>
        <v>-5.2483555553843548E-5</v>
      </c>
      <c r="D40" s="125">
        <f t="shared" ca="1" si="10"/>
        <v>0</v>
      </c>
      <c r="E40" s="124">
        <f ca="1">IFERROR(D40/D16, "NA")</f>
        <v>0</v>
      </c>
      <c r="F40" s="125">
        <f t="shared" ca="1" si="11"/>
        <v>0</v>
      </c>
      <c r="G40" s="124">
        <f ca="1">IFERROR(F40/F16, "NA")</f>
        <v>0</v>
      </c>
      <c r="H40" s="125">
        <f t="shared" ca="1" si="12"/>
        <v>0</v>
      </c>
      <c r="I40" s="124">
        <f ca="1">IFERROR(H40/H16, "NA")</f>
        <v>0</v>
      </c>
      <c r="J40" s="136">
        <f t="shared" ca="1" si="13"/>
        <v>-2.1800000000000002</v>
      </c>
      <c r="K40" s="124">
        <f ca="1">IFERROR(J40/J16, "NA")</f>
        <v>-1.9730665554267432E-5</v>
      </c>
    </row>
    <row r="41" spans="1:13" ht="16.5" customHeight="1">
      <c r="A41" s="127" t="s">
        <v>49</v>
      </c>
      <c r="B41" s="122">
        <f t="shared" ca="1" si="9"/>
        <v>721.1400000000001</v>
      </c>
      <c r="C41" s="121">
        <f ca="1">IFERROR(B41/B16, "NA")</f>
        <v>1.7361463877109514E-2</v>
      </c>
      <c r="D41" s="122">
        <f t="shared" ca="1" si="10"/>
        <v>221.3</v>
      </c>
      <c r="E41" s="121">
        <f ca="1">IFERROR(D41/D16, "NA")</f>
        <v>1.0742134408226351E-2</v>
      </c>
      <c r="F41" s="122">
        <f t="shared" ca="1" si="11"/>
        <v>380.68</v>
      </c>
      <c r="G41" s="121">
        <f ca="1">IFERROR(F41/F16, "NA")</f>
        <v>1.8423732291573906E-2</v>
      </c>
      <c r="H41" s="122">
        <f t="shared" ca="1" si="12"/>
        <v>159.67000000000002</v>
      </c>
      <c r="I41" s="121">
        <f ca="1">IFERROR(H41/H16, "NA")</f>
        <v>5.7668643853234806E-3</v>
      </c>
      <c r="J41" s="136">
        <f t="shared" ca="1" si="13"/>
        <v>1482.7900000000002</v>
      </c>
      <c r="K41" s="121">
        <f ca="1">IFERROR(J41/J16, "NA")</f>
        <v>1.3420382374867985E-2</v>
      </c>
    </row>
    <row r="42" spans="1:13" ht="16.5" customHeight="1">
      <c r="A42" s="123" t="s">
        <v>50</v>
      </c>
      <c r="B42" s="122">
        <f t="shared" ca="1" si="9"/>
        <v>9100.4000000000015</v>
      </c>
      <c r="C42" s="121">
        <f ca="1">IFERROR(B42/B16, "NA")</f>
        <v>0.21909236190926507</v>
      </c>
      <c r="D42" s="122">
        <f t="shared" ca="1" si="10"/>
        <v>4685.2999999999993</v>
      </c>
      <c r="E42" s="121">
        <f ca="1">IFERROR(D42/D16, "NA")</f>
        <v>0.2274293824801758</v>
      </c>
      <c r="F42" s="122">
        <f t="shared" ca="1" si="11"/>
        <v>5077.8700000000008</v>
      </c>
      <c r="G42" s="121">
        <f ca="1">IFERROR(F42/F16, "NA")</f>
        <v>0.24575317193289484</v>
      </c>
      <c r="H42" s="122">
        <f t="shared" ca="1" si="12"/>
        <v>5967.2800000000007</v>
      </c>
      <c r="I42" s="121">
        <f ca="1">IFERROR(H42/H16, "NA")</f>
        <v>0.21552260605782614</v>
      </c>
      <c r="J42" s="122">
        <f t="shared" ca="1" si="13"/>
        <v>24830.850000000002</v>
      </c>
      <c r="K42" s="121">
        <f ca="1">IFERROR(J42/J16, "NA")</f>
        <v>0.22473816365971627</v>
      </c>
    </row>
    <row r="43" spans="1:13" ht="16.5" customHeight="1">
      <c r="A43" s="132" t="s">
        <v>51</v>
      </c>
      <c r="B43" s="130"/>
      <c r="C43" s="129"/>
      <c r="D43" s="130"/>
      <c r="E43" s="129"/>
      <c r="F43" s="130"/>
      <c r="G43" s="129"/>
      <c r="H43" s="130"/>
      <c r="I43" s="129"/>
      <c r="J43" s="130"/>
      <c r="K43" s="129"/>
    </row>
    <row r="44" spans="1:13" ht="16.5" hidden="1" customHeight="1">
      <c r="A44" s="126" t="s">
        <v>52</v>
      </c>
      <c r="B44" s="125"/>
      <c r="C44" s="124"/>
      <c r="D44" s="125"/>
      <c r="E44" s="124"/>
      <c r="F44" s="125"/>
      <c r="G44" s="124"/>
      <c r="H44" s="125"/>
      <c r="I44" s="124"/>
      <c r="J44" s="125"/>
      <c r="K44" s="124"/>
    </row>
    <row r="45" spans="1:13" ht="16.5" customHeight="1">
      <c r="A45" s="131" t="s">
        <v>53</v>
      </c>
      <c r="B45" s="130"/>
      <c r="C45" s="129"/>
      <c r="D45" s="130"/>
      <c r="E45" s="129"/>
      <c r="F45" s="130"/>
      <c r="G45" s="129"/>
      <c r="H45" s="130"/>
      <c r="I45" s="129"/>
      <c r="J45" s="130"/>
      <c r="K45" s="129"/>
    </row>
    <row r="46" spans="1:13" ht="16.5" hidden="1" customHeight="1">
      <c r="A46" s="128" t="s">
        <v>54</v>
      </c>
      <c r="B46" s="125">
        <f t="shared" ref="B46:B51" ca="1" si="14">INDEX(INDIRECT("'"&amp;B$4&amp;"'!$1:$1048576"),MATCH($A46,INDIRECT("'"&amp;B$4&amp;"'!$A:$A"),0),MATCH($A$2,INDIRECT("'"&amp;B$4&amp;"'!$5:$5"),0))</f>
        <v>0</v>
      </c>
      <c r="C46" s="124">
        <f ca="1">IFERROR(B46/B16, "NA")</f>
        <v>0</v>
      </c>
      <c r="D46" s="125">
        <f t="shared" ref="D46:D51" ca="1" si="15">INDEX(INDIRECT("'"&amp;D$4&amp;"'!$1:$1048576"),MATCH($A46,INDIRECT("'"&amp;D$4&amp;"'!$A:$A"),0),MATCH($A$2,INDIRECT("'"&amp;D$4&amp;"'!$5:$5"),0))</f>
        <v>0</v>
      </c>
      <c r="E46" s="124">
        <f ca="1">IFERROR(D46/D16, "NA")</f>
        <v>0</v>
      </c>
      <c r="F46" s="125">
        <f t="shared" ref="F46:F51" ca="1" si="16">INDEX(INDIRECT("'"&amp;F$4&amp;"'!$1:$1048576"),MATCH($A46,INDIRECT("'"&amp;F$4&amp;"'!$A:$A"),0),MATCH($A$2,INDIRECT("'"&amp;F$4&amp;"'!$5:$5"),0))</f>
        <v>0</v>
      </c>
      <c r="G46" s="124">
        <f ca="1">IFERROR(F46/F16, "NA")</f>
        <v>0</v>
      </c>
      <c r="H46" s="125">
        <f t="shared" ref="H46:H51" ca="1" si="17">INDEX(INDIRECT("'"&amp;H$4&amp;"'!$1:$1048576"),MATCH($A46,INDIRECT("'"&amp;H$4&amp;"'!$A:$A"),0),MATCH($A$2,INDIRECT("'"&amp;H$4&amp;"'!$5:$5"),0))</f>
        <v>0</v>
      </c>
      <c r="I46" s="124">
        <f ca="1">IFERROR(H46/H16, "NA")</f>
        <v>0</v>
      </c>
      <c r="J46" s="125"/>
      <c r="K46" s="124">
        <f ca="1">IFERROR(J46/J16, "NA")</f>
        <v>0</v>
      </c>
    </row>
    <row r="47" spans="1:13" ht="16.5" customHeight="1">
      <c r="A47" s="128" t="s">
        <v>55</v>
      </c>
      <c r="B47" s="125">
        <f t="shared" ca="1" si="14"/>
        <v>910.54</v>
      </c>
      <c r="C47" s="124">
        <f ca="1">IFERROR(B47/B16, "NA")</f>
        <v>2.1921273703668212E-2</v>
      </c>
      <c r="D47" s="125">
        <f t="shared" ca="1" si="15"/>
        <v>764.65</v>
      </c>
      <c r="E47" s="124">
        <f ca="1">IFERROR(D47/D16, "NA")</f>
        <v>3.7116914031858461E-2</v>
      </c>
      <c r="F47" s="125">
        <f t="shared" ca="1" si="16"/>
        <v>504.33</v>
      </c>
      <c r="G47" s="124">
        <f ca="1">IFERROR(F47/F16, "NA")</f>
        <v>2.4408009106360901E-2</v>
      </c>
      <c r="H47" s="125">
        <f t="shared" ca="1" si="17"/>
        <v>801.04</v>
      </c>
      <c r="I47" s="124">
        <f ca="1">IFERROR(H47/H16, "NA")</f>
        <v>2.89314777179152E-2</v>
      </c>
      <c r="J47" s="136">
        <f ca="1">+H47+F47+D47+B47</f>
        <v>2980.56</v>
      </c>
      <c r="K47" s="124">
        <f ca="1">IFERROR(J47/J16, "NA")</f>
        <v>2.6976345194691435E-2</v>
      </c>
    </row>
    <row r="48" spans="1:13" ht="16.5" customHeight="1">
      <c r="A48" s="128" t="s">
        <v>56</v>
      </c>
      <c r="B48" s="125">
        <f t="shared" ca="1" si="14"/>
        <v>632.84</v>
      </c>
      <c r="C48" s="124">
        <f ca="1">IFERROR(B48/B16, "NA")</f>
        <v>1.5235639126924013E-2</v>
      </c>
      <c r="D48" s="125">
        <f t="shared" ca="1" si="15"/>
        <v>445.11</v>
      </c>
      <c r="E48" s="124">
        <f ca="1">IFERROR(D48/D16, "NA")</f>
        <v>2.1606106852442977E-2</v>
      </c>
      <c r="F48" s="125">
        <f t="shared" ca="1" si="16"/>
        <v>224.37</v>
      </c>
      <c r="G48" s="124">
        <f ca="1">IFERROR(F48/F16, "NA")</f>
        <v>1.085881268850593E-2</v>
      </c>
      <c r="H48" s="125">
        <f t="shared" ca="1" si="17"/>
        <v>319.52</v>
      </c>
      <c r="I48" s="124">
        <f ca="1">IFERROR(H48/H16, "NA")</f>
        <v>1.1540229901663169E-2</v>
      </c>
      <c r="J48" s="136">
        <f ca="1">+H48+F48+D48+B48</f>
        <v>1621.8400000000001</v>
      </c>
      <c r="K48" s="124">
        <f ca="1">IFERROR(J48/J16, "NA")</f>
        <v>1.4678891111253712E-2</v>
      </c>
    </row>
    <row r="49" spans="1:11" ht="16.5" hidden="1" customHeight="1">
      <c r="A49" s="128" t="s">
        <v>57</v>
      </c>
      <c r="B49" s="125">
        <f t="shared" ca="1" si="14"/>
        <v>0</v>
      </c>
      <c r="C49" s="124">
        <f ca="1">IFERROR(B49/B16, "NA")</f>
        <v>0</v>
      </c>
      <c r="D49" s="125">
        <f t="shared" ca="1" si="15"/>
        <v>0</v>
      </c>
      <c r="E49" s="124">
        <f ca="1">IFERROR(D49/D16, "NA")</f>
        <v>0</v>
      </c>
      <c r="F49" s="125">
        <f t="shared" ca="1" si="16"/>
        <v>0</v>
      </c>
      <c r="G49" s="124">
        <f ca="1">IFERROR(F49/F16, "NA")</f>
        <v>0</v>
      </c>
      <c r="H49" s="125">
        <f t="shared" ca="1" si="17"/>
        <v>0</v>
      </c>
      <c r="I49" s="124">
        <f ca="1">IFERROR(H49/H16, "NA")</f>
        <v>0</v>
      </c>
      <c r="J49" s="122">
        <f ca="1">+H49+F49+D49+B49</f>
        <v>0</v>
      </c>
      <c r="K49" s="124">
        <f ca="1">IFERROR(J49/J16, "NA")</f>
        <v>0</v>
      </c>
    </row>
    <row r="50" spans="1:11" ht="16.5" hidden="1" customHeight="1">
      <c r="A50" s="128" t="s">
        <v>58</v>
      </c>
      <c r="B50" s="125">
        <f t="shared" ca="1" si="14"/>
        <v>0</v>
      </c>
      <c r="C50" s="124">
        <f ca="1">IFERROR(B50/B16, "NA")</f>
        <v>0</v>
      </c>
      <c r="D50" s="125">
        <f t="shared" ca="1" si="15"/>
        <v>0</v>
      </c>
      <c r="E50" s="124">
        <f ca="1">IFERROR(D50/D16, "NA")</f>
        <v>0</v>
      </c>
      <c r="F50" s="125">
        <f t="shared" ca="1" si="16"/>
        <v>0</v>
      </c>
      <c r="G50" s="124">
        <f ca="1">IFERROR(F50/F16, "NA")</f>
        <v>0</v>
      </c>
      <c r="H50" s="125">
        <f t="shared" ca="1" si="17"/>
        <v>0</v>
      </c>
      <c r="I50" s="124">
        <f ca="1">IFERROR(H50/H16, "NA")</f>
        <v>0</v>
      </c>
      <c r="J50" s="122">
        <f ca="1">+H50+F50+D50+B50</f>
        <v>0</v>
      </c>
      <c r="K50" s="124">
        <f ca="1">IFERROR(J50/J16, "NA")</f>
        <v>0</v>
      </c>
    </row>
    <row r="51" spans="1:11" ht="16.5" customHeight="1">
      <c r="A51" s="127" t="s">
        <v>59</v>
      </c>
      <c r="B51" s="122">
        <f t="shared" ca="1" si="14"/>
        <v>1543.38</v>
      </c>
      <c r="C51" s="121">
        <f ca="1">IFERROR(B51/B16, "NA")</f>
        <v>3.7156912830592227E-2</v>
      </c>
      <c r="D51" s="122">
        <f t="shared" ca="1" si="15"/>
        <v>1209.76</v>
      </c>
      <c r="E51" s="121">
        <f ca="1">IFERROR(D51/D16, "NA")</f>
        <v>5.8723020884301438E-2</v>
      </c>
      <c r="F51" s="122">
        <f t="shared" ca="1" si="16"/>
        <v>728.7</v>
      </c>
      <c r="G51" s="121">
        <f ca="1">IFERROR(F51/F16, "NA")</f>
        <v>3.5266821794866836E-2</v>
      </c>
      <c r="H51" s="122">
        <f t="shared" ca="1" si="17"/>
        <v>1120.56</v>
      </c>
      <c r="I51" s="121">
        <f ca="1">IFERROR(H51/H16, "NA")</f>
        <v>4.047170761957837E-2</v>
      </c>
      <c r="J51" s="122">
        <f ca="1">+H51+F51+D51+B51</f>
        <v>4602.3999999999996</v>
      </c>
      <c r="K51" s="121">
        <f ca="1">IFERROR(J51/J16, "NA")</f>
        <v>4.1655236305945142E-2</v>
      </c>
    </row>
    <row r="52" spans="1:11" ht="16.5" customHeight="1">
      <c r="A52" s="131" t="s">
        <v>60</v>
      </c>
      <c r="B52" s="130"/>
      <c r="C52" s="129"/>
      <c r="D52" s="130"/>
      <c r="E52" s="129"/>
      <c r="F52" s="130"/>
      <c r="G52" s="129"/>
      <c r="H52" s="130"/>
      <c r="I52" s="129"/>
      <c r="J52" s="130"/>
      <c r="K52" s="129"/>
    </row>
    <row r="53" spans="1:11" ht="16.5" hidden="1" customHeight="1">
      <c r="A53" s="128" t="s">
        <v>61</v>
      </c>
      <c r="B53" s="125">
        <f t="shared" ref="B53:B64" ca="1" si="18">INDEX(INDIRECT("'"&amp;B$4&amp;"'!$1:$1048576"),MATCH($A53,INDIRECT("'"&amp;B$4&amp;"'!$A:$A"),0),MATCH($A$2,INDIRECT("'"&amp;B$4&amp;"'!$5:$5"),0))</f>
        <v>0</v>
      </c>
      <c r="C53" s="124">
        <f ca="1">IFERROR(B53/B16, "NA")</f>
        <v>0</v>
      </c>
      <c r="D53" s="125">
        <f t="shared" ref="D53:D64" ca="1" si="19">INDEX(INDIRECT("'"&amp;D$4&amp;"'!$1:$1048576"),MATCH($A53,INDIRECT("'"&amp;D$4&amp;"'!$A:$A"),0),MATCH($A$2,INDIRECT("'"&amp;D$4&amp;"'!$5:$5"),0))</f>
        <v>0</v>
      </c>
      <c r="E53" s="124">
        <f ca="1">IFERROR(D53/D16, "NA")</f>
        <v>0</v>
      </c>
      <c r="F53" s="125">
        <f t="shared" ref="F53:F64" ca="1" si="20">INDEX(INDIRECT("'"&amp;F$4&amp;"'!$1:$1048576"),MATCH($A53,INDIRECT("'"&amp;F$4&amp;"'!$A:$A"),0),MATCH($A$2,INDIRECT("'"&amp;F$4&amp;"'!$5:$5"),0))</f>
        <v>0</v>
      </c>
      <c r="G53" s="124">
        <f ca="1">IFERROR(F53/F16, "NA")</f>
        <v>0</v>
      </c>
      <c r="H53" s="125">
        <f t="shared" ref="H53:H64" ca="1" si="21">INDEX(INDIRECT("'"&amp;H$4&amp;"'!$1:$1048576"),MATCH($A53,INDIRECT("'"&amp;H$4&amp;"'!$A:$A"),0),MATCH($A$2,INDIRECT("'"&amp;H$4&amp;"'!$5:$5"),0))</f>
        <v>0</v>
      </c>
      <c r="I53" s="124">
        <f ca="1">IFERROR(H53/H16, "NA")</f>
        <v>0</v>
      </c>
      <c r="J53" s="125"/>
      <c r="K53" s="124">
        <f ca="1">IFERROR(J53/J16, "NA")</f>
        <v>0</v>
      </c>
    </row>
    <row r="54" spans="1:11" ht="16.5" customHeight="1">
      <c r="A54" s="128" t="s">
        <v>62</v>
      </c>
      <c r="B54" s="125">
        <f t="shared" ca="1" si="18"/>
        <v>43.93</v>
      </c>
      <c r="C54" s="124">
        <f ca="1">IFERROR(B54/B16, "NA")</f>
        <v>1.0576158694863976E-3</v>
      </c>
      <c r="D54" s="130">
        <f t="shared" ca="1" si="19"/>
        <v>56.3</v>
      </c>
      <c r="E54" s="121">
        <f ca="1">IFERROR(D54/D16, "NA")</f>
        <v>2.7328611259970332E-3</v>
      </c>
      <c r="F54" s="125">
        <f t="shared" ca="1" si="20"/>
        <v>53.26</v>
      </c>
      <c r="G54" s="124">
        <f ca="1">IFERROR(F54/F16, "NA")</f>
        <v>2.5776189499033997E-3</v>
      </c>
      <c r="H54" s="125">
        <f t="shared" ca="1" si="21"/>
        <v>160.47</v>
      </c>
      <c r="I54" s="124">
        <f ca="1">IFERROR(H54/H16, "NA")</f>
        <v>5.795758300951079E-3</v>
      </c>
      <c r="J54" s="122">
        <f t="shared" ref="J54:J64" ca="1" si="22">+H54+F54+D54+B54</f>
        <v>313.95999999999998</v>
      </c>
      <c r="K54" s="124">
        <f ca="1">IFERROR(J54/J16, "NA")</f>
        <v>2.8415778703751384E-3</v>
      </c>
    </row>
    <row r="55" spans="1:11" ht="16.5" hidden="1" customHeight="1">
      <c r="A55" s="128" t="s">
        <v>63</v>
      </c>
      <c r="B55" s="125">
        <f t="shared" ca="1" si="18"/>
        <v>0</v>
      </c>
      <c r="C55" s="124">
        <f ca="1">IFERROR(B55/B16, "NA")</f>
        <v>0</v>
      </c>
      <c r="D55" s="125">
        <f t="shared" ca="1" si="19"/>
        <v>0</v>
      </c>
      <c r="E55" s="124">
        <f ca="1">IFERROR(D55/D16, "NA")</f>
        <v>0</v>
      </c>
      <c r="F55" s="125">
        <f t="shared" ca="1" si="20"/>
        <v>0</v>
      </c>
      <c r="G55" s="124">
        <f ca="1">IFERROR(F55/F16, "NA")</f>
        <v>0</v>
      </c>
      <c r="H55" s="125">
        <f t="shared" ca="1" si="21"/>
        <v>0</v>
      </c>
      <c r="I55" s="124">
        <f ca="1">IFERROR(H55/H16, "NA")</f>
        <v>0</v>
      </c>
      <c r="J55" s="122">
        <f t="shared" ca="1" si="22"/>
        <v>0</v>
      </c>
      <c r="K55" s="124">
        <f ca="1">IFERROR(J55/J16, "NA")</f>
        <v>0</v>
      </c>
    </row>
    <row r="56" spans="1:11" ht="16.5" hidden="1" customHeight="1">
      <c r="A56" s="128" t="s">
        <v>64</v>
      </c>
      <c r="B56" s="125">
        <f t="shared" ca="1" si="18"/>
        <v>0</v>
      </c>
      <c r="C56" s="124">
        <f ca="1">IFERROR(B56/B16, "NA")</f>
        <v>0</v>
      </c>
      <c r="D56" s="125">
        <f t="shared" ca="1" si="19"/>
        <v>0</v>
      </c>
      <c r="E56" s="124">
        <f ca="1">IFERROR(D56/D16, "NA")</f>
        <v>0</v>
      </c>
      <c r="F56" s="125">
        <f t="shared" ca="1" si="20"/>
        <v>0</v>
      </c>
      <c r="G56" s="124">
        <f ca="1">IFERROR(F56/F16, "NA")</f>
        <v>0</v>
      </c>
      <c r="H56" s="125">
        <f t="shared" ca="1" si="21"/>
        <v>0</v>
      </c>
      <c r="I56" s="124">
        <f ca="1">IFERROR(H56/H16, "NA")</f>
        <v>0</v>
      </c>
      <c r="J56" s="122">
        <f t="shared" ca="1" si="22"/>
        <v>0</v>
      </c>
      <c r="K56" s="124">
        <f ca="1">IFERROR(J56/J16, "NA")</f>
        <v>0</v>
      </c>
    </row>
    <row r="57" spans="1:11" ht="16.5" hidden="1" customHeight="1">
      <c r="A57" s="128" t="s">
        <v>65</v>
      </c>
      <c r="B57" s="125">
        <f t="shared" ca="1" si="18"/>
        <v>0</v>
      </c>
      <c r="C57" s="124">
        <f ca="1">IFERROR(B57/B16, "NA")</f>
        <v>0</v>
      </c>
      <c r="D57" s="125">
        <f t="shared" ca="1" si="19"/>
        <v>0</v>
      </c>
      <c r="E57" s="124">
        <f ca="1">IFERROR(D57/D16, "NA")</f>
        <v>0</v>
      </c>
      <c r="F57" s="125">
        <f t="shared" ca="1" si="20"/>
        <v>0</v>
      </c>
      <c r="G57" s="124">
        <f ca="1">IFERROR(F57/F16, "NA")</f>
        <v>0</v>
      </c>
      <c r="H57" s="125">
        <f t="shared" ca="1" si="21"/>
        <v>0</v>
      </c>
      <c r="I57" s="124">
        <f ca="1">IFERROR(H57/H16, "NA")</f>
        <v>0</v>
      </c>
      <c r="J57" s="122">
        <f t="shared" ca="1" si="22"/>
        <v>0</v>
      </c>
      <c r="K57" s="124">
        <f ca="1">IFERROR(J57/J16, "NA")</f>
        <v>0</v>
      </c>
    </row>
    <row r="58" spans="1:11" ht="16.5" hidden="1" customHeight="1">
      <c r="A58" s="128" t="s">
        <v>66</v>
      </c>
      <c r="B58" s="125">
        <f t="shared" ca="1" si="18"/>
        <v>0</v>
      </c>
      <c r="C58" s="124">
        <f ca="1">IFERROR(B58/B16, "NA")</f>
        <v>0</v>
      </c>
      <c r="D58" s="125">
        <f t="shared" ca="1" si="19"/>
        <v>0</v>
      </c>
      <c r="E58" s="124">
        <f ca="1">IFERROR(D58/D16, "NA")</f>
        <v>0</v>
      </c>
      <c r="F58" s="125">
        <f t="shared" ca="1" si="20"/>
        <v>0</v>
      </c>
      <c r="G58" s="124">
        <f ca="1">IFERROR(F58/F16, "NA")</f>
        <v>0</v>
      </c>
      <c r="H58" s="125">
        <f t="shared" ca="1" si="21"/>
        <v>0</v>
      </c>
      <c r="I58" s="124">
        <f ca="1">IFERROR(H58/H16, "NA")</f>
        <v>0</v>
      </c>
      <c r="J58" s="122">
        <f t="shared" ca="1" si="22"/>
        <v>0</v>
      </c>
      <c r="K58" s="124">
        <f ca="1">IFERROR(J58/J16, "NA")</f>
        <v>0</v>
      </c>
    </row>
    <row r="59" spans="1:11" ht="16.5" customHeight="1">
      <c r="A59" s="127" t="s">
        <v>67</v>
      </c>
      <c r="B59" s="122">
        <f t="shared" ca="1" si="18"/>
        <v>43.93</v>
      </c>
      <c r="C59" s="121">
        <f ca="1">IFERROR(B59/B16, "NA")</f>
        <v>1.0576158694863976E-3</v>
      </c>
      <c r="D59" s="122">
        <f t="shared" ca="1" si="19"/>
        <v>56.3</v>
      </c>
      <c r="E59" s="121">
        <f ca="1">IFERROR(D59/D16, "NA")</f>
        <v>2.7328611259970332E-3</v>
      </c>
      <c r="F59" s="122">
        <f t="shared" ca="1" si="20"/>
        <v>53.26</v>
      </c>
      <c r="G59" s="121">
        <f ca="1">IFERROR(F59/F16, "NA")</f>
        <v>2.5776189499033997E-3</v>
      </c>
      <c r="H59" s="122">
        <f t="shared" ca="1" si="21"/>
        <v>160.47</v>
      </c>
      <c r="I59" s="121">
        <f ca="1">IFERROR(H59/H16, "NA")</f>
        <v>5.795758300951079E-3</v>
      </c>
      <c r="J59" s="122">
        <f t="shared" ca="1" si="22"/>
        <v>313.95999999999998</v>
      </c>
      <c r="K59" s="121">
        <f ca="1">IFERROR(J59/J16, "NA")</f>
        <v>2.8415778703751384E-3</v>
      </c>
    </row>
    <row r="60" spans="1:11" ht="21" customHeight="1">
      <c r="A60" s="126" t="s">
        <v>68</v>
      </c>
      <c r="B60" s="125">
        <f t="shared" ca="1" si="18"/>
        <v>29.28</v>
      </c>
      <c r="C60" s="124">
        <f ca="1">IFERROR(B60/B16, "NA")</f>
        <v>7.0491674615437568E-4</v>
      </c>
      <c r="D60" s="125">
        <f t="shared" ca="1" si="19"/>
        <v>84.04</v>
      </c>
      <c r="E60" s="124">
        <f ca="1">IFERROR(D60/D16, "NA")</f>
        <v>4.0793898584154656E-3</v>
      </c>
      <c r="F60" s="125">
        <f t="shared" ca="1" si="20"/>
        <v>21.2</v>
      </c>
      <c r="G60" s="124">
        <f ca="1">IFERROR(F60/F16, "NA")</f>
        <v>1.0260143022521981E-3</v>
      </c>
      <c r="H60" s="125">
        <f t="shared" ca="1" si="21"/>
        <v>24.68</v>
      </c>
      <c r="I60" s="124">
        <f ca="1">IFERROR(H60/H16, "NA")</f>
        <v>8.9137729711143902E-4</v>
      </c>
      <c r="J60" s="136">
        <f t="shared" ca="1" si="22"/>
        <v>159.20000000000002</v>
      </c>
      <c r="K60" s="124">
        <f ca="1">IFERROR(J60/J16, "NA")</f>
        <v>1.4408816313024658E-3</v>
      </c>
    </row>
    <row r="61" spans="1:11" ht="16.5" customHeight="1">
      <c r="A61" s="126" t="s">
        <v>69</v>
      </c>
      <c r="B61" s="125">
        <f t="shared" ca="1" si="18"/>
        <v>38</v>
      </c>
      <c r="C61" s="124">
        <f ca="1">IFERROR(B61/B16, "NA")</f>
        <v>9.1485096836974988E-4</v>
      </c>
      <c r="D61" s="125">
        <f t="shared" ca="1" si="19"/>
        <v>31</v>
      </c>
      <c r="E61" s="124">
        <f ca="1">IFERROR(D61/D16, "NA")</f>
        <v>1.5047725560552048E-3</v>
      </c>
      <c r="F61" s="125">
        <f t="shared" ca="1" si="20"/>
        <v>31.75</v>
      </c>
      <c r="G61" s="124">
        <f ca="1">IFERROR(F61/F16, "NA")</f>
        <v>1.5366016083258158E-3</v>
      </c>
      <c r="H61" s="125">
        <f t="shared" ca="1" si="21"/>
        <v>35</v>
      </c>
      <c r="I61" s="124">
        <f ca="1">IFERROR(H61/H16, "NA")</f>
        <v>1.2641088087074702E-3</v>
      </c>
      <c r="J61" s="136">
        <f t="shared" ca="1" si="22"/>
        <v>135.75</v>
      </c>
      <c r="K61" s="124">
        <f ca="1">IFERROR(J61/J16, "NA")</f>
        <v>1.2286412151338549E-3</v>
      </c>
    </row>
    <row r="62" spans="1:11" ht="39" customHeight="1">
      <c r="A62" s="137" t="s">
        <v>70</v>
      </c>
      <c r="B62" s="125">
        <f t="shared" ca="1" si="18"/>
        <v>-454.11</v>
      </c>
      <c r="C62" s="124">
        <f ca="1">IFERROR(B62/B16, "NA")</f>
        <v>-1.0932709822273345E-2</v>
      </c>
      <c r="D62" s="125">
        <f t="shared" ca="1" si="19"/>
        <v>-355.21</v>
      </c>
      <c r="E62" s="124">
        <f ca="1">IFERROR(D62/D16, "NA")</f>
        <v>-1.7242266439882879E-2</v>
      </c>
      <c r="F62" s="125">
        <f t="shared" ca="1" si="20"/>
        <v>-285.99</v>
      </c>
      <c r="G62" s="124">
        <f ca="1">IFERROR(F62/F16, "NA")</f>
        <v>-1.3841029731184253E-2</v>
      </c>
      <c r="H62" s="125">
        <f t="shared" ca="1" si="21"/>
        <v>-380.52</v>
      </c>
      <c r="I62" s="124">
        <f ca="1">IFERROR(H62/H16, "NA")</f>
        <v>-1.3743390968267617E-2</v>
      </c>
      <c r="J62" s="136">
        <f t="shared" ca="1" si="22"/>
        <v>-1475.83</v>
      </c>
      <c r="K62" s="124">
        <f ca="1">IFERROR(J62/J16, "NA")</f>
        <v>-1.3357389057318578E-2</v>
      </c>
    </row>
    <row r="63" spans="1:11" ht="16.5" customHeight="1">
      <c r="A63" s="123" t="s">
        <v>71</v>
      </c>
      <c r="B63" s="122">
        <f t="shared" ca="1" si="18"/>
        <v>1200.48</v>
      </c>
      <c r="C63" s="121">
        <f ca="1">IFERROR(B63/B16, "NA")</f>
        <v>2.8901586592329404E-2</v>
      </c>
      <c r="D63" s="122">
        <f t="shared" ca="1" si="19"/>
        <v>1025.8899999999999</v>
      </c>
      <c r="E63" s="121">
        <f ca="1">IFERROR(D63/D16, "NA")</f>
        <v>4.9797777984886257E-2</v>
      </c>
      <c r="F63" s="122">
        <f t="shared" ca="1" si="20"/>
        <v>548.92000000000007</v>
      </c>
      <c r="G63" s="121">
        <f ca="1">IFERROR(F63/F16, "NA")</f>
        <v>2.6566026924163995E-2</v>
      </c>
      <c r="H63" s="122">
        <f t="shared" ca="1" si="21"/>
        <v>960.19</v>
      </c>
      <c r="I63" s="121">
        <f ca="1">IFERROR(H63/H16, "NA")</f>
        <v>3.4679561058080746E-2</v>
      </c>
      <c r="J63" s="122">
        <f t="shared" ca="1" si="22"/>
        <v>3735.48</v>
      </c>
      <c r="K63" s="121">
        <f ca="1">IFERROR(J63/J16, "NA")</f>
        <v>3.3808947965438027E-2</v>
      </c>
    </row>
    <row r="64" spans="1:11" ht="16.5" customHeight="1">
      <c r="A64" s="120" t="s">
        <v>72</v>
      </c>
      <c r="B64" s="118">
        <f t="shared" ca="1" si="18"/>
        <v>10300.880000000003</v>
      </c>
      <c r="C64" s="119">
        <f ca="1">IFERROR(B64/B16, "NA")</f>
        <v>0.24799394850159451</v>
      </c>
      <c r="D64" s="118">
        <f t="shared" ca="1" si="19"/>
        <v>5711.1899999999987</v>
      </c>
      <c r="E64" s="119">
        <f ca="1">IFERROR(D64/D16, "NA")</f>
        <v>0.27722716046506202</v>
      </c>
      <c r="F64" s="118">
        <f t="shared" ca="1" si="20"/>
        <v>5626.7900000000009</v>
      </c>
      <c r="G64" s="119">
        <f ca="1">IFERROR(F64/F16, "NA")</f>
        <v>0.27231919885705885</v>
      </c>
      <c r="H64" s="118">
        <f t="shared" ca="1" si="21"/>
        <v>6927.4700000000012</v>
      </c>
      <c r="I64" s="119">
        <f ca="1">IFERROR(H64/H16, "NA")</f>
        <v>0.25020216711590687</v>
      </c>
      <c r="J64" s="118">
        <f t="shared" ca="1" si="22"/>
        <v>28566.33</v>
      </c>
      <c r="K64" s="117">
        <f ca="1">IFERROR(J64/J16, "NA")</f>
        <v>0.25854711162515431</v>
      </c>
    </row>
    <row r="65" spans="1:11" ht="3.75" customHeight="1">
      <c r="A65" s="135" t="s">
        <v>3</v>
      </c>
      <c r="B65" s="134"/>
      <c r="C65" s="111"/>
      <c r="D65" s="134"/>
      <c r="E65" s="111"/>
      <c r="F65" s="134"/>
      <c r="G65" s="111"/>
      <c r="H65" s="134"/>
      <c r="I65" s="111"/>
      <c r="J65" s="134"/>
      <c r="K65" s="111"/>
    </row>
    <row r="66" spans="1:11" ht="16.5" customHeight="1">
      <c r="A66" s="80" t="s">
        <v>73</v>
      </c>
      <c r="B66" s="115">
        <f ca="1">INDEX(INDIRECT("'"&amp;B$4&amp;"'!$1:$1048576"),MATCH($A66,INDIRECT("'"&amp;B$4&amp;"'!$A:$A"),0),MATCH($A$2,INDIRECT("'"&amp;B$4&amp;"'!$5:$5"),0))</f>
        <v>31235.940000000002</v>
      </c>
      <c r="C66" s="116">
        <f ca="1">IFERROR(B66/B16, "NA")</f>
        <v>0.75200605149840549</v>
      </c>
      <c r="D66" s="115">
        <f ca="1">INDEX(INDIRECT("'"&amp;D$4&amp;"'!$1:$1048576"),MATCH($A66,INDIRECT("'"&amp;D$4&amp;"'!$A:$A"),0),MATCH($A$2,INDIRECT("'"&amp;D$4&amp;"'!$5:$5"),0))</f>
        <v>14889.93</v>
      </c>
      <c r="E66" s="116">
        <f ca="1">IFERROR(D66/D16, "NA")</f>
        <v>0.72277283953493798</v>
      </c>
      <c r="F66" s="115">
        <f ca="1">INDEX(INDIRECT("'"&amp;F$4&amp;"'!$1:$1048576"),MATCH($A66,INDIRECT("'"&amp;F$4&amp;"'!$A:$A"),0),MATCH($A$2,INDIRECT("'"&amp;F$4&amp;"'!$5:$5"),0))</f>
        <v>15035.689999999999</v>
      </c>
      <c r="G66" s="116">
        <f ca="1">IFERROR(F66/F16, "NA")</f>
        <v>0.7276808011429412</v>
      </c>
      <c r="H66" s="115">
        <f ca="1">INDEX(INDIRECT("'"&amp;H$4&amp;"'!$1:$1048576"),MATCH($A66,INDIRECT("'"&amp;H$4&amp;"'!$A:$A"),0),MATCH($A$2,INDIRECT("'"&amp;H$4&amp;"'!$5:$5"),0))</f>
        <v>20760.02</v>
      </c>
      <c r="I66" s="116">
        <f ca="1">IFERROR(H66/H16, "NA")</f>
        <v>0.74979783288409307</v>
      </c>
      <c r="J66" s="122">
        <f ca="1">+H66+F66+D66+B66</f>
        <v>81921.58</v>
      </c>
      <c r="K66" s="116">
        <f ca="1">IFERROR(J66/J16, "NA")</f>
        <v>0.74145288837484569</v>
      </c>
    </row>
    <row r="67" spans="1:11" ht="3.75" customHeight="1">
      <c r="A67" s="113" t="s">
        <v>3</v>
      </c>
      <c r="B67" s="112"/>
      <c r="C67" s="111"/>
      <c r="D67" s="112"/>
      <c r="E67" s="111"/>
      <c r="F67" s="112"/>
      <c r="G67" s="111"/>
      <c r="H67" s="112"/>
      <c r="I67" s="111"/>
      <c r="J67" s="112"/>
      <c r="K67" s="111"/>
    </row>
    <row r="68" spans="1:11" ht="16.5" customHeight="1">
      <c r="A68" s="133" t="s">
        <v>74</v>
      </c>
      <c r="B68" s="130"/>
      <c r="C68" s="129"/>
      <c r="D68" s="130"/>
      <c r="E68" s="129"/>
      <c r="F68" s="130"/>
      <c r="G68" s="129"/>
      <c r="H68" s="130"/>
      <c r="I68" s="129"/>
      <c r="J68" s="130"/>
      <c r="K68" s="129"/>
    </row>
    <row r="69" spans="1:11" ht="16.5" customHeight="1">
      <c r="A69" s="132" t="s">
        <v>74</v>
      </c>
      <c r="B69" s="130"/>
      <c r="C69" s="129"/>
      <c r="D69" s="130"/>
      <c r="E69" s="129"/>
      <c r="F69" s="130"/>
      <c r="G69" s="129"/>
      <c r="H69" s="130"/>
      <c r="I69" s="129"/>
      <c r="J69" s="130"/>
      <c r="K69" s="129"/>
    </row>
    <row r="70" spans="1:11" ht="16.5" hidden="1" customHeight="1">
      <c r="A70" s="126" t="s">
        <v>75</v>
      </c>
      <c r="B70" s="125"/>
      <c r="C70" s="124"/>
      <c r="D70" s="125"/>
      <c r="E70" s="124"/>
      <c r="F70" s="125"/>
      <c r="G70" s="124"/>
      <c r="H70" s="125"/>
      <c r="I70" s="124"/>
      <c r="J70" s="125"/>
      <c r="K70" s="124"/>
    </row>
    <row r="71" spans="1:11" ht="16.5" customHeight="1">
      <c r="A71" s="131" t="s">
        <v>76</v>
      </c>
      <c r="B71" s="130"/>
      <c r="C71" s="129"/>
      <c r="D71" s="130"/>
      <c r="E71" s="129"/>
      <c r="F71" s="130"/>
      <c r="G71" s="129"/>
      <c r="H71" s="130"/>
      <c r="I71" s="129"/>
      <c r="J71" s="130"/>
      <c r="K71" s="129"/>
    </row>
    <row r="72" spans="1:11" ht="16.5" hidden="1" customHeight="1">
      <c r="A72" s="128" t="s">
        <v>77</v>
      </c>
      <c r="B72" s="125">
        <f t="shared" ref="B72:B79" ca="1" si="23">INDEX(INDIRECT("'"&amp;B$4&amp;"'!$1:$1048576"),MATCH($A72,INDIRECT("'"&amp;B$4&amp;"'!$A:$A"),0),MATCH($A$2,INDIRECT("'"&amp;B$4&amp;"'!$5:$5"),0))</f>
        <v>0</v>
      </c>
      <c r="C72" s="124">
        <f ca="1">IFERROR(B72/B16, "NA")</f>
        <v>0</v>
      </c>
      <c r="D72" s="125">
        <f t="shared" ref="D72:D79" ca="1" si="24">INDEX(INDIRECT("'"&amp;D$4&amp;"'!$1:$1048576"),MATCH($A72,INDIRECT("'"&amp;D$4&amp;"'!$A:$A"),0),MATCH($A$2,INDIRECT("'"&amp;D$4&amp;"'!$5:$5"),0))</f>
        <v>0</v>
      </c>
      <c r="E72" s="124">
        <f ca="1">IFERROR(D72/D16, "NA")</f>
        <v>0</v>
      </c>
      <c r="F72" s="125">
        <f t="shared" ref="F72:F79" ca="1" si="25">INDEX(INDIRECT("'"&amp;F$4&amp;"'!$1:$1048576"),MATCH($A72,INDIRECT("'"&amp;F$4&amp;"'!$A:$A"),0),MATCH($A$2,INDIRECT("'"&amp;F$4&amp;"'!$5:$5"),0))</f>
        <v>0</v>
      </c>
      <c r="G72" s="124">
        <f ca="1">IFERROR(F72/F16, "NA")</f>
        <v>0</v>
      </c>
      <c r="H72" s="125">
        <f t="shared" ref="H72:H79" ca="1" si="26">INDEX(INDIRECT("'"&amp;H$4&amp;"'!$1:$1048576"),MATCH($A72,INDIRECT("'"&amp;H$4&amp;"'!$A:$A"),0),MATCH($A$2,INDIRECT("'"&amp;H$4&amp;"'!$5:$5"),0))</f>
        <v>0</v>
      </c>
      <c r="I72" s="124">
        <f ca="1">IFERROR(H72/H16, "NA")</f>
        <v>0</v>
      </c>
      <c r="J72" s="125"/>
      <c r="K72" s="124">
        <f ca="1">IFERROR(J72/J16, "NA")</f>
        <v>0</v>
      </c>
    </row>
    <row r="73" spans="1:11" ht="16.5" customHeight="1">
      <c r="A73" s="128" t="s">
        <v>78</v>
      </c>
      <c r="B73" s="125">
        <f t="shared" ca="1" si="23"/>
        <v>2519.23</v>
      </c>
      <c r="C73" s="124">
        <f ca="1">IFERROR(B73/B16, "NA")</f>
        <v>6.0650526448582237E-2</v>
      </c>
      <c r="D73" s="125">
        <f t="shared" ca="1" si="24"/>
        <v>1410</v>
      </c>
      <c r="E73" s="124">
        <f ca="1">IFERROR(D73/D16, "NA")</f>
        <v>6.8442880775414161E-2</v>
      </c>
      <c r="F73" s="125">
        <f t="shared" ca="1" si="25"/>
        <v>1461.54</v>
      </c>
      <c r="G73" s="124">
        <f ca="1">IFERROR(F73/F16, "NA")</f>
        <v>7.0734006760079141E-2</v>
      </c>
      <c r="H73" s="125">
        <f t="shared" ca="1" si="26"/>
        <v>1298.08</v>
      </c>
      <c r="I73" s="124">
        <f ca="1">IFERROR(H73/H16, "NA")</f>
        <v>4.6883267497342659E-2</v>
      </c>
      <c r="J73" s="125">
        <f ca="1">+H73+F73+D73+B73</f>
        <v>6688.85</v>
      </c>
      <c r="K73" s="124">
        <f ca="1">IFERROR(J73/J16, "NA")</f>
        <v>6.0539202886542069E-2</v>
      </c>
    </row>
    <row r="74" spans="1:11" ht="16.5" hidden="1" customHeight="1">
      <c r="A74" s="128" t="s">
        <v>79</v>
      </c>
      <c r="B74" s="125">
        <f t="shared" ca="1" si="23"/>
        <v>0</v>
      </c>
      <c r="C74" s="124">
        <f ca="1">IFERROR(B74/B16, "NA")</f>
        <v>0</v>
      </c>
      <c r="D74" s="125">
        <f t="shared" ca="1" si="24"/>
        <v>0</v>
      </c>
      <c r="E74" s="124">
        <f ca="1">IFERROR(D74/D16, "NA")</f>
        <v>0</v>
      </c>
      <c r="F74" s="125">
        <f t="shared" ca="1" si="25"/>
        <v>0</v>
      </c>
      <c r="G74" s="124">
        <f ca="1">IFERROR(F74/F16, "NA")</f>
        <v>0</v>
      </c>
      <c r="H74" s="125">
        <f t="shared" ca="1" si="26"/>
        <v>0</v>
      </c>
      <c r="I74" s="124">
        <f ca="1">IFERROR(H74/H16, "NA")</f>
        <v>0</v>
      </c>
      <c r="J74" s="125" t="e">
        <f ca="1">+H74+F74+D74+B74+#REF!</f>
        <v>#REF!</v>
      </c>
      <c r="K74" s="124" t="str">
        <f ca="1">IFERROR(J74/J16, "NA")</f>
        <v>NA</v>
      </c>
    </row>
    <row r="75" spans="1:11" ht="16.5" customHeight="1">
      <c r="A75" s="128" t="s">
        <v>80</v>
      </c>
      <c r="B75" s="125">
        <f t="shared" ca="1" si="23"/>
        <v>7148.11</v>
      </c>
      <c r="C75" s="124">
        <f ca="1">IFERROR(B75/B16, "NA")</f>
        <v>0.1720909304082498</v>
      </c>
      <c r="D75" s="125">
        <f t="shared" ca="1" si="24"/>
        <v>4474.8599999999997</v>
      </c>
      <c r="E75" s="124">
        <f ca="1">IFERROR(D75/D16, "NA")</f>
        <v>0.21721440387707075</v>
      </c>
      <c r="F75" s="125">
        <f t="shared" ca="1" si="25"/>
        <v>4878.03</v>
      </c>
      <c r="G75" s="124">
        <f ca="1">IFERROR(F75/F16, "NA")</f>
        <v>0.23608153522713632</v>
      </c>
      <c r="H75" s="125">
        <f t="shared" ca="1" si="26"/>
        <v>5697.83</v>
      </c>
      <c r="I75" s="124">
        <f ca="1">IFERROR(H75/H16, "NA")</f>
        <v>0.20579077410050531</v>
      </c>
      <c r="J75" s="125">
        <f ca="1">+H75+F75+D75+B75</f>
        <v>22198.83</v>
      </c>
      <c r="K75" s="124">
        <f ca="1">IFERROR(J75/J16, "NA")</f>
        <v>0.20091637175506352</v>
      </c>
    </row>
    <row r="76" spans="1:11" ht="16.5" customHeight="1">
      <c r="A76" s="128" t="s">
        <v>81</v>
      </c>
      <c r="B76" s="125">
        <f t="shared" ca="1" si="23"/>
        <v>219.61</v>
      </c>
      <c r="C76" s="124">
        <f ca="1">IFERROR(B76/B16, "NA")</f>
        <v>5.2871163464126517E-3</v>
      </c>
      <c r="D76" s="125">
        <f t="shared" ca="1" si="24"/>
        <v>0</v>
      </c>
      <c r="E76" s="124">
        <f ca="1">IFERROR(D76/D16, "NA")</f>
        <v>0</v>
      </c>
      <c r="F76" s="125">
        <f t="shared" ca="1" si="25"/>
        <v>226.46</v>
      </c>
      <c r="G76" s="124">
        <f ca="1">IFERROR(F76/F16, "NA")</f>
        <v>1.0959962211699661E-2</v>
      </c>
      <c r="H76" s="125">
        <f t="shared" ca="1" si="26"/>
        <v>0</v>
      </c>
      <c r="I76" s="124">
        <f ca="1">IFERROR(H76/H16, "NA")</f>
        <v>0</v>
      </c>
      <c r="J76" s="125">
        <f ca="1">+H76+F76+D76+B76</f>
        <v>446.07000000000005</v>
      </c>
      <c r="K76" s="124">
        <f ca="1">IFERROR(J76/J16, "NA")</f>
        <v>4.0372743044917768E-3</v>
      </c>
    </row>
    <row r="77" spans="1:11" ht="16.5" customHeight="1">
      <c r="A77" s="127" t="s">
        <v>82</v>
      </c>
      <c r="B77" s="122">
        <f t="shared" ca="1" si="23"/>
        <v>9886.9500000000007</v>
      </c>
      <c r="C77" s="121">
        <f ca="1">IFERROR(B77/B16, "NA")</f>
        <v>0.23802857320324472</v>
      </c>
      <c r="D77" s="122">
        <f t="shared" ca="1" si="24"/>
        <v>5884.86</v>
      </c>
      <c r="E77" s="121">
        <f ca="1">IFERROR(D77/D16, "NA")</f>
        <v>0.28565728465248491</v>
      </c>
      <c r="F77" s="122">
        <f t="shared" ca="1" si="25"/>
        <v>6566.03</v>
      </c>
      <c r="G77" s="121">
        <f ca="1">IFERROR(F77/F16, "NA")</f>
        <v>0.31777550419891515</v>
      </c>
      <c r="H77" s="122">
        <f t="shared" ca="1" si="26"/>
        <v>6995.91</v>
      </c>
      <c r="I77" s="121">
        <f ca="1">IFERROR(H77/H16, "NA")</f>
        <v>0.25267404159784795</v>
      </c>
      <c r="J77" s="122">
        <f ca="1">+H77+F77+D77+B77</f>
        <v>29333.75</v>
      </c>
      <c r="K77" s="121">
        <f ca="1">IFERROR(J77/J16, "NA")</f>
        <v>0.26549284894609737</v>
      </c>
    </row>
    <row r="78" spans="1:11" ht="16.5" hidden="1" customHeight="1">
      <c r="A78" s="126" t="s">
        <v>83</v>
      </c>
      <c r="B78" s="125">
        <f t="shared" ca="1" si="23"/>
        <v>0</v>
      </c>
      <c r="C78" s="124">
        <f ca="1">IFERROR(B78/B16, "NA")</f>
        <v>0</v>
      </c>
      <c r="D78" s="125">
        <f t="shared" ca="1" si="24"/>
        <v>0</v>
      </c>
      <c r="E78" s="124">
        <f ca="1">IFERROR(D78/D16, "NA")</f>
        <v>0</v>
      </c>
      <c r="F78" s="125">
        <f t="shared" ca="1" si="25"/>
        <v>0</v>
      </c>
      <c r="G78" s="124">
        <f ca="1">IFERROR(F78/F16, "NA")</f>
        <v>0</v>
      </c>
      <c r="H78" s="125">
        <f t="shared" ca="1" si="26"/>
        <v>0</v>
      </c>
      <c r="I78" s="124">
        <f ca="1">IFERROR(H78/H16, "NA")</f>
        <v>0</v>
      </c>
      <c r="J78" s="125"/>
      <c r="K78" s="124">
        <f ca="1">IFERROR(J78/J16, "NA")</f>
        <v>0</v>
      </c>
    </row>
    <row r="79" spans="1:11" ht="16.5" customHeight="1">
      <c r="A79" s="126" t="s">
        <v>84</v>
      </c>
      <c r="B79" s="125">
        <f t="shared" ca="1" si="23"/>
        <v>0</v>
      </c>
      <c r="C79" s="124">
        <f ca="1">IFERROR(B79/B16, "NA")</f>
        <v>0</v>
      </c>
      <c r="D79" s="125">
        <f t="shared" ca="1" si="24"/>
        <v>0</v>
      </c>
      <c r="E79" s="124">
        <f ca="1">IFERROR(D79/D16, "NA")</f>
        <v>0</v>
      </c>
      <c r="F79" s="125">
        <f t="shared" ca="1" si="25"/>
        <v>0</v>
      </c>
      <c r="G79" s="124">
        <f ca="1">IFERROR(F79/F16, "NA")</f>
        <v>0</v>
      </c>
      <c r="H79" s="125">
        <f t="shared" ca="1" si="26"/>
        <v>0</v>
      </c>
      <c r="I79" s="124">
        <f ca="1">IFERROR(H79/H16, "NA")</f>
        <v>0</v>
      </c>
      <c r="J79" s="125">
        <f ca="1">+H79+F79+D79+B79</f>
        <v>0</v>
      </c>
      <c r="K79" s="124">
        <f ca="1">IFERROR(J79/J16, "NA")</f>
        <v>0</v>
      </c>
    </row>
    <row r="80" spans="1:11" ht="16.5" customHeight="1">
      <c r="A80" s="131" t="s">
        <v>85</v>
      </c>
      <c r="B80" s="130"/>
      <c r="C80" s="129"/>
      <c r="D80" s="130"/>
      <c r="E80" s="129"/>
      <c r="F80" s="130"/>
      <c r="G80" s="129"/>
      <c r="H80" s="130"/>
      <c r="I80" s="129"/>
      <c r="J80" s="130"/>
      <c r="K80" s="129"/>
    </row>
    <row r="81" spans="1:11" ht="16.5" customHeight="1">
      <c r="A81" s="128" t="s">
        <v>86</v>
      </c>
      <c r="B81" s="125">
        <f t="shared" ref="B81:B92" ca="1" si="27">INDEX(INDIRECT("'"&amp;B$4&amp;"'!$1:$1048576"),MATCH($A81,INDIRECT("'"&amp;B$4&amp;"'!$A:$A"),0),MATCH($A$2,INDIRECT("'"&amp;B$4&amp;"'!$5:$5"),0))</f>
        <v>954.23</v>
      </c>
      <c r="C81" s="124">
        <f ca="1">IFERROR(B81/B16, "NA")</f>
        <v>2.2973111567038591E-2</v>
      </c>
      <c r="D81" s="125">
        <f t="shared" ref="D81:D92" ca="1" si="28">INDEX(INDIRECT("'"&amp;D$4&amp;"'!$1:$1048576"),MATCH($A81,INDIRECT("'"&amp;D$4&amp;"'!$A:$A"),0),MATCH($A$2,INDIRECT("'"&amp;D$4&amp;"'!$5:$5"),0))</f>
        <v>482.91</v>
      </c>
      <c r="E81" s="124">
        <f ca="1">IFERROR(D81/D16, "NA")</f>
        <v>2.3440958549826418E-2</v>
      </c>
      <c r="F81" s="125">
        <f t="shared" ref="F81:F92" ca="1" si="29">INDEX(INDIRECT("'"&amp;F$4&amp;"'!$1:$1048576"),MATCH($A81,INDIRECT("'"&amp;F$4&amp;"'!$A:$A"),0),MATCH($A$2,INDIRECT("'"&amp;F$4&amp;"'!$5:$5"),0))</f>
        <v>577.20000000000005</v>
      </c>
      <c r="G81" s="124">
        <f ca="1">IFERROR(F81/F16, "NA")</f>
        <v>2.7934691285847586E-2</v>
      </c>
      <c r="H81" s="125">
        <f t="shared" ref="H81:H92" ca="1" si="30">INDEX(INDIRECT("'"&amp;H$4&amp;"'!$1:$1048576"),MATCH($A81,INDIRECT("'"&amp;H$4&amp;"'!$A:$A"),0),MATCH($A$2,INDIRECT("'"&amp;H$4&amp;"'!$5:$5"),0))</f>
        <v>611.20000000000005</v>
      </c>
      <c r="I81" s="124">
        <f ca="1">IFERROR(H81/H16, "NA")</f>
        <v>2.2074951539485885E-2</v>
      </c>
      <c r="J81" s="125">
        <f ca="1">+H81+F81+D81+B81</f>
        <v>2625.54</v>
      </c>
      <c r="K81" s="124">
        <f ca="1">IFERROR(J81/J16, "NA")</f>
        <v>2.3763142953830876E-2</v>
      </c>
    </row>
    <row r="82" spans="1:11" ht="16.5" hidden="1" customHeight="1">
      <c r="A82" s="128" t="s">
        <v>87</v>
      </c>
      <c r="B82" s="125">
        <f t="shared" ca="1" si="27"/>
        <v>0</v>
      </c>
      <c r="C82" s="124">
        <f ca="1">IFERROR(B82/B16, "NA")</f>
        <v>0</v>
      </c>
      <c r="D82" s="125">
        <f t="shared" ca="1" si="28"/>
        <v>0</v>
      </c>
      <c r="E82" s="124">
        <f ca="1">IFERROR(D82/D16, "NA")</f>
        <v>0</v>
      </c>
      <c r="F82" s="125">
        <f t="shared" ca="1" si="29"/>
        <v>0</v>
      </c>
      <c r="G82" s="124">
        <f ca="1">IFERROR(F82/F16, "NA")</f>
        <v>0</v>
      </c>
      <c r="H82" s="125">
        <f t="shared" ca="1" si="30"/>
        <v>0</v>
      </c>
      <c r="I82" s="124">
        <f ca="1">IFERROR(H82/H16, "NA")</f>
        <v>0</v>
      </c>
      <c r="J82" s="125" t="e">
        <f ca="1">+H82+F82+D82+B82+#REF!</f>
        <v>#REF!</v>
      </c>
      <c r="K82" s="124" t="str">
        <f ca="1">IFERROR(J82/J16, "NA")</f>
        <v>NA</v>
      </c>
    </row>
    <row r="83" spans="1:11" ht="16.5" hidden="1" customHeight="1">
      <c r="A83" s="128" t="s">
        <v>88</v>
      </c>
      <c r="B83" s="125">
        <f t="shared" ca="1" si="27"/>
        <v>0</v>
      </c>
      <c r="C83" s="124">
        <f ca="1">IFERROR(B83/B16, "NA")</f>
        <v>0</v>
      </c>
      <c r="D83" s="125">
        <f t="shared" ca="1" si="28"/>
        <v>0</v>
      </c>
      <c r="E83" s="124">
        <f ca="1">IFERROR(D83/D16, "NA")</f>
        <v>0</v>
      </c>
      <c r="F83" s="125">
        <f t="shared" ca="1" si="29"/>
        <v>0</v>
      </c>
      <c r="G83" s="124">
        <f ca="1">IFERROR(F83/F16, "NA")</f>
        <v>0</v>
      </c>
      <c r="H83" s="125">
        <f t="shared" ca="1" si="30"/>
        <v>0</v>
      </c>
      <c r="I83" s="124">
        <f ca="1">IFERROR(H83/H16, "NA")</f>
        <v>0</v>
      </c>
      <c r="J83" s="125" t="e">
        <f ca="1">+H83+F83+D83+B83+#REF!</f>
        <v>#REF!</v>
      </c>
      <c r="K83" s="124" t="str">
        <f ca="1">IFERROR(J83/J16, "NA")</f>
        <v>NA</v>
      </c>
    </row>
    <row r="84" spans="1:11" ht="16.5" hidden="1" customHeight="1">
      <c r="A84" s="128" t="s">
        <v>89</v>
      </c>
      <c r="B84" s="125">
        <f t="shared" ca="1" si="27"/>
        <v>0</v>
      </c>
      <c r="C84" s="124">
        <f ca="1">IFERROR(B84/B16, "NA")</f>
        <v>0</v>
      </c>
      <c r="D84" s="125">
        <f t="shared" ca="1" si="28"/>
        <v>0</v>
      </c>
      <c r="E84" s="124">
        <f ca="1">IFERROR(D84/D16, "NA")</f>
        <v>0</v>
      </c>
      <c r="F84" s="125">
        <f t="shared" ca="1" si="29"/>
        <v>0</v>
      </c>
      <c r="G84" s="124">
        <f ca="1">IFERROR(F84/F16, "NA")</f>
        <v>0</v>
      </c>
      <c r="H84" s="125">
        <f t="shared" ca="1" si="30"/>
        <v>0</v>
      </c>
      <c r="I84" s="124">
        <f ca="1">IFERROR(H84/H16, "NA")</f>
        <v>0</v>
      </c>
      <c r="J84" s="125" t="e">
        <f ca="1">+H84+F84+D84+B84+#REF!</f>
        <v>#REF!</v>
      </c>
      <c r="K84" s="124" t="str">
        <f ca="1">IFERROR(J84/J16, "NA")</f>
        <v>NA</v>
      </c>
    </row>
    <row r="85" spans="1:11" ht="16.5" hidden="1" customHeight="1">
      <c r="A85" s="128" t="s">
        <v>90</v>
      </c>
      <c r="B85" s="125">
        <f t="shared" ca="1" si="27"/>
        <v>0</v>
      </c>
      <c r="C85" s="124">
        <f ca="1">IFERROR(B85/B16, "NA")</f>
        <v>0</v>
      </c>
      <c r="D85" s="125">
        <f t="shared" ca="1" si="28"/>
        <v>0</v>
      </c>
      <c r="E85" s="124">
        <f ca="1">IFERROR(D85/D16, "NA")</f>
        <v>0</v>
      </c>
      <c r="F85" s="125">
        <f t="shared" ca="1" si="29"/>
        <v>0</v>
      </c>
      <c r="G85" s="124">
        <f ca="1">IFERROR(F85/F16, "NA")</f>
        <v>0</v>
      </c>
      <c r="H85" s="125">
        <f t="shared" ca="1" si="30"/>
        <v>0</v>
      </c>
      <c r="I85" s="124">
        <f ca="1">IFERROR(H85/H16, "NA")</f>
        <v>0</v>
      </c>
      <c r="J85" s="125" t="e">
        <f ca="1">+H85+F85+D85+B85+#REF!</f>
        <v>#REF!</v>
      </c>
      <c r="K85" s="124" t="str">
        <f ca="1">IFERROR(J85/J16, "NA")</f>
        <v>NA</v>
      </c>
    </row>
    <row r="86" spans="1:11" ht="16.5" hidden="1" customHeight="1">
      <c r="A86" s="128" t="s">
        <v>91</v>
      </c>
      <c r="B86" s="125">
        <f t="shared" ca="1" si="27"/>
        <v>0</v>
      </c>
      <c r="C86" s="124">
        <f ca="1">IFERROR(B86/B16, "NA")</f>
        <v>0</v>
      </c>
      <c r="D86" s="125">
        <f t="shared" ca="1" si="28"/>
        <v>0</v>
      </c>
      <c r="E86" s="124">
        <f ca="1">IFERROR(D86/D16, "NA")</f>
        <v>0</v>
      </c>
      <c r="F86" s="125">
        <f t="shared" ca="1" si="29"/>
        <v>0</v>
      </c>
      <c r="G86" s="124">
        <f ca="1">IFERROR(F86/F16, "NA")</f>
        <v>0</v>
      </c>
      <c r="H86" s="125">
        <f t="shared" ca="1" si="30"/>
        <v>0</v>
      </c>
      <c r="I86" s="124">
        <f ca="1">IFERROR(H86/H16, "NA")</f>
        <v>0</v>
      </c>
      <c r="J86" s="125" t="e">
        <f ca="1">+H86+F86+D86+B86+#REF!</f>
        <v>#REF!</v>
      </c>
      <c r="K86" s="124" t="str">
        <f ca="1">IFERROR(J86/J16, "NA")</f>
        <v>NA</v>
      </c>
    </row>
    <row r="87" spans="1:11" ht="16.5" hidden="1" customHeight="1">
      <c r="A87" s="128" t="s">
        <v>92</v>
      </c>
      <c r="B87" s="125">
        <f t="shared" ca="1" si="27"/>
        <v>0</v>
      </c>
      <c r="C87" s="124">
        <f ca="1">IFERROR(B87/B16, "NA")</f>
        <v>0</v>
      </c>
      <c r="D87" s="125">
        <f t="shared" ca="1" si="28"/>
        <v>0</v>
      </c>
      <c r="E87" s="124">
        <f ca="1">IFERROR(D87/D16, "NA")</f>
        <v>0</v>
      </c>
      <c r="F87" s="125">
        <f t="shared" ca="1" si="29"/>
        <v>0</v>
      </c>
      <c r="G87" s="124">
        <f ca="1">IFERROR(F87/F16, "NA")</f>
        <v>0</v>
      </c>
      <c r="H87" s="125">
        <f t="shared" ca="1" si="30"/>
        <v>0</v>
      </c>
      <c r="I87" s="124">
        <f ca="1">IFERROR(H87/H16, "NA")</f>
        <v>0</v>
      </c>
      <c r="J87" s="125" t="e">
        <f ca="1">+H87+F87+D87+B87+#REF!</f>
        <v>#REF!</v>
      </c>
      <c r="K87" s="124" t="str">
        <f ca="1">IFERROR(J87/J16, "NA")</f>
        <v>NA</v>
      </c>
    </row>
    <row r="88" spans="1:11" ht="16.5" customHeight="1">
      <c r="A88" s="127" t="s">
        <v>93</v>
      </c>
      <c r="B88" s="122">
        <f t="shared" ca="1" si="27"/>
        <v>954.23</v>
      </c>
      <c r="C88" s="121">
        <f ca="1">IFERROR(B88/B16, "NA")</f>
        <v>2.2973111567038591E-2</v>
      </c>
      <c r="D88" s="122">
        <f t="shared" ca="1" si="28"/>
        <v>482.91</v>
      </c>
      <c r="E88" s="121">
        <f ca="1">IFERROR(D88/D16, "NA")</f>
        <v>2.3440958549826418E-2</v>
      </c>
      <c r="F88" s="122">
        <f t="shared" ca="1" si="29"/>
        <v>577.20000000000005</v>
      </c>
      <c r="G88" s="121">
        <f ca="1">IFERROR(F88/F16, "NA")</f>
        <v>2.7934691285847586E-2</v>
      </c>
      <c r="H88" s="122">
        <f t="shared" ca="1" si="30"/>
        <v>611.20000000000005</v>
      </c>
      <c r="I88" s="121">
        <f ca="1">IFERROR(H88/H16, "NA")</f>
        <v>2.2074951539485885E-2</v>
      </c>
      <c r="J88" s="122">
        <f ca="1">+H88+F88+D88+B88</f>
        <v>2625.54</v>
      </c>
      <c r="K88" s="121">
        <f ca="1">IFERROR(J88/J16, "NA")</f>
        <v>2.3763142953830876E-2</v>
      </c>
    </row>
    <row r="89" spans="1:11" ht="16.5" customHeight="1">
      <c r="A89" s="126" t="s">
        <v>94</v>
      </c>
      <c r="B89" s="125">
        <f t="shared" ca="1" si="27"/>
        <v>0</v>
      </c>
      <c r="C89" s="124">
        <f ca="1">IFERROR(B89/B16, "NA")</f>
        <v>0</v>
      </c>
      <c r="D89" s="125">
        <f t="shared" ca="1" si="28"/>
        <v>0</v>
      </c>
      <c r="E89" s="124">
        <f ca="1">IFERROR(D89/D16, "NA")</f>
        <v>0</v>
      </c>
      <c r="F89" s="125">
        <f t="shared" ca="1" si="29"/>
        <v>0</v>
      </c>
      <c r="G89" s="124">
        <f ca="1">IFERROR(F89/F16, "NA")</f>
        <v>0</v>
      </c>
      <c r="H89" s="125">
        <f t="shared" ca="1" si="30"/>
        <v>0</v>
      </c>
      <c r="I89" s="124">
        <f ca="1">IFERROR(H89/H16, "NA")</f>
        <v>0</v>
      </c>
      <c r="J89" s="125">
        <f ca="1">+H89+F89+D89+B89</f>
        <v>0</v>
      </c>
      <c r="K89" s="124">
        <f ca="1">IFERROR(J89/J16, "NA")</f>
        <v>0</v>
      </c>
    </row>
    <row r="90" spans="1:11" ht="16.5" customHeight="1">
      <c r="A90" s="126" t="s">
        <v>95</v>
      </c>
      <c r="B90" s="125">
        <f t="shared" ca="1" si="27"/>
        <v>-61.25</v>
      </c>
      <c r="C90" s="124">
        <f ca="1">IFERROR(B90/B16, "NA")</f>
        <v>-1.4745953108591364E-3</v>
      </c>
      <c r="D90" s="125">
        <f t="shared" ca="1" si="28"/>
        <v>-1.66</v>
      </c>
      <c r="E90" s="124">
        <f ca="1">IFERROR(D90/D16, "NA")</f>
        <v>-8.0578143324246446E-5</v>
      </c>
      <c r="F90" s="125">
        <f t="shared" ca="1" si="29"/>
        <v>-159.66</v>
      </c>
      <c r="G90" s="124">
        <f ca="1">IFERROR(F90/F16, "NA")</f>
        <v>-7.7270492215842437E-3</v>
      </c>
      <c r="H90" s="125">
        <f t="shared" ca="1" si="30"/>
        <v>0</v>
      </c>
      <c r="I90" s="124">
        <f ca="1">IFERROR(H90/H16, "NA")</f>
        <v>0</v>
      </c>
      <c r="J90" s="125">
        <f ca="1">+H90+F90+D90+B90</f>
        <v>-222.57</v>
      </c>
      <c r="K90" s="124">
        <f ca="1">IFERROR(J90/J16, "NA")</f>
        <v>-2.0144285469785787E-3</v>
      </c>
    </row>
    <row r="91" spans="1:11" ht="16.5" customHeight="1">
      <c r="A91" s="123" t="s">
        <v>96</v>
      </c>
      <c r="B91" s="122">
        <f t="shared" ca="1" si="27"/>
        <v>10779.93</v>
      </c>
      <c r="C91" s="121">
        <f ca="1">IFERROR(B91/B16, "NA")</f>
        <v>0.25952708945942415</v>
      </c>
      <c r="D91" s="122">
        <f t="shared" ca="1" si="28"/>
        <v>6366.11</v>
      </c>
      <c r="E91" s="121">
        <f ca="1">IFERROR(D91/D16, "NA")</f>
        <v>0.30901766505898709</v>
      </c>
      <c r="F91" s="122">
        <f t="shared" ca="1" si="29"/>
        <v>6983.57</v>
      </c>
      <c r="G91" s="121">
        <f ca="1">IFERROR(F91/F16, "NA")</f>
        <v>0.33798314626317849</v>
      </c>
      <c r="H91" s="122">
        <f t="shared" ca="1" si="30"/>
        <v>7607.11</v>
      </c>
      <c r="I91" s="121">
        <f ca="1">IFERROR(H91/H16, "NA")</f>
        <v>0.27474899313733386</v>
      </c>
      <c r="J91" s="122">
        <f ca="1">+H91+F91+D91+B91</f>
        <v>31736.720000000001</v>
      </c>
      <c r="K91" s="121">
        <f ca="1">IFERROR(J91/J16, "NA")</f>
        <v>0.28724156335294965</v>
      </c>
    </row>
    <row r="92" spans="1:11" ht="16.5" customHeight="1">
      <c r="A92" s="120" t="s">
        <v>96</v>
      </c>
      <c r="B92" s="118">
        <f t="shared" ca="1" si="27"/>
        <v>10779.93</v>
      </c>
      <c r="C92" s="119">
        <f ca="1">IFERROR(B92/B16, "NA")</f>
        <v>0.25952708945942415</v>
      </c>
      <c r="D92" s="118">
        <f t="shared" ca="1" si="28"/>
        <v>6366.11</v>
      </c>
      <c r="E92" s="119">
        <f ca="1">IFERROR(D92/D16, "NA")</f>
        <v>0.30901766505898709</v>
      </c>
      <c r="F92" s="118">
        <f t="shared" ca="1" si="29"/>
        <v>6983.57</v>
      </c>
      <c r="G92" s="119">
        <f ca="1">IFERROR(F92/F16, "NA")</f>
        <v>0.33798314626317849</v>
      </c>
      <c r="H92" s="118">
        <f t="shared" ca="1" si="30"/>
        <v>7607.11</v>
      </c>
      <c r="I92" s="119">
        <f ca="1">IFERROR(H92/H16, "NA")</f>
        <v>0.27474899313733386</v>
      </c>
      <c r="J92" s="118">
        <f ca="1">+H92+F92+D92+B92</f>
        <v>31736.720000000001</v>
      </c>
      <c r="K92" s="117">
        <f ca="1">IFERROR(J92/J16, "NA")</f>
        <v>0.28724156335294965</v>
      </c>
    </row>
    <row r="93" spans="1:11" ht="3.75" customHeight="1">
      <c r="A93" s="113" t="s">
        <v>3</v>
      </c>
      <c r="B93" s="112"/>
      <c r="C93" s="111"/>
      <c r="D93" s="112"/>
      <c r="E93" s="111"/>
      <c r="F93" s="112"/>
      <c r="G93" s="111"/>
      <c r="H93" s="112"/>
      <c r="I93" s="111"/>
      <c r="J93" s="112"/>
      <c r="K93" s="111"/>
    </row>
    <row r="94" spans="1:11" ht="15" customHeight="1">
      <c r="A94" s="80" t="s">
        <v>97</v>
      </c>
      <c r="B94" s="115">
        <f ca="1">INDEX(INDIRECT("'"&amp;B$4&amp;"'!$1:$1048576"),MATCH($A94,INDIRECT("'"&amp;B$4&amp;"'!$A:$A"),0),MATCH($A$2,INDIRECT("'"&amp;B$4&amp;"'!$5:$5"),0))</f>
        <v>20456.010000000002</v>
      </c>
      <c r="C94" s="116">
        <f ca="1">IFERROR(B94/B16, "NA")</f>
        <v>0.49247896203898128</v>
      </c>
      <c r="D94" s="115">
        <f ca="1">INDEX(INDIRECT("'"&amp;D$4&amp;"'!$1:$1048576"),MATCH($A94,INDIRECT("'"&amp;D$4&amp;"'!$A:$A"),0),MATCH($A$2,INDIRECT("'"&amp;D$4&amp;"'!$5:$5"),0))</f>
        <v>8523.82</v>
      </c>
      <c r="E94" s="116">
        <f ca="1">IFERROR(D94/D16, "NA")</f>
        <v>0.41375517447595084</v>
      </c>
      <c r="F94" s="115">
        <f ca="1">INDEX(INDIRECT("'"&amp;F$4&amp;"'!$1:$1048576"),MATCH($A94,INDIRECT("'"&amp;F$4&amp;"'!$A:$A"),0),MATCH($A$2,INDIRECT("'"&amp;F$4&amp;"'!$5:$5"),0))</f>
        <v>8052.119999999999</v>
      </c>
      <c r="G94" s="116">
        <f ca="1">IFERROR(F94/F16, "NA")</f>
        <v>0.38969765487976271</v>
      </c>
      <c r="H94" s="115">
        <f ca="1">INDEX(INDIRECT("'"&amp;H$4&amp;"'!$1:$1048576"),MATCH($A94,INDIRECT("'"&amp;H$4&amp;"'!$A:$A"),0),MATCH($A$2,INDIRECT("'"&amp;H$4&amp;"'!$5:$5"),0))</f>
        <v>13152.91</v>
      </c>
      <c r="I94" s="116">
        <f ca="1">IFERROR(H94/H16, "NA")</f>
        <v>0.47504883974675927</v>
      </c>
      <c r="J94" s="115">
        <f ca="1">+H94+F94+D94+B94</f>
        <v>50184.86</v>
      </c>
      <c r="K94" s="114">
        <f ca="1">IFERROR(J94/J16, "NA")</f>
        <v>0.45421132502189604</v>
      </c>
    </row>
    <row r="95" spans="1:11" ht="15" customHeight="1">
      <c r="A95" s="113" t="s">
        <v>3</v>
      </c>
      <c r="B95" s="112"/>
      <c r="C95" s="111"/>
      <c r="D95" s="112"/>
      <c r="E95" s="111"/>
      <c r="F95" s="112"/>
      <c r="G95" s="111"/>
      <c r="H95" s="112"/>
      <c r="I95" s="111"/>
    </row>
    <row r="96" spans="1:11" ht="15" customHeight="1"/>
  </sheetData>
  <mergeCells count="8">
    <mergeCell ref="J4:K4"/>
    <mergeCell ref="A1:I1"/>
    <mergeCell ref="A2:I2"/>
    <mergeCell ref="A3:I3"/>
    <mergeCell ref="B4:C4"/>
    <mergeCell ref="D4:E4"/>
    <mergeCell ref="F4:G4"/>
    <mergeCell ref="H4:I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2</v>
      </c>
      <c r="B3" s="148" t="s">
        <v>2</v>
      </c>
      <c r="C3" s="148" t="s">
        <v>2</v>
      </c>
      <c r="D3" s="148" t="s">
        <v>2</v>
      </c>
      <c r="E3" s="148" t="s">
        <v>2</v>
      </c>
      <c r="F3" s="148" t="s">
        <v>2</v>
      </c>
      <c r="G3" s="148" t="s">
        <v>2</v>
      </c>
      <c r="H3" s="148" t="s">
        <v>2</v>
      </c>
      <c r="I3" s="148" t="s">
        <v>2</v>
      </c>
      <c r="J3" s="148" t="s">
        <v>2</v>
      </c>
      <c r="K3" s="148" t="s">
        <v>2</v>
      </c>
      <c r="L3" s="148" t="s">
        <v>2</v>
      </c>
      <c r="M3" s="148" t="s">
        <v>2</v>
      </c>
      <c r="N3" s="148" t="s">
        <v>2</v>
      </c>
      <c r="O3" s="148" t="s">
        <v>2</v>
      </c>
      <c r="P3" s="148" t="s">
        <v>2</v>
      </c>
      <c r="Q3" s="148" t="s">
        <v>2</v>
      </c>
      <c r="R3" s="148" t="s">
        <v>2</v>
      </c>
      <c r="S3" s="148" t="s">
        <v>2</v>
      </c>
      <c r="T3" s="148" t="s">
        <v>2</v>
      </c>
      <c r="U3" s="148" t="s">
        <v>2</v>
      </c>
      <c r="V3" s="148" t="s">
        <v>2</v>
      </c>
      <c r="W3" s="148" t="s">
        <v>2</v>
      </c>
      <c r="X3" s="148" t="s">
        <v>2</v>
      </c>
      <c r="Y3" s="148" t="s">
        <v>2</v>
      </c>
      <c r="Z3" s="148" t="s">
        <v>2</v>
      </c>
      <c r="AA3" s="148" t="s">
        <v>2</v>
      </c>
      <c r="AB3" s="148" t="s">
        <v>2</v>
      </c>
      <c r="AC3" s="148" t="s">
        <v>2</v>
      </c>
      <c r="AD3" s="148" t="s">
        <v>2</v>
      </c>
      <c r="AE3" s="148" t="s">
        <v>2</v>
      </c>
      <c r="AF3" s="148" t="s">
        <v>2</v>
      </c>
      <c r="AG3" s="148" t="s">
        <v>2</v>
      </c>
      <c r="AH3" s="148" t="s">
        <v>2</v>
      </c>
      <c r="AI3" s="148" t="s">
        <v>2</v>
      </c>
      <c r="AJ3" s="148" t="s">
        <v>2</v>
      </c>
      <c r="AK3" s="148" t="s">
        <v>2</v>
      </c>
      <c r="AL3" s="148" t="s">
        <v>2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149692.49000000005</v>
      </c>
      <c r="C7" s="8">
        <f>IFERROR(B7/B148, "NA")</f>
        <v>1.0000000000000002</v>
      </c>
      <c r="D7" s="7">
        <v>123097.31000000003</v>
      </c>
      <c r="E7" s="8">
        <f>IFERROR(D7/D148, "NA")</f>
        <v>1.0000000000000002</v>
      </c>
      <c r="F7" s="7">
        <v>168119.85999999996</v>
      </c>
      <c r="G7" s="8">
        <f>IFERROR(F7/F148, "NA")</f>
        <v>0.99999999999999978</v>
      </c>
      <c r="H7" s="7">
        <v>166288.11999999994</v>
      </c>
      <c r="I7" s="8">
        <f>IFERROR(H7/H148, "NA")</f>
        <v>0.99999999999999967</v>
      </c>
      <c r="J7" s="7">
        <v>144091.19000000009</v>
      </c>
      <c r="K7" s="8">
        <f>IFERROR(J7/J148, "NA")</f>
        <v>1.0000000000000007</v>
      </c>
      <c r="L7" s="7">
        <v>113357.77000000003</v>
      </c>
      <c r="M7" s="8">
        <f>IFERROR(L7/L148, "NA")</f>
        <v>1.0000000000000004</v>
      </c>
      <c r="N7" s="7">
        <v>127939.99999999996</v>
      </c>
      <c r="O7" s="8">
        <f>IFERROR(N7/N148, "NA")</f>
        <v>0.99999999999999967</v>
      </c>
      <c r="P7" s="7">
        <v>124888.67000000004</v>
      </c>
      <c r="Q7" s="8">
        <f>IFERROR(P7/P148, "NA")</f>
        <v>1.0000000000000004</v>
      </c>
      <c r="R7" s="7">
        <v>126954.92999999998</v>
      </c>
      <c r="S7" s="8">
        <f>IFERROR(R7/R148, "NA")</f>
        <v>0.99999999999999978</v>
      </c>
      <c r="T7" s="7">
        <v>123223.21000000002</v>
      </c>
      <c r="U7" s="8">
        <f>IFERROR(T7/T148, "NA")</f>
        <v>1.0000000000000002</v>
      </c>
      <c r="V7" s="7">
        <v>127667.74</v>
      </c>
      <c r="W7" s="8">
        <f>IFERROR(V7/V148, "NA")</f>
        <v>1</v>
      </c>
      <c r="X7" s="7">
        <v>110487.90999999999</v>
      </c>
      <c r="Y7" s="8">
        <f>IFERROR(X7/X148, "NA")</f>
        <v>0.99999999999999989</v>
      </c>
      <c r="Z7" s="7">
        <v>361378.86000000004</v>
      </c>
      <c r="AA7" s="8">
        <f>IFERROR(Z7/Z148, "NA")</f>
        <v>1.0000000000000002</v>
      </c>
      <c r="AB7" s="9">
        <f>IFERROR((R7+T7+V7+X7)/4, "NA")</f>
        <v>122083.44749999999</v>
      </c>
      <c r="AC7" s="8">
        <f>IFERROR(AB7/AB148, "NA")</f>
        <v>0.99999999999999989</v>
      </c>
      <c r="AD7" s="10">
        <f>IFERROR(X7-AB7, "NA")</f>
        <v>-11595.537500000006</v>
      </c>
      <c r="AE7" s="11">
        <f>IFERROR(AD7/AD148, "NA")</f>
        <v>1</v>
      </c>
      <c r="AF7" s="10">
        <f>IFERROR((X7-AB7)/AB7, "NA")</f>
        <v>-9.4980423124109481E-2</v>
      </c>
      <c r="AG7" s="9">
        <f>IFERROR((J7+L7+N7+P7+R7+T7+V7+X7)/8, "NA")</f>
        <v>124826.42750000001</v>
      </c>
      <c r="AH7" s="8">
        <f>IFERROR(AG7/AG148, "NA")</f>
        <v>1.0000000000000002</v>
      </c>
      <c r="AI7" s="10">
        <f>IFERROR(X7-AG7, "NA")</f>
        <v>-14338.517500000016</v>
      </c>
      <c r="AJ7" s="11">
        <f>IFERROR(AI7/AI148, "NA")</f>
        <v>1.000000000000002</v>
      </c>
      <c r="AK7" s="10">
        <f>IFERROR((X7-AG7)/AG7, "NA")</f>
        <v>-0.11486764291159431</v>
      </c>
      <c r="AL7" s="11">
        <f>IFERROR(AK7/AK148, "NA")</f>
        <v>1.000000000000002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149692.49000000005</v>
      </c>
      <c r="C9" s="14">
        <f>IFERROR(B9/B148, "NA")</f>
        <v>1.0000000000000002</v>
      </c>
      <c r="D9" s="13">
        <f>IFERROR(D7+D8, "NA")</f>
        <v>123097.31000000003</v>
      </c>
      <c r="E9" s="14">
        <f>IFERROR(D9/D148, "NA")</f>
        <v>1.0000000000000002</v>
      </c>
      <c r="F9" s="13">
        <f>IFERROR(F7+F8, "NA")</f>
        <v>168119.85999999996</v>
      </c>
      <c r="G9" s="14">
        <f>IFERROR(F9/F148, "NA")</f>
        <v>0.99999999999999978</v>
      </c>
      <c r="H9" s="13">
        <f>IFERROR(H7+H8, "NA")</f>
        <v>166288.11999999994</v>
      </c>
      <c r="I9" s="14">
        <f>IFERROR(H9/H148, "NA")</f>
        <v>0.99999999999999967</v>
      </c>
      <c r="J9" s="13">
        <f>IFERROR(J7+J8, "NA")</f>
        <v>144091.19000000009</v>
      </c>
      <c r="K9" s="14">
        <f>IFERROR(J9/J148, "NA")</f>
        <v>1.0000000000000007</v>
      </c>
      <c r="L9" s="13">
        <f>IFERROR(L7+L8, "NA")</f>
        <v>113357.77000000003</v>
      </c>
      <c r="M9" s="14">
        <f>IFERROR(L9/L148, "NA")</f>
        <v>1.0000000000000004</v>
      </c>
      <c r="N9" s="13">
        <f>IFERROR(N7+N8, "NA")</f>
        <v>127939.99999999996</v>
      </c>
      <c r="O9" s="14">
        <f>IFERROR(N9/N148, "NA")</f>
        <v>0.99999999999999967</v>
      </c>
      <c r="P9" s="13">
        <f>IFERROR(P7+P8, "NA")</f>
        <v>124888.67000000004</v>
      </c>
      <c r="Q9" s="14">
        <f>IFERROR(P9/P148, "NA")</f>
        <v>1.0000000000000004</v>
      </c>
      <c r="R9" s="13">
        <f>IFERROR(R7+R8, "NA")</f>
        <v>126954.92999999998</v>
      </c>
      <c r="S9" s="14">
        <f>IFERROR(R9/R148, "NA")</f>
        <v>0.99999999999999978</v>
      </c>
      <c r="T9" s="13">
        <f>IFERROR(T7+T8, "NA")</f>
        <v>123223.21000000002</v>
      </c>
      <c r="U9" s="14">
        <f>IFERROR(T9/T148, "NA")</f>
        <v>1.0000000000000002</v>
      </c>
      <c r="V9" s="13">
        <f>IFERROR(V7+V8, "NA")</f>
        <v>127667.74</v>
      </c>
      <c r="W9" s="14">
        <f>IFERROR(V9/V148, "NA")</f>
        <v>1</v>
      </c>
      <c r="X9" s="13">
        <f>IFERROR(X7+X8, "NA")</f>
        <v>110487.90999999999</v>
      </c>
      <c r="Y9" s="14">
        <f>IFERROR(X9/X148, "NA")</f>
        <v>0.99999999999999989</v>
      </c>
      <c r="Z9" s="13">
        <f>IFERROR(Z7+Z8, "NA")</f>
        <v>361378.86000000004</v>
      </c>
      <c r="AA9" s="14">
        <f>IFERROR(Z9/Z148, "NA")</f>
        <v>1.0000000000000002</v>
      </c>
      <c r="AB9" s="13">
        <f>IFERROR((R9+T9+V9+X9)/4, "NA")</f>
        <v>122083.44749999999</v>
      </c>
      <c r="AC9" s="14">
        <f>IFERROR(AB9/AB148, "NA")</f>
        <v>0.99999999999999989</v>
      </c>
      <c r="AD9" s="15">
        <f>IFERROR(X9-AB9, "NA")</f>
        <v>-11595.537500000006</v>
      </c>
      <c r="AE9" s="16">
        <f>IFERROR(AD9/AD148, "NA")</f>
        <v>1</v>
      </c>
      <c r="AF9" s="15">
        <f>IFERROR((X9-AB9)/AB9, "NA")</f>
        <v>-9.4980423124109481E-2</v>
      </c>
      <c r="AG9" s="13">
        <f>IFERROR((J9+L9+N9+P9+R9+T9+V9+X9)/8, "NA")</f>
        <v>124826.42750000001</v>
      </c>
      <c r="AH9" s="14">
        <f>IFERROR(AG9/AG148, "NA")</f>
        <v>1.0000000000000002</v>
      </c>
      <c r="AI9" s="15">
        <f>IFERROR(X9-AG9, "NA")</f>
        <v>-14338.517500000016</v>
      </c>
      <c r="AJ9" s="16">
        <f>IFERROR(AI9/AI148, "NA")</f>
        <v>1.000000000000002</v>
      </c>
      <c r="AK9" s="15">
        <f>IFERROR((X9-AG9)/AG9, "NA")</f>
        <v>-0.11486764291159431</v>
      </c>
      <c r="AL9" s="16">
        <f>IFERROR(AK9/AK148, "NA")</f>
        <v>1.000000000000002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6977.5599999999995</v>
      </c>
      <c r="C16" s="8">
        <f>IFERROR(B16/B148, "NA")</f>
        <v>4.6612625656771413E-2</v>
      </c>
      <c r="D16" s="7">
        <v>5125.6900000000005</v>
      </c>
      <c r="E16" s="8">
        <f>IFERROR(D16/D148, "NA")</f>
        <v>4.1639333954576266E-2</v>
      </c>
      <c r="F16" s="7">
        <v>7452.2000000000007</v>
      </c>
      <c r="G16" s="8">
        <f>IFERROR(F16/F148, "NA")</f>
        <v>4.4326708337730003E-2</v>
      </c>
      <c r="H16" s="7">
        <v>6999.16</v>
      </c>
      <c r="I16" s="8">
        <f>IFERROR(H16/H148, "NA")</f>
        <v>4.209055944585819E-2</v>
      </c>
      <c r="J16" s="7">
        <v>5415.53</v>
      </c>
      <c r="K16" s="8">
        <f>IFERROR(J16/J148, "NA")</f>
        <v>3.7584046602710405E-2</v>
      </c>
      <c r="L16" s="7">
        <v>5705.51</v>
      </c>
      <c r="M16" s="8">
        <f>IFERROR(L16/L148, "NA")</f>
        <v>5.0331882851965069E-2</v>
      </c>
      <c r="N16" s="7">
        <v>5180.6000000000004</v>
      </c>
      <c r="O16" s="8">
        <f>IFERROR(N16/N148, "NA")</f>
        <v>4.0492418321088013E-2</v>
      </c>
      <c r="P16" s="7">
        <v>5411.119999999999</v>
      </c>
      <c r="Q16" s="8">
        <f>IFERROR(P16/P148, "NA")</f>
        <v>4.3327549248462646E-2</v>
      </c>
      <c r="R16" s="7">
        <v>5168.29</v>
      </c>
      <c r="S16" s="8">
        <f>IFERROR(R16/R148, "NA")</f>
        <v>4.0709643965775887E-2</v>
      </c>
      <c r="T16" s="7">
        <v>4346.21</v>
      </c>
      <c r="U16" s="8">
        <f>IFERROR(T16/T148, "NA")</f>
        <v>3.5271033760604031E-2</v>
      </c>
      <c r="V16" s="7">
        <v>4678.12</v>
      </c>
      <c r="W16" s="8">
        <f>IFERROR(V16/V148, "NA")</f>
        <v>3.6642929529417528E-2</v>
      </c>
      <c r="X16" s="7">
        <v>4552.7700000000004</v>
      </c>
      <c r="Y16" s="8">
        <f>IFERROR(X16/X148, "NA")</f>
        <v>4.1206046887845016E-2</v>
      </c>
      <c r="Z16" s="7">
        <v>13577.099999999999</v>
      </c>
      <c r="AA16" s="8">
        <f>IFERROR(Z16/Z148, "NA")</f>
        <v>3.7570266285083746E-2</v>
      </c>
      <c r="AB16" s="9">
        <f t="shared" si="0"/>
        <v>4686.3474999999999</v>
      </c>
      <c r="AC16" s="8">
        <f>IFERROR(AB16/AB148, "NA")</f>
        <v>3.8386428266616562E-2</v>
      </c>
      <c r="AD16" s="10">
        <f t="shared" si="1"/>
        <v>-133.57749999999942</v>
      </c>
      <c r="AE16" s="11">
        <f>IFERROR(AD16/AD148, "NA")</f>
        <v>1.1519733345694354E-2</v>
      </c>
      <c r="AF16" s="10">
        <f t="shared" si="2"/>
        <v>-2.8503541404046418E-2</v>
      </c>
      <c r="AG16" s="9">
        <f t="shared" si="3"/>
        <v>5057.2687500000011</v>
      </c>
      <c r="AH16" s="8">
        <f>IFERROR(AG16/AG148, "NA")</f>
        <v>4.0514407495960754E-2</v>
      </c>
      <c r="AI16" s="10">
        <f t="shared" si="4"/>
        <v>-504.49875000000065</v>
      </c>
      <c r="AJ16" s="11">
        <f>IFERROR(AI16/AI148, "NA")</f>
        <v>3.5184861335908757E-2</v>
      </c>
      <c r="AK16" s="10">
        <f t="shared" si="5"/>
        <v>-9.9757156469092251E-2</v>
      </c>
      <c r="AL16" s="11">
        <f>IFERROR(AK16/AK148, "NA")</f>
        <v>0.86845306424428537</v>
      </c>
    </row>
    <row r="17" spans="1:38" ht="16.5" customHeight="1">
      <c r="A17" s="25" t="s">
        <v>32</v>
      </c>
      <c r="B17" s="7">
        <v>3501.02</v>
      </c>
      <c r="C17" s="8">
        <f>IFERROR(B17/B148, "NA")</f>
        <v>2.3388080457476521E-2</v>
      </c>
      <c r="D17" s="7">
        <v>3185.6899999999996</v>
      </c>
      <c r="E17" s="8">
        <f>IFERROR(D17/D148, "NA")</f>
        <v>2.587944448176812E-2</v>
      </c>
      <c r="F17" s="7">
        <v>3951.9399999999996</v>
      </c>
      <c r="G17" s="8">
        <f>IFERROR(F17/F148, "NA")</f>
        <v>2.3506681483079987E-2</v>
      </c>
      <c r="H17" s="7">
        <v>4372.5400000000009</v>
      </c>
      <c r="I17" s="8">
        <f>IFERROR(H17/H148, "NA")</f>
        <v>2.6294963224071575E-2</v>
      </c>
      <c r="J17" s="7">
        <v>3147.74</v>
      </c>
      <c r="K17" s="8">
        <f>IFERROR(J17/J148, "NA")</f>
        <v>2.1845471607250935E-2</v>
      </c>
      <c r="L17" s="7">
        <v>3244.12</v>
      </c>
      <c r="M17" s="8">
        <f>IFERROR(L17/L148, "NA")</f>
        <v>2.8618417599428785E-2</v>
      </c>
      <c r="N17" s="7">
        <v>3135.12</v>
      </c>
      <c r="O17" s="8">
        <f>IFERROR(N17/N148, "NA")</f>
        <v>2.4504611536657808E-2</v>
      </c>
      <c r="P17" s="7">
        <v>3247.0099999999998</v>
      </c>
      <c r="Q17" s="8">
        <f>IFERROR(P17/P148, "NA")</f>
        <v>2.599923595951498E-2</v>
      </c>
      <c r="R17" s="7">
        <v>3658.0699999999997</v>
      </c>
      <c r="S17" s="8">
        <f>IFERROR(R17/R148, "NA")</f>
        <v>2.8813926328028375E-2</v>
      </c>
      <c r="T17" s="7">
        <v>3279.62</v>
      </c>
      <c r="U17" s="8">
        <f>IFERROR(T17/T148, "NA")</f>
        <v>2.6615278079511157E-2</v>
      </c>
      <c r="V17" s="7">
        <v>3085.54</v>
      </c>
      <c r="W17" s="8">
        <f>IFERROR(V17/V148, "NA")</f>
        <v>2.4168517434396502E-2</v>
      </c>
      <c r="X17" s="7">
        <v>3208.0400000000004</v>
      </c>
      <c r="Y17" s="8">
        <f>IFERROR(X17/X148, "NA")</f>
        <v>2.9035212992987201E-2</v>
      </c>
      <c r="Z17" s="7">
        <v>9573.1999999999989</v>
      </c>
      <c r="AA17" s="8">
        <f>IFERROR(Z17/Z148, "NA")</f>
        <v>2.6490758203177683E-2</v>
      </c>
      <c r="AB17" s="9">
        <f t="shared" si="0"/>
        <v>3307.8175000000001</v>
      </c>
      <c r="AC17" s="8">
        <f>IFERROR(AB17/AB148, "NA")</f>
        <v>2.7094725515512657E-2</v>
      </c>
      <c r="AD17" s="10">
        <f t="shared" si="1"/>
        <v>-99.777499999999691</v>
      </c>
      <c r="AE17" s="11">
        <f>IFERROR(AD17/AD148, "NA")</f>
        <v>8.6048188796767414E-3</v>
      </c>
      <c r="AF17" s="10">
        <f t="shared" si="2"/>
        <v>-3.0164149019708521E-2</v>
      </c>
      <c r="AG17" s="9">
        <f t="shared" si="3"/>
        <v>3250.6574999999998</v>
      </c>
      <c r="AH17" s="8">
        <f>IFERROR(AG17/AG148, "NA")</f>
        <v>2.6041420595810931E-2</v>
      </c>
      <c r="AI17" s="10">
        <f t="shared" si="4"/>
        <v>-42.617499999999382</v>
      </c>
      <c r="AJ17" s="11">
        <f>IFERROR(AI17/AI148, "NA")</f>
        <v>2.9722389361382319E-3</v>
      </c>
      <c r="AK17" s="10">
        <f t="shared" si="5"/>
        <v>-1.3110424583334106E-2</v>
      </c>
      <c r="AL17" s="11">
        <f>IFERROR(AK17/AK148, "NA")</f>
        <v>0.11413505362362419</v>
      </c>
    </row>
    <row r="18" spans="1:38" ht="16.5" customHeight="1">
      <c r="A18" s="25" t="s">
        <v>33</v>
      </c>
      <c r="B18" s="7">
        <v>6431.6100000000006</v>
      </c>
      <c r="C18" s="8">
        <f>IFERROR(B18/B148, "NA")</f>
        <v>4.2965482102675957E-2</v>
      </c>
      <c r="D18" s="7">
        <v>4078.89</v>
      </c>
      <c r="E18" s="8">
        <f>IFERROR(D18/D148, "NA")</f>
        <v>3.3135492562753811E-2</v>
      </c>
      <c r="F18" s="7">
        <v>6017.6</v>
      </c>
      <c r="G18" s="8">
        <f>IFERROR(F18/F148, "NA")</f>
        <v>3.5793510653649135E-2</v>
      </c>
      <c r="H18" s="7">
        <v>5378.05</v>
      </c>
      <c r="I18" s="8">
        <f>IFERROR(H18/H148, "NA")</f>
        <v>3.2341757186262018E-2</v>
      </c>
      <c r="J18" s="7">
        <v>5330.59</v>
      </c>
      <c r="K18" s="8">
        <f>IFERROR(J18/J148, "NA")</f>
        <v>3.6994558792942167E-2</v>
      </c>
      <c r="L18" s="7">
        <v>4240.07</v>
      </c>
      <c r="M18" s="8">
        <f>IFERROR(L18/L148, "NA")</f>
        <v>3.7404317322050358E-2</v>
      </c>
      <c r="N18" s="7">
        <v>3891.0299999999997</v>
      </c>
      <c r="O18" s="8">
        <f>IFERROR(N18/N148, "NA")</f>
        <v>3.0412927934969514E-2</v>
      </c>
      <c r="P18" s="7">
        <v>3950.44</v>
      </c>
      <c r="Q18" s="8">
        <f>IFERROR(P18/P148, "NA")</f>
        <v>3.1631692450564172E-2</v>
      </c>
      <c r="R18" s="7">
        <v>3740.7</v>
      </c>
      <c r="S18" s="8">
        <f>IFERROR(R18/R148, "NA")</f>
        <v>2.9464787228034386E-2</v>
      </c>
      <c r="T18" s="7">
        <v>3772.41</v>
      </c>
      <c r="U18" s="8">
        <f>IFERROR(T18/T148, "NA")</f>
        <v>3.06144434964809E-2</v>
      </c>
      <c r="V18" s="7">
        <v>4409.42</v>
      </c>
      <c r="W18" s="8">
        <f>IFERROR(V18/V148, "NA")</f>
        <v>3.4538247485230017E-2</v>
      </c>
      <c r="X18" s="7">
        <v>3709.8900000000003</v>
      </c>
      <c r="Y18" s="8">
        <f>IFERROR(X18/X148, "NA")</f>
        <v>3.3577338914275778E-2</v>
      </c>
      <c r="Z18" s="7">
        <v>11891.72</v>
      </c>
      <c r="AA18" s="8">
        <f>IFERROR(Z18/Z148, "NA")</f>
        <v>3.2906518106786874E-2</v>
      </c>
      <c r="AB18" s="9">
        <f t="shared" si="0"/>
        <v>3908.1049999999996</v>
      </c>
      <c r="AC18" s="8">
        <f>IFERROR(AB18/AB148, "NA")</f>
        <v>3.2011751634061607E-2</v>
      </c>
      <c r="AD18" s="10">
        <f t="shared" si="1"/>
        <v>-198.21499999999924</v>
      </c>
      <c r="AE18" s="11">
        <f>IFERROR(AD18/AD148, "NA")</f>
        <v>1.7094076061588272E-2</v>
      </c>
      <c r="AF18" s="10">
        <f t="shared" si="2"/>
        <v>-5.071895458284751E-2</v>
      </c>
      <c r="AG18" s="9">
        <f t="shared" si="3"/>
        <v>4130.5687499999995</v>
      </c>
      <c r="AH18" s="8">
        <f>IFERROR(AG18/AG148, "NA")</f>
        <v>3.3090498804830407E-2</v>
      </c>
      <c r="AI18" s="10">
        <f t="shared" si="4"/>
        <v>-420.67874999999913</v>
      </c>
      <c r="AJ18" s="11">
        <f>IFERROR(AI18/AI148, "NA")</f>
        <v>2.9339068700791383E-2</v>
      </c>
      <c r="AK18" s="10">
        <f t="shared" si="5"/>
        <v>-0.10184523620385187</v>
      </c>
      <c r="AL18" s="11">
        <f>IFERROR(AK18/AK148, "NA")</f>
        <v>0.88663120111409721</v>
      </c>
    </row>
    <row r="19" spans="1:38" ht="16.5" customHeight="1">
      <c r="A19" s="25" t="s">
        <v>34</v>
      </c>
      <c r="B19" s="7">
        <v>2756.3999999999996</v>
      </c>
      <c r="C19" s="8">
        <f>IFERROR(B19/B148, "NA")</f>
        <v>1.8413749413881748E-2</v>
      </c>
      <c r="D19" s="7">
        <v>2706.55</v>
      </c>
      <c r="E19" s="8">
        <f>IFERROR(D19/D148, "NA")</f>
        <v>2.1987076728159211E-2</v>
      </c>
      <c r="F19" s="7">
        <v>2960.49</v>
      </c>
      <c r="G19" s="8">
        <f>IFERROR(F19/F148, "NA")</f>
        <v>1.7609400816774413E-2</v>
      </c>
      <c r="H19" s="7">
        <v>3341.6299999999997</v>
      </c>
      <c r="I19" s="8">
        <f>IFERROR(H19/H148, "NA")</f>
        <v>2.0095422330831569E-2</v>
      </c>
      <c r="J19" s="7">
        <v>2829.4</v>
      </c>
      <c r="K19" s="8">
        <f>IFERROR(J19/J148, "NA")</f>
        <v>1.9636176229788929E-2</v>
      </c>
      <c r="L19" s="7">
        <v>2242.4299999999998</v>
      </c>
      <c r="M19" s="8">
        <f>IFERROR(L19/L148, "NA")</f>
        <v>1.9781881736029211E-2</v>
      </c>
      <c r="N19" s="7">
        <v>2488.9899999999998</v>
      </c>
      <c r="O19" s="8">
        <f>IFERROR(N19/N148, "NA")</f>
        <v>1.9454353603251522E-2</v>
      </c>
      <c r="P19" s="7">
        <v>2378.85</v>
      </c>
      <c r="Q19" s="8">
        <f>IFERROR(P19/P148, "NA")</f>
        <v>1.9047764701153436E-2</v>
      </c>
      <c r="R19" s="7">
        <v>2657.17</v>
      </c>
      <c r="S19" s="8">
        <f>IFERROR(R19/R148, "NA")</f>
        <v>2.0930026112416428E-2</v>
      </c>
      <c r="T19" s="7">
        <v>2869.5600000000004</v>
      </c>
      <c r="U19" s="8">
        <f>IFERROR(T19/T148, "NA")</f>
        <v>2.3287495918991239E-2</v>
      </c>
      <c r="V19" s="7">
        <v>2447.25</v>
      </c>
      <c r="W19" s="8">
        <f>IFERROR(V19/V148, "NA")</f>
        <v>1.9168898893330451E-2</v>
      </c>
      <c r="X19" s="7">
        <v>2235.3399999999997</v>
      </c>
      <c r="Y19" s="8">
        <f>IFERROR(X19/X148, "NA")</f>
        <v>2.0231534834897317E-2</v>
      </c>
      <c r="Z19" s="7">
        <v>7552.15</v>
      </c>
      <c r="AA19" s="8">
        <f>IFERROR(Z19/Z148, "NA")</f>
        <v>2.0898151042924869E-2</v>
      </c>
      <c r="AB19" s="9">
        <f t="shared" si="0"/>
        <v>2552.33</v>
      </c>
      <c r="AC19" s="8">
        <f>IFERROR(AB19/AB148, "NA")</f>
        <v>2.0906437787153738E-2</v>
      </c>
      <c r="AD19" s="10">
        <f t="shared" si="1"/>
        <v>-316.99000000000024</v>
      </c>
      <c r="AE19" s="11">
        <f>IFERROR(AD19/AD148, "NA")</f>
        <v>2.7337240727305662E-2</v>
      </c>
      <c r="AF19" s="10">
        <f t="shared" si="2"/>
        <v>-0.12419632257584257</v>
      </c>
      <c r="AG19" s="9">
        <f t="shared" si="3"/>
        <v>2518.6237500000002</v>
      </c>
      <c r="AH19" s="8">
        <f>IFERROR(AG19/AG148, "NA")</f>
        <v>2.0177007388920108E-2</v>
      </c>
      <c r="AI19" s="10">
        <f t="shared" si="4"/>
        <v>-283.28375000000051</v>
      </c>
      <c r="AJ19" s="11">
        <f>IFERROR(AI19/AI148, "NA")</f>
        <v>1.9756836785950901E-2</v>
      </c>
      <c r="AK19" s="10">
        <f t="shared" si="5"/>
        <v>-0.11247561292154118</v>
      </c>
      <c r="AL19" s="11">
        <f>IFERROR(AK19/AK148, "NA")</f>
        <v>0.97917577196309413</v>
      </c>
    </row>
    <row r="20" spans="1:38" ht="16.5" customHeight="1">
      <c r="A20" s="25" t="s">
        <v>35</v>
      </c>
      <c r="B20" s="7">
        <v>1663.08</v>
      </c>
      <c r="C20" s="8">
        <f>IFERROR(B20/B148, "NA")</f>
        <v>1.1109976191858387E-2</v>
      </c>
      <c r="D20" s="7">
        <v>1486.54</v>
      </c>
      <c r="E20" s="8">
        <f>IFERROR(D20/D148, "NA")</f>
        <v>1.2076137163354747E-2</v>
      </c>
      <c r="F20" s="7">
        <v>2019.0300000000002</v>
      </c>
      <c r="G20" s="8">
        <f>IFERROR(F20/F148, "NA")</f>
        <v>1.2009467531081695E-2</v>
      </c>
      <c r="H20" s="7">
        <v>1618.86</v>
      </c>
      <c r="I20" s="8">
        <f>IFERROR(H20/H148, "NA")</f>
        <v>9.7352715275150145E-3</v>
      </c>
      <c r="J20" s="7">
        <v>1710.0200000000002</v>
      </c>
      <c r="K20" s="8">
        <f>IFERROR(J20/J148, "NA")</f>
        <v>1.1867623551446832E-2</v>
      </c>
      <c r="L20" s="7">
        <v>1457.02</v>
      </c>
      <c r="M20" s="8">
        <f>IFERROR(L20/L148, "NA")</f>
        <v>1.285328742793723E-2</v>
      </c>
      <c r="N20" s="7">
        <v>1543.94</v>
      </c>
      <c r="O20" s="8">
        <f>IFERROR(N20/N148, "NA")</f>
        <v>1.2067687978740034E-2</v>
      </c>
      <c r="P20" s="7">
        <v>1896.2800000000002</v>
      </c>
      <c r="Q20" s="8">
        <f>IFERROR(P20/P148, "NA")</f>
        <v>1.5183763266916048E-2</v>
      </c>
      <c r="R20" s="7">
        <v>1476.2599999999998</v>
      </c>
      <c r="S20" s="8">
        <f>IFERROR(R20/R148, "NA")</f>
        <v>1.1628221133279344E-2</v>
      </c>
      <c r="T20" s="7">
        <v>1784.56</v>
      </c>
      <c r="U20" s="8">
        <f>IFERROR(T20/T148, "NA")</f>
        <v>1.4482336566301105E-2</v>
      </c>
      <c r="V20" s="7">
        <v>1314.96</v>
      </c>
      <c r="W20" s="8">
        <f>IFERROR(V20/V148, "NA")</f>
        <v>1.0299861186545637E-2</v>
      </c>
      <c r="X20" s="7">
        <v>1633.5</v>
      </c>
      <c r="Y20" s="8">
        <f>IFERROR(X20/X148, "NA")</f>
        <v>1.4784423019676994E-2</v>
      </c>
      <c r="Z20" s="7">
        <v>4733.0200000000004</v>
      </c>
      <c r="AA20" s="8">
        <f>IFERROR(Z20/Z148, "NA")</f>
        <v>1.3097113649647356E-2</v>
      </c>
      <c r="AB20" s="9">
        <f t="shared" si="0"/>
        <v>1552.32</v>
      </c>
      <c r="AC20" s="8">
        <f>IFERROR(AB20/AB148, "NA")</f>
        <v>1.2715237256057992E-2</v>
      </c>
      <c r="AD20" s="10">
        <f t="shared" si="1"/>
        <v>81.180000000000064</v>
      </c>
      <c r="AE20" s="11">
        <f>IFERROR(AD20/AD148, "NA")</f>
        <v>-7.0009691228198802E-3</v>
      </c>
      <c r="AF20" s="10">
        <f t="shared" si="2"/>
        <v>5.2295918367346983E-2</v>
      </c>
      <c r="AG20" s="9">
        <f t="shared" si="3"/>
        <v>1602.0675000000001</v>
      </c>
      <c r="AH20" s="8">
        <f>IFERROR(AG20/AG148, "NA")</f>
        <v>1.2834361537744083E-2</v>
      </c>
      <c r="AI20" s="10">
        <f t="shared" si="4"/>
        <v>31.432499999999891</v>
      </c>
      <c r="AJ20" s="11">
        <f>IFERROR(AI20/AI148, "NA")</f>
        <v>-2.1921722381689681E-3</v>
      </c>
      <c r="AK20" s="10">
        <f t="shared" si="5"/>
        <v>1.9619959833153029E-2</v>
      </c>
      <c r="AL20" s="11">
        <f>IFERROR(AK20/AK148, "NA")</f>
        <v>-0.17080493110016365</v>
      </c>
    </row>
    <row r="21" spans="1:38" ht="16.5" customHeight="1">
      <c r="A21" s="25" t="s">
        <v>36</v>
      </c>
      <c r="B21" s="7">
        <v>842.56</v>
      </c>
      <c r="C21" s="8">
        <f>IFERROR(B21/B148, "NA")</f>
        <v>5.6286056835583393E-3</v>
      </c>
      <c r="D21" s="7">
        <v>995.38</v>
      </c>
      <c r="E21" s="8">
        <f>IFERROR(D21/D148, "NA")</f>
        <v>8.0861230842493633E-3</v>
      </c>
      <c r="F21" s="7">
        <v>1375.1399999999999</v>
      </c>
      <c r="G21" s="8">
        <f>IFERROR(F21/F148, "NA")</f>
        <v>8.1795214438080063E-3</v>
      </c>
      <c r="H21" s="7">
        <v>1183.1300000000001</v>
      </c>
      <c r="I21" s="8">
        <f>IFERROR(H21/H148, "NA")</f>
        <v>7.1149400209708311E-3</v>
      </c>
      <c r="J21" s="7">
        <v>1134.3699999999999</v>
      </c>
      <c r="K21" s="8">
        <f>IFERROR(J21/J148, "NA")</f>
        <v>7.8725840212715281E-3</v>
      </c>
      <c r="L21" s="7">
        <v>893.89</v>
      </c>
      <c r="M21" s="8">
        <f>IFERROR(L21/L148, "NA")</f>
        <v>7.8855644390322787E-3</v>
      </c>
      <c r="N21" s="7">
        <v>1027.3599999999999</v>
      </c>
      <c r="O21" s="8">
        <f>IFERROR(N21/N148, "NA")</f>
        <v>8.030014069094888E-3</v>
      </c>
      <c r="P21" s="7">
        <v>875.48</v>
      </c>
      <c r="Q21" s="8">
        <f>IFERROR(P21/P148, "NA")</f>
        <v>7.0100834607334682E-3</v>
      </c>
      <c r="R21" s="7">
        <v>1007.6400000000001</v>
      </c>
      <c r="S21" s="8">
        <f>IFERROR(R21/R148, "NA")</f>
        <v>7.9369899223291299E-3</v>
      </c>
      <c r="T21" s="7">
        <v>812.72</v>
      </c>
      <c r="U21" s="8">
        <f>IFERROR(T21/T148, "NA")</f>
        <v>6.5955106996482245E-3</v>
      </c>
      <c r="V21" s="7">
        <v>832.45</v>
      </c>
      <c r="W21" s="8">
        <f>IFERROR(V21/V148, "NA")</f>
        <v>6.5204412641752729E-3</v>
      </c>
      <c r="X21" s="7">
        <v>1008.32</v>
      </c>
      <c r="Y21" s="8">
        <f>IFERROR(X21/X148, "NA")</f>
        <v>9.1260663723297872E-3</v>
      </c>
      <c r="Z21" s="7">
        <v>2653.4900000000002</v>
      </c>
      <c r="AA21" s="8">
        <f>IFERROR(Z21/Z148, "NA")</f>
        <v>7.3426818602504874E-3</v>
      </c>
      <c r="AB21" s="9">
        <f t="shared" si="0"/>
        <v>915.28250000000014</v>
      </c>
      <c r="AC21" s="8">
        <f>IFERROR(AB21/AB148, "NA")</f>
        <v>7.4971875282273635E-3</v>
      </c>
      <c r="AD21" s="10">
        <f t="shared" si="1"/>
        <v>93.037499999999909</v>
      </c>
      <c r="AE21" s="11">
        <f>IFERROR(AD21/AD148, "NA")</f>
        <v>-8.0235607879324145E-3</v>
      </c>
      <c r="AF21" s="10">
        <f t="shared" si="2"/>
        <v>0.10164894445157631</v>
      </c>
      <c r="AG21" s="9">
        <f t="shared" si="3"/>
        <v>949.02874999999995</v>
      </c>
      <c r="AH21" s="8">
        <f>IFERROR(AG21/AG148, "NA")</f>
        <v>7.6027870780808818E-3</v>
      </c>
      <c r="AI21" s="10">
        <f t="shared" si="4"/>
        <v>59.291250000000105</v>
      </c>
      <c r="AJ21" s="11">
        <f>IFERROR(AI21/AI148, "NA")</f>
        <v>-4.135103228070835E-3</v>
      </c>
      <c r="AK21" s="10">
        <f t="shared" si="5"/>
        <v>6.2475715303672422E-2</v>
      </c>
      <c r="AL21" s="11">
        <f>IFERROR(AK21/AK148, "NA")</f>
        <v>-0.54389307310637325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1081.45</v>
      </c>
      <c r="C23" s="8">
        <f>IFERROR(B23/B148, "NA")</f>
        <v>7.2244773268184655E-3</v>
      </c>
      <c r="D23" s="7">
        <v>747.8</v>
      </c>
      <c r="E23" s="8">
        <f>IFERROR(D23/D148, "NA")</f>
        <v>6.0748687359618173E-3</v>
      </c>
      <c r="F23" s="7">
        <v>974.11</v>
      </c>
      <c r="G23" s="8">
        <f>IFERROR(F23/F148, "NA")</f>
        <v>5.7941399665690898E-3</v>
      </c>
      <c r="H23" s="7">
        <v>565.42000000000007</v>
      </c>
      <c r="I23" s="8">
        <f>IFERROR(H23/H148, "NA")</f>
        <v>3.4002429037023217E-3</v>
      </c>
      <c r="J23" s="7">
        <v>638.37</v>
      </c>
      <c r="K23" s="8">
        <f>IFERROR(J23/J148, "NA")</f>
        <v>4.4303194386832393E-3</v>
      </c>
      <c r="L23" s="7">
        <v>702.53</v>
      </c>
      <c r="M23" s="8">
        <f>IFERROR(L23/L148, "NA")</f>
        <v>6.197457836370635E-3</v>
      </c>
      <c r="N23" s="7">
        <v>996.99999999999989</v>
      </c>
      <c r="O23" s="8">
        <f>IFERROR(N23/N148, "NA")</f>
        <v>7.7927153353134276E-3</v>
      </c>
      <c r="P23" s="7">
        <v>780.32</v>
      </c>
      <c r="Q23" s="8">
        <f>IFERROR(P23/P148, "NA")</f>
        <v>6.2481248298985013E-3</v>
      </c>
      <c r="R23" s="7">
        <v>533.6</v>
      </c>
      <c r="S23" s="8">
        <f>IFERROR(R23/R148, "NA")</f>
        <v>4.203066395294771E-3</v>
      </c>
      <c r="T23" s="7">
        <v>-183.94</v>
      </c>
      <c r="U23" s="8">
        <f>IFERROR(T23/T148, "NA")</f>
        <v>-1.4927382592938457E-3</v>
      </c>
      <c r="V23" s="7">
        <v>1442.7</v>
      </c>
      <c r="W23" s="8">
        <f>IFERROR(V23/V148, "NA")</f>
        <v>1.1300427187009028E-2</v>
      </c>
      <c r="X23" s="7">
        <v>521.64</v>
      </c>
      <c r="Y23" s="8">
        <f>IFERROR(X23/X148, "NA")</f>
        <v>4.7212405411596612E-3</v>
      </c>
      <c r="Z23" s="7">
        <v>1780.4</v>
      </c>
      <c r="AA23" s="8">
        <f>IFERROR(Z23/Z148, "NA")</f>
        <v>4.9266855288657456E-3</v>
      </c>
      <c r="AB23" s="9">
        <f t="shared" si="0"/>
        <v>578.5</v>
      </c>
      <c r="AC23" s="8">
        <f>IFERROR(AB23/AB148, "NA")</f>
        <v>4.7385621216176742E-3</v>
      </c>
      <c r="AD23" s="10">
        <f t="shared" si="1"/>
        <v>-56.860000000000014</v>
      </c>
      <c r="AE23" s="11">
        <f>IFERROR(AD23/AD148, "NA")</f>
        <v>4.9036105484545223E-3</v>
      </c>
      <c r="AF23" s="10">
        <f t="shared" si="2"/>
        <v>-9.8288677614520328E-2</v>
      </c>
      <c r="AG23" s="9">
        <f t="shared" si="3"/>
        <v>679.02750000000003</v>
      </c>
      <c r="AH23" s="8">
        <f>IFERROR(AG23/AG148, "NA")</f>
        <v>5.4397735607710157E-3</v>
      </c>
      <c r="AI23" s="10">
        <f t="shared" si="4"/>
        <v>-157.38750000000005</v>
      </c>
      <c r="AJ23" s="11">
        <f>IFERROR(AI23/AI148, "NA")</f>
        <v>1.0976553189686464E-2</v>
      </c>
      <c r="AK23" s="10">
        <f t="shared" si="5"/>
        <v>-0.23178369064581336</v>
      </c>
      <c r="AL23" s="11">
        <f>IFERROR(AK23/AK148, "NA")</f>
        <v>2.017832740105947</v>
      </c>
    </row>
    <row r="24" spans="1:38" ht="16.5" customHeight="1">
      <c r="A24" s="25" t="s">
        <v>39</v>
      </c>
      <c r="B24" s="7">
        <v>8234.26</v>
      </c>
      <c r="C24" s="8">
        <f>IFERROR(B24/B148, "NA")</f>
        <v>5.500783639847262E-2</v>
      </c>
      <c r="D24" s="7">
        <v>7440.5299999999988</v>
      </c>
      <c r="E24" s="8">
        <f>IFERROR(D24/D148, "NA")</f>
        <v>6.0444294030470684E-2</v>
      </c>
      <c r="F24" s="7">
        <v>8909.4499999999989</v>
      </c>
      <c r="G24" s="8">
        <f>IFERROR(F24/F148, "NA")</f>
        <v>5.2994631330290184E-2</v>
      </c>
      <c r="H24" s="7">
        <v>9034.5499999999993</v>
      </c>
      <c r="I24" s="8">
        <f>IFERROR(H24/H148, "NA")</f>
        <v>5.4330700232824811E-2</v>
      </c>
      <c r="J24" s="7">
        <v>7754.5399999999991</v>
      </c>
      <c r="K24" s="8">
        <f>IFERROR(J24/J148, "NA")</f>
        <v>5.3816891927952006E-2</v>
      </c>
      <c r="L24" s="7">
        <v>6805.88</v>
      </c>
      <c r="M24" s="8">
        <f>IFERROR(L24/L148, "NA")</f>
        <v>6.0038936898635188E-2</v>
      </c>
      <c r="N24" s="7">
        <v>8475.4</v>
      </c>
      <c r="O24" s="8">
        <f>IFERROR(N24/N148, "NA")</f>
        <v>6.6245114897608245E-2</v>
      </c>
      <c r="P24" s="7">
        <v>7329.29</v>
      </c>
      <c r="Q24" s="8">
        <f>IFERROR(P24/P148, "NA")</f>
        <v>5.8686588623291451E-2</v>
      </c>
      <c r="R24" s="7">
        <v>7486.7199999999993</v>
      </c>
      <c r="S24" s="8">
        <f>IFERROR(R24/R148, "NA")</f>
        <v>5.8971479091044346E-2</v>
      </c>
      <c r="T24" s="7">
        <v>7025.25</v>
      </c>
      <c r="U24" s="8">
        <f>IFERROR(T24/T148, "NA")</f>
        <v>5.7012392389388336E-2</v>
      </c>
      <c r="V24" s="7">
        <v>6883.91</v>
      </c>
      <c r="W24" s="8">
        <f>IFERROR(V24/V148, "NA")</f>
        <v>5.3920512730937349E-2</v>
      </c>
      <c r="X24" s="7">
        <v>6478.5599999999995</v>
      </c>
      <c r="Y24" s="8">
        <f>IFERROR(X24/X148, "NA")</f>
        <v>5.8635917721676513E-2</v>
      </c>
      <c r="Z24" s="7">
        <v>20387.72</v>
      </c>
      <c r="AA24" s="8">
        <f>IFERROR(Z24/Z148, "NA")</f>
        <v>5.641647106861758E-2</v>
      </c>
      <c r="AB24" s="9">
        <f t="shared" si="0"/>
        <v>6968.6099999999988</v>
      </c>
      <c r="AC24" s="8">
        <f>IFERROR(AB24/AB148, "NA")</f>
        <v>5.7080711125887876E-2</v>
      </c>
      <c r="AD24" s="10">
        <f t="shared" si="1"/>
        <v>-490.04999999999927</v>
      </c>
      <c r="AE24" s="11">
        <f>IFERROR(AD24/AD148, "NA")</f>
        <v>4.2261947753607719E-2</v>
      </c>
      <c r="AF24" s="10">
        <f t="shared" si="2"/>
        <v>-7.0322488989913251E-2</v>
      </c>
      <c r="AG24" s="9">
        <f t="shared" si="3"/>
        <v>7279.9437500000004</v>
      </c>
      <c r="AH24" s="8">
        <f>IFERROR(AG24/AG148, "NA")</f>
        <v>5.8320532725331747E-2</v>
      </c>
      <c r="AI24" s="10">
        <f t="shared" si="4"/>
        <v>-801.38375000000087</v>
      </c>
      <c r="AJ24" s="11">
        <f>IFERROR(AI24/AI148, "NA")</f>
        <v>5.5890279451833259E-2</v>
      </c>
      <c r="AK24" s="10">
        <f t="shared" si="5"/>
        <v>-0.11008103599701589</v>
      </c>
      <c r="AL24" s="11">
        <f>IFERROR(AK24/AK148, "NA")</f>
        <v>0.95832937115056749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31487.94000000001</v>
      </c>
      <c r="C27" s="14">
        <f>IFERROR(B27/B148, "NA")</f>
        <v>0.21035083323151352</v>
      </c>
      <c r="D27" s="13">
        <f>IFERROR(D15+D16+D17+D18+D19+D20+D21+D22+D23+D24+D25+D26, "NA")</f>
        <v>25767.07</v>
      </c>
      <c r="E27" s="14">
        <f>IFERROR(D27/D148, "NA")</f>
        <v>0.20932277074129402</v>
      </c>
      <c r="F27" s="13">
        <f>IFERROR(F15+F16+F17+F18+F19+F20+F21+F22+F23+F24+F25+F26, "NA")</f>
        <v>33659.959999999992</v>
      </c>
      <c r="G27" s="14">
        <f>IFERROR(F27/F148, "NA")</f>
        <v>0.20021406156298246</v>
      </c>
      <c r="H27" s="13">
        <f>IFERROR(H15+H16+H17+H18+H19+H20+H21+H22+H23+H24+H25+H26, "NA")</f>
        <v>32493.34</v>
      </c>
      <c r="I27" s="14">
        <f>IFERROR(H27/H148, "NA")</f>
        <v>0.19540385687203632</v>
      </c>
      <c r="J27" s="13">
        <f>IFERROR(J15+J16+J17+J18+J19+J20+J21+J22+J23+J24+J25+J26, "NA")</f>
        <v>27960.559999999998</v>
      </c>
      <c r="K27" s="14">
        <f>IFERROR(J27/J148, "NA")</f>
        <v>0.19404767217204602</v>
      </c>
      <c r="L27" s="13">
        <f>IFERROR(L15+L16+L17+L18+L19+L20+L21+L22+L23+L24+L25+L26, "NA")</f>
        <v>25291.45</v>
      </c>
      <c r="M27" s="14">
        <f>IFERROR(L27/L148, "NA")</f>
        <v>0.22311174611144877</v>
      </c>
      <c r="N27" s="13">
        <f>IFERROR(N15+N16+N17+N18+N19+N20+N21+N22+N23+N24+N25+N26, "NA")</f>
        <v>26739.440000000002</v>
      </c>
      <c r="O27" s="14">
        <f>IFERROR(N27/N148, "NA")</f>
        <v>0.20899984367672347</v>
      </c>
      <c r="P27" s="13">
        <f>IFERROR(P15+P16+P17+P18+P19+P20+P21+P22+P23+P24+P25+P26, "NA")</f>
        <v>25868.79</v>
      </c>
      <c r="Q27" s="14">
        <f>IFERROR(P27/P148, "NA")</f>
        <v>0.20713480254053471</v>
      </c>
      <c r="R27" s="13">
        <f>IFERROR(R15+R16+R17+R18+R19+R20+R21+R22+R23+R24+R25+R26, "NA")</f>
        <v>25728.449999999997</v>
      </c>
      <c r="S27" s="14">
        <f>IFERROR(R27/R148, "NA")</f>
        <v>0.20265814017620265</v>
      </c>
      <c r="T27" s="13">
        <f>IFERROR(T15+T16+T17+T18+T19+T20+T21+T22+T23+T24+T25+T26, "NA")</f>
        <v>23706.39</v>
      </c>
      <c r="U27" s="14">
        <f>IFERROR(T27/T148, "NA")</f>
        <v>0.19238575265163113</v>
      </c>
      <c r="V27" s="13">
        <f>IFERROR(V15+V16+V17+V18+V19+V20+V21+V22+V23+V24+V25+V26, "NA")</f>
        <v>25094.350000000002</v>
      </c>
      <c r="W27" s="14">
        <f>IFERROR(V27/V148, "NA")</f>
        <v>0.19655983571104182</v>
      </c>
      <c r="X27" s="13">
        <f>IFERROR(X15+X16+X17+X18+X19+X20+X21+X22+X23+X24+X25+X26, "NA")</f>
        <v>23348.059999999998</v>
      </c>
      <c r="Y27" s="14">
        <f>IFERROR(X27/X148, "NA")</f>
        <v>0.21131778128484824</v>
      </c>
      <c r="Z27" s="13">
        <f>IFERROR(Z15+Z16+Z17+Z18+Z19+Z20+Z21+Z22+Z23+Z24+Z25+Z26, "NA")</f>
        <v>72148.800000000003</v>
      </c>
      <c r="AA27" s="14">
        <f>IFERROR(Z27/Z148, "NA")</f>
        <v>0.19964864574535435</v>
      </c>
      <c r="AB27" s="13">
        <f t="shared" si="0"/>
        <v>24469.3125</v>
      </c>
      <c r="AC27" s="14">
        <f>IFERROR(AB27/AB148, "NA")</f>
        <v>0.2004310412351355</v>
      </c>
      <c r="AD27" s="15">
        <f t="shared" si="1"/>
        <v>-1121.2525000000023</v>
      </c>
      <c r="AE27" s="16">
        <f>IFERROR(AD27/AD148, "NA")</f>
        <v>9.6696897405575355E-2</v>
      </c>
      <c r="AF27" s="15">
        <f t="shared" si="2"/>
        <v>-4.5822803562625733E-2</v>
      </c>
      <c r="AG27" s="13">
        <f t="shared" si="3"/>
        <v>25467.186250000002</v>
      </c>
      <c r="AH27" s="14">
        <f>IFERROR(AG27/AG148, "NA")</f>
        <v>0.20402078918744995</v>
      </c>
      <c r="AI27" s="15">
        <f t="shared" si="4"/>
        <v>-2119.1262500000048</v>
      </c>
      <c r="AJ27" s="16">
        <f>IFERROR(AI27/AI148, "NA")</f>
        <v>0.14779256293406948</v>
      </c>
      <c r="AK27" s="15">
        <f t="shared" si="5"/>
        <v>-8.3210066051172205E-2</v>
      </c>
      <c r="AL27" s="16">
        <f>IFERROR(AK27/AK148, "NA")</f>
        <v>0.72439952576735134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1596.54</v>
      </c>
      <c r="C30" s="8">
        <f>IFERROR(B30/B148, "NA")</f>
        <v>1.0665464914104908E-2</v>
      </c>
      <c r="D30" s="7">
        <v>1410.54</v>
      </c>
      <c r="E30" s="8">
        <f>IFERROR(D30/D148, "NA")</f>
        <v>1.1458739431430305E-2</v>
      </c>
      <c r="F30" s="7">
        <v>1616.5300000000002</v>
      </c>
      <c r="G30" s="8">
        <f>IFERROR(F30/F148, "NA")</f>
        <v>9.6153422921004122E-3</v>
      </c>
      <c r="H30" s="7">
        <v>1966.42</v>
      </c>
      <c r="I30" s="8">
        <f>IFERROR(H30/H148, "NA")</f>
        <v>1.1825378746238758E-2</v>
      </c>
      <c r="J30" s="7">
        <v>557.23</v>
      </c>
      <c r="K30" s="8">
        <f>IFERROR(J30/J148, "NA")</f>
        <v>3.8672038172493407E-3</v>
      </c>
      <c r="L30" s="7">
        <v>1299.6499999999999</v>
      </c>
      <c r="M30" s="8">
        <f>IFERROR(L30/L148, "NA")</f>
        <v>1.146502793765262E-2</v>
      </c>
      <c r="N30" s="7">
        <v>1368.44</v>
      </c>
      <c r="O30" s="8">
        <f>IFERROR(N30/N148, "NA")</f>
        <v>1.0695951227137721E-2</v>
      </c>
      <c r="P30" s="7">
        <v>1174.52</v>
      </c>
      <c r="Q30" s="8">
        <f>IFERROR(P30/P148, "NA")</f>
        <v>9.4045360559929098E-3</v>
      </c>
      <c r="R30" s="7">
        <v>1483.11</v>
      </c>
      <c r="S30" s="8">
        <f>IFERROR(R30/R148, "NA")</f>
        <v>1.1682177289215943E-2</v>
      </c>
      <c r="T30" s="7">
        <v>1200.5999999999999</v>
      </c>
      <c r="U30" s="8">
        <f>IFERROR(T30/T148, "NA")</f>
        <v>9.7432943030781299E-3</v>
      </c>
      <c r="V30" s="7">
        <v>1032.5</v>
      </c>
      <c r="W30" s="8">
        <f>IFERROR(V30/V148, "NA")</f>
        <v>8.0873993696449851E-3</v>
      </c>
      <c r="X30" s="7">
        <v>1300.3799999999999</v>
      </c>
      <c r="Y30" s="8">
        <f>IFERROR(X30/X148, "NA")</f>
        <v>1.1769432510760678E-2</v>
      </c>
      <c r="Z30" s="7">
        <v>3533.4800000000005</v>
      </c>
      <c r="AA30" s="8">
        <f>IFERROR(Z30/Z148, "NA")</f>
        <v>9.777771726879653E-3</v>
      </c>
      <c r="AB30" s="9">
        <f t="shared" si="6"/>
        <v>1254.1475</v>
      </c>
      <c r="AC30" s="8">
        <f>IFERROR(AB30/AB148, "NA")</f>
        <v>1.0272870939363013E-2</v>
      </c>
      <c r="AD30" s="10">
        <f t="shared" si="7"/>
        <v>46.232499999999845</v>
      </c>
      <c r="AE30" s="11">
        <f>IFERROR(AD30/AD148, "NA")</f>
        <v>-3.987094173081655E-3</v>
      </c>
      <c r="AF30" s="10">
        <f t="shared" si="8"/>
        <v>3.6863686288893326E-2</v>
      </c>
      <c r="AG30" s="9">
        <f t="shared" si="9"/>
        <v>1177.0537499999998</v>
      </c>
      <c r="AH30" s="8">
        <f>IFERROR(AG30/AG148, "NA")</f>
        <v>9.4295236479470662E-3</v>
      </c>
      <c r="AI30" s="10">
        <f t="shared" si="10"/>
        <v>123.32625000000007</v>
      </c>
      <c r="AJ30" s="11">
        <f>IFERROR(AI30/AI148, "NA")</f>
        <v>-8.6010460983850096E-3</v>
      </c>
      <c r="AK30" s="10">
        <f t="shared" si="11"/>
        <v>0.10477537665548417</v>
      </c>
      <c r="AL30" s="11">
        <f>IFERROR(AK30/AK148, "NA")</f>
        <v>-0.91214004222340272</v>
      </c>
    </row>
    <row r="31" spans="1:38" ht="16.5" customHeight="1">
      <c r="A31" s="25" t="s">
        <v>46</v>
      </c>
      <c r="B31" s="7">
        <v>29.259999999999998</v>
      </c>
      <c r="C31" s="8">
        <f>IFERROR(B31/B148, "NA")</f>
        <v>1.9546738784290377E-4</v>
      </c>
      <c r="D31" s="7">
        <v>63.17</v>
      </c>
      <c r="E31" s="8">
        <f>IFERROR(D31/D148, "NA")</f>
        <v>5.131712463903558E-4</v>
      </c>
      <c r="F31" s="7">
        <v>72.48</v>
      </c>
      <c r="G31" s="8">
        <f>IFERROR(F31/F148, "NA")</f>
        <v>4.3112098713382233E-4</v>
      </c>
      <c r="H31" s="7">
        <v>37.89</v>
      </c>
      <c r="I31" s="8">
        <f>IFERROR(H31/H148, "NA")</f>
        <v>2.278575282467563E-4</v>
      </c>
      <c r="J31" s="7">
        <v>48.86</v>
      </c>
      <c r="K31" s="8">
        <f>IFERROR(J31/J148, "NA")</f>
        <v>3.3909082158319325E-4</v>
      </c>
      <c r="L31" s="7">
        <v>53.22</v>
      </c>
      <c r="M31" s="8">
        <f>IFERROR(L31/L148, "NA")</f>
        <v>4.6948700561064323E-4</v>
      </c>
      <c r="N31" s="7">
        <v>54.96</v>
      </c>
      <c r="O31" s="8">
        <f>IFERROR(N31/N148, "NA")</f>
        <v>4.2957636392058777E-4</v>
      </c>
      <c r="P31" s="7">
        <v>45.92</v>
      </c>
      <c r="Q31" s="8">
        <f>IFERROR(P31/P148, "NA")</f>
        <v>3.6768747717467088E-4</v>
      </c>
      <c r="R31" s="7">
        <v>46.85</v>
      </c>
      <c r="S31" s="8">
        <f>IFERROR(R31/R148, "NA")</f>
        <v>3.6902859936199404E-4</v>
      </c>
      <c r="T31" s="7">
        <v>46.17</v>
      </c>
      <c r="U31" s="8">
        <f>IFERROR(T31/T148, "NA")</f>
        <v>3.7468590535825195E-4</v>
      </c>
      <c r="V31" s="7">
        <v>44.66</v>
      </c>
      <c r="W31" s="8">
        <f>IFERROR(V31/V148, "NA")</f>
        <v>3.4981429137854244E-4</v>
      </c>
      <c r="X31" s="7">
        <v>158.27000000000001</v>
      </c>
      <c r="Y31" s="8">
        <f>IFERROR(X31/X148, "NA")</f>
        <v>1.432464420767847E-3</v>
      </c>
      <c r="Z31" s="7">
        <v>249.09999999999997</v>
      </c>
      <c r="AA31" s="8">
        <f>IFERROR(Z31/Z148, "NA")</f>
        <v>6.89304294113939E-4</v>
      </c>
      <c r="AB31" s="9">
        <f t="shared" si="6"/>
        <v>73.987500000000011</v>
      </c>
      <c r="AC31" s="8">
        <f>IFERROR(AB31/AB148, "NA")</f>
        <v>6.0604038889055785E-4</v>
      </c>
      <c r="AD31" s="10">
        <f t="shared" si="7"/>
        <v>84.282499999999999</v>
      </c>
      <c r="AE31" s="11">
        <f>IFERROR(AD31/AD148, "NA")</f>
        <v>-7.2685289491754871E-3</v>
      </c>
      <c r="AF31" s="10">
        <f t="shared" si="8"/>
        <v>1.1391451258658556</v>
      </c>
      <c r="AG31" s="9">
        <f t="shared" si="9"/>
        <v>62.363749999999996</v>
      </c>
      <c r="AH31" s="8">
        <f>IFERROR(AG31/AG148, "NA")</f>
        <v>4.9960373976095729E-4</v>
      </c>
      <c r="AI31" s="10">
        <f t="shared" si="10"/>
        <v>95.906250000000014</v>
      </c>
      <c r="AJ31" s="11">
        <f>IFERROR(AI31/AI148, "NA")</f>
        <v>-6.688714506224238E-3</v>
      </c>
      <c r="AK31" s="10">
        <f t="shared" si="11"/>
        <v>1.5378525184903091</v>
      </c>
      <c r="AL31" s="11">
        <f>IFERROR(AK31/AK148, "NA")</f>
        <v>-13.388039307761289</v>
      </c>
    </row>
    <row r="32" spans="1:38" ht="16.5" customHeight="1">
      <c r="A32" s="25" t="s">
        <v>47</v>
      </c>
      <c r="B32" s="7">
        <v>158.75</v>
      </c>
      <c r="C32" s="8">
        <f>IFERROR(B32/B148, "NA")</f>
        <v>1.0605074442946334E-3</v>
      </c>
      <c r="D32" s="7">
        <v>-2.8099999999999996</v>
      </c>
      <c r="E32" s="8">
        <f>IFERROR(D32/D148, "NA")</f>
        <v>-2.2827468772469518E-5</v>
      </c>
      <c r="F32" s="7">
        <v>-0.3899999999999999</v>
      </c>
      <c r="G32" s="8">
        <f>IFERROR(F32/F148, "NA")</f>
        <v>-2.3197735234849704E-6</v>
      </c>
      <c r="H32" s="7">
        <v>-30.7</v>
      </c>
      <c r="I32" s="8">
        <f>IFERROR(H32/H148, "NA")</f>
        <v>-1.8461932217406752E-4</v>
      </c>
      <c r="J32" s="7">
        <v>28.5</v>
      </c>
      <c r="K32" s="8">
        <f>IFERROR(J32/J148, "NA")</f>
        <v>1.9779141250759327E-4</v>
      </c>
      <c r="L32" s="7">
        <v>0.8</v>
      </c>
      <c r="M32" s="8">
        <f>IFERROR(L32/L148, "NA")</f>
        <v>7.0573018505921572E-6</v>
      </c>
      <c r="N32" s="7">
        <v>-26.099999999999998</v>
      </c>
      <c r="O32" s="8">
        <f>IFERROR(N32/N148, "NA")</f>
        <v>-2.0400187587931842E-4</v>
      </c>
      <c r="P32" s="7">
        <v>25.299999999999997</v>
      </c>
      <c r="Q32" s="8">
        <f>IFERROR(P32/P148, "NA")</f>
        <v>2.0258042623081819E-4</v>
      </c>
      <c r="R32" s="7">
        <v>5.4</v>
      </c>
      <c r="S32" s="8">
        <f>IFERROR(R32/R148, "NA")</f>
        <v>4.2534779862428341E-5</v>
      </c>
      <c r="T32" s="7">
        <v>-28.31</v>
      </c>
      <c r="U32" s="8">
        <f>IFERROR(T32/T148, "NA")</f>
        <v>-2.2974567859415448E-4</v>
      </c>
      <c r="V32" s="7">
        <v>1.99</v>
      </c>
      <c r="W32" s="8">
        <f>IFERROR(V32/V148, "NA")</f>
        <v>1.5587336315344814E-5</v>
      </c>
      <c r="X32" s="7">
        <v>26.32</v>
      </c>
      <c r="Y32" s="8">
        <f>IFERROR(X32/X148, "NA")</f>
        <v>2.3821610889372419E-4</v>
      </c>
      <c r="Z32" s="7">
        <v>0</v>
      </c>
      <c r="AA32" s="8">
        <f>IFERROR(Z32/Z148, "NA")</f>
        <v>0</v>
      </c>
      <c r="AB32" s="9">
        <f t="shared" si="6"/>
        <v>1.3500000000000005</v>
      </c>
      <c r="AC32" s="8">
        <f>IFERROR(AB32/AB148, "NA")</f>
        <v>1.1058010136877896E-5</v>
      </c>
      <c r="AD32" s="10">
        <f t="shared" si="7"/>
        <v>24.97</v>
      </c>
      <c r="AE32" s="11">
        <f>IFERROR(AD32/AD148, "NA")</f>
        <v>-2.1534146217887687E-3</v>
      </c>
      <c r="AF32" s="10">
        <f t="shared" si="8"/>
        <v>18.49629629629629</v>
      </c>
      <c r="AG32" s="9">
        <f t="shared" si="9"/>
        <v>4.2374999999999998</v>
      </c>
      <c r="AH32" s="8">
        <f>IFERROR(AG32/AG148, "NA")</f>
        <v>3.3947138317324674E-5</v>
      </c>
      <c r="AI32" s="10">
        <f t="shared" si="10"/>
        <v>22.0825</v>
      </c>
      <c r="AJ32" s="11">
        <f>IFERROR(AI32/AI148, "NA")</f>
        <v>-1.5400825085299104E-3</v>
      </c>
      <c r="AK32" s="10">
        <f t="shared" si="11"/>
        <v>5.211209439528024</v>
      </c>
      <c r="AL32" s="11">
        <f>IFERROR(AK32/AK148, "NA")</f>
        <v>-45.36707907847245</v>
      </c>
    </row>
    <row r="33" spans="1:38" ht="16.5" customHeight="1">
      <c r="A33" s="25" t="s">
        <v>48</v>
      </c>
      <c r="B33" s="7">
        <v>-4.07</v>
      </c>
      <c r="C33" s="8">
        <f>IFERROR(B33/B148, "NA")</f>
        <v>-2.7189072745065566E-5</v>
      </c>
      <c r="D33" s="7">
        <v>6.6000000000000014</v>
      </c>
      <c r="E33" s="8">
        <f>IFERROR(D33/D148, "NA")</f>
        <v>5.3616118825017388E-5</v>
      </c>
      <c r="F33" s="7">
        <v>85.06</v>
      </c>
      <c r="G33" s="8">
        <f>IFERROR(F33/F148, "NA")</f>
        <v>5.0594855360931192E-4</v>
      </c>
      <c r="H33" s="7">
        <v>-78.02</v>
      </c>
      <c r="I33" s="8">
        <f>IFERROR(H33/H148, "NA")</f>
        <v>-4.6918565198764649E-4</v>
      </c>
      <c r="J33" s="7">
        <v>-13.72</v>
      </c>
      <c r="K33" s="8">
        <f>IFERROR(J33/J148, "NA")</f>
        <v>-9.5217479986111573E-5</v>
      </c>
      <c r="L33" s="7">
        <v>18.989999999999998</v>
      </c>
      <c r="M33" s="8">
        <f>IFERROR(L33/L148, "NA")</f>
        <v>1.6752270267843131E-4</v>
      </c>
      <c r="N33" s="7">
        <v>12.730000000000002</v>
      </c>
      <c r="O33" s="8">
        <f>IFERROR(N33/N148, "NA")</f>
        <v>9.9499765515085218E-5</v>
      </c>
      <c r="P33" s="7">
        <v>-1.0200000000000014</v>
      </c>
      <c r="Q33" s="8">
        <f>IFERROR(P33/P148, "NA")</f>
        <v>-8.1672741010053309E-6</v>
      </c>
      <c r="R33" s="7">
        <v>20.009999999999998</v>
      </c>
      <c r="S33" s="8">
        <f>IFERROR(R33/R148, "NA")</f>
        <v>1.5761498982355389E-4</v>
      </c>
      <c r="T33" s="7">
        <v>14.34</v>
      </c>
      <c r="U33" s="8">
        <f>IFERROR(T33/T148, "NA")</f>
        <v>1.1637417983186772E-4</v>
      </c>
      <c r="V33" s="7">
        <v>-6.02</v>
      </c>
      <c r="W33" s="8">
        <f>IFERROR(V33/V148, "NA")</f>
        <v>-4.7153650561997882E-5</v>
      </c>
      <c r="X33" s="7">
        <v>-2.1800000000000002</v>
      </c>
      <c r="Y33" s="8">
        <f>IFERROR(X33/X148, "NA")</f>
        <v>-1.9730665554267432E-5</v>
      </c>
      <c r="Z33" s="7">
        <v>6.14</v>
      </c>
      <c r="AA33" s="8">
        <f>IFERROR(Z33/Z148, "NA")</f>
        <v>1.6990479188517003E-5</v>
      </c>
      <c r="AB33" s="9">
        <f t="shared" si="6"/>
        <v>6.5374999999999988</v>
      </c>
      <c r="AC33" s="8">
        <f>IFERROR(AB33/AB148, "NA")</f>
        <v>5.3549437977658669E-5</v>
      </c>
      <c r="AD33" s="10">
        <f t="shared" si="7"/>
        <v>-8.7174999999999994</v>
      </c>
      <c r="AE33" s="11">
        <f>IFERROR(AD33/AD148, "NA")</f>
        <v>7.5179783602096883E-4</v>
      </c>
      <c r="AF33" s="10">
        <f t="shared" si="8"/>
        <v>-1.3334608030592736</v>
      </c>
      <c r="AG33" s="9">
        <f t="shared" si="9"/>
        <v>5.3912500000000003</v>
      </c>
      <c r="AH33" s="8">
        <f>IFERROR(AG33/AG148, "NA")</f>
        <v>4.3189972732336671E-5</v>
      </c>
      <c r="AI33" s="10">
        <f t="shared" si="10"/>
        <v>-7.5712500000000009</v>
      </c>
      <c r="AJ33" s="11">
        <f>IFERROR(AI33/AI148, "NA")</f>
        <v>5.2803576101922729E-4</v>
      </c>
      <c r="AK33" s="10">
        <f t="shared" si="11"/>
        <v>-1.4043589149084166</v>
      </c>
      <c r="AL33" s="11">
        <f>IFERROR(AK33/AK148, "NA")</f>
        <v>12.225887807145632</v>
      </c>
    </row>
    <row r="34" spans="1:38" ht="16.5" customHeight="1">
      <c r="A34" s="26" t="s">
        <v>49</v>
      </c>
      <c r="B34" s="13">
        <f>IFERROR(B29+B30+B31+B32+B33, "NA")</f>
        <v>1780.48</v>
      </c>
      <c r="C34" s="14">
        <f>IFERROR(B34/B148, "NA")</f>
        <v>1.189425067349738E-2</v>
      </c>
      <c r="D34" s="13">
        <f>IFERROR(D29+D30+D31+D32+D33, "NA")</f>
        <v>1477.5</v>
      </c>
      <c r="E34" s="14">
        <f>IFERROR(D34/D148, "NA")</f>
        <v>1.2002699327873208E-2</v>
      </c>
      <c r="F34" s="13">
        <f>IFERROR(F29+F30+F31+F32+F33, "NA")</f>
        <v>1773.68</v>
      </c>
      <c r="G34" s="14">
        <f>IFERROR(F34/F148, "NA")</f>
        <v>1.055009205932006E-2</v>
      </c>
      <c r="H34" s="13">
        <f>IFERROR(H29+H30+H31+H32+H33, "NA")</f>
        <v>1895.5900000000001</v>
      </c>
      <c r="I34" s="14">
        <f>IFERROR(H34/H148, "NA")</f>
        <v>1.13994313003238E-2</v>
      </c>
      <c r="J34" s="13">
        <f>IFERROR(J29+J30+J31+J32+J33, "NA")</f>
        <v>620.87</v>
      </c>
      <c r="K34" s="14">
        <f>IFERROR(J34/J148, "NA")</f>
        <v>4.3088685713540157E-3</v>
      </c>
      <c r="L34" s="13">
        <f>IFERROR(L29+L30+L31+L32+L33, "NA")</f>
        <v>1372.6599999999999</v>
      </c>
      <c r="M34" s="14">
        <f>IFERROR(L34/L148, "NA")</f>
        <v>1.2109094947792286E-2</v>
      </c>
      <c r="N34" s="13">
        <f>IFERROR(N29+N30+N31+N32+N33, "NA")</f>
        <v>1410.0300000000002</v>
      </c>
      <c r="O34" s="14">
        <f>IFERROR(N34/N148, "NA")</f>
        <v>1.1021025480694077E-2</v>
      </c>
      <c r="P34" s="13">
        <f>IFERROR(P29+P30+P31+P32+P33, "NA")</f>
        <v>1244.72</v>
      </c>
      <c r="Q34" s="14">
        <f>IFERROR(P34/P148, "NA")</f>
        <v>9.9666366852973944E-3</v>
      </c>
      <c r="R34" s="13">
        <f>IFERROR(R29+R30+R31+R32+R33, "NA")</f>
        <v>1555.37</v>
      </c>
      <c r="S34" s="14">
        <f>IFERROR(R34/R148, "NA")</f>
        <v>1.2251355658263919E-2</v>
      </c>
      <c r="T34" s="13">
        <f>IFERROR(T29+T30+T31+T32+T33, "NA")</f>
        <v>1232.8</v>
      </c>
      <c r="U34" s="14">
        <f>IFERROR(T34/T148, "NA")</f>
        <v>1.0004608709674095E-2</v>
      </c>
      <c r="V34" s="13">
        <f>IFERROR(V29+V30+V31+V32+V33, "NA")</f>
        <v>1073.1300000000001</v>
      </c>
      <c r="W34" s="14">
        <f>IFERROR(V34/V148, "NA")</f>
        <v>8.4056473467768768E-3</v>
      </c>
      <c r="X34" s="13">
        <f>IFERROR(X29+X30+X31+X32+X33, "NA")</f>
        <v>1482.7899999999997</v>
      </c>
      <c r="Y34" s="14">
        <f>IFERROR(X34/X148, "NA")</f>
        <v>1.342038237486798E-2</v>
      </c>
      <c r="Z34" s="13">
        <f>IFERROR(Z29+Z30+Z31+Z32+Z33, "NA")</f>
        <v>3788.7200000000003</v>
      </c>
      <c r="AA34" s="14">
        <f>IFERROR(Z34/Z148, "NA")</f>
        <v>1.0484066500182109E-2</v>
      </c>
      <c r="AB34" s="13">
        <f t="shared" si="6"/>
        <v>1336.0225</v>
      </c>
      <c r="AC34" s="14">
        <f>IFERROR(AB34/AB148, "NA")</f>
        <v>1.0943518776368106E-2</v>
      </c>
      <c r="AD34" s="15">
        <f t="shared" si="7"/>
        <v>146.7674999999997</v>
      </c>
      <c r="AE34" s="16">
        <f>IFERROR(AD34/AD148, "NA")</f>
        <v>-1.265723990802493E-2</v>
      </c>
      <c r="AF34" s="15">
        <f t="shared" si="8"/>
        <v>0.10985406308651216</v>
      </c>
      <c r="AG34" s="13">
        <f t="shared" si="9"/>
        <v>1249.0462499999999</v>
      </c>
      <c r="AH34" s="14">
        <f>IFERROR(AG34/AG148, "NA")</f>
        <v>1.0006264498757685E-2</v>
      </c>
      <c r="AI34" s="15">
        <f t="shared" si="10"/>
        <v>233.74374999999986</v>
      </c>
      <c r="AJ34" s="16">
        <f>IFERROR(AI34/AI148, "NA")</f>
        <v>-1.6301807352119915E-2</v>
      </c>
      <c r="AK34" s="15">
        <f t="shared" si="11"/>
        <v>0.18713778613081772</v>
      </c>
      <c r="AL34" s="16">
        <f>IFERROR(AK34/AK148, "NA")</f>
        <v>-1.6291601480396452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33268.420000000013</v>
      </c>
      <c r="C35" s="14">
        <f>IFERROR(B35/B148, "NA")</f>
        <v>0.22224508390501091</v>
      </c>
      <c r="D35" s="13">
        <f>IFERROR(D13+D15+D16+D17+D18+D19+D20+D21+D22+D23+D24+D25+D26+D29+D30+D31+D32+D33, "NA")</f>
        <v>27244.569999999996</v>
      </c>
      <c r="E35" s="14">
        <f>IFERROR(D35/D148, "NA")</f>
        <v>0.2213254700691672</v>
      </c>
      <c r="F35" s="13">
        <f>IFERROR(F13+F15+F16+F17+F18+F19+F20+F21+F22+F23+F24+F25+F26+F29+F30+F31+F32+F33, "NA")</f>
        <v>35433.639999999992</v>
      </c>
      <c r="G35" s="14">
        <f>IFERROR(F35/F148, "NA")</f>
        <v>0.21076415362230252</v>
      </c>
      <c r="H35" s="13">
        <f>IFERROR(H13+H15+H16+H17+H18+H19+H20+H21+H22+H23+H24+H25+H26+H29+H30+H31+H32+H33, "NA")</f>
        <v>34388.930000000008</v>
      </c>
      <c r="I35" s="14">
        <f>IFERROR(H35/H148, "NA")</f>
        <v>0.20680328817236016</v>
      </c>
      <c r="J35" s="13">
        <f>IFERROR(J13+J15+J16+J17+J18+J19+J20+J21+J22+J23+J24+J25+J26+J29+J30+J31+J32+J33, "NA")</f>
        <v>28581.429999999997</v>
      </c>
      <c r="K35" s="14">
        <f>IFERROR(J35/J148, "NA")</f>
        <v>0.19835654074340003</v>
      </c>
      <c r="L35" s="13">
        <f>IFERROR(L13+L15+L16+L17+L18+L19+L20+L21+L22+L23+L24+L25+L26+L29+L30+L31+L32+L33, "NA")</f>
        <v>26664.110000000004</v>
      </c>
      <c r="M35" s="14">
        <f>IFERROR(L35/L148, "NA")</f>
        <v>0.23522084105924107</v>
      </c>
      <c r="N35" s="13">
        <f>IFERROR(N13+N15+N16+N17+N18+N19+N20+N21+N22+N23+N24+N25+N26+N29+N30+N31+N32+N33, "NA")</f>
        <v>28149.47</v>
      </c>
      <c r="O35" s="14">
        <f>IFERROR(N35/N148, "NA")</f>
        <v>0.22002086915741756</v>
      </c>
      <c r="P35" s="13">
        <f>IFERROR(P13+P15+P16+P17+P18+P19+P20+P21+P22+P23+P24+P25+P26+P29+P30+P31+P32+P33, "NA")</f>
        <v>27113.51</v>
      </c>
      <c r="Q35" s="14">
        <f>IFERROR(P35/P148, "NA")</f>
        <v>0.21710143922583208</v>
      </c>
      <c r="R35" s="13">
        <f>IFERROR(R13+R15+R16+R17+R18+R19+R20+R21+R22+R23+R24+R25+R26+R29+R30+R31+R32+R33, "NA")</f>
        <v>27283.819999999996</v>
      </c>
      <c r="S35" s="14">
        <f>IFERROR(R35/R148, "NA")</f>
        <v>0.21490949583446656</v>
      </c>
      <c r="T35" s="13">
        <f>IFERROR(T13+T15+T16+T17+T18+T19+T20+T21+T22+T23+T24+T25+T26+T29+T30+T31+T32+T33, "NA")</f>
        <v>24939.189999999995</v>
      </c>
      <c r="U35" s="14">
        <f>IFERROR(T35/T148, "NA")</f>
        <v>0.2023903613613052</v>
      </c>
      <c r="V35" s="13">
        <f>IFERROR(V13+V15+V16+V17+V18+V19+V20+V21+V22+V23+V24+V25+V26+V29+V30+V31+V32+V33, "NA")</f>
        <v>26167.480000000003</v>
      </c>
      <c r="W35" s="14">
        <f>IFERROR(V35/V148, "NA")</f>
        <v>0.2049654830578187</v>
      </c>
      <c r="X35" s="13">
        <f>IFERROR(X13+X15+X16+X17+X18+X19+X20+X21+X22+X23+X24+X25+X26+X29+X30+X31+X32+X33, "NA")</f>
        <v>24830.85</v>
      </c>
      <c r="Y35" s="14">
        <f>IFERROR(X35/X148, "NA")</f>
        <v>0.22473816365971624</v>
      </c>
      <c r="Z35" s="13">
        <f>IFERROR(Z13+Z15+Z16+Z17+Z18+Z19+Z20+Z21+Z22+Z23+Z24+Z25+Z26+Z29+Z30+Z31+Z32+Z33, "NA")</f>
        <v>75937.52</v>
      </c>
      <c r="AA35" s="14">
        <f>IFERROR(Z35/Z148, "NA")</f>
        <v>0.21013271224553645</v>
      </c>
      <c r="AB35" s="13">
        <f t="shared" si="6"/>
        <v>25805.334999999999</v>
      </c>
      <c r="AC35" s="14">
        <f>IFERROR(AB35/AB148, "NA")</f>
        <v>0.21137456001150359</v>
      </c>
      <c r="AD35" s="15">
        <f t="shared" si="7"/>
        <v>-974.48500000000058</v>
      </c>
      <c r="AE35" s="16">
        <f>IFERROR(AD35/AD148, "NA")</f>
        <v>8.4039657497550255E-2</v>
      </c>
      <c r="AF35" s="15">
        <f t="shared" si="8"/>
        <v>-3.7762927704678144E-2</v>
      </c>
      <c r="AG35" s="13">
        <f t="shared" si="9"/>
        <v>26716.232500000002</v>
      </c>
      <c r="AH35" s="14">
        <f>IFERROR(AG35/AG148, "NA")</f>
        <v>0.21402705368620761</v>
      </c>
      <c r="AI35" s="15">
        <f t="shared" si="10"/>
        <v>-1885.3825000000033</v>
      </c>
      <c r="AJ35" s="16">
        <f>IFERROR(AI35/AI148, "NA")</f>
        <v>0.13149075558194945</v>
      </c>
      <c r="AK35" s="15">
        <f t="shared" si="11"/>
        <v>-7.0570672717420138E-2</v>
      </c>
      <c r="AL35" s="16">
        <f>IFERROR(AK35/AK148, "NA")</f>
        <v>0.61436511561165796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4103.4799999999996</v>
      </c>
      <c r="C40" s="8">
        <f>IFERROR(B40/B148, "NA")</f>
        <v>2.7412731259931603E-2</v>
      </c>
      <c r="D40" s="7">
        <v>3662.3900000000003</v>
      </c>
      <c r="E40" s="8">
        <f>IFERROR(D40/D148, "NA")</f>
        <v>2.9751990518720517E-2</v>
      </c>
      <c r="F40" s="7">
        <v>3942.89</v>
      </c>
      <c r="G40" s="8">
        <f>IFERROR(F40/F148, "NA")</f>
        <v>2.3452850841060659E-2</v>
      </c>
      <c r="H40" s="7">
        <v>3972.9</v>
      </c>
      <c r="I40" s="8">
        <f>IFERROR(H40/H148, "NA")</f>
        <v>2.3891664660109214E-2</v>
      </c>
      <c r="J40" s="7">
        <v>3558.7200000000003</v>
      </c>
      <c r="K40" s="8">
        <f>IFERROR(J40/J148, "NA")</f>
        <v>2.469769317610605E-2</v>
      </c>
      <c r="L40" s="7">
        <v>3107.7700000000004</v>
      </c>
      <c r="M40" s="8">
        <f>IFERROR(L40/L148, "NA")</f>
        <v>2.7415588715268488E-2</v>
      </c>
      <c r="N40" s="7">
        <v>4051.3499999999995</v>
      </c>
      <c r="O40" s="8">
        <f>IFERROR(N40/N148, "NA")</f>
        <v>3.1666015319681093E-2</v>
      </c>
      <c r="P40" s="7">
        <v>3126.81</v>
      </c>
      <c r="Q40" s="8">
        <f>IFERROR(P40/P148, "NA")</f>
        <v>2.5036778756631805E-2</v>
      </c>
      <c r="R40" s="7">
        <v>3302.5099999999998</v>
      </c>
      <c r="S40" s="8">
        <f>IFERROR(R40/R148, "NA")</f>
        <v>2.6013247378420038E-2</v>
      </c>
      <c r="T40" s="7">
        <v>3097.12</v>
      </c>
      <c r="U40" s="8">
        <f>IFERROR(T40/T148, "NA")</f>
        <v>2.5134225930325951E-2</v>
      </c>
      <c r="V40" s="7">
        <v>2971.4100000000003</v>
      </c>
      <c r="W40" s="8">
        <f>IFERROR(V40/V148, "NA")</f>
        <v>2.3274556281798364E-2</v>
      </c>
      <c r="X40" s="7">
        <v>2980.56</v>
      </c>
      <c r="Y40" s="8">
        <f>IFERROR(X40/X148, "NA")</f>
        <v>2.6976345194691435E-2</v>
      </c>
      <c r="Z40" s="7">
        <v>9049.09</v>
      </c>
      <c r="AA40" s="8">
        <f>IFERROR(Z40/Z148, "NA")</f>
        <v>2.5040452006517482E-2</v>
      </c>
      <c r="AB40" s="9">
        <f t="shared" si="12"/>
        <v>3087.8999999999996</v>
      </c>
      <c r="AC40" s="8">
        <f>IFERROR(AB40/AB148, "NA")</f>
        <v>2.5293355186418693E-2</v>
      </c>
      <c r="AD40" s="10">
        <f t="shared" si="13"/>
        <v>-107.33999999999969</v>
      </c>
      <c r="AE40" s="11">
        <f>IFERROR(AD40/AD148, "NA")</f>
        <v>9.2570094314299474E-3</v>
      </c>
      <c r="AF40" s="10">
        <f t="shared" si="14"/>
        <v>-3.4761488390167981E-2</v>
      </c>
      <c r="AG40" s="9">
        <f t="shared" si="15"/>
        <v>3274.53125</v>
      </c>
      <c r="AH40" s="8">
        <f>IFERROR(AG40/AG148, "NA")</f>
        <v>2.6232676169475413E-2</v>
      </c>
      <c r="AI40" s="10">
        <f t="shared" si="16"/>
        <v>-293.97125000000005</v>
      </c>
      <c r="AJ40" s="11">
        <f>IFERROR(AI40/AI148, "NA")</f>
        <v>2.0502206730926006E-2</v>
      </c>
      <c r="AK40" s="10">
        <f t="shared" si="17"/>
        <v>-8.9775063224698207E-2</v>
      </c>
      <c r="AL40" s="11">
        <f>IFERROR(AK40/AK148, "NA")</f>
        <v>0.78155223654926087</v>
      </c>
    </row>
    <row r="41" spans="1:38" ht="16.5" customHeight="1">
      <c r="A41" s="25" t="s">
        <v>56</v>
      </c>
      <c r="B41" s="7">
        <v>878.40000000000009</v>
      </c>
      <c r="C41" s="8">
        <f>IFERROR(B41/B148, "NA")</f>
        <v>5.8680298523994092E-3</v>
      </c>
      <c r="D41" s="7">
        <v>1440.48</v>
      </c>
      <c r="E41" s="8">
        <f>IFERROR(D41/D148, "NA")</f>
        <v>1.1701961643191067E-2</v>
      </c>
      <c r="F41" s="7">
        <v>1895.9699999999998</v>
      </c>
      <c r="G41" s="8">
        <f>IFERROR(F41/F148, "NA")</f>
        <v>1.1277489762363589E-2</v>
      </c>
      <c r="H41" s="7">
        <v>1472.76</v>
      </c>
      <c r="I41" s="8">
        <f>IFERROR(H41/H148, "NA")</f>
        <v>8.8566759910449402E-3</v>
      </c>
      <c r="J41" s="7">
        <v>2233.42</v>
      </c>
      <c r="K41" s="8">
        <f>IFERROR(J41/J148, "NA")</f>
        <v>1.5500045492024876E-2</v>
      </c>
      <c r="L41" s="7">
        <v>1334.04</v>
      </c>
      <c r="M41" s="8">
        <f>IFERROR(L41/L148, "NA")</f>
        <v>1.1768403700954951E-2</v>
      </c>
      <c r="N41" s="7">
        <v>687.32</v>
      </c>
      <c r="O41" s="8">
        <f>IFERROR(N41/N148, "NA")</f>
        <v>5.3722057214319217E-3</v>
      </c>
      <c r="P41" s="7">
        <v>1435.9599999999998</v>
      </c>
      <c r="Q41" s="8">
        <f>IFERROR(P41/P148, "NA")</f>
        <v>1.1497920507921174E-2</v>
      </c>
      <c r="R41" s="7">
        <v>1558.5499999999997</v>
      </c>
      <c r="S41" s="8">
        <f>IFERROR(R41/R148, "NA")</f>
        <v>1.2276403917516237E-2</v>
      </c>
      <c r="T41" s="7">
        <v>1711.4</v>
      </c>
      <c r="U41" s="8">
        <f>IFERROR(T41/T148, "NA")</f>
        <v>1.3888617249948287E-2</v>
      </c>
      <c r="V41" s="7">
        <v>1038.08</v>
      </c>
      <c r="W41" s="8">
        <f>IFERROR(V41/V148, "NA")</f>
        <v>8.131106573986505E-3</v>
      </c>
      <c r="X41" s="7">
        <v>1621.8400000000001</v>
      </c>
      <c r="Y41" s="8">
        <f>IFERROR(X41/X148, "NA")</f>
        <v>1.4678891111253712E-2</v>
      </c>
      <c r="Z41" s="7">
        <v>4371.32</v>
      </c>
      <c r="AA41" s="8">
        <f>IFERROR(Z41/Z148, "NA")</f>
        <v>1.2096224997776571E-2</v>
      </c>
      <c r="AB41" s="9">
        <f t="shared" si="12"/>
        <v>1482.4675</v>
      </c>
      <c r="AC41" s="8">
        <f>IFERROR(AB41/AB148, "NA")</f>
        <v>1.214306714266076E-2</v>
      </c>
      <c r="AD41" s="10">
        <f t="shared" si="13"/>
        <v>139.37250000000017</v>
      </c>
      <c r="AE41" s="11">
        <f>IFERROR(AD41/AD148, "NA")</f>
        <v>-1.2019494568492413E-2</v>
      </c>
      <c r="AF41" s="10">
        <f t="shared" si="14"/>
        <v>9.4013865396712012E-2</v>
      </c>
      <c r="AG41" s="9">
        <f t="shared" si="15"/>
        <v>1452.5762499999998</v>
      </c>
      <c r="AH41" s="8">
        <f>IFERROR(AG41/AG148, "NA")</f>
        <v>1.1636768584120537E-2</v>
      </c>
      <c r="AI41" s="10">
        <f t="shared" si="16"/>
        <v>169.2637500000003</v>
      </c>
      <c r="AJ41" s="11">
        <f>IFERROR(AI41/AI148, "NA")</f>
        <v>-1.1804829195207974E-2</v>
      </c>
      <c r="AK41" s="10">
        <f t="shared" si="17"/>
        <v>0.11652658509320961</v>
      </c>
      <c r="AL41" s="11">
        <f>IFERROR(AK41/AK148, "NA")</f>
        <v>-1.0144422061736942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4981.8799999999992</v>
      </c>
      <c r="C44" s="14">
        <f>IFERROR(B44/B148, "NA")</f>
        <v>3.3280761112331012E-2</v>
      </c>
      <c r="D44" s="13">
        <f>IFERROR(D39+D40+D41+D42+D43, "NA")</f>
        <v>5102.8700000000008</v>
      </c>
      <c r="E44" s="14">
        <f>IFERROR(D44/D148, "NA")</f>
        <v>4.1453952161911591E-2</v>
      </c>
      <c r="F44" s="13">
        <f>IFERROR(F39+F40+F41+F42+F43, "NA")</f>
        <v>5838.86</v>
      </c>
      <c r="G44" s="14">
        <f>IFERROR(F44/F148, "NA")</f>
        <v>3.4730340603424247E-2</v>
      </c>
      <c r="H44" s="13">
        <f>IFERROR(H39+H40+H41+H42+H43, "NA")</f>
        <v>5445.66</v>
      </c>
      <c r="I44" s="14">
        <f>IFERROR(H44/H148, "NA")</f>
        <v>3.2748340651154152E-2</v>
      </c>
      <c r="J44" s="13">
        <f>IFERROR(J39+J40+J41+J42+J43, "NA")</f>
        <v>5792.14</v>
      </c>
      <c r="K44" s="14">
        <f>IFERROR(J44/J148, "NA")</f>
        <v>4.0197738668130929E-2</v>
      </c>
      <c r="L44" s="13">
        <f>IFERROR(L39+L40+L41+L42+L43, "NA")</f>
        <v>4441.8100000000004</v>
      </c>
      <c r="M44" s="14">
        <f>IFERROR(L44/L148, "NA")</f>
        <v>3.9183992416223438E-2</v>
      </c>
      <c r="N44" s="13">
        <f>IFERROR(N39+N40+N41+N42+N43, "NA")</f>
        <v>4738.6699999999992</v>
      </c>
      <c r="O44" s="14">
        <f>IFERROR(N44/N148, "NA")</f>
        <v>3.7038221041113012E-2</v>
      </c>
      <c r="P44" s="13">
        <f>IFERROR(P39+P40+P41+P42+P43, "NA")</f>
        <v>4562.7699999999995</v>
      </c>
      <c r="Q44" s="14">
        <f>IFERROR(P44/P148, "NA")</f>
        <v>3.6534699264552981E-2</v>
      </c>
      <c r="R44" s="13">
        <f>IFERROR(R39+R40+R41+R42+R43, "NA")</f>
        <v>4861.0599999999995</v>
      </c>
      <c r="S44" s="14">
        <f>IFERROR(R44/R148, "NA")</f>
        <v>3.8289651295936276E-2</v>
      </c>
      <c r="T44" s="13">
        <f>IFERROR(T39+T40+T41+T42+T43, "NA")</f>
        <v>4808.5200000000004</v>
      </c>
      <c r="U44" s="14">
        <f>IFERROR(T44/T148, "NA")</f>
        <v>3.9022843180274241E-2</v>
      </c>
      <c r="V44" s="13">
        <f>IFERROR(V39+V40+V41+V42+V43, "NA")</f>
        <v>4009.4900000000002</v>
      </c>
      <c r="W44" s="14">
        <f>IFERROR(V44/V148, "NA")</f>
        <v>3.1405662855784867E-2</v>
      </c>
      <c r="X44" s="13">
        <f>IFERROR(X39+X40+X41+X42+X43, "NA")</f>
        <v>4602.3999999999996</v>
      </c>
      <c r="Y44" s="14">
        <f>IFERROR(X44/X148, "NA")</f>
        <v>4.1655236305945142E-2</v>
      </c>
      <c r="Z44" s="13">
        <f>IFERROR(Z39+Z40+Z41+Z42+Z43, "NA")</f>
        <v>13420.41</v>
      </c>
      <c r="AA44" s="14">
        <f>IFERROR(Z44/Z148, "NA")</f>
        <v>3.7136677004294051E-2</v>
      </c>
      <c r="AB44" s="13">
        <f t="shared" si="12"/>
        <v>4570.3675000000003</v>
      </c>
      <c r="AC44" s="14">
        <f>IFERROR(AB44/AB148, "NA")</f>
        <v>3.7436422329079462E-2</v>
      </c>
      <c r="AD44" s="15">
        <f t="shared" si="13"/>
        <v>32.032499999999345</v>
      </c>
      <c r="AE44" s="16">
        <f>IFERROR(AD44/AD148, "NA")</f>
        <v>-2.7624851370623683E-3</v>
      </c>
      <c r="AF44" s="15">
        <f t="shared" si="14"/>
        <v>7.0087361683714372E-3</v>
      </c>
      <c r="AG44" s="13">
        <f t="shared" si="15"/>
        <v>4727.1075000000001</v>
      </c>
      <c r="AH44" s="14">
        <f>IFERROR(AG44/AG148, "NA")</f>
        <v>3.7869444753595952E-2</v>
      </c>
      <c r="AI44" s="15">
        <f t="shared" si="16"/>
        <v>-124.70750000000044</v>
      </c>
      <c r="AJ44" s="16">
        <f>IFERROR(AI44/AI148, "NA")</f>
        <v>8.6973775357180785E-3</v>
      </c>
      <c r="AK44" s="15">
        <f t="shared" si="17"/>
        <v>-2.638135477139042E-2</v>
      </c>
      <c r="AL44" s="16">
        <f>IFERROR(AK44/AK148, "NA")</f>
        <v>0.22966741636454036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272.64</v>
      </c>
      <c r="C47" s="8">
        <f>IFERROR(B47/B148, "NA")</f>
        <v>1.8213338558267015E-3</v>
      </c>
      <c r="D47" s="7">
        <v>291.20000000000005</v>
      </c>
      <c r="E47" s="8">
        <f>IFERROR(D47/D148, "NA")</f>
        <v>2.3656081517947065E-3</v>
      </c>
      <c r="F47" s="7">
        <v>352.73</v>
      </c>
      <c r="G47" s="8">
        <f>IFERROR(F47/F148, "NA")</f>
        <v>2.0980864485611638E-3</v>
      </c>
      <c r="H47" s="7">
        <v>398.49</v>
      </c>
      <c r="I47" s="8">
        <f>IFERROR(H47/H148, "NA")</f>
        <v>2.3963828564542073E-3</v>
      </c>
      <c r="J47" s="7">
        <v>390.62</v>
      </c>
      <c r="K47" s="8">
        <f>IFERROR(J47/J148, "NA")</f>
        <v>2.7109221597795118E-3</v>
      </c>
      <c r="L47" s="7">
        <v>434.28000000000003</v>
      </c>
      <c r="M47" s="8">
        <f>IFERROR(L47/L148, "NA")</f>
        <v>3.8310563095939527E-3</v>
      </c>
      <c r="N47" s="7">
        <v>492.29999999999995</v>
      </c>
      <c r="O47" s="8">
        <f>IFERROR(N47/N148, "NA")</f>
        <v>3.8478974519305922E-3</v>
      </c>
      <c r="P47" s="7">
        <v>424.97999999999996</v>
      </c>
      <c r="Q47" s="8">
        <f>IFERROR(P47/P148, "NA")</f>
        <v>3.4028707327894512E-3</v>
      </c>
      <c r="R47" s="7">
        <v>449.36</v>
      </c>
      <c r="S47" s="8">
        <f>IFERROR(R47/R148, "NA")</f>
        <v>3.539523829440889E-3</v>
      </c>
      <c r="T47" s="7">
        <v>366.85</v>
      </c>
      <c r="U47" s="8">
        <f>IFERROR(T47/T148, "NA")</f>
        <v>2.9771177037183176E-3</v>
      </c>
      <c r="V47" s="7">
        <v>340.22</v>
      </c>
      <c r="W47" s="8">
        <f>IFERROR(V47/V148, "NA")</f>
        <v>2.6648862116616149E-3</v>
      </c>
      <c r="X47" s="7">
        <v>313.95999999999998</v>
      </c>
      <c r="Y47" s="8">
        <f>IFERROR(X47/X148, "NA")</f>
        <v>2.8415778703751384E-3</v>
      </c>
      <c r="Z47" s="7">
        <v>1021.03</v>
      </c>
      <c r="AA47" s="8">
        <f>IFERROR(Z47/Z148, "NA")</f>
        <v>2.8253727957412893E-3</v>
      </c>
      <c r="AB47" s="9">
        <f t="shared" si="18"/>
        <v>367.59750000000003</v>
      </c>
      <c r="AC47" s="8">
        <f>IFERROR(AB47/AB148, "NA")</f>
        <v>3.0110347268822008E-3</v>
      </c>
      <c r="AD47" s="10">
        <f t="shared" si="19"/>
        <v>-53.637500000000045</v>
      </c>
      <c r="AE47" s="11">
        <f>IFERROR(AD47/AD148, "NA")</f>
        <v>4.6257019133438201E-3</v>
      </c>
      <c r="AF47" s="10">
        <f t="shared" si="20"/>
        <v>-0.14591366916260323</v>
      </c>
      <c r="AG47" s="9">
        <f t="shared" si="21"/>
        <v>401.57124999999996</v>
      </c>
      <c r="AH47" s="8">
        <f>IFERROR(AG47/AG148, "NA")</f>
        <v>3.2170371133949179E-3</v>
      </c>
      <c r="AI47" s="10">
        <f t="shared" si="22"/>
        <v>-87.611249999999984</v>
      </c>
      <c r="AJ47" s="11">
        <f>IFERROR(AI47/AI148, "NA")</f>
        <v>6.1102028155979211E-3</v>
      </c>
      <c r="AK47" s="10">
        <f t="shared" si="23"/>
        <v>-0.21817112156310989</v>
      </c>
      <c r="AL47" s="11">
        <f>IFERROR(AK47/AK148, "NA")</f>
        <v>1.8993261812730113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272.64</v>
      </c>
      <c r="C52" s="14">
        <f>IFERROR(B52/B148, "NA")</f>
        <v>1.8213338558267015E-3</v>
      </c>
      <c r="D52" s="13">
        <f>IFERROR(D46+D47+D48+D49+D50+D51, "NA")</f>
        <v>291.20000000000005</v>
      </c>
      <c r="E52" s="14">
        <f>IFERROR(D52/D148, "NA")</f>
        <v>2.3656081517947065E-3</v>
      </c>
      <c r="F52" s="13">
        <f>IFERROR(F46+F47+F48+F49+F50+F51, "NA")</f>
        <v>352.73</v>
      </c>
      <c r="G52" s="14">
        <f>IFERROR(F52/F148, "NA")</f>
        <v>2.0980864485611638E-3</v>
      </c>
      <c r="H52" s="13">
        <f>IFERROR(H46+H47+H48+H49+H50+H51, "NA")</f>
        <v>398.49</v>
      </c>
      <c r="I52" s="14">
        <f>IFERROR(H52/H148, "NA")</f>
        <v>2.3963828564542073E-3</v>
      </c>
      <c r="J52" s="13">
        <f>IFERROR(J46+J47+J48+J49+J50+J51, "NA")</f>
        <v>390.62</v>
      </c>
      <c r="K52" s="14">
        <f>IFERROR(J52/J148, "NA")</f>
        <v>2.7109221597795118E-3</v>
      </c>
      <c r="L52" s="13">
        <f>IFERROR(L46+L47+L48+L49+L50+L51, "NA")</f>
        <v>434.28000000000003</v>
      </c>
      <c r="M52" s="14">
        <f>IFERROR(L52/L148, "NA")</f>
        <v>3.8310563095939527E-3</v>
      </c>
      <c r="N52" s="13">
        <f>IFERROR(N46+N47+N48+N49+N50+N51, "NA")</f>
        <v>492.29999999999995</v>
      </c>
      <c r="O52" s="14">
        <f>IFERROR(N52/N148, "NA")</f>
        <v>3.8478974519305922E-3</v>
      </c>
      <c r="P52" s="13">
        <f>IFERROR(P46+P47+P48+P49+P50+P51, "NA")</f>
        <v>424.97999999999996</v>
      </c>
      <c r="Q52" s="14">
        <f>IFERROR(P52/P148, "NA")</f>
        <v>3.4028707327894512E-3</v>
      </c>
      <c r="R52" s="13">
        <f>IFERROR(R46+R47+R48+R49+R50+R51, "NA")</f>
        <v>449.36</v>
      </c>
      <c r="S52" s="14">
        <f>IFERROR(R52/R148, "NA")</f>
        <v>3.539523829440889E-3</v>
      </c>
      <c r="T52" s="13">
        <f>IFERROR(T46+T47+T48+T49+T50+T51, "NA")</f>
        <v>366.85</v>
      </c>
      <c r="U52" s="14">
        <f>IFERROR(T52/T148, "NA")</f>
        <v>2.9771177037183176E-3</v>
      </c>
      <c r="V52" s="13">
        <f>IFERROR(V46+V47+V48+V49+V50+V51, "NA")</f>
        <v>340.22</v>
      </c>
      <c r="W52" s="14">
        <f>IFERROR(V52/V148, "NA")</f>
        <v>2.6648862116616149E-3</v>
      </c>
      <c r="X52" s="13">
        <f>IFERROR(X46+X47+X48+X49+X50+X51, "NA")</f>
        <v>313.95999999999998</v>
      </c>
      <c r="Y52" s="14">
        <f>IFERROR(X52/X148, "NA")</f>
        <v>2.8415778703751384E-3</v>
      </c>
      <c r="Z52" s="13">
        <f>IFERROR(Z46+Z47+Z48+Z49+Z50+Z51, "NA")</f>
        <v>1021.03</v>
      </c>
      <c r="AA52" s="14">
        <f>IFERROR(Z52/Z148, "NA")</f>
        <v>2.8253727957412893E-3</v>
      </c>
      <c r="AB52" s="13">
        <f t="shared" si="18"/>
        <v>367.59750000000003</v>
      </c>
      <c r="AC52" s="14">
        <f>IFERROR(AB52/AB148, "NA")</f>
        <v>3.0110347268822008E-3</v>
      </c>
      <c r="AD52" s="15">
        <f t="shared" si="19"/>
        <v>-53.637500000000045</v>
      </c>
      <c r="AE52" s="16">
        <f>IFERROR(AD52/AD148, "NA")</f>
        <v>4.6257019133438201E-3</v>
      </c>
      <c r="AF52" s="15">
        <f t="shared" si="20"/>
        <v>-0.14591366916260323</v>
      </c>
      <c r="AG52" s="13">
        <f t="shared" si="21"/>
        <v>401.57124999999996</v>
      </c>
      <c r="AH52" s="14">
        <f>IFERROR(AG52/AG148, "NA")</f>
        <v>3.2170371133949179E-3</v>
      </c>
      <c r="AI52" s="15">
        <f t="shared" si="22"/>
        <v>-87.611249999999984</v>
      </c>
      <c r="AJ52" s="16">
        <f>IFERROR(AI52/AI148, "NA")</f>
        <v>6.1102028155979211E-3</v>
      </c>
      <c r="AK52" s="15">
        <f t="shared" si="23"/>
        <v>-0.21817112156310989</v>
      </c>
      <c r="AL52" s="16">
        <f>IFERROR(AK52/AK148, "NA")</f>
        <v>1.8993261812730113</v>
      </c>
    </row>
    <row r="53" spans="1:38" ht="16.5" customHeight="1">
      <c r="A53" s="23" t="s">
        <v>68</v>
      </c>
      <c r="B53" s="7">
        <v>227.5</v>
      </c>
      <c r="C53" s="8">
        <f>IFERROR(B53/B148, "NA")</f>
        <v>1.5197823217450654E-3</v>
      </c>
      <c r="D53" s="7">
        <v>172.69</v>
      </c>
      <c r="E53" s="8">
        <f>IFERROR(D53/D148, "NA")</f>
        <v>1.4028738727109471E-3</v>
      </c>
      <c r="F53" s="7">
        <v>279.76</v>
      </c>
      <c r="G53" s="8">
        <f>IFERROR(F53/F148, "NA")</f>
        <v>1.6640508741798858E-3</v>
      </c>
      <c r="H53" s="7">
        <v>214.64000000000001</v>
      </c>
      <c r="I53" s="8">
        <f>IFERROR(H53/H148, "NA")</f>
        <v>1.2907717039557607E-3</v>
      </c>
      <c r="J53" s="7">
        <v>296.46000000000004</v>
      </c>
      <c r="K53" s="8">
        <f>IFERROR(J53/J148, "NA")</f>
        <v>2.0574470930526706E-3</v>
      </c>
      <c r="L53" s="7">
        <v>122.15</v>
      </c>
      <c r="M53" s="8">
        <f>IFERROR(L53/L148, "NA")</f>
        <v>1.0775617763122899E-3</v>
      </c>
      <c r="N53" s="7">
        <v>207.34999999999997</v>
      </c>
      <c r="O53" s="8">
        <f>IFERROR(N53/N148, "NA")</f>
        <v>1.6206815694856961E-3</v>
      </c>
      <c r="P53" s="7">
        <v>145.39999999999998</v>
      </c>
      <c r="Q53" s="8">
        <f>IFERROR(P53/P148, "NA")</f>
        <v>1.1642369159668366E-3</v>
      </c>
      <c r="R53" s="7">
        <v>200.7</v>
      </c>
      <c r="S53" s="8">
        <f>IFERROR(R53/R148, "NA")</f>
        <v>1.5808759848869199E-3</v>
      </c>
      <c r="T53" s="7">
        <v>195.33</v>
      </c>
      <c r="U53" s="8">
        <f>IFERROR(T53/T148, "NA")</f>
        <v>1.585172144111487E-3</v>
      </c>
      <c r="V53" s="7">
        <v>196.01000000000002</v>
      </c>
      <c r="W53" s="8">
        <f>IFERROR(V53/V148, "NA")</f>
        <v>1.5353134628998681E-3</v>
      </c>
      <c r="X53" s="7">
        <v>159.20000000000002</v>
      </c>
      <c r="Y53" s="8">
        <f>IFERROR(X53/X148, "NA")</f>
        <v>1.4408816313024658E-3</v>
      </c>
      <c r="Z53" s="7">
        <v>550.54</v>
      </c>
      <c r="AA53" s="8">
        <f>IFERROR(Z53/Z148, "NA")</f>
        <v>1.5234427381834123E-3</v>
      </c>
      <c r="AB53" s="9">
        <f t="shared" si="18"/>
        <v>187.81</v>
      </c>
      <c r="AC53" s="8">
        <f>IFERROR(AB53/AB148, "NA")</f>
        <v>1.5383739880052126E-3</v>
      </c>
      <c r="AD53" s="10">
        <f t="shared" si="19"/>
        <v>-28.609999999999985</v>
      </c>
      <c r="AE53" s="11">
        <f>IFERROR(AD53/AD148, "NA")</f>
        <v>2.4673284873598976E-3</v>
      </c>
      <c r="AF53" s="10">
        <f t="shared" si="20"/>
        <v>-0.15233480645333042</v>
      </c>
      <c r="AG53" s="9">
        <f t="shared" si="21"/>
        <v>190.32499999999999</v>
      </c>
      <c r="AH53" s="8">
        <f>IFERROR(AG53/AG148, "NA")</f>
        <v>1.5247171917981872E-3</v>
      </c>
      <c r="AI53" s="10">
        <f t="shared" si="22"/>
        <v>-31.124999999999972</v>
      </c>
      <c r="AJ53" s="11">
        <f>IFERROR(AI53/AI148, "NA")</f>
        <v>2.1707265064188123E-3</v>
      </c>
      <c r="AK53" s="10">
        <f t="shared" si="23"/>
        <v>-0.16353605674504124</v>
      </c>
      <c r="AL53" s="11">
        <f>IFERROR(AK53/AK148, "NA")</f>
        <v>1.4236912380182116</v>
      </c>
    </row>
    <row r="54" spans="1:38" ht="16.5" customHeight="1">
      <c r="A54" s="23" t="s">
        <v>69</v>
      </c>
      <c r="B54" s="7">
        <v>140</v>
      </c>
      <c r="C54" s="8">
        <f>IFERROR(B54/B148, "NA")</f>
        <v>9.3525065953542475E-4</v>
      </c>
      <c r="D54" s="7">
        <v>146</v>
      </c>
      <c r="E54" s="8">
        <f>IFERROR(D54/D148, "NA")</f>
        <v>1.1860535376443239E-3</v>
      </c>
      <c r="F54" s="7">
        <v>140.81</v>
      </c>
      <c r="G54" s="8">
        <f>IFERROR(F54/F148, "NA")</f>
        <v>8.375572047228686E-4</v>
      </c>
      <c r="H54" s="7">
        <v>130.31</v>
      </c>
      <c r="I54" s="8">
        <f>IFERROR(H54/H148, "NA")</f>
        <v>7.8363986555383513E-4</v>
      </c>
      <c r="J54" s="7">
        <v>130.81</v>
      </c>
      <c r="K54" s="8">
        <f>IFERROR(J54/J148, "NA")</f>
        <v>9.0782788316204485E-4</v>
      </c>
      <c r="L54" s="7">
        <v>132</v>
      </c>
      <c r="M54" s="8">
        <f>IFERROR(L54/L148, "NA")</f>
        <v>1.1644548053477059E-3</v>
      </c>
      <c r="N54" s="7">
        <v>129</v>
      </c>
      <c r="O54" s="8">
        <f>IFERROR(N54/N148, "NA")</f>
        <v>1.0082851336564015E-3</v>
      </c>
      <c r="P54" s="7">
        <v>123</v>
      </c>
      <c r="Q54" s="8">
        <f>IFERROR(P54/P148, "NA")</f>
        <v>9.8487717100358271E-4</v>
      </c>
      <c r="R54" s="7">
        <v>162</v>
      </c>
      <c r="S54" s="8">
        <f>IFERROR(R54/R148, "NA")</f>
        <v>1.2760433958728503E-3</v>
      </c>
      <c r="T54" s="7">
        <v>152</v>
      </c>
      <c r="U54" s="8">
        <f>IFERROR(T54/T148, "NA")</f>
        <v>1.2335338448008293E-3</v>
      </c>
      <c r="V54" s="7">
        <v>147.75</v>
      </c>
      <c r="W54" s="8">
        <f>IFERROR(V54/V148, "NA")</f>
        <v>1.1573009751719579E-3</v>
      </c>
      <c r="X54" s="7">
        <v>135.75</v>
      </c>
      <c r="Y54" s="8">
        <f>IFERROR(X54/X148, "NA")</f>
        <v>1.2286412151338549E-3</v>
      </c>
      <c r="Z54" s="7">
        <v>435.5</v>
      </c>
      <c r="AA54" s="8">
        <f>IFERROR(Z54/Z148, "NA")</f>
        <v>1.2051064636154976E-3</v>
      </c>
      <c r="AB54" s="9">
        <f t="shared" si="18"/>
        <v>149.375</v>
      </c>
      <c r="AC54" s="8">
        <f>IFERROR(AB54/AB148, "NA")</f>
        <v>1.2235483438489889E-3</v>
      </c>
      <c r="AD54" s="10">
        <f t="shared" si="19"/>
        <v>-13.625</v>
      </c>
      <c r="AE54" s="11">
        <f>IFERROR(AD54/AD148, "NA")</f>
        <v>1.1750209940677603E-3</v>
      </c>
      <c r="AF54" s="10">
        <f t="shared" si="20"/>
        <v>-9.1213389121338917E-2</v>
      </c>
      <c r="AG54" s="9">
        <f t="shared" si="21"/>
        <v>139.03874999999999</v>
      </c>
      <c r="AH54" s="8">
        <f>IFERROR(AG54/AG148, "NA")</f>
        <v>1.113856679107475E-3</v>
      </c>
      <c r="AI54" s="10">
        <f t="shared" si="22"/>
        <v>-3.2887499999999932</v>
      </c>
      <c r="AJ54" s="11">
        <f>IFERROR(AI54/AI148, "NA")</f>
        <v>2.2936471640112001E-4</v>
      </c>
      <c r="AK54" s="10">
        <f t="shared" si="23"/>
        <v>-2.3653477897348712E-2</v>
      </c>
      <c r="AL54" s="11">
        <f>IFERROR(AK54/AK148, "NA")</f>
        <v>0.20591941557948748</v>
      </c>
    </row>
    <row r="55" spans="1:38" ht="16.5" customHeight="1">
      <c r="A55" s="23" t="s">
        <v>70</v>
      </c>
      <c r="B55" s="7">
        <v>-823.2299999999999</v>
      </c>
      <c r="C55" s="8">
        <f>IFERROR(B55/B148, "NA")</f>
        <v>-5.4994742889239116E-3</v>
      </c>
      <c r="D55" s="7">
        <v>-1046.73</v>
      </c>
      <c r="E55" s="8">
        <f>IFERROR(D55/D148, "NA")</f>
        <v>-8.5032727360167329E-3</v>
      </c>
      <c r="F55" s="7">
        <v>-969.12000000000012</v>
      </c>
      <c r="G55" s="8">
        <f>IFERROR(F55/F148, "NA")</f>
        <v>-5.7644587617429622E-3</v>
      </c>
      <c r="H55" s="7">
        <v>-850.58999999999992</v>
      </c>
      <c r="I55" s="8">
        <f>IFERROR(H55/H148, "NA")</f>
        <v>-5.1151579559622178E-3</v>
      </c>
      <c r="J55" s="7">
        <v>-934.09999999999991</v>
      </c>
      <c r="K55" s="8">
        <f>IFERROR(J55/J148, "NA")</f>
        <v>-6.4827002955558898E-3</v>
      </c>
      <c r="L55" s="7">
        <v>-1087.01</v>
      </c>
      <c r="M55" s="8">
        <f>IFERROR(L55/L148, "NA")</f>
        <v>-9.5891971057652254E-3</v>
      </c>
      <c r="N55" s="7">
        <v>-1121.99</v>
      </c>
      <c r="O55" s="8">
        <f>IFERROR(N55/N148, "NA")</f>
        <v>-8.769657652024386E-3</v>
      </c>
      <c r="P55" s="7">
        <v>-1670.63</v>
      </c>
      <c r="Q55" s="8">
        <f>IFERROR(P55/P148, "NA")</f>
        <v>-1.3376954050355409E-2</v>
      </c>
      <c r="R55" s="7">
        <v>-1845.62</v>
      </c>
      <c r="S55" s="8">
        <f>IFERROR(R55/R148, "NA")</f>
        <v>-1.4537600075869442E-2</v>
      </c>
      <c r="T55" s="7">
        <v>-1478.68</v>
      </c>
      <c r="U55" s="8">
        <f>IFERROR(T55/T148, "NA")</f>
        <v>-1.200001201072428E-2</v>
      </c>
      <c r="V55" s="7">
        <v>-1539.51</v>
      </c>
      <c r="W55" s="8">
        <f>IFERROR(V55/V148, "NA")</f>
        <v>-1.2058723683837435E-2</v>
      </c>
      <c r="X55" s="7">
        <v>-1475.83</v>
      </c>
      <c r="Y55" s="8">
        <f>IFERROR(X55/X148, "NA")</f>
        <v>-1.3357389057318578E-2</v>
      </c>
      <c r="Z55" s="7">
        <v>-4494.0200000000004</v>
      </c>
      <c r="AA55" s="8">
        <f>IFERROR(Z55/Z148, "NA")</f>
        <v>-1.2435757863644821E-2</v>
      </c>
      <c r="AB55" s="9">
        <f t="shared" si="18"/>
        <v>-1584.91</v>
      </c>
      <c r="AC55" s="8">
        <f>IFERROR(AB55/AB148, "NA")</f>
        <v>-1.2982185811880844E-2</v>
      </c>
      <c r="AD55" s="10">
        <f t="shared" si="19"/>
        <v>109.08000000000015</v>
      </c>
      <c r="AE55" s="11">
        <f>IFERROR(AD55/AD148, "NA")</f>
        <v>-9.4070671583788238E-3</v>
      </c>
      <c r="AF55" s="10">
        <f t="shared" si="20"/>
        <v>-6.8824097267352821E-2</v>
      </c>
      <c r="AG55" s="9">
        <f t="shared" si="21"/>
        <v>-1394.1712499999999</v>
      </c>
      <c r="AH55" s="8">
        <f>IFERROR(AG55/AG148, "NA")</f>
        <v>-1.1168878881837742E-2</v>
      </c>
      <c r="AI55" s="10">
        <f t="shared" si="22"/>
        <v>-81.658750000000055</v>
      </c>
      <c r="AJ55" s="11">
        <f>IFERROR(AI55/AI148, "NA")</f>
        <v>5.6950622684667452E-3</v>
      </c>
      <c r="AK55" s="10">
        <f t="shared" si="23"/>
        <v>5.8571534881385667E-2</v>
      </c>
      <c r="AL55" s="11">
        <f>IFERROR(AK55/AK148, "NA")</f>
        <v>-0.50990455968931347</v>
      </c>
    </row>
    <row r="56" spans="1:38" ht="16.5" customHeight="1">
      <c r="A56" s="27" t="s">
        <v>71</v>
      </c>
      <c r="B56" s="13">
        <f>IFERROR(B37+B39+B40+B41+B42+B43+B46+B47+B48+B49+B50+B51+B53+B54+B55, "NA")</f>
        <v>4798.79</v>
      </c>
      <c r="C56" s="14">
        <f>IFERROR(B56/B148, "NA")</f>
        <v>3.2057653660514294E-2</v>
      </c>
      <c r="D56" s="13">
        <f>IFERROR(D37+D39+D40+D41+D42+D43+D46+D47+D48+D49+D50+D51+D53+D54+D55, "NA")</f>
        <v>4666.0300000000007</v>
      </c>
      <c r="E56" s="14">
        <f>IFERROR(D56/D148, "NA")</f>
        <v>3.7905214988044833E-2</v>
      </c>
      <c r="F56" s="13">
        <f>IFERROR(F37+F39+F40+F41+F42+F43+F46+F47+F48+F49+F50+F51+F53+F54+F55, "NA")</f>
        <v>5643.0400000000009</v>
      </c>
      <c r="G56" s="14">
        <f>IFERROR(F56/F148, "NA")</f>
        <v>3.3565576369145214E-2</v>
      </c>
      <c r="H56" s="13">
        <f>IFERROR(H37+H39+H40+H41+H42+H43+H46+H47+H48+H49+H50+H51+H53+H54+H55, "NA")</f>
        <v>5338.51</v>
      </c>
      <c r="I56" s="14">
        <f>IFERROR(H56/H148, "NA")</f>
        <v>3.2103977121155744E-2</v>
      </c>
      <c r="J56" s="13">
        <f>IFERROR(J37+J39+J40+J41+J42+J43+J46+J47+J48+J49+J50+J51+J53+J54+J55, "NA")</f>
        <v>5675.93</v>
      </c>
      <c r="K56" s="14">
        <f>IFERROR(J56/J148, "NA")</f>
        <v>3.939123550856926E-2</v>
      </c>
      <c r="L56" s="13">
        <f>IFERROR(L37+L39+L40+L41+L42+L43+L46+L47+L48+L49+L50+L51+L53+L54+L55, "NA")</f>
        <v>4043.2299999999996</v>
      </c>
      <c r="M56" s="14">
        <f>IFERROR(L56/L148, "NA")</f>
        <v>3.5667868201712152E-2</v>
      </c>
      <c r="N56" s="13">
        <f>IFERROR(N37+N39+N40+N41+N42+N43+N46+N47+N48+N49+N50+N51+N53+N54+N55, "NA")</f>
        <v>4445.33</v>
      </c>
      <c r="O56" s="14">
        <f>IFERROR(N56/N148, "NA")</f>
        <v>3.4745427544161323E-2</v>
      </c>
      <c r="P56" s="13">
        <f>IFERROR(P37+P39+P40+P41+P42+P43+P46+P47+P48+P49+P50+P51+P53+P54+P55, "NA")</f>
        <v>3585.5199999999986</v>
      </c>
      <c r="Q56" s="14">
        <f>IFERROR(P56/P148, "NA")</f>
        <v>2.8709730033957433E-2</v>
      </c>
      <c r="R56" s="13">
        <f>IFERROR(R37+R39+R40+R41+R42+R43+R46+R47+R48+R49+R50+R51+R53+R54+R55, "NA")</f>
        <v>3827.4999999999991</v>
      </c>
      <c r="S56" s="14">
        <f>IFERROR(R56/R148, "NA")</f>
        <v>3.014849443026749E-2</v>
      </c>
      <c r="T56" s="13">
        <f>IFERROR(T37+T39+T40+T41+T42+T43+T46+T47+T48+T49+T50+T51+T53+T54+T55, "NA")</f>
        <v>4044.0200000000004</v>
      </c>
      <c r="U56" s="14">
        <f>IFERROR(T56/T148, "NA")</f>
        <v>3.2818654862180593E-2</v>
      </c>
      <c r="V56" s="13">
        <f>IFERROR(V37+V39+V40+V41+V42+V43+V46+V47+V48+V49+V50+V51+V53+V54+V55, "NA")</f>
        <v>3153.96</v>
      </c>
      <c r="W56" s="14">
        <f>IFERROR(V56/V148, "NA")</f>
        <v>2.4704439821680871E-2</v>
      </c>
      <c r="X56" s="13">
        <f>IFERROR(X37+X39+X40+X41+X42+X43+X46+X47+X48+X49+X50+X51+X53+X54+X55, "NA")</f>
        <v>3735.4799999999996</v>
      </c>
      <c r="Y56" s="14">
        <f>IFERROR(X56/X148, "NA")</f>
        <v>3.380894796543802E-2</v>
      </c>
      <c r="Z56" s="13">
        <f>IFERROR(Z37+Z39+Z40+Z41+Z42+Z43+Z46+Z47+Z48+Z49+Z50+Z51+Z53+Z54+Z55, "NA")</f>
        <v>10933.46</v>
      </c>
      <c r="AA56" s="14">
        <f>IFERROR(Z56/Z148, "NA")</f>
        <v>3.0254841138189433E-2</v>
      </c>
      <c r="AB56" s="13">
        <f t="shared" si="18"/>
        <v>3690.24</v>
      </c>
      <c r="AC56" s="14">
        <f>IFERROR(AB56/AB148, "NA")</f>
        <v>3.0227193575935014E-2</v>
      </c>
      <c r="AD56" s="15">
        <f t="shared" si="19"/>
        <v>45.239999999999782</v>
      </c>
      <c r="AE56" s="16">
        <f>IFERROR(AD56/AD148, "NA")</f>
        <v>-3.9015009006697411E-3</v>
      </c>
      <c r="AF56" s="15">
        <f t="shared" si="20"/>
        <v>1.2259365244536882E-2</v>
      </c>
      <c r="AG56" s="13">
        <f t="shared" si="21"/>
        <v>4063.8712499999997</v>
      </c>
      <c r="AH56" s="14">
        <f>IFERROR(AG56/AG148, "NA")</f>
        <v>3.2556176856058786E-2</v>
      </c>
      <c r="AI56" s="15">
        <f t="shared" si="22"/>
        <v>-328.39125000000013</v>
      </c>
      <c r="AJ56" s="16">
        <f>IFERROR(AI56/AI148, "NA")</f>
        <v>2.2902733842602656E-2</v>
      </c>
      <c r="AK56" s="15">
        <f t="shared" si="23"/>
        <v>-8.0807493593700874E-2</v>
      </c>
      <c r="AL56" s="16">
        <f>IFERROR(AK56/AK148, "NA")</f>
        <v>0.70348351846910429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38067.210000000006</v>
      </c>
      <c r="C57" s="29">
        <f>IFERROR(B57/B148, "NA")</f>
        <v>0.25430273756552518</v>
      </c>
      <c r="D57" s="28">
        <f>IFERROR(D13+D15+D16+D17+D18+D19+D20+D21+D22+D23+D24+D25+D26+D29+D30+D31+D32+D33+D37+D39+D40+D41+D42+D43+D46+D47+D48+D49+D50+D51+D53+D54+D55, "NA")</f>
        <v>31910.599999999995</v>
      </c>
      <c r="E57" s="29">
        <f>IFERROR(D57/D148, "NA")</f>
        <v>0.25923068505721203</v>
      </c>
      <c r="F57" s="28">
        <f>IFERROR(F13+F15+F16+F17+F18+F19+F20+F21+F22+F23+F24+F25+F26+F29+F30+F31+F32+F33+F37+F39+F40+F41+F42+F43+F46+F47+F48+F49+F50+F51+F53+F54+F55, "NA")</f>
        <v>41076.679999999993</v>
      </c>
      <c r="G57" s="29">
        <f>IFERROR(F57/F148, "NA")</f>
        <v>0.24432972999144775</v>
      </c>
      <c r="H57" s="28">
        <f>IFERROR(H13+H15+H16+H17+H18+H19+H20+H21+H22+H23+H24+H25+H26+H29+H30+H31+H32+H33+H37+H39+H40+H41+H42+H43+H46+H47+H48+H49+H50+H51+H53+H54+H55, "NA")</f>
        <v>39727.44000000001</v>
      </c>
      <c r="I57" s="29">
        <f>IFERROR(H57/H148, "NA")</f>
        <v>0.23890726529351591</v>
      </c>
      <c r="J57" s="28">
        <f>IFERROR(J13+J15+J16+J17+J18+J19+J20+J21+J22+J23+J24+J25+J26+J29+J30+J31+J32+J33+J37+J39+J40+J41+J42+J43+J46+J47+J48+J49+J50+J51+J53+J54+J55, "NA")</f>
        <v>34257.360000000001</v>
      </c>
      <c r="K57" s="29">
        <f>IFERROR(J57/J148, "NA")</f>
        <v>0.23774777625196933</v>
      </c>
      <c r="L57" s="28">
        <f>IFERROR(L13+L15+L16+L17+L18+L19+L20+L21+L22+L23+L24+L25+L26+L29+L30+L31+L32+L33+L37+L39+L40+L41+L42+L43+L46+L47+L48+L49+L50+L51+L53+L54+L55, "NA")</f>
        <v>30707.340000000007</v>
      </c>
      <c r="M57" s="29">
        <f>IFERROR(L57/L148, "NA")</f>
        <v>0.27088870926095326</v>
      </c>
      <c r="N57" s="28">
        <f>IFERROR(N13+N15+N16+N17+N18+N19+N20+N21+N22+N23+N24+N25+N26+N29+N30+N31+N32+N33+N37+N39+N40+N41+N42+N43+N46+N47+N48+N49+N50+N51+N53+N54+N55, "NA")</f>
        <v>32594.799999999999</v>
      </c>
      <c r="O57" s="29">
        <f>IFERROR(N57/N148, "NA")</f>
        <v>0.25476629670157885</v>
      </c>
      <c r="P57" s="28">
        <f>IFERROR(P13+P15+P16+P17+P18+P19+P20+P21+P22+P23+P24+P25+P26+P29+P30+P31+P32+P33+P37+P39+P40+P41+P42+P43+P46+P47+P48+P49+P50+P51+P53+P54+P55, "NA")</f>
        <v>30699.03</v>
      </c>
      <c r="Q57" s="29">
        <f>IFERROR(P57/P148, "NA")</f>
        <v>0.24581116925978952</v>
      </c>
      <c r="R57" s="28">
        <f>IFERROR(R13+R15+R16+R17+R18+R19+R20+R21+R22+R23+R24+R25+R26+R29+R30+R31+R32+R33+R37+R39+R40+R41+R42+R43+R46+R47+R48+R49+R50+R51+R53+R54+R55, "NA")</f>
        <v>31111.319999999996</v>
      </c>
      <c r="S57" s="29">
        <f>IFERROR(R57/R148, "NA")</f>
        <v>0.24505799026473407</v>
      </c>
      <c r="T57" s="28">
        <f>IFERROR(T13+T15+T16+T17+T18+T19+T20+T21+T22+T23+T24+T25+T26+T29+T30+T31+T32+T33+T37+T39+T40+T41+T42+T43+T46+T47+T48+T49+T50+T51+T53+T54+T55, "NA")</f>
        <v>28983.209999999995</v>
      </c>
      <c r="U57" s="29">
        <f>IFERROR(T57/T148, "NA")</f>
        <v>0.23520901622348581</v>
      </c>
      <c r="V57" s="28">
        <f>IFERROR(V13+V15+V16+V17+V18+V19+V20+V21+V22+V23+V24+V25+V26+V29+V30+V31+V32+V33+V37+V39+V40+V41+V42+V43+V46+V47+V48+V49+V50+V51+V53+V54+V55, "NA")</f>
        <v>29321.440000000002</v>
      </c>
      <c r="W57" s="29">
        <f>IFERROR(V57/V148, "NA")</f>
        <v>0.22966992287949956</v>
      </c>
      <c r="X57" s="28">
        <f>IFERROR(X13+X15+X16+X17+X18+X19+X20+X21+X22+X23+X24+X25+X26+X29+X30+X31+X32+X33+X37+X39+X40+X41+X42+X43+X46+X47+X48+X49+X50+X51+X53+X54+X55, "NA")</f>
        <v>28566.33</v>
      </c>
      <c r="Y57" s="29">
        <f>IFERROR(X57/X148, "NA")</f>
        <v>0.25854711162515431</v>
      </c>
      <c r="Z57" s="28">
        <f>IFERROR(Z13+Z15+Z16+Z17+Z18+Z19+Z20+Z21+Z22+Z23+Z24+Z25+Z26+Z29+Z30+Z31+Z32+Z33+Z37+Z39+Z40+Z41+Z42+Z43+Z46+Z47+Z48+Z49+Z50+Z51+Z53+Z54+Z55, "NA")</f>
        <v>86870.979999999981</v>
      </c>
      <c r="AA57" s="29">
        <f>IFERROR(Z57/Z148, "NA")</f>
        <v>0.24038755338372583</v>
      </c>
      <c r="AB57" s="28">
        <f t="shared" si="18"/>
        <v>29495.575000000001</v>
      </c>
      <c r="AC57" s="29">
        <f>IFERROR(AB57/AB148, "NA")</f>
        <v>0.2416017535874386</v>
      </c>
      <c r="AD57" s="30">
        <f t="shared" si="19"/>
        <v>-929.24499999999898</v>
      </c>
      <c r="AE57" s="31">
        <f>IFERROR(AD57/AD148, "NA")</f>
        <v>8.0138156596880353E-2</v>
      </c>
      <c r="AF57" s="30">
        <f t="shared" si="20"/>
        <v>-3.150455619190333E-2</v>
      </c>
      <c r="AG57" s="28">
        <f t="shared" si="21"/>
        <v>30780.103750000002</v>
      </c>
      <c r="AH57" s="29">
        <f>IFERROR(AG57/AG148, "NA")</f>
        <v>0.24658323054226641</v>
      </c>
      <c r="AI57" s="30">
        <f t="shared" si="22"/>
        <v>-2213.7737500000003</v>
      </c>
      <c r="AJ57" s="31">
        <f>IFERROR(AI57/AI148, "NA")</f>
        <v>0.15439348942455189</v>
      </c>
      <c r="AK57" s="30">
        <f t="shared" si="23"/>
        <v>-7.1922231581171989E-2</v>
      </c>
      <c r="AL57" s="31">
        <f>IFERROR(AK57/AK148, "NA")</f>
        <v>0.62613134350224031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111625.28000000004</v>
      </c>
      <c r="C59" s="34">
        <f>IFERROR(B59/B148, "NA")</f>
        <v>0.74569726243447498</v>
      </c>
      <c r="D59" s="33">
        <f>IFERROR(D9-D57, "NA")</f>
        <v>91186.710000000036</v>
      </c>
      <c r="E59" s="34">
        <f>IFERROR(D59/D148, "NA")</f>
        <v>0.74076931494278819</v>
      </c>
      <c r="F59" s="33">
        <f>IFERROR(F9-F57, "NA")</f>
        <v>127043.17999999996</v>
      </c>
      <c r="G59" s="34">
        <f>IFERROR(F59/F148, "NA")</f>
        <v>0.75567027000855203</v>
      </c>
      <c r="H59" s="33">
        <f>IFERROR(H9-H57, "NA")</f>
        <v>126560.67999999993</v>
      </c>
      <c r="I59" s="34">
        <f>IFERROR(H59/H148, "NA")</f>
        <v>0.76109273470648375</v>
      </c>
      <c r="J59" s="33">
        <f>IFERROR(J9-J57, "NA")</f>
        <v>109833.83000000009</v>
      </c>
      <c r="K59" s="34">
        <f>IFERROR(J59/J148, "NA")</f>
        <v>0.76225222374803125</v>
      </c>
      <c r="L59" s="33">
        <f>IFERROR(L9-L57, "NA")</f>
        <v>82650.430000000022</v>
      </c>
      <c r="M59" s="34">
        <f>IFERROR(L59/L148, "NA")</f>
        <v>0.72911129073904712</v>
      </c>
      <c r="N59" s="33">
        <f>IFERROR(N9-N57, "NA")</f>
        <v>95345.199999999953</v>
      </c>
      <c r="O59" s="34">
        <f>IFERROR(N59/N148, "NA")</f>
        <v>0.74523370329842076</v>
      </c>
      <c r="P59" s="33">
        <f>IFERROR(P9-P57, "NA")</f>
        <v>94189.640000000043</v>
      </c>
      <c r="Q59" s="34">
        <f>IFERROR(P59/P148, "NA")</f>
        <v>0.75418883074021081</v>
      </c>
      <c r="R59" s="33">
        <f>IFERROR(R9-R57, "NA")</f>
        <v>95843.609999999986</v>
      </c>
      <c r="S59" s="34">
        <f>IFERROR(R59/R148, "NA")</f>
        <v>0.75494200973526571</v>
      </c>
      <c r="T59" s="33">
        <f>IFERROR(T9-T57, "NA")</f>
        <v>94240.000000000029</v>
      </c>
      <c r="U59" s="34">
        <f>IFERROR(T59/T148, "NA")</f>
        <v>0.76479098377651444</v>
      </c>
      <c r="V59" s="33">
        <f>IFERROR(V9-V57, "NA")</f>
        <v>98346.3</v>
      </c>
      <c r="W59" s="34">
        <f>IFERROR(V59/V148, "NA")</f>
        <v>0.77033007712050039</v>
      </c>
      <c r="X59" s="33">
        <f>IFERROR(X9-X57, "NA")</f>
        <v>81921.579999999987</v>
      </c>
      <c r="Y59" s="34">
        <f>IFERROR(X59/X148, "NA")</f>
        <v>0.74145288837484558</v>
      </c>
      <c r="Z59" s="33">
        <f>IFERROR(Z9-Z57, "NA")</f>
        <v>274507.88000000006</v>
      </c>
      <c r="AA59" s="34">
        <f>IFERROR(Z59/Z148, "NA")</f>
        <v>0.75961244661627436</v>
      </c>
      <c r="AB59" s="33">
        <f>IFERROR((R59+T59+V59+X59)/4, "NA")</f>
        <v>92587.872499999998</v>
      </c>
      <c r="AC59" s="34">
        <f>IFERROR(AB59/AB148, "NA")</f>
        <v>0.75839824641256126</v>
      </c>
      <c r="AD59" s="15">
        <f>IFERROR(X59-AB59, "NA")</f>
        <v>-10666.29250000001</v>
      </c>
      <c r="AE59" s="16">
        <f>IFERROR(AD59/AD148, "NA")</f>
        <v>0.91986184340311994</v>
      </c>
      <c r="AF59" s="15">
        <f>IFERROR((X59-AB59)/AB59, "NA")</f>
        <v>-0.11520183164377182</v>
      </c>
      <c r="AG59" s="33">
        <f>IFERROR((J59+L59+N59+P59+R59+T59+V59+X59)/8, "NA")</f>
        <v>94046.32375000001</v>
      </c>
      <c r="AH59" s="34">
        <f>IFERROR(AG59/AG148, "NA")</f>
        <v>0.75341676945773373</v>
      </c>
      <c r="AI59" s="15">
        <f>IFERROR(X59-AG59, "NA")</f>
        <v>-12124.743750000023</v>
      </c>
      <c r="AJ59" s="16">
        <f>IFERROR(AI59/AI148, "NA")</f>
        <v>0.84560651057545067</v>
      </c>
      <c r="AK59" s="15">
        <f>IFERROR((X59-AG59)/AG59, "NA")</f>
        <v>-0.12892310157950243</v>
      </c>
      <c r="AL59" s="16">
        <f>IFERROR(AK59/AK148, "NA")</f>
        <v>1.122362210206802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6688.85</v>
      </c>
      <c r="C66" s="8">
        <f>IFERROR(B66/B148, "NA")</f>
        <v>4.4683938385953761E-2</v>
      </c>
      <c r="D66" s="7">
        <v>6688.85</v>
      </c>
      <c r="E66" s="8">
        <f>IFERROR(D66/D148, "NA")</f>
        <v>5.4337905515563258E-2</v>
      </c>
      <c r="F66" s="7">
        <v>6688.85</v>
      </c>
      <c r="G66" s="8">
        <f>IFERROR(F66/F148, "NA")</f>
        <v>3.9786197775801148E-2</v>
      </c>
      <c r="H66" s="7">
        <v>6688.85</v>
      </c>
      <c r="I66" s="8">
        <f>IFERROR(H66/H148, "NA")</f>
        <v>4.0224461013811455E-2</v>
      </c>
      <c r="J66" s="7">
        <v>6688.85</v>
      </c>
      <c r="K66" s="8">
        <f>IFERROR(J66/J148, "NA")</f>
        <v>4.642095051057598E-2</v>
      </c>
      <c r="L66" s="7">
        <v>6688.85</v>
      </c>
      <c r="M66" s="8">
        <f>IFERROR(L66/L148, "NA")</f>
        <v>5.9006541854166691E-2</v>
      </c>
      <c r="N66" s="7">
        <v>6688.85</v>
      </c>
      <c r="O66" s="8">
        <f>IFERROR(N66/N148, "NA")</f>
        <v>5.2281147412849775E-2</v>
      </c>
      <c r="P66" s="7">
        <v>6688.85</v>
      </c>
      <c r="Q66" s="8">
        <f>IFERROR(P66/P148, "NA")</f>
        <v>5.3558501343636697E-2</v>
      </c>
      <c r="R66" s="7">
        <v>6688.85</v>
      </c>
      <c r="S66" s="8">
        <f>IFERROR(R66/R148, "NA")</f>
        <v>5.2686807830148855E-2</v>
      </c>
      <c r="T66" s="7">
        <v>6688.85</v>
      </c>
      <c r="U66" s="8">
        <f>IFERROR(T66/T148, "NA")</f>
        <v>5.4282387222342292E-2</v>
      </c>
      <c r="V66" s="7">
        <v>6688.85</v>
      </c>
      <c r="W66" s="8">
        <f>IFERROR(V66/V148, "NA")</f>
        <v>5.2392640458740793E-2</v>
      </c>
      <c r="X66" s="7">
        <v>6688.85</v>
      </c>
      <c r="Y66" s="8">
        <f>IFERROR(X66/X148, "NA")</f>
        <v>6.0539202886542069E-2</v>
      </c>
      <c r="Z66" s="7">
        <v>20066.549999999996</v>
      </c>
      <c r="AA66" s="8">
        <f>IFERROR(Z66/Z148, "NA")</f>
        <v>5.5527736182465121E-2</v>
      </c>
      <c r="AB66" s="9">
        <f t="shared" si="24"/>
        <v>6688.85</v>
      </c>
      <c r="AC66" s="8">
        <f>IFERROR(AB66/AB148, "NA")</f>
        <v>5.478916378078199E-2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6688.8499999999995</v>
      </c>
      <c r="AH66" s="8">
        <f>IFERROR(AG66/AG148, "NA")</f>
        <v>5.3585207347218201E-2</v>
      </c>
      <c r="AI66" s="10">
        <f t="shared" si="28"/>
        <v>9.0949470177292824E-13</v>
      </c>
      <c r="AJ66" s="11">
        <f>IFERROR(AI66/AI148, "NA")</f>
        <v>-6.3430176918424729E-17</v>
      </c>
      <c r="AK66" s="10">
        <f t="shared" si="29"/>
        <v>1.3597175923707787E-16</v>
      </c>
      <c r="AL66" s="11">
        <f>IFERROR(AK66/AK148, "NA")</f>
        <v>-1.1837255104270418E-15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23048.149999999998</v>
      </c>
      <c r="C68" s="8">
        <f>IFERROR(B68/B148, "NA")</f>
        <v>0.15396998206122428</v>
      </c>
      <c r="D68" s="7">
        <v>21093.800000000003</v>
      </c>
      <c r="E68" s="8">
        <f>IFERROR(D68/D148, "NA")</f>
        <v>0.17135874049562905</v>
      </c>
      <c r="F68" s="7">
        <v>25554.46</v>
      </c>
      <c r="G68" s="8">
        <f>IFERROR(F68/F148, "NA")</f>
        <v>0.15200143516655321</v>
      </c>
      <c r="H68" s="7">
        <v>27418.480000000003</v>
      </c>
      <c r="I68" s="8">
        <f>IFERROR(H68/H148, "NA")</f>
        <v>0.16488538086785756</v>
      </c>
      <c r="J68" s="7">
        <v>25611.300000000003</v>
      </c>
      <c r="K68" s="8">
        <f>IFERROR(J68/J148, "NA")</f>
        <v>0.17774369133879733</v>
      </c>
      <c r="L68" s="7">
        <v>22484.54</v>
      </c>
      <c r="M68" s="8">
        <f>IFERROR(L68/L148, "NA")</f>
        <v>0.19835023218964173</v>
      </c>
      <c r="N68" s="7">
        <v>23694.840000000004</v>
      </c>
      <c r="O68" s="8">
        <f>IFERROR(N68/N148, "NA")</f>
        <v>0.18520275128966707</v>
      </c>
      <c r="P68" s="7">
        <v>24595.300000000003</v>
      </c>
      <c r="Q68" s="8">
        <f>IFERROR(P68/P148, "NA")</f>
        <v>0.19693780068280015</v>
      </c>
      <c r="R68" s="7">
        <v>21983.68</v>
      </c>
      <c r="S68" s="8">
        <f>IFERROR(R68/R148, "NA")</f>
        <v>0.17316129432704977</v>
      </c>
      <c r="T68" s="7">
        <v>23061.24</v>
      </c>
      <c r="U68" s="8">
        <f>IFERROR(T68/T148, "NA")</f>
        <v>0.18715013186233342</v>
      </c>
      <c r="V68" s="7">
        <v>23069.690000000002</v>
      </c>
      <c r="W68" s="8">
        <f>IFERROR(V68/V148, "NA")</f>
        <v>0.18070101342751113</v>
      </c>
      <c r="X68" s="7">
        <v>22198.83</v>
      </c>
      <c r="Y68" s="8">
        <f>IFERROR(X68/X148, "NA")</f>
        <v>0.20091637175506352</v>
      </c>
      <c r="Z68" s="7">
        <v>68329.760000000009</v>
      </c>
      <c r="AA68" s="8">
        <f>IFERROR(Z68/Z148, "NA")</f>
        <v>0.18908067837725762</v>
      </c>
      <c r="AB68" s="9">
        <f t="shared" si="24"/>
        <v>22578.36</v>
      </c>
      <c r="AC68" s="8">
        <f>IFERROR(AB68/AB148, "NA")</f>
        <v>0.18494202500302098</v>
      </c>
      <c r="AD68" s="10">
        <f t="shared" si="25"/>
        <v>-379.52999999999884</v>
      </c>
      <c r="AE68" s="11">
        <f>IFERROR(AD68/AD148, "NA")</f>
        <v>3.2730694890167764E-2</v>
      </c>
      <c r="AF68" s="10">
        <f t="shared" si="26"/>
        <v>-1.6809458260033005E-2</v>
      </c>
      <c r="AG68" s="9">
        <f t="shared" si="27"/>
        <v>23337.427499999998</v>
      </c>
      <c r="AH68" s="8">
        <f>IFERROR(AG68/AG148, "NA")</f>
        <v>0.18695902756649829</v>
      </c>
      <c r="AI68" s="10">
        <f t="shared" si="28"/>
        <v>-1138.5974999999962</v>
      </c>
      <c r="AJ68" s="11">
        <f>IFERROR(AI68/AI148, "NA")</f>
        <v>7.940831400456827E-2</v>
      </c>
      <c r="AK68" s="10">
        <f t="shared" si="29"/>
        <v>-4.8788475079354666E-2</v>
      </c>
      <c r="AL68" s="11">
        <f>IFERROR(AK68/AK148, "NA")</f>
        <v>0.42473645182137043</v>
      </c>
    </row>
    <row r="69" spans="1:38" ht="16.5" customHeight="1">
      <c r="A69" s="25" t="s">
        <v>81</v>
      </c>
      <c r="B69" s="7">
        <v>926.77</v>
      </c>
      <c r="C69" s="8">
        <f>IFERROR(B69/B148, "NA")</f>
        <v>6.1911589552688974E-3</v>
      </c>
      <c r="D69" s="7">
        <v>74.06</v>
      </c>
      <c r="E69" s="8">
        <f>IFERROR(D69/D148, "NA")</f>
        <v>6.0163784245163441E-4</v>
      </c>
      <c r="F69" s="7">
        <v>810.69</v>
      </c>
      <c r="G69" s="8">
        <f>IFERROR(F69/F148, "NA")</f>
        <v>4.8220953788564907E-3</v>
      </c>
      <c r="H69" s="7">
        <v>611.21</v>
      </c>
      <c r="I69" s="8">
        <f>IFERROR(H69/H148, "NA")</f>
        <v>3.6756083357007106E-3</v>
      </c>
      <c r="J69" s="7">
        <v>280.23</v>
      </c>
      <c r="K69" s="8">
        <f>IFERROR(J69/J148, "NA")</f>
        <v>1.9448100886667672E-3</v>
      </c>
      <c r="L69" s="7">
        <v>176.77</v>
      </c>
      <c r="M69" s="8">
        <f>IFERROR(L69/L148, "NA")</f>
        <v>1.5593990601614695E-3</v>
      </c>
      <c r="N69" s="7">
        <v>701.38</v>
      </c>
      <c r="O69" s="8">
        <f>IFERROR(N69/N148, "NA")</f>
        <v>5.4821009848366421E-3</v>
      </c>
      <c r="P69" s="7">
        <v>314.83000000000004</v>
      </c>
      <c r="Q69" s="8">
        <f>IFERROR(P69/P148, "NA")</f>
        <v>2.5208852011955932E-3</v>
      </c>
      <c r="R69" s="7">
        <v>250.08</v>
      </c>
      <c r="S69" s="8">
        <f>IFERROR(R69/R148, "NA")</f>
        <v>1.9698329162955706E-3</v>
      </c>
      <c r="T69" s="7">
        <v>303.98</v>
      </c>
      <c r="U69" s="8">
        <f>IFERROR(T69/T148, "NA")</f>
        <v>2.4669053825168165E-3</v>
      </c>
      <c r="V69" s="7">
        <v>506.76</v>
      </c>
      <c r="W69" s="8">
        <f>IFERROR(V69/V148, "NA")</f>
        <v>3.9693661061126328E-3</v>
      </c>
      <c r="X69" s="7">
        <v>446.07000000000005</v>
      </c>
      <c r="Y69" s="8">
        <f>IFERROR(X69/X148, "NA")</f>
        <v>4.0372743044917768E-3</v>
      </c>
      <c r="Z69" s="7">
        <v>1256.81</v>
      </c>
      <c r="AA69" s="8">
        <f>IFERROR(Z69/Z148, "NA")</f>
        <v>3.477818265296426E-3</v>
      </c>
      <c r="AB69" s="9">
        <f t="shared" si="24"/>
        <v>376.72250000000008</v>
      </c>
      <c r="AC69" s="8">
        <f>IFERROR(AB69/AB148, "NA")</f>
        <v>3.085778684288876E-3</v>
      </c>
      <c r="AD69" s="10">
        <f t="shared" si="25"/>
        <v>69.347499999999968</v>
      </c>
      <c r="AE69" s="11">
        <f>IFERROR(AD69/AD148, "NA")</f>
        <v>-5.9805334595313007E-3</v>
      </c>
      <c r="AF69" s="10">
        <f t="shared" si="26"/>
        <v>0.18408112071883137</v>
      </c>
      <c r="AG69" s="9">
        <f t="shared" si="27"/>
        <v>372.51249999999999</v>
      </c>
      <c r="AH69" s="8">
        <f>IFERROR(AG69/AG148, "NA")</f>
        <v>2.9842438613409809E-3</v>
      </c>
      <c r="AI69" s="10">
        <f t="shared" si="28"/>
        <v>73.557500000000061</v>
      </c>
      <c r="AJ69" s="11">
        <f>IFERROR(AI69/AI148, "NA")</f>
        <v>-5.1300631323984592E-3</v>
      </c>
      <c r="AK69" s="10">
        <f t="shared" si="29"/>
        <v>0.19746317237676606</v>
      </c>
      <c r="AL69" s="11">
        <f>IFERROR(AK69/AK148, "NA")</f>
        <v>-1.7190495719385503</v>
      </c>
    </row>
    <row r="70" spans="1:38" ht="16.5" customHeight="1">
      <c r="A70" s="26" t="s">
        <v>82</v>
      </c>
      <c r="B70" s="13">
        <f>IFERROR(B65+B66+B67+B68+B69, "NA")</f>
        <v>30663.77</v>
      </c>
      <c r="C70" s="14">
        <f>IFERROR(B70/B148, "NA")</f>
        <v>0.20484507940244695</v>
      </c>
      <c r="D70" s="13">
        <f>IFERROR(D65+D66+D67+D68+D69, "NA")</f>
        <v>27856.710000000003</v>
      </c>
      <c r="E70" s="14">
        <f>IFERROR(D70/D148, "NA")</f>
        <v>0.22629828385364395</v>
      </c>
      <c r="F70" s="13">
        <f>IFERROR(F65+F66+F67+F68+F69, "NA")</f>
        <v>33054</v>
      </c>
      <c r="G70" s="14">
        <f>IFERROR(F70/F148, "NA")</f>
        <v>0.19660972832121085</v>
      </c>
      <c r="H70" s="13">
        <f>IFERROR(H65+H66+H67+H68+H69, "NA")</f>
        <v>34718.54</v>
      </c>
      <c r="I70" s="14">
        <f>IFERROR(H70/H148, "NA")</f>
        <v>0.20878545021736972</v>
      </c>
      <c r="J70" s="13">
        <f>IFERROR(J65+J66+J67+J68+J69, "NA")</f>
        <v>32580.38</v>
      </c>
      <c r="K70" s="14">
        <f>IFERROR(J70/J148, "NA")</f>
        <v>0.22610945193804008</v>
      </c>
      <c r="L70" s="13">
        <f>IFERROR(L65+L66+L67+L68+L69, "NA")</f>
        <v>29350.16</v>
      </c>
      <c r="M70" s="14">
        <f>IFERROR(L70/L148, "NA")</f>
        <v>0.25891617310396986</v>
      </c>
      <c r="N70" s="13">
        <f>IFERROR(N65+N66+N67+N68+N69, "NA")</f>
        <v>31085.070000000003</v>
      </c>
      <c r="O70" s="14">
        <f>IFERROR(N70/N148, "NA")</f>
        <v>0.24296599968735347</v>
      </c>
      <c r="P70" s="13">
        <f>IFERROR(P65+P66+P67+P68+P69, "NA")</f>
        <v>31598.980000000003</v>
      </c>
      <c r="Q70" s="14">
        <f>IFERROR(P70/P148, "NA")</f>
        <v>0.25301718722763245</v>
      </c>
      <c r="R70" s="13">
        <f>IFERROR(R65+R66+R67+R68+R69, "NA")</f>
        <v>28922.61</v>
      </c>
      <c r="S70" s="14">
        <f>IFERROR(R70/R148, "NA")</f>
        <v>0.22781793507349418</v>
      </c>
      <c r="T70" s="13">
        <f>IFERROR(T65+T66+T67+T68+T69, "NA")</f>
        <v>30054.070000000003</v>
      </c>
      <c r="U70" s="14">
        <f>IFERROR(T70/T148, "NA")</f>
        <v>0.24389942446719254</v>
      </c>
      <c r="V70" s="13">
        <f>IFERROR(V65+V66+V67+V68+V69, "NA")</f>
        <v>30265.3</v>
      </c>
      <c r="W70" s="14">
        <f>IFERROR(V70/V148, "NA")</f>
        <v>0.23706301999236454</v>
      </c>
      <c r="X70" s="13">
        <f>IFERROR(X65+X66+X67+X68+X69, "NA")</f>
        <v>29333.75</v>
      </c>
      <c r="Y70" s="14">
        <f>IFERROR(X70/X148, "NA")</f>
        <v>0.26549284894609737</v>
      </c>
      <c r="Z70" s="13">
        <f>IFERROR(Z65+Z66+Z67+Z68+Z69, "NA")</f>
        <v>89653.119999999995</v>
      </c>
      <c r="AA70" s="14">
        <f>IFERROR(Z70/Z148, "NA")</f>
        <v>0.24808623282501915</v>
      </c>
      <c r="AB70" s="13">
        <f t="shared" si="24"/>
        <v>29643.932500000003</v>
      </c>
      <c r="AC70" s="14">
        <f>IFERROR(AB70/AB148, "NA")</f>
        <v>0.24281696746809187</v>
      </c>
      <c r="AD70" s="15">
        <f t="shared" si="25"/>
        <v>-310.18250000000262</v>
      </c>
      <c r="AE70" s="16">
        <f>IFERROR(AD70/AD148, "NA")</f>
        <v>2.6750161430636781E-2</v>
      </c>
      <c r="AF70" s="15">
        <f t="shared" si="26"/>
        <v>-1.0463608362352148E-2</v>
      </c>
      <c r="AG70" s="13">
        <f t="shared" si="27"/>
        <v>30398.79</v>
      </c>
      <c r="AH70" s="14">
        <f>IFERROR(AG70/AG148, "NA")</f>
        <v>0.24352847877505748</v>
      </c>
      <c r="AI70" s="15">
        <f t="shared" si="28"/>
        <v>-1065.0400000000009</v>
      </c>
      <c r="AJ70" s="16">
        <f>IFERROR(AI70/AI148, "NA")</f>
        <v>7.4278250872170146E-2</v>
      </c>
      <c r="AK70" s="15">
        <f t="shared" si="29"/>
        <v>-3.5035605035595198E-2</v>
      </c>
      <c r="AL70" s="16">
        <f>IFERROR(AK70/AK148, "NA")</f>
        <v>0.30500847886780225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2449</v>
      </c>
      <c r="C72" s="8">
        <f>IFERROR(B72/B148, "NA")</f>
        <v>1.6360206180016108E-2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-2405</v>
      </c>
      <c r="K72" s="8">
        <f>IFERROR(J72/J148, "NA")</f>
        <v>-1.6690819195816206E-2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1831</v>
      </c>
      <c r="S72" s="8">
        <f>IFERROR(R72/R148, "NA")</f>
        <v>1.4422441097797462E-2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457.75</v>
      </c>
      <c r="AC72" s="8">
        <f>IFERROR(AB72/AB148, "NA")</f>
        <v>3.7494845482635964E-3</v>
      </c>
      <c r="AD72" s="10">
        <f t="shared" si="25"/>
        <v>-457.75</v>
      </c>
      <c r="AE72" s="11">
        <f>IFERROR(AD72/AD148, "NA")</f>
        <v>3.9476393397028797E-2</v>
      </c>
      <c r="AF72" s="10">
        <f t="shared" si="26"/>
        <v>-1</v>
      </c>
      <c r="AG72" s="9">
        <f t="shared" si="27"/>
        <v>-71.75</v>
      </c>
      <c r="AH72" s="8">
        <f>IFERROR(AG72/AG148, "NA")</f>
        <v>-5.7479815321959766E-4</v>
      </c>
      <c r="AI72" s="10">
        <f t="shared" si="28"/>
        <v>71.75</v>
      </c>
      <c r="AJ72" s="11">
        <f>IFERROR(AI72/AI148, "NA")</f>
        <v>-5.004004075037748E-3</v>
      </c>
      <c r="AK72" s="10">
        <f t="shared" si="29"/>
        <v>-1</v>
      </c>
      <c r="AL72" s="11">
        <f>IFERROR(AK72/AK148, "NA")</f>
        <v>8.7056718032390794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2772.2599999999998</v>
      </c>
      <c r="C74" s="8">
        <f>IFERROR(B74/B148, "NA")</f>
        <v>1.8519699952883405E-2</v>
      </c>
      <c r="D74" s="7">
        <v>2496.5500000000002</v>
      </c>
      <c r="E74" s="8">
        <f>IFERROR(D74/D148, "NA")</f>
        <v>2.0281109310999568E-2</v>
      </c>
      <c r="F74" s="7">
        <v>3037.58</v>
      </c>
      <c r="G74" s="8">
        <f>IFERROR(F74/F148, "NA")</f>
        <v>1.8067942716583275E-2</v>
      </c>
      <c r="H74" s="7">
        <v>3186.53</v>
      </c>
      <c r="I74" s="8">
        <f>IFERROR(H74/H148, "NA")</f>
        <v>1.9162703866036853E-2</v>
      </c>
      <c r="J74" s="7">
        <v>3135.0099999999998</v>
      </c>
      <c r="K74" s="8">
        <f>IFERROR(J74/J148, "NA")</f>
        <v>2.1757124776330877E-2</v>
      </c>
      <c r="L74" s="7">
        <v>2780.3</v>
      </c>
      <c r="M74" s="8">
        <f>IFERROR(L74/L148, "NA")</f>
        <v>2.4526770419001719E-2</v>
      </c>
      <c r="N74" s="7">
        <v>2898.94</v>
      </c>
      <c r="O74" s="8">
        <f>IFERROR(N74/N148, "NA")</f>
        <v>2.2658589964045645E-2</v>
      </c>
      <c r="P74" s="7">
        <v>2921.1400000000003</v>
      </c>
      <c r="Q74" s="8">
        <f>IFERROR(P74/P148, "NA")</f>
        <v>2.3389952026873218E-2</v>
      </c>
      <c r="R74" s="7">
        <v>2697.2599999999998</v>
      </c>
      <c r="S74" s="8">
        <f>IFERROR(R74/R148, "NA")</f>
        <v>2.1245807468839528E-2</v>
      </c>
      <c r="T74" s="7">
        <v>2719.6499999999996</v>
      </c>
      <c r="U74" s="8">
        <f>IFERROR(T74/T148, "NA")</f>
        <v>2.2070923164556416E-2</v>
      </c>
      <c r="V74" s="7">
        <v>2757.96</v>
      </c>
      <c r="W74" s="8">
        <f>IFERROR(V74/V148, "NA")</f>
        <v>2.1602638223250446E-2</v>
      </c>
      <c r="X74" s="7">
        <v>2625.54</v>
      </c>
      <c r="Y74" s="8">
        <f>IFERROR(X74/X148, "NA")</f>
        <v>2.3763142953830876E-2</v>
      </c>
      <c r="Z74" s="7">
        <v>8103.1500000000005</v>
      </c>
      <c r="AA74" s="8">
        <f>IFERROR(Z74/Z148, "NA")</f>
        <v>2.2422866683457911E-2</v>
      </c>
      <c r="AB74" s="9">
        <f t="shared" ref="AB74:AB85" si="30">IFERROR((R74+T74+V74+X74)/4, "NA")</f>
        <v>2700.1025</v>
      </c>
      <c r="AC74" s="8">
        <f>IFERROR(AB74/AB148, "NA")</f>
        <v>2.2116859863414325E-2</v>
      </c>
      <c r="AD74" s="10">
        <f t="shared" ref="AD74:AD85" si="31">IFERROR(X74-AB74, "NA")</f>
        <v>-74.5625</v>
      </c>
      <c r="AE74" s="11">
        <f>IFERROR(AD74/AD148, "NA")</f>
        <v>6.4302754400130191E-3</v>
      </c>
      <c r="AF74" s="10">
        <f t="shared" ref="AF74:AF85" si="32">IFERROR((X74-AB74)/AB74, "NA")</f>
        <v>-2.7614692405195727E-2</v>
      </c>
      <c r="AG74" s="9">
        <f t="shared" ref="AG74:AG85" si="33">IFERROR((J74+L74+N74+P74+R74+T74+V74+X74)/8, "NA")</f>
        <v>2816.9749999999999</v>
      </c>
      <c r="AH74" s="8">
        <f>IFERROR(AG74/AG148, "NA")</f>
        <v>2.2567136274087473E-2</v>
      </c>
      <c r="AI74" s="10">
        <f t="shared" ref="AI74:AI85" si="34">IFERROR(X74-AG74, "NA")</f>
        <v>-191.43499999999995</v>
      </c>
      <c r="AJ74" s="11">
        <f>IFERROR(AI74/AI148, "NA")</f>
        <v>1.3351101325503151E-2</v>
      </c>
      <c r="AK74" s="10">
        <f t="shared" ref="AK74:AK85" si="35">IFERROR((X74-AG74)/AG74, "NA")</f>
        <v>-6.7957649606404019E-2</v>
      </c>
      <c r="AL74" s="11">
        <f>IFERROR(AK74/AK148, "NA")</f>
        <v>0.59161699399287282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2772.2599999999998</v>
      </c>
      <c r="C81" s="14">
        <f>IFERROR(B81/B148, "NA")</f>
        <v>1.8519699952883405E-2</v>
      </c>
      <c r="D81" s="13">
        <f>IFERROR(D74+D75+D76+D77+D78+D79+D80, "NA")</f>
        <v>2496.5500000000002</v>
      </c>
      <c r="E81" s="14">
        <f>IFERROR(D81/D148, "NA")</f>
        <v>2.0281109310999568E-2</v>
      </c>
      <c r="F81" s="13">
        <f>IFERROR(F74+F75+F76+F77+F78+F79+F80, "NA")</f>
        <v>3037.58</v>
      </c>
      <c r="G81" s="14">
        <f>IFERROR(F81/F148, "NA")</f>
        <v>1.8067942716583275E-2</v>
      </c>
      <c r="H81" s="13">
        <f>IFERROR(H74+H75+H76+H77+H78+H79+H80, "NA")</f>
        <v>3186.53</v>
      </c>
      <c r="I81" s="14">
        <f>IFERROR(H81/H148, "NA")</f>
        <v>1.9162703866036853E-2</v>
      </c>
      <c r="J81" s="13">
        <f>IFERROR(J74+J75+J76+J77+J78+J79+J80, "NA")</f>
        <v>3135.0099999999998</v>
      </c>
      <c r="K81" s="14">
        <f>IFERROR(J81/J148, "NA")</f>
        <v>2.1757124776330877E-2</v>
      </c>
      <c r="L81" s="13">
        <f>IFERROR(L74+L75+L76+L77+L78+L79+L80, "NA")</f>
        <v>2780.3</v>
      </c>
      <c r="M81" s="14">
        <f>IFERROR(L81/L148, "NA")</f>
        <v>2.4526770419001719E-2</v>
      </c>
      <c r="N81" s="13">
        <f>IFERROR(N74+N75+N76+N77+N78+N79+N80, "NA")</f>
        <v>2898.94</v>
      </c>
      <c r="O81" s="14">
        <f>IFERROR(N81/N148, "NA")</f>
        <v>2.2658589964045645E-2</v>
      </c>
      <c r="P81" s="13">
        <f>IFERROR(P74+P75+P76+P77+P78+P79+P80, "NA")</f>
        <v>2921.1400000000003</v>
      </c>
      <c r="Q81" s="14">
        <f>IFERROR(P81/P148, "NA")</f>
        <v>2.3389952026873218E-2</v>
      </c>
      <c r="R81" s="13">
        <f>IFERROR(R74+R75+R76+R77+R78+R79+R80, "NA")</f>
        <v>2697.2599999999998</v>
      </c>
      <c r="S81" s="14">
        <f>IFERROR(R81/R148, "NA")</f>
        <v>2.1245807468839528E-2</v>
      </c>
      <c r="T81" s="13">
        <f>IFERROR(T74+T75+T76+T77+T78+T79+T80, "NA")</f>
        <v>2719.6499999999996</v>
      </c>
      <c r="U81" s="14">
        <f>IFERROR(T81/T148, "NA")</f>
        <v>2.2070923164556416E-2</v>
      </c>
      <c r="V81" s="13">
        <f>IFERROR(V74+V75+V76+V77+V78+V79+V80, "NA")</f>
        <v>2757.96</v>
      </c>
      <c r="W81" s="14">
        <f>IFERROR(V81/V148, "NA")</f>
        <v>2.1602638223250446E-2</v>
      </c>
      <c r="X81" s="13">
        <f>IFERROR(X74+X75+X76+X77+X78+X79+X80, "NA")</f>
        <v>2625.54</v>
      </c>
      <c r="Y81" s="14">
        <f>IFERROR(X81/X148, "NA")</f>
        <v>2.3763142953830876E-2</v>
      </c>
      <c r="Z81" s="13">
        <f>IFERROR(Z74+Z75+Z76+Z77+Z78+Z79+Z80, "NA")</f>
        <v>8103.1500000000005</v>
      </c>
      <c r="AA81" s="14">
        <f>IFERROR(Z81/Z148, "NA")</f>
        <v>2.2422866683457911E-2</v>
      </c>
      <c r="AB81" s="13">
        <f t="shared" si="30"/>
        <v>2700.1025</v>
      </c>
      <c r="AC81" s="14">
        <f>IFERROR(AB81/AB148, "NA")</f>
        <v>2.2116859863414325E-2</v>
      </c>
      <c r="AD81" s="15">
        <f t="shared" si="31"/>
        <v>-74.5625</v>
      </c>
      <c r="AE81" s="16">
        <f>IFERROR(AD81/AD148, "NA")</f>
        <v>6.4302754400130191E-3</v>
      </c>
      <c r="AF81" s="15">
        <f t="shared" si="32"/>
        <v>-2.7614692405195727E-2</v>
      </c>
      <c r="AG81" s="13">
        <f t="shared" si="33"/>
        <v>2816.9749999999999</v>
      </c>
      <c r="AH81" s="14">
        <f>IFERROR(AG81/AG148, "NA")</f>
        <v>2.2567136274087473E-2</v>
      </c>
      <c r="AI81" s="15">
        <f t="shared" si="34"/>
        <v>-191.43499999999995</v>
      </c>
      <c r="AJ81" s="16">
        <f>IFERROR(AI81/AI148, "NA")</f>
        <v>1.3351101325503151E-2</v>
      </c>
      <c r="AK81" s="15">
        <f t="shared" si="35"/>
        <v>-6.7957649606404019E-2</v>
      </c>
      <c r="AL81" s="16">
        <f>IFERROR(AK81/AK148, "NA")</f>
        <v>0.59161699399287282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1021.04</v>
      </c>
      <c r="E82" s="8">
        <f>IFERROR(D82/D148, "NA")</f>
        <v>8.2945760553175367E-3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1132.6400000000001</v>
      </c>
      <c r="M82" s="8">
        <f>IFERROR(L82/L148, "NA")</f>
        <v>9.9917279600683761E-3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1119.92</v>
      </c>
      <c r="W82" s="8">
        <f>IFERROR(V82/V148, "NA")</f>
        <v>8.7721455709954613E-3</v>
      </c>
      <c r="X82" s="7">
        <v>0</v>
      </c>
      <c r="Y82" s="8">
        <f>IFERROR(X82/X148, "NA")</f>
        <v>0</v>
      </c>
      <c r="Z82" s="7">
        <v>1119.92</v>
      </c>
      <c r="AA82" s="8">
        <f>IFERROR(Z82/Z148, "NA")</f>
        <v>3.099019129121167E-3</v>
      </c>
      <c r="AB82" s="9">
        <f t="shared" si="30"/>
        <v>279.98</v>
      </c>
      <c r="AC82" s="8">
        <f>IFERROR(AB82/AB148, "NA")</f>
        <v>2.293349391202276E-3</v>
      </c>
      <c r="AD82" s="10">
        <f t="shared" si="31"/>
        <v>-279.98</v>
      </c>
      <c r="AE82" s="11">
        <f>IFERROR(AD82/AD148, "NA")</f>
        <v>2.414549562708929E-2</v>
      </c>
      <c r="AF82" s="10">
        <f t="shared" si="32"/>
        <v>-1</v>
      </c>
      <c r="AG82" s="9">
        <f t="shared" si="33"/>
        <v>281.57000000000005</v>
      </c>
      <c r="AH82" s="8">
        <f>IFERROR(AG82/AG148, "NA")</f>
        <v>2.2556922090876956E-3</v>
      </c>
      <c r="AI82" s="10">
        <f t="shared" si="34"/>
        <v>-281.57000000000005</v>
      </c>
      <c r="AJ82" s="11">
        <f>IFERROR(AI82/AI148, "NA")</f>
        <v>1.9637316061440823E-2</v>
      </c>
      <c r="AK82" s="10">
        <f t="shared" si="35"/>
        <v>-1</v>
      </c>
      <c r="AL82" s="11">
        <f>IFERROR(AK82/AK148, "NA")</f>
        <v>8.7056718032390794</v>
      </c>
    </row>
    <row r="83" spans="1:38" ht="16.5" customHeight="1">
      <c r="A83" s="23" t="s">
        <v>95</v>
      </c>
      <c r="B83" s="7">
        <v>-220.91</v>
      </c>
      <c r="C83" s="8">
        <f>IFERROR(B83/B148, "NA")</f>
        <v>-1.475758737128362E-3</v>
      </c>
      <c r="D83" s="7">
        <v>-220.91</v>
      </c>
      <c r="E83" s="8">
        <f>IFERROR(D83/D148, "NA")</f>
        <v>-1.7945964863082711E-3</v>
      </c>
      <c r="F83" s="7">
        <v>-159.66</v>
      </c>
      <c r="G83" s="8">
        <f>IFERROR(F83/F148, "NA")</f>
        <v>-9.4967959169130884E-4</v>
      </c>
      <c r="H83" s="7">
        <v>1822.23</v>
      </c>
      <c r="I83" s="8">
        <f>IFERROR(H83/H148, "NA")</f>
        <v>1.0958269297890915E-2</v>
      </c>
      <c r="J83" s="7">
        <v>-159.66</v>
      </c>
      <c r="K83" s="8">
        <f>IFERROR(J83/J148, "NA")</f>
        <v>-1.1080483130162225E-3</v>
      </c>
      <c r="L83" s="7">
        <v>-411.29999999999995</v>
      </c>
      <c r="M83" s="8">
        <f>IFERROR(L83/L148, "NA")</f>
        <v>-3.628335313935692E-3</v>
      </c>
      <c r="N83" s="7">
        <v>-222.57</v>
      </c>
      <c r="O83" s="8">
        <f>IFERROR(N83/N148, "NA")</f>
        <v>-1.7396435829294982E-3</v>
      </c>
      <c r="P83" s="7">
        <v>1643.14</v>
      </c>
      <c r="Q83" s="8">
        <f>IFERROR(P83/P148, "NA")</f>
        <v>1.3156838006201845E-2</v>
      </c>
      <c r="R83" s="7">
        <v>-222.57</v>
      </c>
      <c r="S83" s="8">
        <f>IFERROR(R83/R148, "NA")</f>
        <v>-1.7531418433297547E-3</v>
      </c>
      <c r="T83" s="7">
        <v>-222.57</v>
      </c>
      <c r="U83" s="8">
        <f>IFERROR(T83/T148, "NA")</f>
        <v>-1.8062343936665829E-3</v>
      </c>
      <c r="V83" s="7">
        <v>-222.57</v>
      </c>
      <c r="W83" s="8">
        <f>IFERROR(V83/V148, "NA")</f>
        <v>-1.7433534892996459E-3</v>
      </c>
      <c r="X83" s="7">
        <v>-222.57</v>
      </c>
      <c r="Y83" s="8">
        <f>IFERROR(X83/X148, "NA")</f>
        <v>-2.0144285469785787E-3</v>
      </c>
      <c r="Z83" s="7">
        <v>-667.71</v>
      </c>
      <c r="AA83" s="8">
        <f>IFERROR(Z83/Z148, "NA")</f>
        <v>-1.8476731040659104E-3</v>
      </c>
      <c r="AB83" s="9">
        <f t="shared" si="30"/>
        <v>-222.57</v>
      </c>
      <c r="AC83" s="8">
        <f>IFERROR(AB83/AB148, "NA")</f>
        <v>-1.8230972712332684E-3</v>
      </c>
      <c r="AD83" s="10">
        <f t="shared" si="31"/>
        <v>0</v>
      </c>
      <c r="AE83" s="11">
        <f>IFERROR(AD83/AD148, "NA")</f>
        <v>0</v>
      </c>
      <c r="AF83" s="10">
        <f t="shared" si="32"/>
        <v>0</v>
      </c>
      <c r="AG83" s="9">
        <f t="shared" si="33"/>
        <v>-5.0837499999999736</v>
      </c>
      <c r="AH83" s="8">
        <f>IFERROR(AG83/AG148, "NA")</f>
        <v>-4.0726552075681038E-5</v>
      </c>
      <c r="AI83" s="10">
        <f t="shared" si="34"/>
        <v>-217.48625000000001</v>
      </c>
      <c r="AJ83" s="11">
        <f>IFERROR(AI83/AI148, "NA")</f>
        <v>1.5167973258044299E-2</v>
      </c>
      <c r="AK83" s="10">
        <f t="shared" si="35"/>
        <v>42.780673715269465</v>
      </c>
      <c r="AL83" s="11">
        <f>IFERROR(AK83/AK148, "NA")</f>
        <v>-372.43450488659266</v>
      </c>
    </row>
    <row r="84" spans="1:38" ht="16.5" customHeight="1">
      <c r="A84" s="27" t="s">
        <v>96</v>
      </c>
      <c r="B84" s="13">
        <f>IFERROR(B63+B65+B66+B67+B68+B69+B71+B72+B74+B75+B76+B77+B78+B79+B80+B82+B83, "NA")</f>
        <v>35664.120000000003</v>
      </c>
      <c r="C84" s="14">
        <f>IFERROR(B84/B148, "NA")</f>
        <v>0.23824922679821811</v>
      </c>
      <c r="D84" s="13">
        <f>IFERROR(D63+D65+D66+D67+D68+D69+D71+D72+D74+D75+D76+D77+D78+D79+D80+D82+D83, "NA")</f>
        <v>31153.390000000003</v>
      </c>
      <c r="E84" s="14">
        <f>IFERROR(D84/D148, "NA")</f>
        <v>0.25307937273365277</v>
      </c>
      <c r="F84" s="13">
        <f>IFERROR(F63+F65+F66+F67+F68+F69+F71+F72+F74+F75+F76+F77+F78+F79+F80+F82+F83, "NA")</f>
        <v>35931.919999999998</v>
      </c>
      <c r="G84" s="14">
        <f>IFERROR(F84/F148, "NA")</f>
        <v>0.2137279914461028</v>
      </c>
      <c r="H84" s="13">
        <f>IFERROR(H63+H65+H66+H67+H68+H69+H71+H72+H74+H75+H76+H77+H78+H79+H80+H82+H83, "NA")</f>
        <v>39727.300000000003</v>
      </c>
      <c r="I84" s="14">
        <f>IFERROR(H84/H148, "NA")</f>
        <v>0.2389064233812975</v>
      </c>
      <c r="J84" s="13">
        <f>IFERROR(J63+J65+J66+J67+J68+J69+J71+J72+J74+J75+J76+J77+J78+J79+J80+J82+J83, "NA")</f>
        <v>33150.729999999996</v>
      </c>
      <c r="K84" s="14">
        <f>IFERROR(J84/J148, "NA")</f>
        <v>0.23006770920553848</v>
      </c>
      <c r="L84" s="13">
        <f>IFERROR(L63+L65+L66+L67+L68+L69+L71+L72+L74+L75+L76+L77+L78+L79+L80+L82+L83, "NA")</f>
        <v>32851.799999999996</v>
      </c>
      <c r="M84" s="14">
        <f>IFERROR(L84/L148, "NA")</f>
        <v>0.28980633616910423</v>
      </c>
      <c r="N84" s="13">
        <f>IFERROR(N63+N65+N66+N67+N68+N69+N71+N72+N74+N75+N76+N77+N78+N79+N80+N82+N83, "NA")</f>
        <v>33761.440000000002</v>
      </c>
      <c r="O84" s="14">
        <f>IFERROR(N84/N148, "NA")</f>
        <v>0.26388494606846963</v>
      </c>
      <c r="P84" s="13">
        <f>IFERROR(P63+P65+P66+P67+P68+P69+P71+P72+P74+P75+P76+P77+P78+P79+P80+P82+P83, "NA")</f>
        <v>36163.26</v>
      </c>
      <c r="Q84" s="14">
        <f>IFERROR(P84/P148, "NA")</f>
        <v>0.28956397726070748</v>
      </c>
      <c r="R84" s="13">
        <f>IFERROR(R63+R65+R66+R67+R68+R69+R71+R72+R74+R75+R76+R77+R78+R79+R80+R82+R83, "NA")</f>
        <v>33228.300000000003</v>
      </c>
      <c r="S84" s="14">
        <f>IFERROR(R84/R148, "NA")</f>
        <v>0.26173304179680146</v>
      </c>
      <c r="T84" s="13">
        <f>IFERROR(T63+T65+T66+T67+T68+T69+T71+T72+T74+T75+T76+T77+T78+T79+T80+T82+T83, "NA")</f>
        <v>32551.15</v>
      </c>
      <c r="U84" s="14">
        <f>IFERROR(T84/T148, "NA")</f>
        <v>0.26416411323808237</v>
      </c>
      <c r="V84" s="13">
        <f>IFERROR(V63+V65+V66+V67+V68+V69+V71+V72+V74+V75+V76+V77+V78+V79+V80+V82+V83, "NA")</f>
        <v>33920.61</v>
      </c>
      <c r="W84" s="14">
        <f>IFERROR(V84/V148, "NA")</f>
        <v>0.26569445029731081</v>
      </c>
      <c r="X84" s="13">
        <f>IFERROR(X63+X65+X66+X67+X68+X69+X71+X72+X74+X75+X76+X77+X78+X79+X80+X82+X83, "NA")</f>
        <v>31736.720000000001</v>
      </c>
      <c r="Y84" s="14">
        <f>IFERROR(X84/X148, "NA")</f>
        <v>0.28724156335294965</v>
      </c>
      <c r="Z84" s="13">
        <f>IFERROR(Z63+Z65+Z66+Z67+Z68+Z69+Z71+Z72+Z74+Z75+Z76+Z77+Z78+Z79+Z80+Z82+Z83, "NA")</f>
        <v>98208.479999999981</v>
      </c>
      <c r="AA84" s="14">
        <f>IFERROR(Z84/Z148, "NA")</f>
        <v>0.27176044553353229</v>
      </c>
      <c r="AB84" s="13">
        <f t="shared" si="30"/>
        <v>32859.195000000007</v>
      </c>
      <c r="AC84" s="14">
        <f>IFERROR(AB84/AB148, "NA")</f>
        <v>0.26915356399973883</v>
      </c>
      <c r="AD84" s="15">
        <f t="shared" si="31"/>
        <v>-1122.4750000000058</v>
      </c>
      <c r="AE84" s="16">
        <f>IFERROR(AD84/AD148, "NA")</f>
        <v>9.6802325894768157E-2</v>
      </c>
      <c r="AF84" s="15">
        <f t="shared" si="32"/>
        <v>-3.416014908460191E-2</v>
      </c>
      <c r="AG84" s="13">
        <f t="shared" si="33"/>
        <v>33420.501250000001</v>
      </c>
      <c r="AH84" s="14">
        <f>IFERROR(AG84/AG148, "NA")</f>
        <v>0.2677357825529374</v>
      </c>
      <c r="AI84" s="15">
        <f t="shared" si="34"/>
        <v>-1683.78125</v>
      </c>
      <c r="AJ84" s="16">
        <f>IFERROR(AI84/AI148, "NA")</f>
        <v>0.11743063744212061</v>
      </c>
      <c r="AK84" s="15">
        <f t="shared" si="35"/>
        <v>-5.038168749787976E-2</v>
      </c>
      <c r="AL84" s="16">
        <f>IFERROR(AK84/AK148, "NA")</f>
        <v>0.4386064362498947</v>
      </c>
    </row>
    <row r="85" spans="1:38" ht="16.5" customHeight="1">
      <c r="A85" s="12" t="s">
        <v>96</v>
      </c>
      <c r="B85" s="28">
        <f>IFERROR(B63+B65+B66+B67+B68+B69+B71+B72+B74+B75+B76+B77+B78+B79+B80+B82+B83, "NA")</f>
        <v>35664.120000000003</v>
      </c>
      <c r="C85" s="29">
        <f>IFERROR(B85/B148, "NA")</f>
        <v>0.23824922679821811</v>
      </c>
      <c r="D85" s="28">
        <f>IFERROR(D63+D65+D66+D67+D68+D69+D71+D72+D74+D75+D76+D77+D78+D79+D80+D82+D83, "NA")</f>
        <v>31153.390000000003</v>
      </c>
      <c r="E85" s="29">
        <f>IFERROR(D85/D148, "NA")</f>
        <v>0.25307937273365277</v>
      </c>
      <c r="F85" s="28">
        <f>IFERROR(F63+F65+F66+F67+F68+F69+F71+F72+F74+F75+F76+F77+F78+F79+F80+F82+F83, "NA")</f>
        <v>35931.919999999998</v>
      </c>
      <c r="G85" s="29">
        <f>IFERROR(F85/F148, "NA")</f>
        <v>0.2137279914461028</v>
      </c>
      <c r="H85" s="28">
        <f>IFERROR(H63+H65+H66+H67+H68+H69+H71+H72+H74+H75+H76+H77+H78+H79+H80+H82+H83, "NA")</f>
        <v>39727.300000000003</v>
      </c>
      <c r="I85" s="29">
        <f>IFERROR(H85/H148, "NA")</f>
        <v>0.2389064233812975</v>
      </c>
      <c r="J85" s="28">
        <f>IFERROR(J63+J65+J66+J67+J68+J69+J71+J72+J74+J75+J76+J77+J78+J79+J80+J82+J83, "NA")</f>
        <v>33150.729999999996</v>
      </c>
      <c r="K85" s="29">
        <f>IFERROR(J85/J148, "NA")</f>
        <v>0.23006770920553848</v>
      </c>
      <c r="L85" s="28">
        <f>IFERROR(L63+L65+L66+L67+L68+L69+L71+L72+L74+L75+L76+L77+L78+L79+L80+L82+L83, "NA")</f>
        <v>32851.799999999996</v>
      </c>
      <c r="M85" s="29">
        <f>IFERROR(L85/L148, "NA")</f>
        <v>0.28980633616910423</v>
      </c>
      <c r="N85" s="28">
        <f>IFERROR(N63+N65+N66+N67+N68+N69+N71+N72+N74+N75+N76+N77+N78+N79+N80+N82+N83, "NA")</f>
        <v>33761.440000000002</v>
      </c>
      <c r="O85" s="29">
        <f>IFERROR(N85/N148, "NA")</f>
        <v>0.26388494606846963</v>
      </c>
      <c r="P85" s="28">
        <f>IFERROR(P63+P65+P66+P67+P68+P69+P71+P72+P74+P75+P76+P77+P78+P79+P80+P82+P83, "NA")</f>
        <v>36163.26</v>
      </c>
      <c r="Q85" s="29">
        <f>IFERROR(P85/P148, "NA")</f>
        <v>0.28956397726070748</v>
      </c>
      <c r="R85" s="28">
        <f>IFERROR(R63+R65+R66+R67+R68+R69+R71+R72+R74+R75+R76+R77+R78+R79+R80+R82+R83, "NA")</f>
        <v>33228.300000000003</v>
      </c>
      <c r="S85" s="29">
        <f>IFERROR(R85/R148, "NA")</f>
        <v>0.26173304179680146</v>
      </c>
      <c r="T85" s="28">
        <f>IFERROR(T63+T65+T66+T67+T68+T69+T71+T72+T74+T75+T76+T77+T78+T79+T80+T82+T83, "NA")</f>
        <v>32551.15</v>
      </c>
      <c r="U85" s="29">
        <f>IFERROR(T85/T148, "NA")</f>
        <v>0.26416411323808237</v>
      </c>
      <c r="V85" s="28">
        <f>IFERROR(V63+V65+V66+V67+V68+V69+V71+V72+V74+V75+V76+V77+V78+V79+V80+V82+V83, "NA")</f>
        <v>33920.61</v>
      </c>
      <c r="W85" s="29">
        <f>IFERROR(V85/V148, "NA")</f>
        <v>0.26569445029731081</v>
      </c>
      <c r="X85" s="28">
        <f>IFERROR(X63+X65+X66+X67+X68+X69+X71+X72+X74+X75+X76+X77+X78+X79+X80+X82+X83, "NA")</f>
        <v>31736.720000000001</v>
      </c>
      <c r="Y85" s="29">
        <f>IFERROR(X85/X148, "NA")</f>
        <v>0.28724156335294965</v>
      </c>
      <c r="Z85" s="28">
        <f>IFERROR(Z63+Z65+Z66+Z67+Z68+Z69+Z71+Z72+Z74+Z75+Z76+Z77+Z78+Z79+Z80+Z82+Z83, "NA")</f>
        <v>98208.479999999981</v>
      </c>
      <c r="AA85" s="29">
        <f>IFERROR(Z85/Z148, "NA")</f>
        <v>0.27176044553353229</v>
      </c>
      <c r="AB85" s="28">
        <f t="shared" si="30"/>
        <v>32859.195000000007</v>
      </c>
      <c r="AC85" s="29">
        <f>IFERROR(AB85/AB148, "NA")</f>
        <v>0.26915356399973883</v>
      </c>
      <c r="AD85" s="30">
        <f t="shared" si="31"/>
        <v>-1122.4750000000058</v>
      </c>
      <c r="AE85" s="31">
        <f>IFERROR(AD85/AD148, "NA")</f>
        <v>9.6802325894768157E-2</v>
      </c>
      <c r="AF85" s="30">
        <f t="shared" si="32"/>
        <v>-3.416014908460191E-2</v>
      </c>
      <c r="AG85" s="28">
        <f t="shared" si="33"/>
        <v>33420.501250000001</v>
      </c>
      <c r="AH85" s="29">
        <f>IFERROR(AG85/AG148, "NA")</f>
        <v>0.2677357825529374</v>
      </c>
      <c r="AI85" s="30">
        <f t="shared" si="34"/>
        <v>-1683.78125</v>
      </c>
      <c r="AJ85" s="31">
        <f>IFERROR(AI85/AI148, "NA")</f>
        <v>0.11743063744212061</v>
      </c>
      <c r="AK85" s="30">
        <f t="shared" si="35"/>
        <v>-5.038168749787976E-2</v>
      </c>
      <c r="AL85" s="31">
        <f>IFERROR(AK85/AK148, "NA")</f>
        <v>0.4386064362498947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75961.160000000033</v>
      </c>
      <c r="C87" s="34">
        <f>IFERROR(B87/B148, "NA")</f>
        <v>0.50744803563625684</v>
      </c>
      <c r="D87" s="33">
        <f>IFERROR(D59-D85, "NA")</f>
        <v>60033.320000000036</v>
      </c>
      <c r="E87" s="34">
        <f>IFERROR(D87/D148, "NA")</f>
        <v>0.48768994220913547</v>
      </c>
      <c r="F87" s="33">
        <f>IFERROR(F59-F85, "NA")</f>
        <v>91111.259999999966</v>
      </c>
      <c r="G87" s="34">
        <f>IFERROR(F87/F148, "NA")</f>
        <v>0.54194227856244925</v>
      </c>
      <c r="H87" s="33">
        <f>IFERROR(H59-H85, "NA")</f>
        <v>86833.379999999932</v>
      </c>
      <c r="I87" s="34">
        <f>IFERROR(H87/H148, "NA")</f>
        <v>0.52218631132518623</v>
      </c>
      <c r="J87" s="33">
        <f>IFERROR(J59-J85, "NA")</f>
        <v>76683.100000000093</v>
      </c>
      <c r="K87" s="34">
        <f>IFERROR(J87/J148, "NA")</f>
        <v>0.53218451454249283</v>
      </c>
      <c r="L87" s="33">
        <f>IFERROR(L59-L85, "NA")</f>
        <v>49798.630000000026</v>
      </c>
      <c r="M87" s="34">
        <f>IFERROR(L87/L148, "NA")</f>
        <v>0.43930495456994284</v>
      </c>
      <c r="N87" s="33">
        <f>IFERROR(N59-N85, "NA")</f>
        <v>61583.759999999951</v>
      </c>
      <c r="O87" s="34">
        <f>IFERROR(N87/N148, "NA")</f>
        <v>0.48134875722995119</v>
      </c>
      <c r="P87" s="33">
        <f>IFERROR(P59-P85, "NA")</f>
        <v>58026.380000000041</v>
      </c>
      <c r="Q87" s="34">
        <f>IFERROR(P87/P148, "NA")</f>
        <v>0.46462485347950333</v>
      </c>
      <c r="R87" s="33">
        <f>IFERROR(R59-R85, "NA")</f>
        <v>62615.309999999983</v>
      </c>
      <c r="S87" s="34">
        <f>IFERROR(R87/R148, "NA")</f>
        <v>0.4932089679384643</v>
      </c>
      <c r="T87" s="33">
        <f>IFERROR(T59-T85, "NA")</f>
        <v>61688.850000000028</v>
      </c>
      <c r="U87" s="34">
        <f>IFERROR(T87/T148, "NA")</f>
        <v>0.50062687053843213</v>
      </c>
      <c r="V87" s="33">
        <f>IFERROR(V59-V85, "NA")</f>
        <v>64425.69</v>
      </c>
      <c r="W87" s="34">
        <f>IFERROR(V87/V148, "NA")</f>
        <v>0.50463562682318963</v>
      </c>
      <c r="X87" s="33">
        <f>IFERROR(X59-X85, "NA")</f>
        <v>50184.859999999986</v>
      </c>
      <c r="Y87" s="34">
        <f>IFERROR(X87/X148, "NA")</f>
        <v>0.45421132502189593</v>
      </c>
      <c r="Z87" s="33">
        <f>IFERROR(Z59-Z85, "NA")</f>
        <v>176299.40000000008</v>
      </c>
      <c r="AA87" s="34">
        <f>IFERROR(Z87/Z148, "NA")</f>
        <v>0.48785200108274207</v>
      </c>
      <c r="AB87" s="33">
        <f>IFERROR((R87+T87+V87+X87)/4, "NA")</f>
        <v>59728.677499999998</v>
      </c>
      <c r="AC87" s="34">
        <f>IFERROR(AB87/AB148, "NA")</f>
        <v>0.48924468241282254</v>
      </c>
      <c r="AD87" s="15">
        <f>IFERROR(X87-AB87, "NA")</f>
        <v>-9543.8175000000119</v>
      </c>
      <c r="AE87" s="16">
        <f>IFERROR(AD87/AD148, "NA")</f>
        <v>0.82305951750835238</v>
      </c>
      <c r="AF87" s="15">
        <f>IFERROR((X87-AB87)/AB87, "NA")</f>
        <v>-0.15978618478535728</v>
      </c>
      <c r="AG87" s="33">
        <f>IFERROR((J87+L87+N87+P87+R87+T87+V87+X87)/8, "NA")</f>
        <v>60625.822500000017</v>
      </c>
      <c r="AH87" s="34">
        <f>IFERROR(AG87/AG148, "NA")</f>
        <v>0.48568098690479644</v>
      </c>
      <c r="AI87" s="15">
        <f>IFERROR(X87-AG87, "NA")</f>
        <v>-10440.962500000031</v>
      </c>
      <c r="AJ87" s="16">
        <f>IFERROR(AI87/AI148, "NA")</f>
        <v>0.72817587313333054</v>
      </c>
      <c r="AK87" s="15">
        <f>IFERROR((X87-AG87)/AG87, "NA")</f>
        <v>-0.1722197253488813</v>
      </c>
      <c r="AL87" s="16">
        <f>IFERROR(AK87/AK148, "NA")</f>
        <v>1.4992884069313346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3078.1600000000003</v>
      </c>
      <c r="C90" s="8">
        <f>IFERROR(B90/B148, "NA")</f>
        <v>2.0563222643968312E-2</v>
      </c>
      <c r="D90" s="7">
        <v>2775.24</v>
      </c>
      <c r="E90" s="8">
        <f>IFERROR(D90/D148, "NA")</f>
        <v>2.2545090546657761E-2</v>
      </c>
      <c r="F90" s="7">
        <v>3628.63</v>
      </c>
      <c r="G90" s="8">
        <f>IFERROR(F90/F148, "NA")</f>
        <v>2.1583589232110949E-2</v>
      </c>
      <c r="H90" s="7">
        <v>2533.69</v>
      </c>
      <c r="I90" s="8">
        <f>IFERROR(H90/H148, "NA")</f>
        <v>1.5236746918541145E-2</v>
      </c>
      <c r="J90" s="7">
        <v>3249.4299999999994</v>
      </c>
      <c r="K90" s="8">
        <f>IFERROR(J90/J148, "NA")</f>
        <v>2.2551205247177148E-2</v>
      </c>
      <c r="L90" s="7">
        <v>2727.7499999999995</v>
      </c>
      <c r="M90" s="8">
        <f>IFERROR(L90/L148, "NA")</f>
        <v>2.4063193903690942E-2</v>
      </c>
      <c r="N90" s="7">
        <v>1807.8100000000002</v>
      </c>
      <c r="O90" s="8">
        <f>IFERROR(N90/N148, "NA")</f>
        <v>1.4130139127716119E-2</v>
      </c>
      <c r="P90" s="7">
        <v>2241.21</v>
      </c>
      <c r="Q90" s="8">
        <f>IFERROR(P90/P148, "NA")</f>
        <v>1.7945663125406013E-2</v>
      </c>
      <c r="R90" s="7">
        <v>2573.41</v>
      </c>
      <c r="S90" s="8">
        <f>IFERROR(R90/R148, "NA")</f>
        <v>2.027026441588365E-2</v>
      </c>
      <c r="T90" s="7">
        <v>2723.41</v>
      </c>
      <c r="U90" s="8">
        <f>IFERROR(T90/T148, "NA")</f>
        <v>2.2101436896506753E-2</v>
      </c>
      <c r="V90" s="7">
        <v>2921.7499999999995</v>
      </c>
      <c r="W90" s="8">
        <f>IFERROR(V90/V148, "NA")</f>
        <v>2.2885577828823472E-2</v>
      </c>
      <c r="X90" s="7">
        <v>2115.16</v>
      </c>
      <c r="Y90" s="8">
        <f>IFERROR(X90/X148, "NA")</f>
        <v>1.914381401548821E-2</v>
      </c>
      <c r="Z90" s="7">
        <v>7760.32</v>
      </c>
      <c r="AA90" s="8">
        <f>IFERROR(Z90/Z148, "NA")</f>
        <v>2.1474194699712096E-2</v>
      </c>
      <c r="AB90" s="9">
        <f t="shared" ref="AB90:AB99" si="36">IFERROR((R90+T90+V90+X90)/4, "NA")</f>
        <v>2583.4324999999999</v>
      </c>
      <c r="AC90" s="8">
        <f>IFERROR(AB90/AB148, "NA")</f>
        <v>2.1161202054029476E-2</v>
      </c>
      <c r="AD90" s="10">
        <f t="shared" ref="AD90:AD99" si="37">IFERROR(X90-AB90, "NA")</f>
        <v>-468.27250000000004</v>
      </c>
      <c r="AE90" s="11">
        <f>IFERROR(AD90/AD148, "NA")</f>
        <v>4.0383854564740945E-2</v>
      </c>
      <c r="AF90" s="10">
        <f t="shared" ref="AF90:AF99" si="38">IFERROR((X90-AB90)/AB90, "NA")</f>
        <v>-0.18125981615544437</v>
      </c>
      <c r="AG90" s="9">
        <f t="shared" ref="AG90:AG99" si="39">IFERROR((J90+L90+N90+P90+R90+T90+V90+X90)/8, "NA")</f>
        <v>2544.9912499999996</v>
      </c>
      <c r="AH90" s="8">
        <f>IFERROR(AG90/AG148, "NA")</f>
        <v>2.0388240703275752E-2</v>
      </c>
      <c r="AI90" s="10">
        <f t="shared" ref="AI90:AI99" si="40">IFERROR(X90-AG90, "NA")</f>
        <v>-429.83124999999973</v>
      </c>
      <c r="AJ90" s="11">
        <f>IFERROR(AI90/AI148, "NA")</f>
        <v>2.9977384342558436E-2</v>
      </c>
      <c r="AK90" s="10">
        <f t="shared" ref="AK90:AK99" si="41">IFERROR((X90-AG90)/AG90, "NA")</f>
        <v>-0.16889301682274932</v>
      </c>
      <c r="AL90" s="11">
        <f>IFERROR(AK90/AK148, "NA")</f>
        <v>1.4703271743177924</v>
      </c>
    </row>
    <row r="91" spans="1:38" ht="16.5" hidden="1" customHeight="1">
      <c r="A91" s="6" t="s">
        <v>100</v>
      </c>
      <c r="B91" s="7">
        <v>11001.4</v>
      </c>
      <c r="C91" s="8">
        <f>IFERROR(B91/B148, "NA")</f>
        <v>7.3493332898664443E-2</v>
      </c>
      <c r="D91" s="7">
        <v>10007.31</v>
      </c>
      <c r="E91" s="8">
        <f>IFERROR(D91/D148, "NA")</f>
        <v>8.1295927587694647E-2</v>
      </c>
      <c r="F91" s="7">
        <v>11686.550000000001</v>
      </c>
      <c r="G91" s="8">
        <f>IFERROR(F91/F148, "NA")</f>
        <v>6.9513203258675105E-2</v>
      </c>
      <c r="H91" s="7">
        <v>13466.490000000003</v>
      </c>
      <c r="I91" s="8">
        <f>IFERROR(H91/H148, "NA")</f>
        <v>8.0982874783839059E-2</v>
      </c>
      <c r="J91" s="7">
        <v>3947.0099999999998</v>
      </c>
      <c r="K91" s="8">
        <f>IFERROR(J91/J148, "NA")</f>
        <v>2.7392445020406865E-2</v>
      </c>
      <c r="L91" s="7">
        <v>3981.48</v>
      </c>
      <c r="M91" s="8">
        <f>IFERROR(L91/L148, "NA")</f>
        <v>3.5123132715119576E-2</v>
      </c>
      <c r="N91" s="7">
        <v>3814.29</v>
      </c>
      <c r="O91" s="8">
        <f>IFERROR(N91/N148, "NA")</f>
        <v>2.9813115522901359E-2</v>
      </c>
      <c r="P91" s="7">
        <v>6868.91</v>
      </c>
      <c r="Q91" s="8">
        <f>IFERROR(P91/P148, "NA")</f>
        <v>5.5000265436408284E-2</v>
      </c>
      <c r="R91" s="7">
        <v>6977.4700000000012</v>
      </c>
      <c r="S91" s="8">
        <f>IFERROR(R91/R148, "NA")</f>
        <v>5.4960213045684804E-2</v>
      </c>
      <c r="T91" s="7">
        <v>6607.5899999999992</v>
      </c>
      <c r="U91" s="8">
        <f>IFERROR(T91/T148, "NA")</f>
        <v>5.3622933536628364E-2</v>
      </c>
      <c r="V91" s="7">
        <v>3386.75</v>
      </c>
      <c r="W91" s="8">
        <f>IFERROR(V91/V148, "NA")</f>
        <v>2.6527844857283444E-2</v>
      </c>
      <c r="X91" s="7">
        <v>1570.85</v>
      </c>
      <c r="Y91" s="8">
        <f>IFERROR(X91/X148, "NA")</f>
        <v>1.4217392654092198E-2</v>
      </c>
      <c r="Z91" s="7">
        <v>11565.19</v>
      </c>
      <c r="AA91" s="8">
        <f>IFERROR(Z91/Z148, "NA")</f>
        <v>3.2002951141082245E-2</v>
      </c>
      <c r="AB91" s="9">
        <f t="shared" si="36"/>
        <v>4635.665</v>
      </c>
      <c r="AC91" s="8">
        <f>IFERROR(AB91/AB148, "NA")</f>
        <v>3.7971281897162999E-2</v>
      </c>
      <c r="AD91" s="10">
        <f t="shared" si="37"/>
        <v>-3064.8150000000001</v>
      </c>
      <c r="AE91" s="11">
        <f>IFERROR(AD91/AD148, "NA")</f>
        <v>0.26430986920614924</v>
      </c>
      <c r="AF91" s="10">
        <f t="shared" si="38"/>
        <v>-0.66113815385710573</v>
      </c>
      <c r="AG91" s="9">
        <f t="shared" si="39"/>
        <v>4644.2937499999998</v>
      </c>
      <c r="AH91" s="8">
        <f>IFERROR(AG91/AG148, "NA")</f>
        <v>3.7206013526262301E-2</v>
      </c>
      <c r="AI91" s="10">
        <f t="shared" si="40"/>
        <v>-3073.4437499999999</v>
      </c>
      <c r="AJ91" s="11">
        <f>IFERROR(AI91/AI148, "NA")</f>
        <v>0.21434878117629683</v>
      </c>
      <c r="AK91" s="10">
        <f t="shared" si="41"/>
        <v>-0.66176773379160181</v>
      </c>
      <c r="AL91" s="11">
        <f>IFERROR(AK91/AK148, "NA")</f>
        <v>5.7611327003629738</v>
      </c>
    </row>
    <row r="92" spans="1:38" ht="16.5" hidden="1" customHeight="1">
      <c r="A92" s="6" t="s">
        <v>101</v>
      </c>
      <c r="B92" s="7">
        <v>2000.31</v>
      </c>
      <c r="C92" s="8">
        <f>IFERROR(B92/B148, "NA")</f>
        <v>1.3362794619823612E-2</v>
      </c>
      <c r="D92" s="7">
        <v>1606.7600000000002</v>
      </c>
      <c r="E92" s="8">
        <f>IFERROR(D92/D148, "NA")</f>
        <v>1.3052762891406808E-2</v>
      </c>
      <c r="F92" s="7">
        <v>2270.69</v>
      </c>
      <c r="G92" s="8">
        <f>IFERROR(F92/F148, "NA")</f>
        <v>1.3506375748825869E-2</v>
      </c>
      <c r="H92" s="7">
        <v>2193.84</v>
      </c>
      <c r="I92" s="8">
        <f>IFERROR(H92/H148, "NA")</f>
        <v>1.3193005008415516E-2</v>
      </c>
      <c r="J92" s="7">
        <v>2449.08</v>
      </c>
      <c r="K92" s="8">
        <f>IFERROR(J92/J148, "NA")</f>
        <v>1.6996736580494616E-2</v>
      </c>
      <c r="L92" s="7">
        <v>2086.89</v>
      </c>
      <c r="M92" s="8">
        <f>IFERROR(L92/L148, "NA")</f>
        <v>1.8409765823727831E-2</v>
      </c>
      <c r="N92" s="7">
        <v>2096.62</v>
      </c>
      <c r="O92" s="8">
        <f>IFERROR(N92/N148, "NA")</f>
        <v>1.6387525402532438E-2</v>
      </c>
      <c r="P92" s="7">
        <v>2132.9500000000003</v>
      </c>
      <c r="Q92" s="8">
        <f>IFERROR(P92/P148, "NA")</f>
        <v>1.7078811072293431E-2</v>
      </c>
      <c r="R92" s="7">
        <v>1781.1299999999999</v>
      </c>
      <c r="S92" s="8">
        <f>IFERROR(R92/R148, "NA")</f>
        <v>1.402962452895685E-2</v>
      </c>
      <c r="T92" s="7">
        <v>2064.7399999999998</v>
      </c>
      <c r="U92" s="8">
        <f>IFERROR(T92/T148, "NA")</f>
        <v>1.6756096517855687E-2</v>
      </c>
      <c r="V92" s="7">
        <v>1726.78</v>
      </c>
      <c r="W92" s="8">
        <f>IFERROR(V92/V148, "NA")</f>
        <v>1.3525578192266895E-2</v>
      </c>
      <c r="X92" s="7">
        <v>1514.4299999999998</v>
      </c>
      <c r="Y92" s="8">
        <f>IFERROR(X92/X148, "NA")</f>
        <v>1.3706748548325331E-2</v>
      </c>
      <c r="Z92" s="7">
        <v>5305.9500000000007</v>
      </c>
      <c r="AA92" s="8">
        <f>IFERROR(Z92/Z148, "NA")</f>
        <v>1.4682513526109416E-2</v>
      </c>
      <c r="AB92" s="9">
        <f t="shared" si="36"/>
        <v>1771.77</v>
      </c>
      <c r="AC92" s="8">
        <f>IFERROR(AB92/AB148, "NA")</f>
        <v>1.4512778237197143E-2</v>
      </c>
      <c r="AD92" s="10">
        <f t="shared" si="37"/>
        <v>-257.34000000000015</v>
      </c>
      <c r="AE92" s="11">
        <f>IFERROR(AD92/AD148, "NA")</f>
        <v>2.219302037529524E-2</v>
      </c>
      <c r="AF92" s="10">
        <f t="shared" si="38"/>
        <v>-0.1452445859225521</v>
      </c>
      <c r="AG92" s="9">
        <f t="shared" si="39"/>
        <v>1981.5774999999999</v>
      </c>
      <c r="AH92" s="8">
        <f>IFERROR(AG92/AG148, "NA")</f>
        <v>1.5874663239881636E-2</v>
      </c>
      <c r="AI92" s="10">
        <f t="shared" si="40"/>
        <v>-467.14750000000004</v>
      </c>
      <c r="AJ92" s="11">
        <f>IFERROR(AI92/AI148, "NA")</f>
        <v>3.2579902350434793E-2</v>
      </c>
      <c r="AK92" s="10">
        <f t="shared" si="41"/>
        <v>-0.23574525851247305</v>
      </c>
      <c r="AL92" s="11">
        <f>IFERROR(AK92/AK148, "NA")</f>
        <v>2.0523208497793441</v>
      </c>
    </row>
    <row r="93" spans="1:38" ht="16.5" hidden="1" customHeight="1">
      <c r="A93" s="6" t="s">
        <v>102</v>
      </c>
      <c r="B93" s="7">
        <v>14078.039999999999</v>
      </c>
      <c r="C93" s="8">
        <f>IFERROR(B93/B148, "NA")</f>
        <v>9.4046401392614928E-2</v>
      </c>
      <c r="D93" s="7">
        <v>10165.449999999999</v>
      </c>
      <c r="E93" s="8">
        <f>IFERROR(D93/D148, "NA")</f>
        <v>8.2580602289359525E-2</v>
      </c>
      <c r="F93" s="7">
        <v>16819.82</v>
      </c>
      <c r="G93" s="8">
        <f>IFERROR(F93/F148, "NA")</f>
        <v>0.10004659770713585</v>
      </c>
      <c r="H93" s="7">
        <v>16379.620000000003</v>
      </c>
      <c r="I93" s="8">
        <f>IFERROR(H93/H148, "NA")</f>
        <v>9.8501444360547238E-2</v>
      </c>
      <c r="J93" s="7">
        <v>13171.34</v>
      </c>
      <c r="K93" s="8">
        <f>IFERROR(J93/J148, "NA")</f>
        <v>9.1409752393605742E-2</v>
      </c>
      <c r="L93" s="7">
        <v>8902.130000000001</v>
      </c>
      <c r="M93" s="8">
        <f>IFERROR(L93/L148, "NA")</f>
        <v>7.8531273154014952E-2</v>
      </c>
      <c r="N93" s="7">
        <v>10948.640000000001</v>
      </c>
      <c r="O93" s="8">
        <f>IFERROR(N93/N148, "NA")</f>
        <v>8.5576363920587789E-2</v>
      </c>
      <c r="P93" s="7">
        <v>11301.440000000002</v>
      </c>
      <c r="Q93" s="8">
        <f>IFERROR(P93/P148, "NA")</f>
        <v>9.0492115898103506E-2</v>
      </c>
      <c r="R93" s="7">
        <v>11272.529999999999</v>
      </c>
      <c r="S93" s="8">
        <f>IFERROR(R93/R148, "NA")</f>
        <v>8.8791589267151722E-2</v>
      </c>
      <c r="T93" s="7">
        <v>10970.989999999998</v>
      </c>
      <c r="U93" s="8">
        <f>IFERROR(T93/T148, "NA")</f>
        <v>8.9033470236654269E-2</v>
      </c>
      <c r="V93" s="7">
        <v>13335.71</v>
      </c>
      <c r="W93" s="8">
        <f>IFERROR(V93/V148, "NA")</f>
        <v>0.10445638028839548</v>
      </c>
      <c r="X93" s="7">
        <v>6803.24</v>
      </c>
      <c r="Y93" s="8">
        <f>IFERROR(X93/X148, "NA")</f>
        <v>6.1574519782300156E-2</v>
      </c>
      <c r="Z93" s="7">
        <v>31109.940000000002</v>
      </c>
      <c r="AA93" s="8">
        <f>IFERROR(Z93/Z148, "NA")</f>
        <v>8.6086773310425524E-2</v>
      </c>
      <c r="AB93" s="9">
        <f t="shared" si="36"/>
        <v>10595.617499999998</v>
      </c>
      <c r="AC93" s="8">
        <f>IFERROR(AB93/AB148, "NA")</f>
        <v>8.6789959793689461E-2</v>
      </c>
      <c r="AD93" s="10">
        <f t="shared" si="37"/>
        <v>-3792.3774999999987</v>
      </c>
      <c r="AE93" s="11">
        <f>IFERROR(AD93/AD148, "NA")</f>
        <v>0.32705491228845551</v>
      </c>
      <c r="AF93" s="10">
        <f t="shared" si="38"/>
        <v>-0.35791944169370016</v>
      </c>
      <c r="AG93" s="9">
        <f t="shared" si="39"/>
        <v>10838.252500000001</v>
      </c>
      <c r="AH93" s="8">
        <f>IFERROR(AG93/AG148, "NA")</f>
        <v>8.6826585660316216E-2</v>
      </c>
      <c r="AI93" s="10">
        <f t="shared" si="40"/>
        <v>-4035.0125000000007</v>
      </c>
      <c r="AJ93" s="11">
        <f>IFERROR(AI93/AI148, "NA")</f>
        <v>0.28141071767008019</v>
      </c>
      <c r="AK93" s="10">
        <f t="shared" si="41"/>
        <v>-0.37229364235609019</v>
      </c>
      <c r="AL93" s="11">
        <f>IFERROR(AK93/AK148, "NA")</f>
        <v>3.2410662647845889</v>
      </c>
    </row>
    <row r="94" spans="1:38" ht="16.5" hidden="1" customHeight="1">
      <c r="A94" s="6" t="s">
        <v>103</v>
      </c>
      <c r="B94" s="7">
        <v>3902.21</v>
      </c>
      <c r="C94" s="8">
        <f>IFERROR(B94/B148, "NA")</f>
        <v>2.6068174829612357E-2</v>
      </c>
      <c r="D94" s="7">
        <v>3352.45</v>
      </c>
      <c r="E94" s="8">
        <f>IFERROR(D94/D148, "NA")</f>
        <v>2.7234145084080227E-2</v>
      </c>
      <c r="F94" s="7">
        <v>4855.3999999999996</v>
      </c>
      <c r="G94" s="8">
        <f>IFERROR(F94/F148, "NA")</f>
        <v>2.8880585553663917E-2</v>
      </c>
      <c r="H94" s="7">
        <v>4400.92</v>
      </c>
      <c r="I94" s="8">
        <f>IFERROR(H94/H148, "NA")</f>
        <v>2.6465630858055283E-2</v>
      </c>
      <c r="J94" s="7">
        <v>3880.6099999999997</v>
      </c>
      <c r="K94" s="8">
        <f>IFERROR(J94/J148, "NA")</f>
        <v>2.6931625729511983E-2</v>
      </c>
      <c r="L94" s="7">
        <v>3070.28</v>
      </c>
      <c r="M94" s="8">
        <f>IFERROR(L94/L148, "NA")</f>
        <v>2.708486590729511E-2</v>
      </c>
      <c r="N94" s="7">
        <v>3448.5699999999997</v>
      </c>
      <c r="O94" s="8">
        <f>IFERROR(N94/N148, "NA")</f>
        <v>2.6954588088166326E-2</v>
      </c>
      <c r="P94" s="7">
        <v>3237.78</v>
      </c>
      <c r="Q94" s="8">
        <f>IFERROR(P94/P148, "NA")</f>
        <v>2.5925330136032359E-2</v>
      </c>
      <c r="R94" s="7">
        <v>3570.71</v>
      </c>
      <c r="S94" s="8">
        <f>IFERROR(R94/R148, "NA")</f>
        <v>2.8125808111587314E-2</v>
      </c>
      <c r="T94" s="7">
        <v>3353.83</v>
      </c>
      <c r="U94" s="8">
        <f>IFERROR(T94/T148, "NA")</f>
        <v>2.7217518517818194E-2</v>
      </c>
      <c r="V94" s="7">
        <v>3261.43</v>
      </c>
      <c r="W94" s="8">
        <f>IFERROR(V94/V148, "NA")</f>
        <v>2.5546234311032683E-2</v>
      </c>
      <c r="X94" s="7">
        <v>2264.17</v>
      </c>
      <c r="Y94" s="8">
        <f>IFERROR(X94/X148, "NA")</f>
        <v>2.0492468361470499E-2</v>
      </c>
      <c r="Z94" s="7">
        <v>8879.43</v>
      </c>
      <c r="AA94" s="8">
        <f>IFERROR(Z94/Z148, "NA")</f>
        <v>2.457097241382631E-2</v>
      </c>
      <c r="AB94" s="9">
        <f t="shared" si="36"/>
        <v>3112.5349999999999</v>
      </c>
      <c r="AC94" s="8">
        <f>IFERROR(AB94/AB148, "NA")</f>
        <v>2.5495143393620169E-2</v>
      </c>
      <c r="AD94" s="10">
        <f t="shared" si="37"/>
        <v>-848.36499999999978</v>
      </c>
      <c r="AE94" s="11">
        <f>IFERROR(AD94/AD148, "NA")</f>
        <v>7.3163059495948285E-2</v>
      </c>
      <c r="AF94" s="10">
        <f t="shared" si="38"/>
        <v>-0.27256400329634844</v>
      </c>
      <c r="AG94" s="9">
        <f t="shared" si="39"/>
        <v>3260.9224999999997</v>
      </c>
      <c r="AH94" s="8">
        <f>IFERROR(AG94/AG148, "NA")</f>
        <v>2.6123654784560746E-2</v>
      </c>
      <c r="AI94" s="10">
        <f t="shared" si="40"/>
        <v>-996.7524999999996</v>
      </c>
      <c r="AJ94" s="11">
        <f>IFERROR(AI94/AI148, "NA")</f>
        <v>6.9515729223749975E-2</v>
      </c>
      <c r="AK94" s="10">
        <f t="shared" si="41"/>
        <v>-0.3056658046917704</v>
      </c>
      <c r="AL94" s="11">
        <f>IFERROR(AK94/AK148, "NA")</f>
        <v>2.6610261771195294</v>
      </c>
    </row>
    <row r="95" spans="1:38" ht="16.5" hidden="1" customHeight="1">
      <c r="A95" s="6" t="s">
        <v>104</v>
      </c>
      <c r="B95" s="7">
        <v>4191.0099999999993</v>
      </c>
      <c r="C95" s="8">
        <f>IFERROR(B95/B148, "NA")</f>
        <v>2.7997463332996856E-2</v>
      </c>
      <c r="D95" s="7">
        <v>0</v>
      </c>
      <c r="E95" s="8">
        <f>IFERROR(D95/D148, "NA")</f>
        <v>0</v>
      </c>
      <c r="F95" s="7">
        <v>-1346</v>
      </c>
      <c r="G95" s="8">
        <f>IFERROR(F95/F148, "NA")</f>
        <v>-8.0061927246430024E-3</v>
      </c>
      <c r="H95" s="7">
        <v>0</v>
      </c>
      <c r="I95" s="8">
        <f>IFERROR(H95/H148, "NA")</f>
        <v>0</v>
      </c>
      <c r="J95" s="7">
        <v>4399.22</v>
      </c>
      <c r="K95" s="8">
        <f>IFERROR(J95/J148, "NA")</f>
        <v>3.0530804832689634E-2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4545.34</v>
      </c>
      <c r="S95" s="8">
        <f>IFERROR(R95/R148, "NA")</f>
        <v>3.5802784499979638E-2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1136.335</v>
      </c>
      <c r="AC95" s="8">
        <f>IFERROR(AB95/AB148, "NA")</f>
        <v>9.3078547769549179E-3</v>
      </c>
      <c r="AD95" s="10">
        <f t="shared" si="37"/>
        <v>-1136.335</v>
      </c>
      <c r="AE95" s="11">
        <f>IFERROR(AD95/AD148, "NA")</f>
        <v>9.7997613305980807E-2</v>
      </c>
      <c r="AF95" s="10">
        <f t="shared" si="38"/>
        <v>-1</v>
      </c>
      <c r="AG95" s="9">
        <f t="shared" si="39"/>
        <v>1118.0700000000002</v>
      </c>
      <c r="AH95" s="8">
        <f>IFERROR(AG95/AG148, "NA")</f>
        <v>8.9569975075991046E-3</v>
      </c>
      <c r="AI95" s="10">
        <f t="shared" si="40"/>
        <v>-1118.0700000000002</v>
      </c>
      <c r="AJ95" s="11">
        <f>IFERROR(AI95/AI148, "NA")</f>
        <v>7.7976680643588231E-2</v>
      </c>
      <c r="AK95" s="10">
        <f t="shared" si="41"/>
        <v>-1</v>
      </c>
      <c r="AL95" s="11">
        <f>IFERROR(AK95/AK148, "NA")</f>
        <v>8.7056718032390794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2400.5199999999995</v>
      </c>
      <c r="C97" s="8">
        <f>IFERROR(B97/B148, "NA")</f>
        <v>1.6036342237342696E-2</v>
      </c>
      <c r="D97" s="7">
        <v>4257.8100000000004</v>
      </c>
      <c r="E97" s="8">
        <f>IFERROR(D97/D148, "NA")</f>
        <v>3.4588976802173828E-2</v>
      </c>
      <c r="F97" s="7">
        <v>1030.69</v>
      </c>
      <c r="G97" s="8">
        <f>IFERROR(F97/F148, "NA")</f>
        <v>6.1306855715916025E-3</v>
      </c>
      <c r="H97" s="7">
        <v>3360.1200000000003</v>
      </c>
      <c r="I97" s="8">
        <f>IFERROR(H97/H148, "NA")</f>
        <v>2.0206614880245204E-2</v>
      </c>
      <c r="J97" s="7">
        <v>4481.1899999999996</v>
      </c>
      <c r="K97" s="8">
        <f>IFERROR(J97/J148, "NA")</f>
        <v>3.1099680695259715E-2</v>
      </c>
      <c r="L97" s="7">
        <v>671.29000000000008</v>
      </c>
      <c r="M97" s="8">
        <f>IFERROR(L97/L148, "NA")</f>
        <v>5.9218701991050121E-3</v>
      </c>
      <c r="N97" s="7">
        <v>888.5</v>
      </c>
      <c r="O97" s="8">
        <f>IFERROR(N97/N148, "NA")</f>
        <v>6.9446615601062994E-3</v>
      </c>
      <c r="P97" s="7">
        <v>2810.5199999999995</v>
      </c>
      <c r="Q97" s="8">
        <f>IFERROR(P97/P148, "NA")</f>
        <v>2.2504203143487712E-2</v>
      </c>
      <c r="R97" s="7">
        <v>4175.1000000000004</v>
      </c>
      <c r="S97" s="8">
        <f>IFERROR(R97/R148, "NA")</f>
        <v>3.2886473963634179E-2</v>
      </c>
      <c r="T97" s="7">
        <v>2628.29</v>
      </c>
      <c r="U97" s="8">
        <f>IFERROR(T97/T148, "NA")</f>
        <v>2.1329504400997183E-2</v>
      </c>
      <c r="V97" s="7">
        <v>2603.31</v>
      </c>
      <c r="W97" s="8">
        <f>IFERROR(V97/V148, "NA")</f>
        <v>2.0391290705075532E-2</v>
      </c>
      <c r="X97" s="7">
        <v>1276.05</v>
      </c>
      <c r="Y97" s="8">
        <f>IFERROR(X97/X148, "NA")</f>
        <v>1.1549227422258236E-2</v>
      </c>
      <c r="Z97" s="7">
        <v>6507.65</v>
      </c>
      <c r="AA97" s="8">
        <f>IFERROR(Z97/Z148, "NA")</f>
        <v>1.8007832555562327E-2</v>
      </c>
      <c r="AB97" s="9">
        <f t="shared" si="36"/>
        <v>2670.6875</v>
      </c>
      <c r="AC97" s="8">
        <f>IFERROR(AB97/AB148, "NA")</f>
        <v>2.1875918109209684E-2</v>
      </c>
      <c r="AD97" s="10">
        <f t="shared" si="37"/>
        <v>-1394.6375</v>
      </c>
      <c r="AE97" s="11">
        <f>IFERROR(AD97/AD148, "NA")</f>
        <v>0.12027363975149917</v>
      </c>
      <c r="AF97" s="10">
        <f t="shared" si="38"/>
        <v>-0.52220168027895442</v>
      </c>
      <c r="AG97" s="9">
        <f t="shared" si="39"/>
        <v>2441.78125</v>
      </c>
      <c r="AH97" s="8">
        <f>IFERROR(AG97/AG148, "NA")</f>
        <v>1.956141258628907E-2</v>
      </c>
      <c r="AI97" s="10">
        <f t="shared" si="40"/>
        <v>-1165.73125</v>
      </c>
      <c r="AJ97" s="11">
        <f>IFERROR(AI97/AI148, "NA")</f>
        <v>8.1300681887091955E-2</v>
      </c>
      <c r="AK97" s="10">
        <f t="shared" si="41"/>
        <v>-0.47741018979484751</v>
      </c>
      <c r="AL97" s="11">
        <f>IFERROR(AK97/AK148, "NA")</f>
        <v>4.1561764278760212</v>
      </c>
    </row>
    <row r="98" spans="1:38" ht="16.5" hidden="1" customHeight="1">
      <c r="A98" s="6" t="s">
        <v>107</v>
      </c>
      <c r="B98" s="7">
        <v>4059.21</v>
      </c>
      <c r="C98" s="8">
        <f>IFERROR(B98/B148, "NA")</f>
        <v>2.7116991640662797E-2</v>
      </c>
      <c r="D98" s="7">
        <v>2003.01</v>
      </c>
      <c r="E98" s="8">
        <f>IFERROR(D98/D148, "NA")</f>
        <v>1.6271760934499706E-2</v>
      </c>
      <c r="F98" s="7">
        <v>3628.75</v>
      </c>
      <c r="G98" s="8">
        <f>IFERROR(F98/F148, "NA")</f>
        <v>2.1584303008579712E-2</v>
      </c>
      <c r="H98" s="7">
        <v>9114.1000000000022</v>
      </c>
      <c r="I98" s="8">
        <f>IFERROR(H98/H148, "NA")</f>
        <v>5.4809086782627664E-2</v>
      </c>
      <c r="J98" s="7">
        <v>4443.0499999999993</v>
      </c>
      <c r="K98" s="8">
        <f>IFERROR(J98/J148, "NA")</f>
        <v>3.0834987204977619E-2</v>
      </c>
      <c r="L98" s="7">
        <v>1622.7</v>
      </c>
      <c r="M98" s="8">
        <f>IFERROR(L98/L148, "NA")</f>
        <v>1.4314854641194866E-2</v>
      </c>
      <c r="N98" s="7">
        <v>3459.4299999999994</v>
      </c>
      <c r="O98" s="8">
        <f>IFERROR(N98/N148, "NA")</f>
        <v>2.7039471627325305E-2</v>
      </c>
      <c r="P98" s="7">
        <v>10094.550000000001</v>
      </c>
      <c r="Q98" s="8">
        <f>IFERROR(P98/P148, "NA")</f>
        <v>8.0828388996375747E-2</v>
      </c>
      <c r="R98" s="7">
        <v>5050.13</v>
      </c>
      <c r="S98" s="8">
        <f>IFERROR(R98/R148, "NA")</f>
        <v>3.9778919967897265E-2</v>
      </c>
      <c r="T98" s="7">
        <v>2184.6799999999998</v>
      </c>
      <c r="U98" s="8">
        <f>IFERROR(T98/T148, "NA")</f>
        <v>1.7729452105654447E-2</v>
      </c>
      <c r="V98" s="7">
        <v>2770.1299999999997</v>
      </c>
      <c r="W98" s="8">
        <f>IFERROR(V98/V148, "NA")</f>
        <v>2.1697963792575943E-2</v>
      </c>
      <c r="X98" s="7">
        <v>3830.2799999999993</v>
      </c>
      <c r="Y98" s="8">
        <f>IFERROR(X98/X148, "NA")</f>
        <v>3.4666960394128185E-2</v>
      </c>
      <c r="Z98" s="7">
        <v>8785.09</v>
      </c>
      <c r="AA98" s="8">
        <f>IFERROR(Z98/Z148, "NA")</f>
        <v>2.430991674499167E-2</v>
      </c>
      <c r="AB98" s="9">
        <f t="shared" si="36"/>
        <v>3458.8049999999994</v>
      </c>
      <c r="AC98" s="8">
        <f>IFERROR(AB98/AB148, "NA")</f>
        <v>2.8331482038136242E-2</v>
      </c>
      <c r="AD98" s="10">
        <f t="shared" si="37"/>
        <v>371.47499999999991</v>
      </c>
      <c r="AE98" s="11">
        <f>IFERROR(AD98/AD148, "NA")</f>
        <v>-3.2036031102482286E-2</v>
      </c>
      <c r="AF98" s="10">
        <f t="shared" si="38"/>
        <v>0.10739981005000281</v>
      </c>
      <c r="AG98" s="9">
        <f t="shared" si="39"/>
        <v>4181.8687500000005</v>
      </c>
      <c r="AH98" s="8">
        <f>IFERROR(AG98/AG148, "NA")</f>
        <v>3.3501469470477323E-2</v>
      </c>
      <c r="AI98" s="10">
        <f t="shared" si="40"/>
        <v>-351.58875000000126</v>
      </c>
      <c r="AJ98" s="11">
        <f>IFERROR(AI98/AI148, "NA")</f>
        <v>2.4520578923169816E-2</v>
      </c>
      <c r="AK98" s="10">
        <f t="shared" si="41"/>
        <v>-8.4074553989768624E-2</v>
      </c>
      <c r="AL98" s="11">
        <f>IFERROR(AK98/AK148, "NA")</f>
        <v>0.7319254740386304</v>
      </c>
    </row>
    <row r="99" spans="1:38" ht="16.5" hidden="1" customHeight="1">
      <c r="A99" s="12" t="s">
        <v>108</v>
      </c>
      <c r="B99" s="13">
        <f>IFERROR(B90+B91+B92+B93+B94+B95+B96+B97+B98, "NA")</f>
        <v>44710.859999999993</v>
      </c>
      <c r="C99" s="14">
        <f>IFERROR(B99/B148, "NA")</f>
        <v>0.29868472359568599</v>
      </c>
      <c r="D99" s="13">
        <f>IFERROR(D90+D91+D92+D93+D94+D95+D96+D97+D98, "NA")</f>
        <v>34168.03</v>
      </c>
      <c r="E99" s="14">
        <f>IFERROR(D99/D148, "NA")</f>
        <v>0.27756926613587252</v>
      </c>
      <c r="F99" s="13">
        <f>IFERROR(F90+F91+F92+F93+F94+F95+F96+F97+F98, "NA")</f>
        <v>42574.530000000006</v>
      </c>
      <c r="G99" s="14">
        <f>IFERROR(F99/F148, "NA")</f>
        <v>0.25323914735594005</v>
      </c>
      <c r="H99" s="13">
        <f>IFERROR(H90+H91+H92+H93+H94+H95+H96+H97+H98, "NA")</f>
        <v>51448.780000000013</v>
      </c>
      <c r="I99" s="14">
        <f>IFERROR(H99/H148, "NA")</f>
        <v>0.30939540359227113</v>
      </c>
      <c r="J99" s="13">
        <f>IFERROR(J90+J91+J92+J93+J94+J95+J96+J97+J98, "NA")</f>
        <v>40020.930000000008</v>
      </c>
      <c r="K99" s="14">
        <f>IFERROR(J99/J148, "NA")</f>
        <v>0.27774723770412341</v>
      </c>
      <c r="L99" s="13">
        <f>IFERROR(L90+L91+L92+L93+L94+L95+L96+L97+L98, "NA")</f>
        <v>23062.52</v>
      </c>
      <c r="M99" s="14">
        <f>IFERROR(L99/L148, "NA")</f>
        <v>0.20344895634414828</v>
      </c>
      <c r="N99" s="13">
        <f>IFERROR(N90+N91+N92+N93+N94+N95+N96+N97+N98, "NA")</f>
        <v>26463.86</v>
      </c>
      <c r="O99" s="14">
        <f>IFERROR(N99/N148, "NA")</f>
        <v>0.20684586524933563</v>
      </c>
      <c r="P99" s="13">
        <f>IFERROR(P90+P91+P92+P93+P94+P95+P96+P97+P98, "NA")</f>
        <v>38687.360000000001</v>
      </c>
      <c r="Q99" s="14">
        <f>IFERROR(P99/P148, "NA")</f>
        <v>0.30977477780810703</v>
      </c>
      <c r="R99" s="13">
        <f>IFERROR(R90+R91+R92+R93+R94+R95+R96+R97+R98, "NA")</f>
        <v>39945.82</v>
      </c>
      <c r="S99" s="14">
        <f>IFERROR(R99/R148, "NA")</f>
        <v>0.3146456778007754</v>
      </c>
      <c r="T99" s="13">
        <f>IFERROR(T90+T91+T92+T93+T94+T95+T96+T97+T98, "NA")</f>
        <v>30533.53</v>
      </c>
      <c r="U99" s="14">
        <f>IFERROR(T99/T148, "NA")</f>
        <v>0.24779041221211492</v>
      </c>
      <c r="V99" s="13">
        <f>IFERROR(V90+V91+V92+V93+V94+V95+V96+V97+V98, "NA")</f>
        <v>30005.86</v>
      </c>
      <c r="W99" s="14">
        <f>IFERROR(V99/V148, "NA")</f>
        <v>0.23503086997545347</v>
      </c>
      <c r="X99" s="13">
        <f>IFERROR(X90+X91+X92+X93+X94+X95+X96+X97+X98, "NA")</f>
        <v>19374.18</v>
      </c>
      <c r="Y99" s="14">
        <f>IFERROR(X99/X148, "NA")</f>
        <v>0.17535113117806284</v>
      </c>
      <c r="Z99" s="13">
        <f>IFERROR(Z90+Z91+Z92+Z93+Z94+Z95+Z96+Z97+Z98, "NA")</f>
        <v>79913.570000000007</v>
      </c>
      <c r="AA99" s="14">
        <f>IFERROR(Z99/Z148, "NA")</f>
        <v>0.22113515439170961</v>
      </c>
      <c r="AB99" s="13">
        <f t="shared" si="36"/>
        <v>29964.847500000003</v>
      </c>
      <c r="AC99" s="14">
        <f>IFERROR(AB99/AB148, "NA")</f>
        <v>0.24544562030000014</v>
      </c>
      <c r="AD99" s="15">
        <f t="shared" si="37"/>
        <v>-10590.667500000003</v>
      </c>
      <c r="AE99" s="16">
        <f>IFERROR(AD99/AD148, "NA")</f>
        <v>0.91333993788558732</v>
      </c>
      <c r="AF99" s="15">
        <f t="shared" si="38"/>
        <v>-0.353436389088915</v>
      </c>
      <c r="AG99" s="13">
        <f t="shared" si="39"/>
        <v>31011.7575</v>
      </c>
      <c r="AH99" s="14">
        <f>IFERROR(AG99/AG148, "NA")</f>
        <v>0.24843903747866214</v>
      </c>
      <c r="AI99" s="15">
        <f t="shared" si="40"/>
        <v>-11637.577499999999</v>
      </c>
      <c r="AJ99" s="16">
        <f>IFERROR(AI99/AI148, "NA")</f>
        <v>0.81163045621697016</v>
      </c>
      <c r="AK99" s="15">
        <f t="shared" si="41"/>
        <v>-0.37526339808377512</v>
      </c>
      <c r="AL99" s="16">
        <f>IFERROR(AK99/AK148, "NA")</f>
        <v>3.2669199834856033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31250.300000000039</v>
      </c>
      <c r="C101" s="34">
        <f>IFERROR(B101/B148, "NA")</f>
        <v>0.20876331204057089</v>
      </c>
      <c r="D101" s="33">
        <f>IFERROR(D87-D99, "NA")</f>
        <v>25865.290000000037</v>
      </c>
      <c r="E101" s="34">
        <f>IFERROR(D101/D148, "NA")</f>
        <v>0.21012067607326299</v>
      </c>
      <c r="F101" s="33">
        <f>IFERROR(F87-F99, "NA")</f>
        <v>48536.72999999996</v>
      </c>
      <c r="G101" s="34">
        <f>IFERROR(F101/F148, "NA")</f>
        <v>0.28870313120650926</v>
      </c>
      <c r="H101" s="33">
        <f>IFERROR(H87-H99, "NA")</f>
        <v>35384.599999999919</v>
      </c>
      <c r="I101" s="34">
        <f>IFERROR(H101/H148, "NA")</f>
        <v>0.21279090773291512</v>
      </c>
      <c r="J101" s="33">
        <f>IFERROR(J87-J99, "NA")</f>
        <v>36662.170000000086</v>
      </c>
      <c r="K101" s="34">
        <f>IFERROR(J101/J148, "NA")</f>
        <v>0.25443727683836942</v>
      </c>
      <c r="L101" s="33">
        <f>IFERROR(L87-L99, "NA")</f>
        <v>26736.110000000026</v>
      </c>
      <c r="M101" s="34">
        <f>IFERROR(L101/L148, "NA")</f>
        <v>0.23585599822579456</v>
      </c>
      <c r="N101" s="33">
        <f>IFERROR(N87-N99, "NA")</f>
        <v>35119.899999999951</v>
      </c>
      <c r="O101" s="34">
        <f>IFERROR(N101/N148, "NA")</f>
        <v>0.2745028919806155</v>
      </c>
      <c r="P101" s="33">
        <f>IFERROR(P87-P99, "NA")</f>
        <v>19339.02000000004</v>
      </c>
      <c r="Q101" s="34">
        <f>IFERROR(P101/P148, "NA")</f>
        <v>0.1548500756713963</v>
      </c>
      <c r="R101" s="33">
        <f>IFERROR(R87-R99, "NA")</f>
        <v>22669.489999999983</v>
      </c>
      <c r="S101" s="34">
        <f>IFERROR(R101/R148, "NA")</f>
        <v>0.17856329013768887</v>
      </c>
      <c r="T101" s="33">
        <f>IFERROR(T87-T99, "NA")</f>
        <v>31155.320000000029</v>
      </c>
      <c r="U101" s="34">
        <f>IFERROR(T101/T148, "NA")</f>
        <v>0.25283645832631718</v>
      </c>
      <c r="V101" s="33">
        <f>IFERROR(V87-V99, "NA")</f>
        <v>34419.83</v>
      </c>
      <c r="W101" s="34">
        <f>IFERROR(V101/V148, "NA")</f>
        <v>0.26960475684773616</v>
      </c>
      <c r="X101" s="33">
        <f>IFERROR(X87-X99, "NA")</f>
        <v>30810.679999999986</v>
      </c>
      <c r="Y101" s="34">
        <f>IFERROR(X101/X148, "NA")</f>
        <v>0.27886019384383309</v>
      </c>
      <c r="Z101" s="33">
        <f>IFERROR(Z87-Z99, "NA")</f>
        <v>96385.830000000075</v>
      </c>
      <c r="AA101" s="34">
        <f>IFERROR(Z101/Z148, "NA")</f>
        <v>0.26671684669103246</v>
      </c>
      <c r="AB101" s="33">
        <f>IFERROR((R101+T101+V101+X101)/4, "NA")</f>
        <v>29763.83</v>
      </c>
      <c r="AC101" s="34">
        <f>IFERROR(AB101/AB148, "NA")</f>
        <v>0.24379906211282246</v>
      </c>
      <c r="AD101" s="15">
        <f>IFERROR(X101-AB101, "NA")</f>
        <v>1046.849999999984</v>
      </c>
      <c r="AE101" s="16">
        <f>IFERROR(AD101/AD148, "NA")</f>
        <v>-9.0280420377234216E-2</v>
      </c>
      <c r="AF101" s="15">
        <f>IFERROR((X101-AB101)/AB101, "NA")</f>
        <v>3.5171884801115445E-2</v>
      </c>
      <c r="AG101" s="33">
        <f>IFERROR((J101+L101+N101+P101+R101+T101+V101+X101)/8, "NA")</f>
        <v>29614.065000000017</v>
      </c>
      <c r="AH101" s="34">
        <f>IFERROR(AG101/AG148, "NA")</f>
        <v>0.2372419494261343</v>
      </c>
      <c r="AI101" s="15">
        <f>IFERROR(X101-AG101, "NA")</f>
        <v>1196.6149999999689</v>
      </c>
      <c r="AJ101" s="16">
        <f>IFERROR(AI101/AI148, "NA")</f>
        <v>-8.3454583083639566E-2</v>
      </c>
      <c r="AK101" s="15">
        <f>IFERROR((X101-AG101)/AG101, "NA")</f>
        <v>4.0406982290339684E-2</v>
      </c>
      <c r="AL101" s="16">
        <f>IFERROR(AK101/AK148, "NA")</f>
        <v>-0.35176992637899107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82425.87999999999</v>
      </c>
      <c r="C104" s="34">
        <f>IFERROR(B104/B148, "NA")</f>
        <v>0.5506347045199127</v>
      </c>
      <c r="D104" s="39">
        <v>-5101.42</v>
      </c>
      <c r="E104" s="34">
        <f>IFERROR(D104/D148, "NA")</f>
        <v>-4.1442172863078816E-2</v>
      </c>
      <c r="F104" s="39">
        <v>0</v>
      </c>
      <c r="G104" s="34">
        <f>IFERROR(F104/F148, "NA")</f>
        <v>0</v>
      </c>
      <c r="H104" s="39">
        <v>14531</v>
      </c>
      <c r="I104" s="34">
        <f>IFERROR(H104/H148, "NA")</f>
        <v>8.7384474609491045E-2</v>
      </c>
      <c r="J104" s="39">
        <v>72267.219999999987</v>
      </c>
      <c r="K104" s="34">
        <f>IFERROR(J104/J148, "NA")</f>
        <v>0.50153808848410497</v>
      </c>
      <c r="L104" s="39">
        <v>-8450.15</v>
      </c>
      <c r="M104" s="34">
        <f>IFERROR(L104/L148, "NA")</f>
        <v>-7.4544074040976641E-2</v>
      </c>
      <c r="N104" s="39">
        <v>0</v>
      </c>
      <c r="O104" s="34">
        <f>IFERROR(N104/N148, "NA")</f>
        <v>0</v>
      </c>
      <c r="P104" s="39">
        <v>14933.440000000002</v>
      </c>
      <c r="Q104" s="34">
        <f>IFERROR(P104/P148, "NA")</f>
        <v>0.11957401740285971</v>
      </c>
      <c r="R104" s="39">
        <v>74446.34</v>
      </c>
      <c r="S104" s="34">
        <f>IFERROR(R104/R148, "NA")</f>
        <v>0.58639975619694318</v>
      </c>
      <c r="T104" s="39">
        <v>-8748.61</v>
      </c>
      <c r="U104" s="34">
        <f>IFERROR(T104/T148, "NA")</f>
        <v>-7.0998069276072273E-2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-8748.61</v>
      </c>
      <c r="AA104" s="34">
        <f>IFERROR(Z104/Z148, "NA")</f>
        <v>-2.4208970054308103E-2</v>
      </c>
      <c r="AB104" s="33">
        <f>IFERROR((R104+T104+V104+X104)/4, "NA")</f>
        <v>16424.432499999999</v>
      </c>
      <c r="AC104" s="34">
        <f>IFERROR(AB104/AB148, "NA")</f>
        <v>0.13453447487219755</v>
      </c>
      <c r="AD104" s="15">
        <f>IFERROR(X104-AB104, "NA")</f>
        <v>-16424.432499999999</v>
      </c>
      <c r="AE104" s="16">
        <f>IFERROR(AD104/AD148, "NA")</f>
        <v>1.4164442571118407</v>
      </c>
      <c r="AF104" s="15">
        <f>IFERROR((X104-AB104)/AB104, "NA")</f>
        <v>-1</v>
      </c>
      <c r="AG104" s="33">
        <f>IFERROR((J104+L104+N104+P104+R104+T104+V104+X104)/8, "NA")</f>
        <v>18056.03</v>
      </c>
      <c r="AH104" s="34">
        <f>IFERROR(AG104/AG148, "NA")</f>
        <v>0.14464909684289412</v>
      </c>
      <c r="AI104" s="15">
        <f>IFERROR(X104-AG104, "NA")</f>
        <v>-18056.03</v>
      </c>
      <c r="AJ104" s="16">
        <f>IFERROR(AI104/AI148, "NA")</f>
        <v>1.2592675637491821</v>
      </c>
      <c r="AK104" s="15">
        <f>IFERROR((X104-AG104)/AG104, "NA")</f>
        <v>-1</v>
      </c>
      <c r="AL104" s="16">
        <f>IFERROR(AK104/AK148, "NA")</f>
        <v>8.7056718032390794</v>
      </c>
    </row>
    <row r="105" spans="1:38" ht="16.5" hidden="1" customHeight="1">
      <c r="A105" s="12" t="s">
        <v>112</v>
      </c>
      <c r="B105" s="13">
        <f>IFERROR(B104, "NA")</f>
        <v>82425.87999999999</v>
      </c>
      <c r="C105" s="14">
        <f>IFERROR(B105/B148, "NA")</f>
        <v>0.5506347045199127</v>
      </c>
      <c r="D105" s="13">
        <f>IFERROR(D104, "NA")</f>
        <v>-5101.42</v>
      </c>
      <c r="E105" s="14">
        <f>IFERROR(D105/D148, "NA")</f>
        <v>-4.1442172863078816E-2</v>
      </c>
      <c r="F105" s="13">
        <f>IFERROR(F104, "NA")</f>
        <v>0</v>
      </c>
      <c r="G105" s="14">
        <f>IFERROR(F105/F148, "NA")</f>
        <v>0</v>
      </c>
      <c r="H105" s="13">
        <f>IFERROR(H104, "NA")</f>
        <v>14531</v>
      </c>
      <c r="I105" s="14">
        <f>IFERROR(H105/H148, "NA")</f>
        <v>8.7384474609491045E-2</v>
      </c>
      <c r="J105" s="13">
        <f>IFERROR(J104, "NA")</f>
        <v>72267.219999999987</v>
      </c>
      <c r="K105" s="14">
        <f>IFERROR(J105/J148, "NA")</f>
        <v>0.50153808848410497</v>
      </c>
      <c r="L105" s="13">
        <f>IFERROR(L104, "NA")</f>
        <v>-8450.15</v>
      </c>
      <c r="M105" s="14">
        <f>IFERROR(L105/L148, "NA")</f>
        <v>-7.4544074040976641E-2</v>
      </c>
      <c r="N105" s="13">
        <f>IFERROR(N104, "NA")</f>
        <v>0</v>
      </c>
      <c r="O105" s="14">
        <f>IFERROR(N105/N148, "NA")</f>
        <v>0</v>
      </c>
      <c r="P105" s="13">
        <f>IFERROR(P104, "NA")</f>
        <v>14933.440000000002</v>
      </c>
      <c r="Q105" s="14">
        <f>IFERROR(P105/P148, "NA")</f>
        <v>0.11957401740285971</v>
      </c>
      <c r="R105" s="13">
        <f>IFERROR(R104, "NA")</f>
        <v>74446.34</v>
      </c>
      <c r="S105" s="14">
        <f>IFERROR(R105/R148, "NA")</f>
        <v>0.58639975619694318</v>
      </c>
      <c r="T105" s="13">
        <f>IFERROR(T104, "NA")</f>
        <v>-8748.61</v>
      </c>
      <c r="U105" s="14">
        <f>IFERROR(T105/T148, "NA")</f>
        <v>-7.0998069276072273E-2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-8748.61</v>
      </c>
      <c r="AA105" s="14">
        <f>IFERROR(Z105/Z148, "NA")</f>
        <v>-2.4208970054308103E-2</v>
      </c>
      <c r="AB105" s="13">
        <f>IFERROR((R105+T105+V105+X105)/4, "NA")</f>
        <v>16424.432499999999</v>
      </c>
      <c r="AC105" s="14">
        <f>IFERROR(AB105/AB148, "NA")</f>
        <v>0.13453447487219755</v>
      </c>
      <c r="AD105" s="15">
        <f>IFERROR(X105-AB105, "NA")</f>
        <v>-16424.432499999999</v>
      </c>
      <c r="AE105" s="16">
        <f>IFERROR(AD105/AD148, "NA")</f>
        <v>1.4164442571118407</v>
      </c>
      <c r="AF105" s="15">
        <f>IFERROR((X105-AB105)/AB105, "NA")</f>
        <v>-1</v>
      </c>
      <c r="AG105" s="13">
        <f>IFERROR((J105+L105+N105+P105+R105+T105+V105+X105)/8, "NA")</f>
        <v>18056.03</v>
      </c>
      <c r="AH105" s="14">
        <f>IFERROR(AG105/AG148, "NA")</f>
        <v>0.14464909684289412</v>
      </c>
      <c r="AI105" s="15">
        <f>IFERROR(X105-AG105, "NA")</f>
        <v>-18056.03</v>
      </c>
      <c r="AJ105" s="16">
        <f>IFERROR(AI105/AI148, "NA")</f>
        <v>1.2592675637491821</v>
      </c>
      <c r="AK105" s="15">
        <f>IFERROR((X105-AG105)/AG105, "NA")</f>
        <v>-1</v>
      </c>
      <c r="AL105" s="16">
        <f>IFERROR(AK105/AK148, "NA")</f>
        <v>8.7056718032390794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-51175.579999999951</v>
      </c>
      <c r="C107" s="34">
        <f>IFERROR(B107/B148, "NA")</f>
        <v>-0.34187139247934178</v>
      </c>
      <c r="D107" s="33">
        <f>IFERROR(D87-D99-D105, "NA")</f>
        <v>30966.710000000036</v>
      </c>
      <c r="E107" s="34">
        <f>IFERROR(D107/D148, "NA")</f>
        <v>0.25156284893634179</v>
      </c>
      <c r="F107" s="33">
        <f>IFERROR(F87-F99-F105, "NA")</f>
        <v>48536.72999999996</v>
      </c>
      <c r="G107" s="34">
        <f>IFERROR(F107/F148, "NA")</f>
        <v>0.28870313120650926</v>
      </c>
      <c r="H107" s="33">
        <f>IFERROR(H87-H99-H105, "NA")</f>
        <v>20853.599999999919</v>
      </c>
      <c r="I107" s="34">
        <f>IFERROR(H107/H148, "NA")</f>
        <v>0.12540643312342409</v>
      </c>
      <c r="J107" s="33">
        <f>IFERROR(J87-J99-J105, "NA")</f>
        <v>-35605.049999999901</v>
      </c>
      <c r="K107" s="34">
        <f>IFERROR(J107/J148, "NA")</f>
        <v>-0.24710081164573561</v>
      </c>
      <c r="L107" s="33">
        <f>IFERROR(L87-L99-L105, "NA")</f>
        <v>35186.260000000024</v>
      </c>
      <c r="M107" s="34">
        <f>IFERROR(L107/L148, "NA")</f>
        <v>0.31040007226677119</v>
      </c>
      <c r="N107" s="33">
        <f>IFERROR(N87-N99-N105, "NA")</f>
        <v>35119.899999999951</v>
      </c>
      <c r="O107" s="34">
        <f>IFERROR(N107/N148, "NA")</f>
        <v>0.2745028919806155</v>
      </c>
      <c r="P107" s="33">
        <f>IFERROR(P87-P99-P105, "NA")</f>
        <v>4405.5800000000381</v>
      </c>
      <c r="Q107" s="34">
        <f>IFERROR(P107/P148, "NA")</f>
        <v>3.5276058268536595E-2</v>
      </c>
      <c r="R107" s="33">
        <f>IFERROR(R87-R99-R105, "NA")</f>
        <v>-51776.850000000013</v>
      </c>
      <c r="S107" s="34">
        <f>IFERROR(R107/R148, "NA")</f>
        <v>-0.40783646605925433</v>
      </c>
      <c r="T107" s="33">
        <f>IFERROR(T87-T99-T105, "NA")</f>
        <v>39903.930000000029</v>
      </c>
      <c r="U107" s="34">
        <f>IFERROR(T107/T148, "NA")</f>
        <v>0.32383452760238945</v>
      </c>
      <c r="V107" s="33">
        <f>IFERROR(V87-V99-V105, "NA")</f>
        <v>34419.83</v>
      </c>
      <c r="W107" s="34">
        <f>IFERROR(V107/V148, "NA")</f>
        <v>0.26960475684773616</v>
      </c>
      <c r="X107" s="33">
        <f>IFERROR(X87-X99-X105, "NA")</f>
        <v>30810.679999999986</v>
      </c>
      <c r="Y107" s="34">
        <f>IFERROR(X107/X148, "NA")</f>
        <v>0.27886019384383309</v>
      </c>
      <c r="Z107" s="33">
        <f>IFERROR(Z87-Z99-Z105, "NA")</f>
        <v>105134.44000000008</v>
      </c>
      <c r="AA107" s="34">
        <f>IFERROR(Z107/Z148, "NA")</f>
        <v>0.29092581674534057</v>
      </c>
      <c r="AB107" s="33">
        <f>IFERROR((R107+T107+V107+X107)/4, "NA")</f>
        <v>13339.397500000001</v>
      </c>
      <c r="AC107" s="34">
        <f>IFERROR(AB107/AB148, "NA")</f>
        <v>0.10926458724062491</v>
      </c>
      <c r="AD107" s="15">
        <f>IFERROR(X107-AB107, "NA")</f>
        <v>17471.282499999987</v>
      </c>
      <c r="AE107" s="16">
        <f>IFERROR(AD107/AD148, "NA")</f>
        <v>-1.5067246774890752</v>
      </c>
      <c r="AF107" s="15">
        <f>IFERROR((X107-AB107)/AB107, "NA")</f>
        <v>1.3097504966022631</v>
      </c>
      <c r="AG107" s="33">
        <f>IFERROR((J107+L107+N107+P107+R107+T107+V107+X107)/8, "NA")</f>
        <v>11558.035000000014</v>
      </c>
      <c r="AH107" s="34">
        <f>IFERROR(AG107/AG148, "NA")</f>
        <v>9.2592852583240154E-2</v>
      </c>
      <c r="AI107" s="15">
        <f>IFERROR(X107-AG107, "NA")</f>
        <v>19252.644999999971</v>
      </c>
      <c r="AJ107" s="16">
        <f>IFERROR(AI107/AI148, "NA")</f>
        <v>-1.3427221468328221</v>
      </c>
      <c r="AK107" s="15">
        <f>IFERROR((X107-AG107)/AG107, "NA")</f>
        <v>1.6657368661714511</v>
      </c>
      <c r="AL107" s="16">
        <f>IFERROR(AK107/AK148, "NA")</f>
        <v>-14.50135846744463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-8290.7000000000007</v>
      </c>
      <c r="C128" s="8">
        <f>IFERROR(B128/B148, "NA")</f>
        <v>-5.538487602150248E-2</v>
      </c>
      <c r="D128" s="7">
        <v>1635.1200000000003</v>
      </c>
      <c r="E128" s="8">
        <f>IFERROR(D128/D148, "NA")</f>
        <v>1.3283149729267035E-2</v>
      </c>
      <c r="F128" s="7">
        <v>1789.2500000000002</v>
      </c>
      <c r="G128" s="8">
        <f>IFERROR(F128/F148, "NA")</f>
        <v>1.0642704556142269E-2</v>
      </c>
      <c r="H128" s="7">
        <v>1861.8899999999999</v>
      </c>
      <c r="I128" s="8">
        <f>IFERROR(H128/H148, "NA")</f>
        <v>1.1196771002041516E-2</v>
      </c>
      <c r="J128" s="7">
        <v>-5286.26</v>
      </c>
      <c r="K128" s="8">
        <f>IFERROR(J128/J148, "NA")</f>
        <v>-3.6686906395873339E-2</v>
      </c>
      <c r="L128" s="7">
        <v>1674.1300000000003</v>
      </c>
      <c r="M128" s="8">
        <f>IFERROR(L128/L148, "NA")</f>
        <v>1.4768550933914812E-2</v>
      </c>
      <c r="N128" s="7">
        <v>1479.12</v>
      </c>
      <c r="O128" s="8">
        <f>IFERROR(N128/N148, "NA")</f>
        <v>1.1561044239487259E-2</v>
      </c>
      <c r="P128" s="7">
        <v>1840.5500000000002</v>
      </c>
      <c r="Q128" s="8">
        <f>IFERROR(P128/P148, "NA")</f>
        <v>1.4737525830005238E-2</v>
      </c>
      <c r="R128" s="7">
        <v>-4993.8000000000011</v>
      </c>
      <c r="S128" s="8">
        <f>IFERROR(R128/R148, "NA")</f>
        <v>-3.9335219199443459E-2</v>
      </c>
      <c r="T128" s="7">
        <v>2098.4700000000003</v>
      </c>
      <c r="U128" s="8">
        <f>IFERROR(T128/T148, "NA")</f>
        <v>1.7029827416442083E-2</v>
      </c>
      <c r="V128" s="7">
        <v>2331</v>
      </c>
      <c r="W128" s="8">
        <f>IFERROR(V128/V148, "NA")</f>
        <v>1.8258332136215461E-2</v>
      </c>
      <c r="X128" s="7">
        <v>2111.77</v>
      </c>
      <c r="Y128" s="8">
        <f>IFERROR(X128/X148, "NA")</f>
        <v>1.9113131925474921E-2</v>
      </c>
      <c r="Z128" s="7">
        <v>6541.2400000000007</v>
      </c>
      <c r="AA128" s="8">
        <f>IFERROR(Z128/Z148, "NA")</f>
        <v>1.8100782098875404E-2</v>
      </c>
      <c r="AB128" s="9">
        <f t="shared" si="42"/>
        <v>386.85999999999979</v>
      </c>
      <c r="AC128" s="8">
        <f>IFERROR(AB128/AB148, "NA")</f>
        <v>3.1688161492982067E-3</v>
      </c>
      <c r="AD128" s="10">
        <f t="shared" si="43"/>
        <v>1724.9100000000003</v>
      </c>
      <c r="AE128" s="11">
        <f>IFERROR(AD128/AD148, "NA")</f>
        <v>-0.1487563642478841</v>
      </c>
      <c r="AF128" s="10">
        <f t="shared" si="44"/>
        <v>4.4587447655482633</v>
      </c>
      <c r="AG128" s="9">
        <f t="shared" si="45"/>
        <v>156.87249999999989</v>
      </c>
      <c r="AH128" s="8">
        <f>IFERROR(AG128/AG148, "NA")</f>
        <v>1.2567250632883802E-3</v>
      </c>
      <c r="AI128" s="10">
        <f t="shared" si="46"/>
        <v>1954.8975</v>
      </c>
      <c r="AJ128" s="11">
        <f>IFERROR(AI128/AI148, "NA")</f>
        <v>-0.13633888580182726</v>
      </c>
      <c r="AK128" s="10">
        <f t="shared" si="47"/>
        <v>12.46169660074265</v>
      </c>
      <c r="AL128" s="11">
        <f>IFERROR(AK128/AK148, "NA")</f>
        <v>-108.48744071760558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-8290.7000000000007</v>
      </c>
      <c r="C135" s="14">
        <f>IFERROR(B135/B148, "NA")</f>
        <v>-5.538487602150248E-2</v>
      </c>
      <c r="D135" s="13">
        <f>IFERROR(D110+D111+D112+D113+D114+D115+D116+D117+D118+D119+D120+D121+D122+D123+D124+D125+D126+D127+D128+D129+D130+D131+D132+D133+D134, "NA")</f>
        <v>1635.1200000000003</v>
      </c>
      <c r="E135" s="14">
        <f>IFERROR(D135/D148, "NA")</f>
        <v>1.3283149729267035E-2</v>
      </c>
      <c r="F135" s="13">
        <f>IFERROR(F110+F111+F112+F113+F114+F115+F116+F117+F118+F119+F120+F121+F122+F123+F124+F125+F126+F127+F128+F129+F130+F131+F132+F133+F134, "NA")</f>
        <v>1789.2500000000002</v>
      </c>
      <c r="G135" s="14">
        <f>IFERROR(F135/F148, "NA")</f>
        <v>1.0642704556142269E-2</v>
      </c>
      <c r="H135" s="13">
        <f>IFERROR(H110+H111+H112+H113+H114+H115+H116+H117+H118+H119+H120+H121+H122+H123+H124+H125+H126+H127+H128+H129+H130+H131+H132+H133+H134, "NA")</f>
        <v>1861.8899999999999</v>
      </c>
      <c r="I135" s="14">
        <f>IFERROR(H135/H148, "NA")</f>
        <v>1.1196771002041516E-2</v>
      </c>
      <c r="J135" s="13">
        <f>IFERROR(J110+J111+J112+J113+J114+J115+J116+J117+J118+J119+J120+J121+J122+J123+J124+J125+J126+J127+J128+J129+J130+J131+J132+J133+J134, "NA")</f>
        <v>-5286.26</v>
      </c>
      <c r="K135" s="14">
        <f>IFERROR(J135/J148, "NA")</f>
        <v>-3.6686906395873339E-2</v>
      </c>
      <c r="L135" s="13">
        <f>IFERROR(L110+L111+L112+L113+L114+L115+L116+L117+L118+L119+L120+L121+L122+L123+L124+L125+L126+L127+L128+L129+L130+L131+L132+L133+L134, "NA")</f>
        <v>1674.1300000000003</v>
      </c>
      <c r="M135" s="14">
        <f>IFERROR(L135/L148, "NA")</f>
        <v>1.4768550933914812E-2</v>
      </c>
      <c r="N135" s="13">
        <f>IFERROR(N110+N111+N112+N113+N114+N115+N116+N117+N118+N119+N120+N121+N122+N123+N124+N125+N126+N127+N128+N129+N130+N131+N132+N133+N134, "NA")</f>
        <v>1479.12</v>
      </c>
      <c r="O135" s="14">
        <f>IFERROR(N135/N148, "NA")</f>
        <v>1.1561044239487259E-2</v>
      </c>
      <c r="P135" s="13">
        <f>IFERROR(P110+P111+P112+P113+P114+P115+P116+P117+P118+P119+P120+P121+P122+P123+P124+P125+P126+P127+P128+P129+P130+P131+P132+P133+P134, "NA")</f>
        <v>1840.5500000000002</v>
      </c>
      <c r="Q135" s="14">
        <f>IFERROR(P135/P148, "NA")</f>
        <v>1.4737525830005238E-2</v>
      </c>
      <c r="R135" s="13">
        <f>IFERROR(R110+R111+R112+R113+R114+R115+R116+R117+R118+R119+R120+R121+R122+R123+R124+R125+R126+R127+R128+R129+R130+R131+R132+R133+R134, "NA")</f>
        <v>-4993.8000000000011</v>
      </c>
      <c r="S135" s="14">
        <f>IFERROR(R135/R148, "NA")</f>
        <v>-3.9335219199443459E-2</v>
      </c>
      <c r="T135" s="13">
        <f>IFERROR(T110+T111+T112+T113+T114+T115+T116+T117+T118+T119+T120+T121+T122+T123+T124+T125+T126+T127+T128+T129+T130+T131+T132+T133+T134, "NA")</f>
        <v>2098.4700000000003</v>
      </c>
      <c r="U135" s="14">
        <f>IFERROR(T135/T148, "NA")</f>
        <v>1.7029827416442083E-2</v>
      </c>
      <c r="V135" s="13">
        <f>IFERROR(V110+V111+V112+V113+V114+V115+V116+V117+V118+V119+V120+V121+V122+V123+V124+V125+V126+V127+V128+V129+V130+V131+V132+V133+V134, "NA")</f>
        <v>2331</v>
      </c>
      <c r="W135" s="14">
        <f>IFERROR(V135/V148, "NA")</f>
        <v>1.8258332136215461E-2</v>
      </c>
      <c r="X135" s="13">
        <f>IFERROR(X110+X111+X112+X113+X114+X115+X116+X117+X118+X119+X120+X121+X122+X123+X124+X125+X126+X127+X128+X129+X130+X131+X132+X133+X134, "NA")</f>
        <v>2111.77</v>
      </c>
      <c r="Y135" s="14">
        <f>IFERROR(X135/X148, "NA")</f>
        <v>1.9113131925474921E-2</v>
      </c>
      <c r="Z135" s="13">
        <f>IFERROR(Z110+Z111+Z112+Z113+Z114+Z115+Z116+Z117+Z118+Z119+Z120+Z121+Z122+Z123+Z124+Z125+Z126+Z127+Z128+Z129+Z130+Z131+Z132+Z133+Z134, "NA")</f>
        <v>6541.2400000000007</v>
      </c>
      <c r="AA135" s="14">
        <f>IFERROR(Z135/Z148, "NA")</f>
        <v>1.8100782098875404E-2</v>
      </c>
      <c r="AB135" s="13">
        <f t="shared" si="42"/>
        <v>386.85999999999979</v>
      </c>
      <c r="AC135" s="14">
        <f>IFERROR(AB135/AB148, "NA")</f>
        <v>3.1688161492982067E-3</v>
      </c>
      <c r="AD135" s="15">
        <f t="shared" si="43"/>
        <v>1724.9100000000003</v>
      </c>
      <c r="AE135" s="16">
        <f>IFERROR(AD135/AD148, "NA")</f>
        <v>-0.1487563642478841</v>
      </c>
      <c r="AF135" s="15">
        <f t="shared" si="44"/>
        <v>4.4587447655482633</v>
      </c>
      <c r="AG135" s="13">
        <f t="shared" si="45"/>
        <v>156.87249999999989</v>
      </c>
      <c r="AH135" s="14">
        <f>IFERROR(AG135/AG148, "NA")</f>
        <v>1.2567250632883802E-3</v>
      </c>
      <c r="AI135" s="15">
        <f t="shared" si="46"/>
        <v>1954.8975</v>
      </c>
      <c r="AJ135" s="16">
        <f>IFERROR(AI135/AI148, "NA")</f>
        <v>-0.13633888580182726</v>
      </c>
      <c r="AK135" s="15">
        <f t="shared" si="47"/>
        <v>12.46169660074265</v>
      </c>
      <c r="AL135" s="16">
        <f>IFERROR(AK135/AK148, "NA")</f>
        <v>-108.48744071760558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-42884.879999999946</v>
      </c>
      <c r="C137" s="34">
        <f>IFERROR(B137/B148, "NA")</f>
        <v>-0.28648651645783929</v>
      </c>
      <c r="D137" s="33">
        <f>IFERROR(D107-D135, "NA")</f>
        <v>29331.590000000037</v>
      </c>
      <c r="E137" s="34">
        <f>IFERROR(D137/D148, "NA")</f>
        <v>0.23827969920707476</v>
      </c>
      <c r="F137" s="33">
        <f>IFERROR(F107-F135, "NA")</f>
        <v>46747.47999999996</v>
      </c>
      <c r="G137" s="34">
        <f>IFERROR(F137/F148, "NA")</f>
        <v>0.27806042665036695</v>
      </c>
      <c r="H137" s="33">
        <f>IFERROR(H107-H135, "NA")</f>
        <v>18991.709999999919</v>
      </c>
      <c r="I137" s="34">
        <f>IFERROR(H137/H148, "NA")</f>
        <v>0.11420966212138257</v>
      </c>
      <c r="J137" s="33">
        <f>IFERROR(J107-J135, "NA")</f>
        <v>-30318.789999999899</v>
      </c>
      <c r="K137" s="34">
        <f>IFERROR(J137/J148, "NA")</f>
        <v>-0.21041390524986225</v>
      </c>
      <c r="L137" s="33">
        <f>IFERROR(L107-L135, "NA")</f>
        <v>33512.130000000026</v>
      </c>
      <c r="M137" s="34">
        <f>IFERROR(L137/L148, "NA")</f>
        <v>0.29563152133285642</v>
      </c>
      <c r="N137" s="33">
        <f>IFERROR(N107-N135, "NA")</f>
        <v>33640.779999999948</v>
      </c>
      <c r="O137" s="34">
        <f>IFERROR(N137/N148, "NA")</f>
        <v>0.26294184774112822</v>
      </c>
      <c r="P137" s="33">
        <f>IFERROR(P107-P135, "NA")</f>
        <v>2565.0300000000379</v>
      </c>
      <c r="Q137" s="34">
        <f>IFERROR(P137/P148, "NA")</f>
        <v>2.0538532438531359E-2</v>
      </c>
      <c r="R137" s="33">
        <f>IFERROR(R107-R135, "NA")</f>
        <v>-46783.05000000001</v>
      </c>
      <c r="S137" s="34">
        <f>IFERROR(R137/R148, "NA")</f>
        <v>-0.36850124685981084</v>
      </c>
      <c r="T137" s="33">
        <f>IFERROR(T107-T135, "NA")</f>
        <v>37805.460000000028</v>
      </c>
      <c r="U137" s="34">
        <f>IFERROR(T137/T148, "NA")</f>
        <v>0.30680470018594735</v>
      </c>
      <c r="V137" s="33">
        <f>IFERROR(V107-V135, "NA")</f>
        <v>32088.83</v>
      </c>
      <c r="W137" s="34">
        <f>IFERROR(V137/V148, "NA")</f>
        <v>0.25134642471152069</v>
      </c>
      <c r="X137" s="33">
        <f>IFERROR(X107-X135, "NA")</f>
        <v>28698.909999999985</v>
      </c>
      <c r="Y137" s="34">
        <f>IFERROR(X137/X148, "NA")</f>
        <v>0.25974706191835817</v>
      </c>
      <c r="Z137" s="33">
        <f>IFERROR(Z107-Z135, "NA")</f>
        <v>98593.20000000007</v>
      </c>
      <c r="AA137" s="34">
        <f>IFERROR(Z137/Z148, "NA")</f>
        <v>0.27282503464646513</v>
      </c>
      <c r="AB137" s="33">
        <f>IFERROR((R137+T137+V137+X137)/4, "NA")</f>
        <v>12952.537500000002</v>
      </c>
      <c r="AC137" s="34">
        <f>IFERROR(AB137/AB148, "NA")</f>
        <v>0.1060957710913267</v>
      </c>
      <c r="AD137" s="15">
        <f>IFERROR(X137-AB137, "NA")</f>
        <v>15746.372499999983</v>
      </c>
      <c r="AE137" s="16">
        <f>IFERROR(AD137/AD148, "NA")</f>
        <v>-1.3579683132411908</v>
      </c>
      <c r="AF137" s="15">
        <f>IFERROR((X137-AB137)/AB137, "NA")</f>
        <v>1.2156978893131929</v>
      </c>
      <c r="AG137" s="33">
        <f>IFERROR((J137+L137+N137+P137+R137+T137+V137+X137)/8, "NA")</f>
        <v>11401.162500000015</v>
      </c>
      <c r="AH137" s="34">
        <f>IFERROR(AG137/AG148, "NA")</f>
        <v>9.1336127519951779E-2</v>
      </c>
      <c r="AI137" s="15">
        <f>IFERROR(X137-AG137, "NA")</f>
        <v>17297.747499999969</v>
      </c>
      <c r="AJ137" s="16">
        <f>IFERROR(AI137/AI148, "NA")</f>
        <v>-1.2063832610309946</v>
      </c>
      <c r="AK137" s="15">
        <f>IFERROR((X137-AG137)/AG137, "NA")</f>
        <v>1.5171915583169651</v>
      </c>
      <c r="AL137" s="16">
        <f>IFERROR(AK137/AK148, "NA")</f>
        <v>-13.208171769352363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28287.869999999995</v>
      </c>
      <c r="C140" s="8">
        <f>IFERROR(B140/B148, "NA")</f>
        <v>0.18897320767394538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600.96</v>
      </c>
      <c r="I140" s="8">
        <f>IFERROR(H140/H148, "NA")</f>
        <v>3.6139683339976424E-3</v>
      </c>
      <c r="J140" s="7">
        <v>27809.54</v>
      </c>
      <c r="K140" s="8">
        <f>IFERROR(J140/J148, "NA")</f>
        <v>0.19299958588724267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-10</v>
      </c>
      <c r="Q140" s="8">
        <f>IFERROR(P140/P148, "NA")</f>
        <v>-8.0071314715738428E-5</v>
      </c>
      <c r="R140" s="7">
        <v>28081.630000000005</v>
      </c>
      <c r="S140" s="8">
        <f>IFERROR(R140/R148, "NA")</f>
        <v>0.22119369448669698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7020.4075000000012</v>
      </c>
      <c r="AC140" s="8">
        <f>IFERROR(AB140/AB148, "NA")</f>
        <v>5.750499059260266E-2</v>
      </c>
      <c r="AD140" s="10">
        <f>IFERROR(X140-AB140, "NA")</f>
        <v>-7020.4075000000012</v>
      </c>
      <c r="AE140" s="11">
        <f>IFERROR(AD140/AD148, "NA")</f>
        <v>0.60544045500262478</v>
      </c>
      <c r="AF140" s="10">
        <f>IFERROR((X140-AB140)/AB140, "NA")</f>
        <v>-1</v>
      </c>
      <c r="AG140" s="9">
        <f>IFERROR((J140+L140+N140+P140+R140+T140+V140+X140)/8, "NA")</f>
        <v>6985.1462500000007</v>
      </c>
      <c r="AH140" s="8">
        <f>IFERROR(AG140/AG148, "NA")</f>
        <v>5.595887337238744E-2</v>
      </c>
      <c r="AI140" s="10">
        <f>IFERROR(X140-AG140, "NA")</f>
        <v>-6985.1462500000007</v>
      </c>
      <c r="AJ140" s="11">
        <f>IFERROR(AI140/AI148, "NA")</f>
        <v>0.48715958605901949</v>
      </c>
      <c r="AK140" s="10">
        <f>IFERROR((X140-AG140)/AG140, "NA")</f>
        <v>-1</v>
      </c>
      <c r="AL140" s="11">
        <f>IFERROR(AK140/AK148, "NA")</f>
        <v>8.7056718032390794</v>
      </c>
    </row>
    <row r="141" spans="1:38" ht="16.5" hidden="1" customHeight="1">
      <c r="A141" s="12" t="s">
        <v>144</v>
      </c>
      <c r="B141" s="13">
        <f>IFERROR(B140, "NA")</f>
        <v>28287.869999999995</v>
      </c>
      <c r="C141" s="14">
        <f>IFERROR(B141/B148, "NA")</f>
        <v>0.18897320767394538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600.96</v>
      </c>
      <c r="I141" s="14">
        <f>IFERROR(H141/H148, "NA")</f>
        <v>3.6139683339976424E-3</v>
      </c>
      <c r="J141" s="13">
        <f>IFERROR(J140, "NA")</f>
        <v>27809.54</v>
      </c>
      <c r="K141" s="14">
        <f>IFERROR(J141/J148, "NA")</f>
        <v>0.19299958588724267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-10</v>
      </c>
      <c r="Q141" s="14">
        <f>IFERROR(P141/P148, "NA")</f>
        <v>-8.0071314715738428E-5</v>
      </c>
      <c r="R141" s="13">
        <f>IFERROR(R140, "NA")</f>
        <v>28081.630000000005</v>
      </c>
      <c r="S141" s="14">
        <f>IFERROR(R141/R148, "NA")</f>
        <v>0.22119369448669698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7020.4075000000012</v>
      </c>
      <c r="AC141" s="14">
        <f>IFERROR(AB141/AB148, "NA")</f>
        <v>5.750499059260266E-2</v>
      </c>
      <c r="AD141" s="15">
        <f>IFERROR(X141-AB141, "NA")</f>
        <v>-7020.4075000000012</v>
      </c>
      <c r="AE141" s="16">
        <f>IFERROR(AD141/AD148, "NA")</f>
        <v>0.60544045500262478</v>
      </c>
      <c r="AF141" s="15">
        <f>IFERROR((X141-AB141)/AB141, "NA")</f>
        <v>-1</v>
      </c>
      <c r="AG141" s="13">
        <f>IFERROR((J141+L141+N141+P141+R141+T141+V141+X141)/8, "NA")</f>
        <v>6985.1462500000007</v>
      </c>
      <c r="AH141" s="14">
        <f>IFERROR(AG141/AG148, "NA")</f>
        <v>5.595887337238744E-2</v>
      </c>
      <c r="AI141" s="15">
        <f>IFERROR(X141-AG141, "NA")</f>
        <v>-6985.1462500000007</v>
      </c>
      <c r="AJ141" s="16">
        <f>IFERROR(AI141/AI148, "NA")</f>
        <v>0.48715958605901949</v>
      </c>
      <c r="AK141" s="15">
        <f>IFERROR((X141-AG141)/AG141, "NA")</f>
        <v>-1</v>
      </c>
      <c r="AL141" s="16">
        <f>IFERROR(AK141/AK148, "NA")</f>
        <v>8.7056718032390794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-71172.749999999942</v>
      </c>
      <c r="C147" s="34">
        <f>IFERROR(B147/B148, "NA")</f>
        <v>-0.47545972413178467</v>
      </c>
      <c r="D147" s="33">
        <f>IFERROR(D137-D141-D145, "NA")</f>
        <v>29331.590000000037</v>
      </c>
      <c r="E147" s="34">
        <f>IFERROR(D147/D148, "NA")</f>
        <v>0.23827969920707476</v>
      </c>
      <c r="F147" s="33">
        <f>IFERROR(F137-F141-F145, "NA")</f>
        <v>46747.47999999996</v>
      </c>
      <c r="G147" s="34">
        <f>IFERROR(F147/F148, "NA")</f>
        <v>0.27806042665036695</v>
      </c>
      <c r="H147" s="33">
        <f>IFERROR(H137-H141-H145, "NA")</f>
        <v>18390.74999999992</v>
      </c>
      <c r="I147" s="34">
        <f>IFERROR(H147/H148, "NA")</f>
        <v>0.11059569378738493</v>
      </c>
      <c r="J147" s="33">
        <f>IFERROR(J137-J141-J145, "NA")</f>
        <v>-58128.3299999999</v>
      </c>
      <c r="K147" s="34">
        <f>IFERROR(J147/J148, "NA")</f>
        <v>-0.4034134911371049</v>
      </c>
      <c r="L147" s="33">
        <f>IFERROR(L137-L141-L145, "NA")</f>
        <v>33512.130000000026</v>
      </c>
      <c r="M147" s="34">
        <f>IFERROR(L147/L148, "NA")</f>
        <v>0.29563152133285642</v>
      </c>
      <c r="N147" s="33">
        <f>IFERROR(N137-N141-N145, "NA")</f>
        <v>33640.779999999948</v>
      </c>
      <c r="O147" s="34">
        <f>IFERROR(N147/N148, "NA")</f>
        <v>0.26294184774112822</v>
      </c>
      <c r="P147" s="33">
        <f>IFERROR(P137-P141-P145, "NA")</f>
        <v>2575.0300000000379</v>
      </c>
      <c r="Q147" s="34">
        <f>IFERROR(P147/P148, "NA")</f>
        <v>2.0618603753247096E-2</v>
      </c>
      <c r="R147" s="33">
        <f>IFERROR(R137-R141-R145, "NA")</f>
        <v>-74864.680000000022</v>
      </c>
      <c r="S147" s="34">
        <f>IFERROR(R147/R148, "NA")</f>
        <v>-0.58969494134650791</v>
      </c>
      <c r="T147" s="33">
        <f>IFERROR(T137-T141-T145, "NA")</f>
        <v>37805.460000000028</v>
      </c>
      <c r="U147" s="34">
        <f>IFERROR(T147/T148, "NA")</f>
        <v>0.30680470018594735</v>
      </c>
      <c r="V147" s="33">
        <f>IFERROR(V137-V141-V145, "NA")</f>
        <v>32088.83</v>
      </c>
      <c r="W147" s="34">
        <f>IFERROR(V147/V148, "NA")</f>
        <v>0.25134642471152069</v>
      </c>
      <c r="X147" s="33">
        <f>IFERROR(X137-X141-X145, "NA")</f>
        <v>28698.909999999985</v>
      </c>
      <c r="Y147" s="34">
        <f>IFERROR(X147/X148, "NA")</f>
        <v>0.25974706191835817</v>
      </c>
      <c r="Z147" s="33">
        <f>IFERROR(Z137-Z141-Z145, "NA")</f>
        <v>98593.20000000007</v>
      </c>
      <c r="AA147" s="34">
        <f>IFERROR(Z147/Z148, "NA")</f>
        <v>0.27282503464646513</v>
      </c>
      <c r="AB147" s="33">
        <f>IFERROR((R147+T147+V147+X147)/4, "NA")</f>
        <v>5932.1299999999983</v>
      </c>
      <c r="AC147" s="34">
        <f>IFERROR(AB147/AB148, "NA")</f>
        <v>4.859078049872402E-2</v>
      </c>
      <c r="AD147" s="15">
        <f>IFERROR(X147-AB147, "NA")</f>
        <v>22766.779999999988</v>
      </c>
      <c r="AE147" s="16">
        <f>IFERROR(AD147/AD148, "NA")</f>
        <v>-1.9634087682438159</v>
      </c>
      <c r="AF147" s="15">
        <f>IFERROR((X147-AB147)/AB147, "NA")</f>
        <v>3.8378761085815709</v>
      </c>
      <c r="AG147" s="33">
        <f>IFERROR((J147+L147+N147+P147+R147+T147+V147+X147)/8, "NA")</f>
        <v>4416.0162500000133</v>
      </c>
      <c r="AH147" s="34">
        <f>IFERROR(AG147/AG148, "NA")</f>
        <v>3.5377254147564333E-2</v>
      </c>
      <c r="AI147" s="15">
        <f>IFERROR(X147-AG147, "NA")</f>
        <v>24282.893749999974</v>
      </c>
      <c r="AJ147" s="16">
        <f>IFERROR(AI147/AI148, "NA")</f>
        <v>-1.6935428470900145</v>
      </c>
      <c r="AK147" s="15">
        <f>IFERROR((X147-AG147)/AG147, "NA")</f>
        <v>5.49882345881311</v>
      </c>
      <c r="AL147" s="16">
        <f>IFERROR(AK147/AK148, "NA")</f>
        <v>-47.870952336378885</v>
      </c>
    </row>
    <row r="148" spans="1:38" ht="15.6" hidden="1">
      <c r="A148" s="40" t="s">
        <v>25</v>
      </c>
      <c r="B148" s="7">
        <v>149692.49000000002</v>
      </c>
      <c r="C148" s="41"/>
      <c r="D148" s="7">
        <v>123097.31</v>
      </c>
      <c r="E148" s="41"/>
      <c r="F148" s="7">
        <v>168119.86</v>
      </c>
      <c r="G148" s="41"/>
      <c r="H148" s="7">
        <v>166288.12</v>
      </c>
      <c r="I148" s="41"/>
      <c r="J148" s="7">
        <v>144091.19</v>
      </c>
      <c r="K148" s="41"/>
      <c r="L148" s="7">
        <v>113357.76999999999</v>
      </c>
      <c r="M148" s="41"/>
      <c r="N148" s="7">
        <v>127940</v>
      </c>
      <c r="O148" s="41"/>
      <c r="P148" s="7">
        <v>124888.67</v>
      </c>
      <c r="Q148" s="41"/>
      <c r="R148" s="7">
        <v>126954.93000000001</v>
      </c>
      <c r="S148" s="41"/>
      <c r="T148" s="7">
        <v>123223.20999999999</v>
      </c>
      <c r="U148" s="41"/>
      <c r="V148" s="7">
        <v>127667.74</v>
      </c>
      <c r="W148" s="41"/>
      <c r="X148" s="7">
        <v>110487.91</v>
      </c>
      <c r="Y148" s="41"/>
      <c r="Z148" s="7">
        <v>361378.86</v>
      </c>
      <c r="AA148" s="41"/>
      <c r="AB148" s="9">
        <f>IFERROR((R148+T148+V148+X148)/4, "NA")</f>
        <v>122083.44750000001</v>
      </c>
      <c r="AC148" s="41"/>
      <c r="AD148" s="10">
        <f>IFERROR(X148-AB148, "NA")</f>
        <v>-11595.537500000006</v>
      </c>
      <c r="AE148" s="42"/>
      <c r="AF148" s="10">
        <f>IFERROR((X148-AB148)/AB148, "NA")</f>
        <v>-9.4980423124109467E-2</v>
      </c>
      <c r="AG148" s="9">
        <f>IFERROR((J148+L148+N148+P148+R148+T148+V148+X148)/8, "NA")</f>
        <v>124826.42749999999</v>
      </c>
      <c r="AH148" s="41"/>
      <c r="AI148" s="10">
        <f>IFERROR(X148-AG148, "NA")</f>
        <v>-14338.517499999987</v>
      </c>
      <c r="AJ148" s="42"/>
      <c r="AK148" s="10">
        <f>IFERROR((X148-AG148)/AG148, "NA")</f>
        <v>-0.11486764291159408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152</v>
      </c>
      <c r="B3" s="148" t="s">
        <v>152</v>
      </c>
      <c r="C3" s="148" t="s">
        <v>152</v>
      </c>
      <c r="D3" s="148" t="s">
        <v>152</v>
      </c>
      <c r="E3" s="148" t="s">
        <v>152</v>
      </c>
      <c r="F3" s="148" t="s">
        <v>152</v>
      </c>
      <c r="G3" s="148" t="s">
        <v>152</v>
      </c>
      <c r="H3" s="148" t="s">
        <v>152</v>
      </c>
      <c r="I3" s="148" t="s">
        <v>152</v>
      </c>
      <c r="J3" s="148" t="s">
        <v>152</v>
      </c>
      <c r="K3" s="148" t="s">
        <v>152</v>
      </c>
      <c r="L3" s="148" t="s">
        <v>152</v>
      </c>
      <c r="M3" s="148" t="s">
        <v>152</v>
      </c>
      <c r="N3" s="148" t="s">
        <v>152</v>
      </c>
      <c r="O3" s="148" t="s">
        <v>152</v>
      </c>
      <c r="P3" s="148" t="s">
        <v>152</v>
      </c>
      <c r="Q3" s="148" t="s">
        <v>152</v>
      </c>
      <c r="R3" s="148" t="s">
        <v>152</v>
      </c>
      <c r="S3" s="148" t="s">
        <v>152</v>
      </c>
      <c r="T3" s="148" t="s">
        <v>152</v>
      </c>
      <c r="U3" s="148" t="s">
        <v>152</v>
      </c>
      <c r="V3" s="148" t="s">
        <v>152</v>
      </c>
      <c r="W3" s="148" t="s">
        <v>152</v>
      </c>
      <c r="X3" s="148" t="s">
        <v>152</v>
      </c>
      <c r="Y3" s="148" t="s">
        <v>152</v>
      </c>
      <c r="Z3" s="148" t="s">
        <v>152</v>
      </c>
      <c r="AA3" s="148" t="s">
        <v>152</v>
      </c>
      <c r="AB3" s="148" t="s">
        <v>152</v>
      </c>
      <c r="AC3" s="148" t="s">
        <v>152</v>
      </c>
      <c r="AD3" s="148" t="s">
        <v>152</v>
      </c>
      <c r="AE3" s="148" t="s">
        <v>152</v>
      </c>
      <c r="AF3" s="148" t="s">
        <v>152</v>
      </c>
      <c r="AG3" s="148" t="s">
        <v>152</v>
      </c>
      <c r="AH3" s="148" t="s">
        <v>152</v>
      </c>
      <c r="AI3" s="148" t="s">
        <v>152</v>
      </c>
      <c r="AJ3" s="148" t="s">
        <v>152</v>
      </c>
      <c r="AK3" s="148" t="s">
        <v>152</v>
      </c>
      <c r="AL3" s="148" t="s">
        <v>152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48050.12</v>
      </c>
      <c r="C7" s="8">
        <f>IFERROR(B7/B148, "NA")</f>
        <v>1</v>
      </c>
      <c r="D7" s="7">
        <v>42443.339999999989</v>
      </c>
      <c r="E7" s="8">
        <f>IFERROR(D7/D148, "NA")</f>
        <v>0.99999999999999978</v>
      </c>
      <c r="F7" s="7">
        <v>60324.639999999992</v>
      </c>
      <c r="G7" s="8">
        <f>IFERROR(F7/F148, "NA")</f>
        <v>0.99999999999999989</v>
      </c>
      <c r="H7" s="7">
        <v>58771.329999999994</v>
      </c>
      <c r="I7" s="8">
        <f>IFERROR(H7/H148, "NA")</f>
        <v>0.99999999999999989</v>
      </c>
      <c r="J7" s="7">
        <v>48039.839999999997</v>
      </c>
      <c r="K7" s="8">
        <f>IFERROR(J7/J148, "NA")</f>
        <v>1</v>
      </c>
      <c r="L7" s="7">
        <v>41480.409999999996</v>
      </c>
      <c r="M7" s="8">
        <f>IFERROR(L7/L148, "NA")</f>
        <v>0.99999999999999978</v>
      </c>
      <c r="N7" s="7">
        <v>49860.789999999986</v>
      </c>
      <c r="O7" s="8">
        <f>IFERROR(N7/N148, "NA")</f>
        <v>0.99999999999999967</v>
      </c>
      <c r="P7" s="7">
        <v>51166.44000000001</v>
      </c>
      <c r="Q7" s="8">
        <f>IFERROR(P7/P148, "NA")</f>
        <v>1.0000000000000002</v>
      </c>
      <c r="R7" s="7">
        <v>47375.87000000001</v>
      </c>
      <c r="S7" s="8">
        <f>IFERROR(R7/R148, "NA")</f>
        <v>1.0000000000000002</v>
      </c>
      <c r="T7" s="7">
        <v>44090.540000000008</v>
      </c>
      <c r="U7" s="8">
        <f>IFERROR(T7/T148, "NA")</f>
        <v>1.0000000000000002</v>
      </c>
      <c r="V7" s="7">
        <v>49423.590000000004</v>
      </c>
      <c r="W7" s="8">
        <f>IFERROR(V7/V148, "NA")</f>
        <v>1.0000000000000002</v>
      </c>
      <c r="X7" s="7">
        <v>41536.820000000007</v>
      </c>
      <c r="Y7" s="8">
        <f>IFERROR(X7/X148, "NA")</f>
        <v>1.0000000000000002</v>
      </c>
      <c r="Z7" s="7">
        <v>135050.95000000001</v>
      </c>
      <c r="AA7" s="8">
        <f>IFERROR(Z7/Z148, "NA")</f>
        <v>1</v>
      </c>
      <c r="AB7" s="9">
        <f>IFERROR((R7+T7+V7+X7)/4, "NA")</f>
        <v>45606.705000000009</v>
      </c>
      <c r="AC7" s="8">
        <f>IFERROR(AB7/AB148, "NA")</f>
        <v>1.0000000000000002</v>
      </c>
      <c r="AD7" s="10">
        <f>IFERROR(X7-AB7, "NA")</f>
        <v>-4069.885000000002</v>
      </c>
      <c r="AE7" s="11">
        <f>IFERROR(AD7/AD148, "NA")</f>
        <v>1</v>
      </c>
      <c r="AF7" s="10">
        <f>IFERROR((X7-AB7)/AB7, "NA")</f>
        <v>-8.9238742417370454E-2</v>
      </c>
      <c r="AG7" s="9">
        <f>IFERROR((J7+L7+N7+P7+R7+T7+V7+X7)/8, "NA")</f>
        <v>46621.787500000006</v>
      </c>
      <c r="AH7" s="8">
        <f>IFERROR(AG7/AG148, "NA")</f>
        <v>1.0000000000000002</v>
      </c>
      <c r="AI7" s="10">
        <f>IFERROR(X7-AG7, "NA")</f>
        <v>-5084.9674999999988</v>
      </c>
      <c r="AJ7" s="11">
        <f>IFERROR(AI7/AI148, "NA")</f>
        <v>1</v>
      </c>
      <c r="AK7" s="10">
        <f>IFERROR((X7-AG7)/AG7, "NA")</f>
        <v>-0.10906848005345136</v>
      </c>
      <c r="AL7" s="11">
        <f>IFERROR(AK7/AK148, "NA")</f>
        <v>0.99999999999999989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48050.12</v>
      </c>
      <c r="C9" s="14">
        <f>IFERROR(B9/B148, "NA")</f>
        <v>1</v>
      </c>
      <c r="D9" s="13">
        <f>IFERROR(D7+D8, "NA")</f>
        <v>42443.339999999989</v>
      </c>
      <c r="E9" s="14">
        <f>IFERROR(D9/D148, "NA")</f>
        <v>0.99999999999999978</v>
      </c>
      <c r="F9" s="13">
        <f>IFERROR(F7+F8, "NA")</f>
        <v>60324.639999999992</v>
      </c>
      <c r="G9" s="14">
        <f>IFERROR(F9/F148, "NA")</f>
        <v>0.99999999999999989</v>
      </c>
      <c r="H9" s="13">
        <f>IFERROR(H7+H8, "NA")</f>
        <v>58771.329999999994</v>
      </c>
      <c r="I9" s="14">
        <f>IFERROR(H9/H148, "NA")</f>
        <v>0.99999999999999989</v>
      </c>
      <c r="J9" s="13">
        <f>IFERROR(J7+J8, "NA")</f>
        <v>48039.839999999997</v>
      </c>
      <c r="K9" s="14">
        <f>IFERROR(J9/J148, "NA")</f>
        <v>1</v>
      </c>
      <c r="L9" s="13">
        <f>IFERROR(L7+L8, "NA")</f>
        <v>41480.409999999996</v>
      </c>
      <c r="M9" s="14">
        <f>IFERROR(L9/L148, "NA")</f>
        <v>0.99999999999999978</v>
      </c>
      <c r="N9" s="13">
        <f>IFERROR(N7+N8, "NA")</f>
        <v>49860.789999999986</v>
      </c>
      <c r="O9" s="14">
        <f>IFERROR(N9/N148, "NA")</f>
        <v>0.99999999999999967</v>
      </c>
      <c r="P9" s="13">
        <f>IFERROR(P7+P8, "NA")</f>
        <v>51166.44000000001</v>
      </c>
      <c r="Q9" s="14">
        <f>IFERROR(P9/P148, "NA")</f>
        <v>1.0000000000000002</v>
      </c>
      <c r="R9" s="13">
        <f>IFERROR(R7+R8, "NA")</f>
        <v>47375.87000000001</v>
      </c>
      <c r="S9" s="14">
        <f>IFERROR(R9/R148, "NA")</f>
        <v>1.0000000000000002</v>
      </c>
      <c r="T9" s="13">
        <f>IFERROR(T7+T8, "NA")</f>
        <v>44090.540000000008</v>
      </c>
      <c r="U9" s="14">
        <f>IFERROR(T9/T148, "NA")</f>
        <v>1.0000000000000002</v>
      </c>
      <c r="V9" s="13">
        <f>IFERROR(V7+V8, "NA")</f>
        <v>49423.590000000004</v>
      </c>
      <c r="W9" s="14">
        <f>IFERROR(V9/V148, "NA")</f>
        <v>1.0000000000000002</v>
      </c>
      <c r="X9" s="13">
        <f>IFERROR(X7+X8, "NA")</f>
        <v>41536.820000000007</v>
      </c>
      <c r="Y9" s="14">
        <f>IFERROR(X9/X148, "NA")</f>
        <v>1.0000000000000002</v>
      </c>
      <c r="Z9" s="13">
        <f>IFERROR(Z7+Z8, "NA")</f>
        <v>135050.95000000001</v>
      </c>
      <c r="AA9" s="14">
        <f>IFERROR(Z9/Z148, "NA")</f>
        <v>1</v>
      </c>
      <c r="AB9" s="13">
        <f>IFERROR((R9+T9+V9+X9)/4, "NA")</f>
        <v>45606.705000000009</v>
      </c>
      <c r="AC9" s="14">
        <f>IFERROR(AB9/AB148, "NA")</f>
        <v>1.0000000000000002</v>
      </c>
      <c r="AD9" s="15">
        <f>IFERROR(X9-AB9, "NA")</f>
        <v>-4069.885000000002</v>
      </c>
      <c r="AE9" s="16">
        <f>IFERROR(AD9/AD148, "NA")</f>
        <v>1</v>
      </c>
      <c r="AF9" s="15">
        <f>IFERROR((X9-AB9)/AB9, "NA")</f>
        <v>-8.9238742417370454E-2</v>
      </c>
      <c r="AG9" s="13">
        <f>IFERROR((J9+L9+N9+P9+R9+T9+V9+X9)/8, "NA")</f>
        <v>46621.787500000006</v>
      </c>
      <c r="AH9" s="14">
        <f>IFERROR(AG9/AG148, "NA")</f>
        <v>1.0000000000000002</v>
      </c>
      <c r="AI9" s="15">
        <f>IFERROR(X9-AG9, "NA")</f>
        <v>-5084.9674999999988</v>
      </c>
      <c r="AJ9" s="16">
        <f>IFERROR(AI9/AI148, "NA")</f>
        <v>1</v>
      </c>
      <c r="AK9" s="15">
        <f>IFERROR((X9-AG9)/AG9, "NA")</f>
        <v>-0.10906848005345136</v>
      </c>
      <c r="AL9" s="16">
        <f>IFERROR(AK9/AK148, "NA")</f>
        <v>0.99999999999999989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2293.08</v>
      </c>
      <c r="C16" s="8">
        <f>IFERROR(B16/B148, "NA")</f>
        <v>4.7722669579181067E-2</v>
      </c>
      <c r="D16" s="7">
        <v>1491.24</v>
      </c>
      <c r="E16" s="8">
        <f>IFERROR(D16/D148, "NA")</f>
        <v>3.5134840943243394E-2</v>
      </c>
      <c r="F16" s="7">
        <v>2534.56</v>
      </c>
      <c r="G16" s="8">
        <f>IFERROR(F16/F148, "NA")</f>
        <v>4.2015335690358036E-2</v>
      </c>
      <c r="H16" s="7">
        <v>2644.52</v>
      </c>
      <c r="I16" s="8">
        <f>IFERROR(H16/H148, "NA")</f>
        <v>4.4996769683449393E-2</v>
      </c>
      <c r="J16" s="7">
        <v>1714.77</v>
      </c>
      <c r="K16" s="8">
        <f>IFERROR(J16/J148, "NA")</f>
        <v>3.5694748358862147E-2</v>
      </c>
      <c r="L16" s="7">
        <v>2098.02</v>
      </c>
      <c r="M16" s="8">
        <f>IFERROR(L16/L148, "NA")</f>
        <v>5.0578574319781307E-2</v>
      </c>
      <c r="N16" s="7">
        <v>1917.76</v>
      </c>
      <c r="O16" s="8">
        <f>IFERROR(N16/N148, "NA")</f>
        <v>3.8462286698626315E-2</v>
      </c>
      <c r="P16" s="7">
        <v>2181.1</v>
      </c>
      <c r="Q16" s="8">
        <f>IFERROR(P16/P148, "NA")</f>
        <v>4.2627550402177673E-2</v>
      </c>
      <c r="R16" s="7">
        <v>1595.25</v>
      </c>
      <c r="S16" s="8">
        <f>IFERROR(R16/R148, "NA")</f>
        <v>3.3672204858718163E-2</v>
      </c>
      <c r="T16" s="7">
        <v>1850.78</v>
      </c>
      <c r="U16" s="8">
        <f>IFERROR(T16/T148, "NA")</f>
        <v>4.1976805001707848E-2</v>
      </c>
      <c r="V16" s="7">
        <v>1432.03</v>
      </c>
      <c r="W16" s="8">
        <f>IFERROR(V16/V148, "NA")</f>
        <v>2.8974625275096366E-2</v>
      </c>
      <c r="X16" s="7">
        <v>1684.72</v>
      </c>
      <c r="Y16" s="8">
        <f>IFERROR(X16/X148, "NA")</f>
        <v>4.0559676932418035E-2</v>
      </c>
      <c r="Z16" s="7">
        <v>4967.53</v>
      </c>
      <c r="AA16" s="8">
        <f>IFERROR(Z16/Z148, "NA")</f>
        <v>3.6782636479047344E-2</v>
      </c>
      <c r="AB16" s="9">
        <f t="shared" si="0"/>
        <v>1640.6949999999999</v>
      </c>
      <c r="AC16" s="8">
        <f>IFERROR(AB16/AB148, "NA")</f>
        <v>3.5974863783735309E-2</v>
      </c>
      <c r="AD16" s="10">
        <f t="shared" si="1"/>
        <v>44.025000000000091</v>
      </c>
      <c r="AE16" s="11">
        <f>IFERROR(AD16/AD148, "NA")</f>
        <v>-1.0817258964319648E-2</v>
      </c>
      <c r="AF16" s="10">
        <f t="shared" si="2"/>
        <v>2.6833140833610204E-2</v>
      </c>
      <c r="AG16" s="9">
        <f t="shared" si="3"/>
        <v>1809.30375</v>
      </c>
      <c r="AH16" s="8">
        <f>IFERROR(AG16/AG148, "NA")</f>
        <v>3.8808116269673273E-2</v>
      </c>
      <c r="AI16" s="10">
        <f t="shared" si="4"/>
        <v>-124.58375000000001</v>
      </c>
      <c r="AJ16" s="11">
        <f>IFERROR(AI16/AI148, "NA")</f>
        <v>2.4500402411618175E-2</v>
      </c>
      <c r="AK16" s="10">
        <f t="shared" si="5"/>
        <v>-6.8857288335361047E-2</v>
      </c>
      <c r="AL16" s="11">
        <f>IFERROR(AK16/AK148, "NA")</f>
        <v>0.63132160915432245</v>
      </c>
    </row>
    <row r="17" spans="1:38" ht="16.5" customHeight="1">
      <c r="A17" s="25" t="s">
        <v>32</v>
      </c>
      <c r="B17" s="7">
        <v>1027.3900000000001</v>
      </c>
      <c r="C17" s="8">
        <f>IFERROR(B17/B148, "NA")</f>
        <v>2.138163234555918E-2</v>
      </c>
      <c r="D17" s="7">
        <v>1106.8599999999999</v>
      </c>
      <c r="E17" s="8">
        <f>IFERROR(D17/D148, "NA")</f>
        <v>2.6078531991120396E-2</v>
      </c>
      <c r="F17" s="7">
        <v>1329.3</v>
      </c>
      <c r="G17" s="8">
        <f>IFERROR(F17/F148, "NA")</f>
        <v>2.2035771784133316E-2</v>
      </c>
      <c r="H17" s="7">
        <v>1296.6400000000001</v>
      </c>
      <c r="I17" s="8">
        <f>IFERROR(H17/H148, "NA")</f>
        <v>2.2062458004608709E-2</v>
      </c>
      <c r="J17" s="7">
        <v>1125.1199999999999</v>
      </c>
      <c r="K17" s="8">
        <f>IFERROR(J17/J148, "NA")</f>
        <v>2.3420560934424427E-2</v>
      </c>
      <c r="L17" s="7">
        <v>1264.8399999999999</v>
      </c>
      <c r="M17" s="8">
        <f>IFERROR(L17/L148, "NA")</f>
        <v>3.0492466202720749E-2</v>
      </c>
      <c r="N17" s="7">
        <v>1046.3599999999999</v>
      </c>
      <c r="O17" s="8">
        <f>IFERROR(N17/N148, "NA")</f>
        <v>2.0985628185995447E-2</v>
      </c>
      <c r="P17" s="7">
        <v>938.94</v>
      </c>
      <c r="Q17" s="8">
        <f>IFERROR(P17/P148, "NA")</f>
        <v>1.8350700185512221E-2</v>
      </c>
      <c r="R17" s="7">
        <v>1391.84</v>
      </c>
      <c r="S17" s="8">
        <f>IFERROR(R17/R148, "NA")</f>
        <v>2.9378668929984818E-2</v>
      </c>
      <c r="T17" s="7">
        <v>1097.3499999999999</v>
      </c>
      <c r="U17" s="8">
        <f>IFERROR(T17/T148, "NA")</f>
        <v>2.4888558860925721E-2</v>
      </c>
      <c r="V17" s="7">
        <v>1061.22</v>
      </c>
      <c r="W17" s="8">
        <f>IFERROR(V17/V148, "NA")</f>
        <v>2.1471932734955113E-2</v>
      </c>
      <c r="X17" s="7">
        <v>1057.67</v>
      </c>
      <c r="Y17" s="8">
        <f>IFERROR(X17/X148, "NA")</f>
        <v>2.546343220304299E-2</v>
      </c>
      <c r="Z17" s="7">
        <v>3216.24</v>
      </c>
      <c r="AA17" s="8">
        <f>IFERROR(Z17/Z148, "NA")</f>
        <v>2.3815012038049341E-2</v>
      </c>
      <c r="AB17" s="9">
        <f t="shared" si="0"/>
        <v>1152.02</v>
      </c>
      <c r="AC17" s="8">
        <f>IFERROR(AB17/AB148, "NA")</f>
        <v>2.5259882291430613E-2</v>
      </c>
      <c r="AD17" s="10">
        <f t="shared" si="1"/>
        <v>-94.349999999999909</v>
      </c>
      <c r="AE17" s="11">
        <f>IFERROR(AD17/AD148, "NA")</f>
        <v>2.3182473214845102E-2</v>
      </c>
      <c r="AF17" s="10">
        <f t="shared" si="2"/>
        <v>-8.189961979826732E-2</v>
      </c>
      <c r="AG17" s="9">
        <f t="shared" si="3"/>
        <v>1122.9175</v>
      </c>
      <c r="AH17" s="8">
        <f>IFERROR(AG17/AG148, "NA")</f>
        <v>2.4085680970511912E-2</v>
      </c>
      <c r="AI17" s="10">
        <f t="shared" si="4"/>
        <v>-65.247499999999945</v>
      </c>
      <c r="AJ17" s="11">
        <f>IFERROR(AI17/AI148, "NA")</f>
        <v>1.2831448775237985E-2</v>
      </c>
      <c r="AK17" s="10">
        <f t="shared" si="5"/>
        <v>-5.8105337213107768E-2</v>
      </c>
      <c r="AL17" s="11">
        <f>IFERROR(AK17/AK148, "NA")</f>
        <v>0.53274178923766047</v>
      </c>
    </row>
    <row r="18" spans="1:38" ht="16.5" customHeight="1">
      <c r="A18" s="25" t="s">
        <v>33</v>
      </c>
      <c r="B18" s="7">
        <v>2463.0500000000002</v>
      </c>
      <c r="C18" s="8">
        <f>IFERROR(B18/B148, "NA")</f>
        <v>5.1260017664888247E-2</v>
      </c>
      <c r="D18" s="7">
        <v>941.31</v>
      </c>
      <c r="E18" s="8">
        <f>IFERROR(D18/D148, "NA")</f>
        <v>2.2178037826429305E-2</v>
      </c>
      <c r="F18" s="7">
        <v>2006.71</v>
      </c>
      <c r="G18" s="8">
        <f>IFERROR(F18/F148, "NA")</f>
        <v>3.32651798668007E-2</v>
      </c>
      <c r="H18" s="7">
        <v>1954.19</v>
      </c>
      <c r="I18" s="8">
        <f>IFERROR(H18/H148, "NA")</f>
        <v>3.3250736370948213E-2</v>
      </c>
      <c r="J18" s="7">
        <v>1395</v>
      </c>
      <c r="K18" s="8">
        <f>IFERROR(J18/J148, "NA")</f>
        <v>2.9038398129552473E-2</v>
      </c>
      <c r="L18" s="7">
        <v>1290.43</v>
      </c>
      <c r="M18" s="8">
        <f>IFERROR(L18/L148, "NA")</f>
        <v>3.1109383923640099E-2</v>
      </c>
      <c r="N18" s="7">
        <v>1734.51</v>
      </c>
      <c r="O18" s="8">
        <f>IFERROR(N18/N148, "NA")</f>
        <v>3.4787054116069964E-2</v>
      </c>
      <c r="P18" s="7">
        <v>1379.1</v>
      </c>
      <c r="Q18" s="8">
        <f>IFERROR(P18/P148, "NA")</f>
        <v>2.6953213864400177E-2</v>
      </c>
      <c r="R18" s="7">
        <v>1325.44</v>
      </c>
      <c r="S18" s="8">
        <f>IFERROR(R18/R148, "NA")</f>
        <v>2.7977111554890705E-2</v>
      </c>
      <c r="T18" s="7">
        <v>1334.53</v>
      </c>
      <c r="U18" s="8">
        <f>IFERROR(T18/T148, "NA")</f>
        <v>3.0267944098666063E-2</v>
      </c>
      <c r="V18" s="7">
        <v>1669.82</v>
      </c>
      <c r="W18" s="8">
        <f>IFERROR(V18/V148, "NA")</f>
        <v>3.3785890502895481E-2</v>
      </c>
      <c r="X18" s="7">
        <v>1246.3800000000001</v>
      </c>
      <c r="Y18" s="8">
        <f>IFERROR(X18/X148, "NA")</f>
        <v>3.0006630262018136E-2</v>
      </c>
      <c r="Z18" s="7">
        <v>4250.7299999999996</v>
      </c>
      <c r="AA18" s="8">
        <f>IFERROR(Z18/Z148, "NA")</f>
        <v>3.1475009986971579E-2</v>
      </c>
      <c r="AB18" s="9">
        <f t="shared" si="0"/>
        <v>1394.0425</v>
      </c>
      <c r="AC18" s="8">
        <f>IFERROR(AB18/AB148, "NA")</f>
        <v>3.0566612957458775E-2</v>
      </c>
      <c r="AD18" s="10">
        <f t="shared" si="1"/>
        <v>-147.66249999999991</v>
      </c>
      <c r="AE18" s="11">
        <f>IFERROR(AD18/AD148, "NA")</f>
        <v>3.6281737690376958E-2</v>
      </c>
      <c r="AF18" s="10">
        <f t="shared" si="2"/>
        <v>-0.10592395855936954</v>
      </c>
      <c r="AG18" s="9">
        <f t="shared" si="3"/>
        <v>1421.9012500000003</v>
      </c>
      <c r="AH18" s="8">
        <f>IFERROR(AG18/AG148, "NA")</f>
        <v>3.0498642935987821E-2</v>
      </c>
      <c r="AI18" s="10">
        <f t="shared" si="4"/>
        <v>-175.52125000000024</v>
      </c>
      <c r="AJ18" s="11">
        <f>IFERROR(AI18/AI148, "NA")</f>
        <v>3.4517673908437033E-2</v>
      </c>
      <c r="AK18" s="10">
        <f t="shared" si="5"/>
        <v>-0.12344123756836151</v>
      </c>
      <c r="AL18" s="11">
        <f>IFERROR(AK18/AK148, "NA")</f>
        <v>1.1317773705828342</v>
      </c>
    </row>
    <row r="19" spans="1:38" ht="16.5" customHeight="1">
      <c r="A19" s="25" t="s">
        <v>34</v>
      </c>
      <c r="B19" s="7">
        <v>737.21</v>
      </c>
      <c r="C19" s="8">
        <f>IFERROR(B19/B148, "NA")</f>
        <v>1.5342521517115877E-2</v>
      </c>
      <c r="D19" s="7">
        <v>1062.75</v>
      </c>
      <c r="E19" s="8">
        <f>IFERROR(D19/D148, "NA")</f>
        <v>2.50392641106944E-2</v>
      </c>
      <c r="F19" s="7">
        <v>1048.99</v>
      </c>
      <c r="G19" s="8">
        <f>IFERROR(F19/F148, "NA")</f>
        <v>1.7389080150333264E-2</v>
      </c>
      <c r="H19" s="7">
        <v>1080.03</v>
      </c>
      <c r="I19" s="8">
        <f>IFERROR(H19/H148, "NA")</f>
        <v>1.8376817403996132E-2</v>
      </c>
      <c r="J19" s="7">
        <v>1073.48</v>
      </c>
      <c r="K19" s="8">
        <f>IFERROR(J19/J148, "NA")</f>
        <v>2.2345619802230817E-2</v>
      </c>
      <c r="L19" s="7">
        <v>653.54999999999995</v>
      </c>
      <c r="M19" s="8">
        <f>IFERROR(L19/L148, "NA")</f>
        <v>1.5755630187840475E-2</v>
      </c>
      <c r="N19" s="7">
        <v>1034.21</v>
      </c>
      <c r="O19" s="8">
        <f>IFERROR(N19/N148, "NA")</f>
        <v>2.0741949736456242E-2</v>
      </c>
      <c r="P19" s="7">
        <v>785.76</v>
      </c>
      <c r="Q19" s="8">
        <f>IFERROR(P19/P148, "NA")</f>
        <v>1.5356940994917762E-2</v>
      </c>
      <c r="R19" s="7">
        <v>995.27</v>
      </c>
      <c r="S19" s="8">
        <f>IFERROR(R19/R148, "NA")</f>
        <v>2.1007951938402398E-2</v>
      </c>
      <c r="T19" s="7">
        <v>924.27</v>
      </c>
      <c r="U19" s="8">
        <f>IFERROR(T19/T148, "NA")</f>
        <v>2.0963000226352408E-2</v>
      </c>
      <c r="V19" s="7">
        <v>965.2</v>
      </c>
      <c r="W19" s="8">
        <f>IFERROR(V19/V148, "NA")</f>
        <v>1.952913578313514E-2</v>
      </c>
      <c r="X19" s="7">
        <v>754.02</v>
      </c>
      <c r="Y19" s="8">
        <f>IFERROR(X19/X148, "NA")</f>
        <v>1.8153050715004181E-2</v>
      </c>
      <c r="Z19" s="7">
        <v>2643.49</v>
      </c>
      <c r="AA19" s="8">
        <f>IFERROR(Z19/Z148, "NA")</f>
        <v>1.9574020027256375E-2</v>
      </c>
      <c r="AB19" s="9">
        <f t="shared" si="0"/>
        <v>909.68999999999994</v>
      </c>
      <c r="AC19" s="8">
        <f>IFERROR(AB19/AB148, "NA")</f>
        <v>1.9946409195753124E-2</v>
      </c>
      <c r="AD19" s="10">
        <f t="shared" si="1"/>
        <v>-155.66999999999996</v>
      </c>
      <c r="AE19" s="11">
        <f>IFERROR(AD19/AD148, "NA")</f>
        <v>3.8249238000582296E-2</v>
      </c>
      <c r="AF19" s="10">
        <f t="shared" si="2"/>
        <v>-0.17112422913300132</v>
      </c>
      <c r="AG19" s="9">
        <f t="shared" si="3"/>
        <v>898.22</v>
      </c>
      <c r="AH19" s="8">
        <f>IFERROR(AG19/AG148, "NA")</f>
        <v>1.9266099567718208E-2</v>
      </c>
      <c r="AI19" s="10">
        <f t="shared" si="4"/>
        <v>-144.20000000000005</v>
      </c>
      <c r="AJ19" s="11">
        <f>IFERROR(AI19/AI148, "NA")</f>
        <v>2.8358096684000453E-2</v>
      </c>
      <c r="AK19" s="10">
        <f t="shared" si="5"/>
        <v>-0.1605397341408564</v>
      </c>
      <c r="AL19" s="11">
        <f>IFERROR(AK19/AK148, "NA")</f>
        <v>1.4719168550087103</v>
      </c>
    </row>
    <row r="20" spans="1:38" ht="16.5" customHeight="1">
      <c r="A20" s="25" t="s">
        <v>35</v>
      </c>
      <c r="B20" s="7">
        <v>567.64</v>
      </c>
      <c r="C20" s="8">
        <f>IFERROR(B20/B148, "NA")</f>
        <v>1.181349807242937E-2</v>
      </c>
      <c r="D20" s="7">
        <v>511.4</v>
      </c>
      <c r="E20" s="8">
        <f>IFERROR(D20/D148, "NA")</f>
        <v>1.204900462593189E-2</v>
      </c>
      <c r="F20" s="7">
        <v>598.74</v>
      </c>
      <c r="G20" s="8">
        <f>IFERROR(F20/F148, "NA")</f>
        <v>9.9252975235326734E-3</v>
      </c>
      <c r="H20" s="7">
        <v>700.65</v>
      </c>
      <c r="I20" s="8">
        <f>IFERROR(H20/H148, "NA")</f>
        <v>1.1921629134477644E-2</v>
      </c>
      <c r="J20" s="7">
        <v>593.52</v>
      </c>
      <c r="K20" s="8">
        <f>IFERROR(J20/J148, "NA")</f>
        <v>1.2354745561184217E-2</v>
      </c>
      <c r="L20" s="7">
        <v>549.02</v>
      </c>
      <c r="M20" s="8">
        <f>IFERROR(L20/L148, "NA")</f>
        <v>1.3235645452877634E-2</v>
      </c>
      <c r="N20" s="7">
        <v>581.52</v>
      </c>
      <c r="O20" s="8">
        <f>IFERROR(N20/N148, "NA")</f>
        <v>1.1662871767575283E-2</v>
      </c>
      <c r="P20" s="7">
        <v>943.81</v>
      </c>
      <c r="Q20" s="8">
        <f>IFERROR(P20/P148, "NA")</f>
        <v>1.8445879760249098E-2</v>
      </c>
      <c r="R20" s="7">
        <v>513.5</v>
      </c>
      <c r="S20" s="8">
        <f>IFERROR(R20/R148, "NA")</f>
        <v>1.0838851086006442E-2</v>
      </c>
      <c r="T20" s="7">
        <v>763.72</v>
      </c>
      <c r="U20" s="8">
        <f>IFERROR(T20/T148, "NA")</f>
        <v>1.7321629537764789E-2</v>
      </c>
      <c r="V20" s="7">
        <v>419.33</v>
      </c>
      <c r="W20" s="8">
        <f>IFERROR(V20/V148, "NA")</f>
        <v>8.4844099750746565E-3</v>
      </c>
      <c r="X20" s="7">
        <v>597.42999999999995</v>
      </c>
      <c r="Y20" s="8">
        <f>IFERROR(X20/X148, "NA")</f>
        <v>1.4383142474556309E-2</v>
      </c>
      <c r="Z20" s="7">
        <v>1780.48</v>
      </c>
      <c r="AA20" s="8">
        <f>IFERROR(Z20/Z148, "NA")</f>
        <v>1.3183765090138203E-2</v>
      </c>
      <c r="AB20" s="9">
        <f t="shared" si="0"/>
        <v>573.495</v>
      </c>
      <c r="AC20" s="8">
        <f>IFERROR(AB20/AB148, "NA")</f>
        <v>1.2574795745494001E-2</v>
      </c>
      <c r="AD20" s="10">
        <f t="shared" si="1"/>
        <v>23.934999999999945</v>
      </c>
      <c r="AE20" s="11">
        <f>IFERROR(AD20/AD148, "NA")</f>
        <v>-5.8810015516408774E-3</v>
      </c>
      <c r="AF20" s="10">
        <f t="shared" si="2"/>
        <v>4.1735324632298357E-2</v>
      </c>
      <c r="AG20" s="9">
        <f t="shared" si="3"/>
        <v>620.23125000000005</v>
      </c>
      <c r="AH20" s="8">
        <f>IFERROR(AG20/AG148, "NA")</f>
        <v>1.3303463536227564E-2</v>
      </c>
      <c r="AI20" s="10">
        <f t="shared" si="4"/>
        <v>-22.801250000000095</v>
      </c>
      <c r="AJ20" s="11">
        <f>IFERROR(AI20/AI148, "NA")</f>
        <v>4.4840502913735631E-3</v>
      </c>
      <c r="AK20" s="10">
        <f t="shared" si="5"/>
        <v>-3.6762497858661737E-2</v>
      </c>
      <c r="AL20" s="11">
        <f>IFERROR(AK20/AK148, "NA")</f>
        <v>0.33705886284145042</v>
      </c>
    </row>
    <row r="21" spans="1:38" ht="16.5" customHeight="1">
      <c r="A21" s="25" t="s">
        <v>36</v>
      </c>
      <c r="B21" s="7">
        <v>242.66</v>
      </c>
      <c r="C21" s="8">
        <f>IFERROR(B21/B148, "NA")</f>
        <v>5.0501434751879905E-3</v>
      </c>
      <c r="D21" s="7">
        <v>463.03</v>
      </c>
      <c r="E21" s="8">
        <f>IFERROR(D21/D148, "NA")</f>
        <v>1.0909367641660624E-2</v>
      </c>
      <c r="F21" s="7">
        <v>753.68</v>
      </c>
      <c r="G21" s="8">
        <f>IFERROR(F21/F148, "NA")</f>
        <v>1.2493733903758065E-2</v>
      </c>
      <c r="H21" s="7">
        <v>277.8</v>
      </c>
      <c r="I21" s="8">
        <f>IFERROR(H21/H148, "NA")</f>
        <v>4.7267945101803887E-3</v>
      </c>
      <c r="J21" s="7">
        <v>525.52</v>
      </c>
      <c r="K21" s="8">
        <f>IFERROR(J21/J148, "NA")</f>
        <v>1.0939253752718578E-2</v>
      </c>
      <c r="L21" s="7">
        <v>394.77</v>
      </c>
      <c r="M21" s="8">
        <f>IFERROR(L21/L148, "NA")</f>
        <v>9.5170226138073365E-3</v>
      </c>
      <c r="N21" s="7">
        <v>500.48</v>
      </c>
      <c r="O21" s="8">
        <f>IFERROR(N21/N148, "NA")</f>
        <v>1.0037546537068506E-2</v>
      </c>
      <c r="P21" s="7">
        <v>485.93</v>
      </c>
      <c r="Q21" s="8">
        <f>IFERROR(P21/P148, "NA")</f>
        <v>9.4970453289304462E-3</v>
      </c>
      <c r="R21" s="7">
        <v>606.97</v>
      </c>
      <c r="S21" s="8">
        <f>IFERROR(R21/R148, "NA")</f>
        <v>1.2811796384952931E-2</v>
      </c>
      <c r="T21" s="7">
        <v>338.99</v>
      </c>
      <c r="U21" s="8">
        <f>IFERROR(T21/T148, "NA")</f>
        <v>7.688497351132465E-3</v>
      </c>
      <c r="V21" s="7">
        <v>417.92</v>
      </c>
      <c r="W21" s="8">
        <f>IFERROR(V21/V148, "NA")</f>
        <v>8.4558810883628658E-3</v>
      </c>
      <c r="X21" s="7">
        <v>391.1</v>
      </c>
      <c r="Y21" s="8">
        <f>IFERROR(X21/X148, "NA")</f>
        <v>9.415742466563402E-3</v>
      </c>
      <c r="Z21" s="7">
        <v>1148.01</v>
      </c>
      <c r="AA21" s="8">
        <f>IFERROR(Z21/Z148, "NA")</f>
        <v>8.5005695998436135E-3</v>
      </c>
      <c r="AB21" s="9">
        <f t="shared" si="0"/>
        <v>438.745</v>
      </c>
      <c r="AC21" s="8">
        <f>IFERROR(AB21/AB148, "NA")</f>
        <v>9.6201863300582665E-3</v>
      </c>
      <c r="AD21" s="10">
        <f t="shared" si="1"/>
        <v>-47.644999999999982</v>
      </c>
      <c r="AE21" s="11">
        <f>IFERROR(AD21/AD148, "NA")</f>
        <v>1.1706718985917281E-2</v>
      </c>
      <c r="AF21" s="10">
        <f t="shared" si="2"/>
        <v>-0.10859383012911823</v>
      </c>
      <c r="AG21" s="9">
        <f t="shared" si="3"/>
        <v>457.71</v>
      </c>
      <c r="AH21" s="8">
        <f>IFERROR(AG21/AG148, "NA")</f>
        <v>9.8175128956606399E-3</v>
      </c>
      <c r="AI21" s="10">
        <f t="shared" si="4"/>
        <v>-66.609999999999957</v>
      </c>
      <c r="AJ21" s="11">
        <f>IFERROR(AI21/AI148, "NA")</f>
        <v>1.3099395423864553E-2</v>
      </c>
      <c r="AK21" s="10">
        <f t="shared" si="5"/>
        <v>-0.14552882829739347</v>
      </c>
      <c r="AL21" s="11">
        <f>IFERROR(AK21/AK148, "NA")</f>
        <v>1.3342885884728009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281.05</v>
      </c>
      <c r="C23" s="8">
        <f>IFERROR(B23/B148, "NA")</f>
        <v>5.8491008971465631E-3</v>
      </c>
      <c r="D23" s="7">
        <v>340.68</v>
      </c>
      <c r="E23" s="8">
        <f>IFERROR(D23/D148, "NA")</f>
        <v>8.0267010089215413E-3</v>
      </c>
      <c r="F23" s="7">
        <v>425.63</v>
      </c>
      <c r="G23" s="8">
        <f>IFERROR(F23/F148, "NA")</f>
        <v>7.0556575223656532E-3</v>
      </c>
      <c r="H23" s="7">
        <v>23.59</v>
      </c>
      <c r="I23" s="8">
        <f>IFERROR(H23/H148, "NA")</f>
        <v>4.0138618608767234E-4</v>
      </c>
      <c r="J23" s="7">
        <v>261</v>
      </c>
      <c r="K23" s="8">
        <f>IFERROR(J23/J148, "NA")</f>
        <v>5.4329906177872367E-3</v>
      </c>
      <c r="L23" s="7">
        <v>160.02000000000001</v>
      </c>
      <c r="M23" s="8">
        <f>IFERROR(L23/L148, "NA")</f>
        <v>3.8577246464053753E-3</v>
      </c>
      <c r="N23" s="7">
        <v>535.89</v>
      </c>
      <c r="O23" s="8">
        <f>IFERROR(N23/N148, "NA")</f>
        <v>1.0747723812639149E-2</v>
      </c>
      <c r="P23" s="7">
        <v>224.58</v>
      </c>
      <c r="Q23" s="8">
        <f>IFERROR(P23/P148, "NA")</f>
        <v>4.3892051117881171E-3</v>
      </c>
      <c r="R23" s="7">
        <v>74.47</v>
      </c>
      <c r="S23" s="8">
        <f>IFERROR(R23/R148, "NA")</f>
        <v>1.5718972548683537E-3</v>
      </c>
      <c r="T23" s="7">
        <v>282.38</v>
      </c>
      <c r="U23" s="8">
        <f>IFERROR(T23/T148, "NA")</f>
        <v>6.4045484586943138E-3</v>
      </c>
      <c r="V23" s="7">
        <v>184.38</v>
      </c>
      <c r="W23" s="8">
        <f>IFERROR(V23/V148, "NA")</f>
        <v>3.7306071857588657E-3</v>
      </c>
      <c r="X23" s="7">
        <v>234.84</v>
      </c>
      <c r="Y23" s="8">
        <f>IFERROR(X23/X148, "NA")</f>
        <v>5.6537789845250552E-3</v>
      </c>
      <c r="Z23" s="7">
        <v>701.6</v>
      </c>
      <c r="AA23" s="8">
        <f>IFERROR(Z23/Z148, "NA")</f>
        <v>5.1950763767304115E-3</v>
      </c>
      <c r="AB23" s="9">
        <f t="shared" si="0"/>
        <v>194.01750000000001</v>
      </c>
      <c r="AC23" s="8">
        <f>IFERROR(AB23/AB148, "NA")</f>
        <v>4.254144209716532E-3</v>
      </c>
      <c r="AD23" s="10">
        <f t="shared" si="1"/>
        <v>40.822499999999991</v>
      </c>
      <c r="AE23" s="11">
        <f>IFERROR(AD23/AD148, "NA")</f>
        <v>-1.0030381693831636E-2</v>
      </c>
      <c r="AF23" s="10">
        <f t="shared" si="2"/>
        <v>0.21040627778422044</v>
      </c>
      <c r="AG23" s="9">
        <f t="shared" si="3"/>
        <v>244.69500000000002</v>
      </c>
      <c r="AH23" s="8">
        <f>IFERROR(AG23/AG148, "NA")</f>
        <v>5.2485117607298957E-3</v>
      </c>
      <c r="AI23" s="10">
        <f t="shared" si="4"/>
        <v>-9.8550000000000182</v>
      </c>
      <c r="AJ23" s="11">
        <f>IFERROR(AI23/AI148, "NA")</f>
        <v>1.9380654841943475E-3</v>
      </c>
      <c r="AK23" s="10">
        <f t="shared" si="5"/>
        <v>-4.0274627597621598E-2</v>
      </c>
      <c r="AL23" s="11">
        <f>IFERROR(AK23/AK148, "NA")</f>
        <v>0.36926000598783576</v>
      </c>
    </row>
    <row r="24" spans="1:38" ht="16.5" customHeight="1">
      <c r="A24" s="25" t="s">
        <v>39</v>
      </c>
      <c r="B24" s="7">
        <v>2607.4499999999998</v>
      </c>
      <c r="C24" s="8">
        <f>IFERROR(B24/B148, "NA")</f>
        <v>5.4265213073349236E-2</v>
      </c>
      <c r="D24" s="7">
        <v>2356.64</v>
      </c>
      <c r="E24" s="8">
        <f>IFERROR(D24/D148, "NA")</f>
        <v>5.5524376733782028E-2</v>
      </c>
      <c r="F24" s="7">
        <v>2963.89</v>
      </c>
      <c r="G24" s="8">
        <f>IFERROR(F24/F148, "NA")</f>
        <v>4.9132328017208224E-2</v>
      </c>
      <c r="H24" s="7">
        <v>2755.98</v>
      </c>
      <c r="I24" s="8">
        <f>IFERROR(H24/H148, "NA")</f>
        <v>4.689327262119132E-2</v>
      </c>
      <c r="J24" s="7">
        <v>2429.73</v>
      </c>
      <c r="K24" s="8">
        <f>IFERROR(J24/J148, "NA")</f>
        <v>5.0577395761517943E-2</v>
      </c>
      <c r="L24" s="7">
        <v>2512.91</v>
      </c>
      <c r="M24" s="8">
        <f>IFERROR(L24/L148, "NA")</f>
        <v>6.0580645176843709E-2</v>
      </c>
      <c r="N24" s="7">
        <v>2734.04</v>
      </c>
      <c r="O24" s="8">
        <f>IFERROR(N24/N148, "NA")</f>
        <v>5.4833467339767378E-2</v>
      </c>
      <c r="P24" s="7">
        <v>2908.93</v>
      </c>
      <c r="Q24" s="8">
        <f>IFERROR(P24/P148, "NA")</f>
        <v>5.685230397111856E-2</v>
      </c>
      <c r="R24" s="7">
        <v>2811.2</v>
      </c>
      <c r="S24" s="8">
        <f>IFERROR(R24/R148, "NA")</f>
        <v>5.9338224290129124E-2</v>
      </c>
      <c r="T24" s="7">
        <v>2216.1999999999998</v>
      </c>
      <c r="U24" s="8">
        <f>IFERROR(T24/T148, "NA")</f>
        <v>5.0264750669871579E-2</v>
      </c>
      <c r="V24" s="7">
        <v>2362.21</v>
      </c>
      <c r="W24" s="8">
        <f>IFERROR(V24/V148, "NA")</f>
        <v>4.7795192538623764E-2</v>
      </c>
      <c r="X24" s="7">
        <v>2413.1</v>
      </c>
      <c r="Y24" s="8">
        <f>IFERROR(X24/X148, "NA")</f>
        <v>5.8095443994027468E-2</v>
      </c>
      <c r="Z24" s="7">
        <v>6991.51</v>
      </c>
      <c r="AA24" s="8">
        <f>IFERROR(Z24/Z148, "NA")</f>
        <v>5.1769424798566763E-2</v>
      </c>
      <c r="AB24" s="9">
        <f t="shared" si="0"/>
        <v>2450.6774999999998</v>
      </c>
      <c r="AC24" s="8">
        <f>IFERROR(AB24/AB148, "NA")</f>
        <v>5.3735026461569621E-2</v>
      </c>
      <c r="AD24" s="10">
        <f t="shared" si="1"/>
        <v>-37.577499999999873</v>
      </c>
      <c r="AE24" s="11">
        <f>IFERROR(AD24/AD148, "NA")</f>
        <v>9.2330618678414383E-3</v>
      </c>
      <c r="AF24" s="10">
        <f t="shared" si="2"/>
        <v>-1.5333514915773241E-2</v>
      </c>
      <c r="AG24" s="9">
        <f t="shared" si="3"/>
        <v>2548.5399999999995</v>
      </c>
      <c r="AH24" s="8">
        <f>IFERROR(AG24/AG148, "NA")</f>
        <v>5.4664141738452209E-2</v>
      </c>
      <c r="AI24" s="10">
        <f t="shared" si="4"/>
        <v>-135.4399999999996</v>
      </c>
      <c r="AJ24" s="11">
        <f>IFERROR(AI24/AI148, "NA")</f>
        <v>2.6635371809160948E-2</v>
      </c>
      <c r="AK24" s="10">
        <f t="shared" si="5"/>
        <v>-5.3144153122964374E-2</v>
      </c>
      <c r="AL24" s="11">
        <f>IFERROR(AK24/AK148, "NA")</f>
        <v>0.48725491633256396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10219.530000000001</v>
      </c>
      <c r="C27" s="14">
        <f>IFERROR(B27/B148, "NA")</f>
        <v>0.21268479662485754</v>
      </c>
      <c r="D27" s="13">
        <f>IFERROR(D15+D16+D17+D18+D19+D20+D21+D22+D23+D24+D25+D26, "NA")</f>
        <v>8273.91</v>
      </c>
      <c r="E27" s="14">
        <f>IFERROR(D27/D148, "NA")</f>
        <v>0.19494012488178358</v>
      </c>
      <c r="F27" s="13">
        <f>IFERROR(F15+F16+F17+F18+F19+F20+F21+F22+F23+F24+F25+F26, "NA")</f>
        <v>11661.499999999998</v>
      </c>
      <c r="G27" s="14">
        <f>IFERROR(F27/F148, "NA")</f>
        <v>0.19331238445848989</v>
      </c>
      <c r="H27" s="13">
        <f>IFERROR(H15+H16+H17+H18+H19+H20+H21+H22+H23+H24+H25+H26, "NA")</f>
        <v>10733.4</v>
      </c>
      <c r="I27" s="14">
        <f>IFERROR(H27/H148, "NA")</f>
        <v>0.18262986391493946</v>
      </c>
      <c r="J27" s="13">
        <f>IFERROR(J15+J16+J17+J18+J19+J20+J21+J22+J23+J24+J25+J26, "NA")</f>
        <v>9118.14</v>
      </c>
      <c r="K27" s="14">
        <f>IFERROR(J27/J148, "NA")</f>
        <v>0.18980371291827783</v>
      </c>
      <c r="L27" s="13">
        <f>IFERROR(L15+L16+L17+L18+L19+L20+L21+L22+L23+L24+L25+L26, "NA")</f>
        <v>8923.5600000000013</v>
      </c>
      <c r="M27" s="14">
        <f>IFERROR(L27/L148, "NA")</f>
        <v>0.21512709252391674</v>
      </c>
      <c r="N27" s="13">
        <f>IFERROR(N15+N16+N17+N18+N19+N20+N21+N22+N23+N24+N25+N26, "NA")</f>
        <v>10084.77</v>
      </c>
      <c r="O27" s="14">
        <f>IFERROR(N27/N148, "NA")</f>
        <v>0.20225852819419829</v>
      </c>
      <c r="P27" s="13">
        <f>IFERROR(P15+P16+P17+P18+P19+P20+P21+P22+P23+P24+P25+P26, "NA")</f>
        <v>9848.15</v>
      </c>
      <c r="Q27" s="14">
        <f>IFERROR(P27/P148, "NA")</f>
        <v>0.19247283961909406</v>
      </c>
      <c r="R27" s="13">
        <f>IFERROR(R15+R16+R17+R18+R19+R20+R21+R22+R23+R24+R25+R26, "NA")</f>
        <v>9313.9400000000023</v>
      </c>
      <c r="S27" s="14">
        <f>IFERROR(R27/R148, "NA")</f>
        <v>0.19659670629795298</v>
      </c>
      <c r="T27" s="13">
        <f>IFERROR(T15+T16+T17+T18+T19+T20+T21+T22+T23+T24+T25+T26, "NA")</f>
        <v>8808.2200000000012</v>
      </c>
      <c r="U27" s="14">
        <f>IFERROR(T27/T148, "NA")</f>
        <v>0.19977573420511521</v>
      </c>
      <c r="V27" s="13">
        <f>IFERROR(V15+V16+V17+V18+V19+V20+V21+V22+V23+V24+V25+V26, "NA")</f>
        <v>8512.11</v>
      </c>
      <c r="W27" s="14">
        <f>IFERROR(V27/V148, "NA")</f>
        <v>0.17222767508390227</v>
      </c>
      <c r="X27" s="13">
        <f>IFERROR(X15+X16+X17+X18+X19+X20+X21+X22+X23+X24+X25+X26, "NA")</f>
        <v>8379.260000000002</v>
      </c>
      <c r="Y27" s="14">
        <f>IFERROR(X27/X148, "NA")</f>
        <v>0.20173089803215563</v>
      </c>
      <c r="Z27" s="13">
        <f>IFERROR(Z15+Z16+Z17+Z18+Z19+Z20+Z21+Z22+Z23+Z24+Z25+Z26, "NA")</f>
        <v>25699.589999999997</v>
      </c>
      <c r="AA27" s="14">
        <f>IFERROR(Z27/Z148, "NA")</f>
        <v>0.19029551439660361</v>
      </c>
      <c r="AB27" s="13">
        <f t="shared" si="0"/>
        <v>8753.3825000000015</v>
      </c>
      <c r="AC27" s="14">
        <f>IFERROR(AB27/AB148, "NA")</f>
        <v>0.19193192097521627</v>
      </c>
      <c r="AD27" s="15">
        <f t="shared" si="1"/>
        <v>-374.12249999999949</v>
      </c>
      <c r="AE27" s="16">
        <f>IFERROR(AD27/AD148, "NA")</f>
        <v>9.1924587549770898E-2</v>
      </c>
      <c r="AF27" s="15">
        <f t="shared" si="2"/>
        <v>-4.2740334950517635E-2</v>
      </c>
      <c r="AG27" s="13">
        <f t="shared" si="3"/>
        <v>9123.5187500000011</v>
      </c>
      <c r="AH27" s="14">
        <f>IFERROR(AG27/AG148, "NA")</f>
        <v>0.19569216967496156</v>
      </c>
      <c r="AI27" s="15">
        <f t="shared" si="4"/>
        <v>-744.25874999999905</v>
      </c>
      <c r="AJ27" s="16">
        <f>IFERROR(AI27/AI148, "NA")</f>
        <v>0.1463645047878869</v>
      </c>
      <c r="AK27" s="15">
        <f t="shared" si="5"/>
        <v>-8.1575844846046811E-2</v>
      </c>
      <c r="AL27" s="16">
        <f>IFERROR(AK27/AK148, "NA")</f>
        <v>0.74793235228059285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495.73</v>
      </c>
      <c r="C30" s="8">
        <f>IFERROR(B30/B148, "NA")</f>
        <v>1.0316935732938856E-2</v>
      </c>
      <c r="D30" s="7">
        <v>196.56</v>
      </c>
      <c r="E30" s="8">
        <f>IFERROR(D30/D148, "NA")</f>
        <v>4.6311152703816432E-3</v>
      </c>
      <c r="F30" s="7">
        <v>595.21</v>
      </c>
      <c r="G30" s="8">
        <f>IFERROR(F30/F148, "NA")</f>
        <v>9.8667808046595893E-3</v>
      </c>
      <c r="H30" s="7">
        <v>399.56</v>
      </c>
      <c r="I30" s="8">
        <f>IFERROR(H30/H148, "NA")</f>
        <v>6.7985529679182007E-3</v>
      </c>
      <c r="J30" s="7">
        <v>318.64</v>
      </c>
      <c r="K30" s="8">
        <f>IFERROR(J30/J148, "NA")</f>
        <v>6.6328280860219356E-3</v>
      </c>
      <c r="L30" s="7">
        <v>487.72</v>
      </c>
      <c r="M30" s="8">
        <f>IFERROR(L30/L148, "NA")</f>
        <v>1.1757839423477251E-2</v>
      </c>
      <c r="N30" s="7">
        <v>523.28</v>
      </c>
      <c r="O30" s="8">
        <f>IFERROR(N30/N148, "NA")</f>
        <v>1.0494819676944548E-2</v>
      </c>
      <c r="P30" s="7">
        <v>472.27</v>
      </c>
      <c r="Q30" s="8">
        <f>IFERROR(P30/P148, "NA")</f>
        <v>9.230073462214685E-3</v>
      </c>
      <c r="R30" s="7">
        <v>470.85</v>
      </c>
      <c r="S30" s="8">
        <f>IFERROR(R30/R148, "NA")</f>
        <v>9.9386037660099957E-3</v>
      </c>
      <c r="T30" s="7">
        <v>347.2</v>
      </c>
      <c r="U30" s="8">
        <f>IFERROR(T30/T148, "NA")</f>
        <v>7.8747050954694579E-3</v>
      </c>
      <c r="V30" s="7">
        <v>607.32000000000005</v>
      </c>
      <c r="W30" s="8">
        <f>IFERROR(V30/V148, "NA")</f>
        <v>1.2288059204116903E-2</v>
      </c>
      <c r="X30" s="7">
        <v>586.84</v>
      </c>
      <c r="Y30" s="8">
        <f>IFERROR(X30/X148, "NA")</f>
        <v>1.4128187954686951E-2</v>
      </c>
      <c r="Z30" s="7">
        <v>1541.36</v>
      </c>
      <c r="AA30" s="8">
        <f>IFERROR(Z30/Z148, "NA")</f>
        <v>1.1413174065047301E-2</v>
      </c>
      <c r="AB30" s="9">
        <f t="shared" si="6"/>
        <v>503.05250000000001</v>
      </c>
      <c r="AC30" s="8">
        <f>IFERROR(AB30/AB148, "NA")</f>
        <v>1.103023119078653E-2</v>
      </c>
      <c r="AD30" s="10">
        <f t="shared" si="7"/>
        <v>83.787500000000023</v>
      </c>
      <c r="AE30" s="11">
        <f>IFERROR(AD30/AD148, "NA")</f>
        <v>-2.0587191038567425E-2</v>
      </c>
      <c r="AF30" s="10">
        <f t="shared" si="8"/>
        <v>0.16655816241843549</v>
      </c>
      <c r="AG30" s="9">
        <f t="shared" si="9"/>
        <v>476.76499999999999</v>
      </c>
      <c r="AH30" s="8">
        <f>IFERROR(AG30/AG148, "NA")</f>
        <v>1.0226227383495323E-2</v>
      </c>
      <c r="AI30" s="10">
        <f t="shared" si="10"/>
        <v>110.07500000000005</v>
      </c>
      <c r="AJ30" s="11">
        <f>IFERROR(AI30/AI148, "NA")</f>
        <v>-2.1647139337665398E-2</v>
      </c>
      <c r="AK30" s="10">
        <f t="shared" si="11"/>
        <v>0.23087894455339644</v>
      </c>
      <c r="AL30" s="11">
        <f>IFERROR(AK30/AK148, "NA")</f>
        <v>-2.1168255433673342</v>
      </c>
    </row>
    <row r="31" spans="1:38" ht="16.5" customHeight="1">
      <c r="A31" s="25" t="s">
        <v>46</v>
      </c>
      <c r="B31" s="7">
        <v>17.73</v>
      </c>
      <c r="C31" s="8">
        <f>IFERROR(B31/B148, "NA")</f>
        <v>3.6898971324109077E-4</v>
      </c>
      <c r="D31" s="7">
        <v>25.05</v>
      </c>
      <c r="E31" s="8">
        <f>IFERROR(D31/D148, "NA")</f>
        <v>5.9019860359717225E-4</v>
      </c>
      <c r="F31" s="7">
        <v>9.66</v>
      </c>
      <c r="G31" s="8">
        <f>IFERROR(F31/F148, "NA")</f>
        <v>1.6013357062719314E-4</v>
      </c>
      <c r="H31" s="7">
        <v>4.87</v>
      </c>
      <c r="I31" s="8">
        <f>IFERROR(H31/H148, "NA")</f>
        <v>8.2863532269900989E-5</v>
      </c>
      <c r="J31" s="7">
        <v>17.82</v>
      </c>
      <c r="K31" s="8">
        <f>IFERROR(J31/J148, "NA")</f>
        <v>3.7094211804202513E-4</v>
      </c>
      <c r="L31" s="7">
        <v>12.94</v>
      </c>
      <c r="M31" s="8">
        <f>IFERROR(L31/L148, "NA")</f>
        <v>3.1195448646722629E-4</v>
      </c>
      <c r="N31" s="7">
        <v>14.53</v>
      </c>
      <c r="O31" s="8">
        <f>IFERROR(N31/N148, "NA")</f>
        <v>2.9141134747363607E-4</v>
      </c>
      <c r="P31" s="7">
        <v>8.9</v>
      </c>
      <c r="Q31" s="8">
        <f>IFERROR(P31/P148, "NA")</f>
        <v>1.7394213863618419E-4</v>
      </c>
      <c r="R31" s="7">
        <v>12.93</v>
      </c>
      <c r="S31" s="8">
        <f>IFERROR(R31/R148, "NA")</f>
        <v>2.7292374789106771E-4</v>
      </c>
      <c r="T31" s="7">
        <v>13.7</v>
      </c>
      <c r="U31" s="8">
        <f>IFERROR(T31/T148, "NA")</f>
        <v>3.1072425059888129E-4</v>
      </c>
      <c r="V31" s="7">
        <v>16.12</v>
      </c>
      <c r="W31" s="8">
        <f>IFERROR(V31/V148, "NA")</f>
        <v>3.2616003815182185E-4</v>
      </c>
      <c r="X31" s="7">
        <v>138.07</v>
      </c>
      <c r="Y31" s="8">
        <f>IFERROR(X31/X148, "NA")</f>
        <v>3.3240387684950364E-3</v>
      </c>
      <c r="Z31" s="7">
        <v>167.89</v>
      </c>
      <c r="AA31" s="8">
        <f>IFERROR(Z31/Z148, "NA")</f>
        <v>1.2431604516665745E-3</v>
      </c>
      <c r="AB31" s="9">
        <f t="shared" si="6"/>
        <v>45.204999999999998</v>
      </c>
      <c r="AC31" s="8">
        <f>IFERROR(AB31/AB148, "NA")</f>
        <v>9.9119197495192864E-4</v>
      </c>
      <c r="AD31" s="10">
        <f t="shared" si="7"/>
        <v>92.864999999999995</v>
      </c>
      <c r="AE31" s="11">
        <f>IFERROR(AD31/AD148, "NA")</f>
        <v>-2.2817598040239452E-2</v>
      </c>
      <c r="AF31" s="10">
        <f t="shared" si="8"/>
        <v>2.0543081517531245</v>
      </c>
      <c r="AG31" s="9">
        <f t="shared" si="9"/>
        <v>29.376249999999999</v>
      </c>
      <c r="AH31" s="8">
        <f>IFERROR(AG31/AG148, "NA")</f>
        <v>6.3009703349533729E-4</v>
      </c>
      <c r="AI31" s="10">
        <f t="shared" si="10"/>
        <v>108.69374999999999</v>
      </c>
      <c r="AJ31" s="11">
        <f>IFERROR(AI31/AI148, "NA")</f>
        <v>-2.137550534983754E-2</v>
      </c>
      <c r="AK31" s="10">
        <f t="shared" si="11"/>
        <v>3.7000553167950301</v>
      </c>
      <c r="AL31" s="11">
        <f>IFERROR(AK31/AK148, "NA")</f>
        <v>-33.924148525602789</v>
      </c>
    </row>
    <row r="32" spans="1:38" ht="16.5" customHeight="1">
      <c r="A32" s="25" t="s">
        <v>47</v>
      </c>
      <c r="B32" s="7">
        <v>158.75</v>
      </c>
      <c r="C32" s="8">
        <f>IFERROR(B32/B148, "NA")</f>
        <v>3.303841905077448E-3</v>
      </c>
      <c r="D32" s="7">
        <v>-4.8</v>
      </c>
      <c r="E32" s="8">
        <f>IFERROR(D32/D148, "NA")</f>
        <v>-1.1309194799466772E-4</v>
      </c>
      <c r="F32" s="7">
        <v>1.6</v>
      </c>
      <c r="G32" s="8">
        <f>IFERROR(F32/F148, "NA")</f>
        <v>2.6523158696015428E-5</v>
      </c>
      <c r="H32" s="7">
        <v>-0.8</v>
      </c>
      <c r="I32" s="8">
        <f>IFERROR(H32/H148, "NA")</f>
        <v>-1.3612079222981681E-5</v>
      </c>
      <c r="J32" s="7">
        <v>1.6</v>
      </c>
      <c r="K32" s="8">
        <f>IFERROR(J32/J148, "NA")</f>
        <v>3.3305689610956244E-5</v>
      </c>
      <c r="L32" s="7">
        <v>0.8</v>
      </c>
      <c r="M32" s="8">
        <f>IFERROR(L32/L148, "NA")</f>
        <v>1.9286212455469942E-5</v>
      </c>
      <c r="N32" s="7">
        <v>0.8</v>
      </c>
      <c r="O32" s="8">
        <f>IFERROR(N32/N148, "NA")</f>
        <v>1.6044671574597996E-5</v>
      </c>
      <c r="P32" s="7">
        <v>-1.6</v>
      </c>
      <c r="Q32" s="8">
        <f>IFERROR(P32/P148, "NA")</f>
        <v>-3.1270496833471313E-5</v>
      </c>
      <c r="R32" s="7">
        <v>2.4</v>
      </c>
      <c r="S32" s="8">
        <f>IFERROR(R32/R148, "NA")</f>
        <v>5.0658700304606536E-5</v>
      </c>
      <c r="T32" s="7">
        <v>1.59</v>
      </c>
      <c r="U32" s="8">
        <f>IFERROR(T32/T148, "NA")</f>
        <v>3.6062157551257029E-5</v>
      </c>
      <c r="V32" s="7">
        <v>0</v>
      </c>
      <c r="W32" s="8">
        <f>IFERROR(V32/V148, "NA")</f>
        <v>0</v>
      </c>
      <c r="X32" s="7">
        <v>-1.59</v>
      </c>
      <c r="Y32" s="8">
        <f>IFERROR(X32/X148, "NA")</f>
        <v>-3.8279290518629014E-5</v>
      </c>
      <c r="Z32" s="7">
        <v>0</v>
      </c>
      <c r="AA32" s="8">
        <f>IFERROR(Z32/Z148, "NA")</f>
        <v>0</v>
      </c>
      <c r="AB32" s="9">
        <f t="shared" si="6"/>
        <v>0.60000000000000009</v>
      </c>
      <c r="AC32" s="8">
        <f>IFERROR(AB32/AB148, "NA")</f>
        <v>1.3155960291365054E-5</v>
      </c>
      <c r="AD32" s="10">
        <f t="shared" si="7"/>
        <v>-2.1900000000000004</v>
      </c>
      <c r="AE32" s="11">
        <f>IFERROR(AD32/AD148, "NA")</f>
        <v>5.380987423477566E-4</v>
      </c>
      <c r="AF32" s="10">
        <f t="shared" si="8"/>
        <v>-3.65</v>
      </c>
      <c r="AG32" s="9">
        <f t="shared" si="9"/>
        <v>0.5</v>
      </c>
      <c r="AH32" s="8">
        <f>IFERROR(AG32/AG148, "NA")</f>
        <v>1.0724599523345174E-5</v>
      </c>
      <c r="AI32" s="10">
        <f t="shared" si="10"/>
        <v>-2.09</v>
      </c>
      <c r="AJ32" s="11">
        <f>IFERROR(AI32/AI148, "NA")</f>
        <v>4.1101540963634484E-4</v>
      </c>
      <c r="AK32" s="10">
        <f t="shared" si="11"/>
        <v>-4.18</v>
      </c>
      <c r="AL32" s="11">
        <f>IFERROR(AK32/AK148, "NA")</f>
        <v>38.324546174582245</v>
      </c>
    </row>
    <row r="33" spans="1:38" ht="16.5" customHeight="1">
      <c r="A33" s="25" t="s">
        <v>48</v>
      </c>
      <c r="B33" s="7">
        <v>3.28</v>
      </c>
      <c r="C33" s="8">
        <f>IFERROR(B33/B148, "NA")</f>
        <v>6.8262056369474197E-5</v>
      </c>
      <c r="D33" s="7">
        <v>-14.43</v>
      </c>
      <c r="E33" s="8">
        <f>IFERROR(D33/D148, "NA")</f>
        <v>-3.3998266865896984E-4</v>
      </c>
      <c r="F33" s="7">
        <v>99.76</v>
      </c>
      <c r="G33" s="8">
        <f>IFERROR(F33/F148, "NA")</f>
        <v>1.6537189446965618E-3</v>
      </c>
      <c r="H33" s="7">
        <v>-92.72</v>
      </c>
      <c r="I33" s="8">
        <f>IFERROR(H33/H148, "NA")</f>
        <v>-1.5776399819435768E-3</v>
      </c>
      <c r="J33" s="7">
        <v>-13.72</v>
      </c>
      <c r="K33" s="8">
        <f>IFERROR(J33/J148, "NA")</f>
        <v>-2.8559628841394978E-4</v>
      </c>
      <c r="L33" s="7">
        <v>18.989999999999998</v>
      </c>
      <c r="M33" s="8">
        <f>IFERROR(L33/L148, "NA")</f>
        <v>4.5780646816171773E-4</v>
      </c>
      <c r="N33" s="7">
        <v>20.57</v>
      </c>
      <c r="O33" s="8">
        <f>IFERROR(N33/N148, "NA")</f>
        <v>4.1254861786185098E-4</v>
      </c>
      <c r="P33" s="7">
        <v>-9.1999999999999993</v>
      </c>
      <c r="Q33" s="8">
        <f>IFERROR(P33/P148, "NA")</f>
        <v>-1.7980535679246003E-4</v>
      </c>
      <c r="R33" s="7">
        <v>13</v>
      </c>
      <c r="S33" s="8">
        <f>IFERROR(R33/R148, "NA")</f>
        <v>2.7440129331661879E-4</v>
      </c>
      <c r="T33" s="7">
        <v>14.34</v>
      </c>
      <c r="U33" s="8">
        <f>IFERROR(T33/T148, "NA")</f>
        <v>3.2523983602831809E-4</v>
      </c>
      <c r="V33" s="7">
        <v>-6.02</v>
      </c>
      <c r="W33" s="8">
        <f>IFERROR(V33/V148, "NA")</f>
        <v>-1.2180418298225604E-4</v>
      </c>
      <c r="X33" s="7">
        <v>-2.1800000000000002</v>
      </c>
      <c r="Y33" s="8">
        <f>IFERROR(X33/X148, "NA")</f>
        <v>-5.2483555553843555E-5</v>
      </c>
      <c r="Z33" s="7">
        <v>6.14</v>
      </c>
      <c r="AA33" s="8">
        <f>IFERROR(Z33/Z148, "NA")</f>
        <v>4.5464322909242765E-5</v>
      </c>
      <c r="AB33" s="9">
        <f t="shared" si="6"/>
        <v>4.7850000000000001</v>
      </c>
      <c r="AC33" s="8">
        <f>IFERROR(AB33/AB148, "NA")</f>
        <v>1.0491878332363629E-4</v>
      </c>
      <c r="AD33" s="10">
        <f t="shared" si="7"/>
        <v>-6.9649999999999999</v>
      </c>
      <c r="AE33" s="11">
        <f>IFERROR(AD33/AD148, "NA")</f>
        <v>1.7113505664164948E-3</v>
      </c>
      <c r="AF33" s="10">
        <f t="shared" si="8"/>
        <v>-1.4555903866248694</v>
      </c>
      <c r="AG33" s="9">
        <f t="shared" si="9"/>
        <v>4.4724999999999993</v>
      </c>
      <c r="AH33" s="8">
        <f>IFERROR(AG33/AG148, "NA")</f>
        <v>9.5931542736322573E-5</v>
      </c>
      <c r="AI33" s="10">
        <f t="shared" si="10"/>
        <v>-6.6524999999999999</v>
      </c>
      <c r="AJ33" s="11">
        <f>IFERROR(AI33/AI148, "NA")</f>
        <v>1.3082679486152078E-3</v>
      </c>
      <c r="AK33" s="10">
        <f t="shared" si="11"/>
        <v>-1.4874231414197878</v>
      </c>
      <c r="AL33" s="11">
        <f>IFERROR(AK33/AK148, "NA")</f>
        <v>13.637515996288238</v>
      </c>
    </row>
    <row r="34" spans="1:38" ht="16.5" customHeight="1">
      <c r="A34" s="26" t="s">
        <v>49</v>
      </c>
      <c r="B34" s="13">
        <f>IFERROR(B29+B30+B31+B32+B33, "NA")</f>
        <v>675.49</v>
      </c>
      <c r="C34" s="14">
        <f>IFERROR(B34/B148, "NA")</f>
        <v>1.4058029407626869E-2</v>
      </c>
      <c r="D34" s="13">
        <f>IFERROR(D29+D30+D31+D32+D33, "NA")</f>
        <v>202.38</v>
      </c>
      <c r="E34" s="14">
        <f>IFERROR(D34/D148, "NA")</f>
        <v>4.7682392573251782E-3</v>
      </c>
      <c r="F34" s="13">
        <f>IFERROR(F29+F30+F31+F32+F33, "NA")</f>
        <v>706.23</v>
      </c>
      <c r="G34" s="14">
        <f>IFERROR(F34/F148, "NA")</f>
        <v>1.170715647867936E-2</v>
      </c>
      <c r="H34" s="13">
        <f>IFERROR(H29+H30+H31+H32+H33, "NA")</f>
        <v>310.90999999999997</v>
      </c>
      <c r="I34" s="14">
        <f>IFERROR(H34/H148, "NA")</f>
        <v>5.2901644390215431E-3</v>
      </c>
      <c r="J34" s="13">
        <f>IFERROR(J29+J30+J31+J32+J33, "NA")</f>
        <v>324.33999999999997</v>
      </c>
      <c r="K34" s="14">
        <f>IFERROR(J34/J148, "NA")</f>
        <v>6.7514796052609667E-3</v>
      </c>
      <c r="L34" s="13">
        <f>IFERROR(L29+L30+L31+L32+L33, "NA")</f>
        <v>520.45000000000005</v>
      </c>
      <c r="M34" s="14">
        <f>IFERROR(L34/L148, "NA")</f>
        <v>1.2546886590561666E-2</v>
      </c>
      <c r="N34" s="13">
        <f>IFERROR(N29+N30+N31+N32+N33, "NA")</f>
        <v>559.17999999999995</v>
      </c>
      <c r="O34" s="14">
        <f>IFERROR(N34/N148, "NA")</f>
        <v>1.1214824313854633E-2</v>
      </c>
      <c r="P34" s="13">
        <f>IFERROR(P29+P30+P31+P32+P33, "NA")</f>
        <v>470.36999999999995</v>
      </c>
      <c r="Q34" s="14">
        <f>IFERROR(P34/P148, "NA")</f>
        <v>9.1929397472249371E-3</v>
      </c>
      <c r="R34" s="13">
        <f>IFERROR(R29+R30+R31+R32+R33, "NA")</f>
        <v>499.18</v>
      </c>
      <c r="S34" s="14">
        <f>IFERROR(R34/R148, "NA")</f>
        <v>1.0536587507522288E-2</v>
      </c>
      <c r="T34" s="13">
        <f>IFERROR(T29+T30+T31+T32+T33, "NA")</f>
        <v>376.82999999999993</v>
      </c>
      <c r="U34" s="14">
        <f>IFERROR(T34/T148, "NA")</f>
        <v>8.5467313396479141E-3</v>
      </c>
      <c r="V34" s="13">
        <f>IFERROR(V29+V30+V31+V32+V33, "NA")</f>
        <v>617.42000000000007</v>
      </c>
      <c r="W34" s="14">
        <f>IFERROR(V34/V148, "NA")</f>
        <v>1.2492415059286468E-2</v>
      </c>
      <c r="X34" s="13">
        <f>IFERROR(X29+X30+X31+X32+X33, "NA")</f>
        <v>721.1400000000001</v>
      </c>
      <c r="Y34" s="14">
        <f>IFERROR(X34/X148, "NA")</f>
        <v>1.7361463877109518E-2</v>
      </c>
      <c r="Z34" s="13">
        <f>IFERROR(Z29+Z30+Z31+Z32+Z33, "NA")</f>
        <v>1715.39</v>
      </c>
      <c r="AA34" s="14">
        <f>IFERROR(Z34/Z148, "NA")</f>
        <v>1.270179883962312E-2</v>
      </c>
      <c r="AB34" s="13">
        <f t="shared" si="6"/>
        <v>553.64250000000004</v>
      </c>
      <c r="AC34" s="14">
        <f>IFERROR(AB34/AB148, "NA")</f>
        <v>1.2139497909353461E-2</v>
      </c>
      <c r="AD34" s="15">
        <f t="shared" si="7"/>
        <v>167.49750000000006</v>
      </c>
      <c r="AE34" s="16">
        <f>IFERROR(AD34/AD148, "NA")</f>
        <v>-4.1155339770042633E-2</v>
      </c>
      <c r="AF34" s="15">
        <f t="shared" si="8"/>
        <v>0.30253728714829525</v>
      </c>
      <c r="AG34" s="13">
        <f t="shared" si="9"/>
        <v>511.11374999999998</v>
      </c>
      <c r="AH34" s="14">
        <f>IFERROR(AG34/AG148, "NA")</f>
        <v>1.0962980559250329E-2</v>
      </c>
      <c r="AI34" s="15">
        <f t="shared" si="10"/>
        <v>210.02625000000012</v>
      </c>
      <c r="AJ34" s="16">
        <f>IFERROR(AI34/AI148, "NA")</f>
        <v>-4.1303361329251401E-2</v>
      </c>
      <c r="AK34" s="15">
        <f t="shared" si="11"/>
        <v>0.41091880232140132</v>
      </c>
      <c r="AL34" s="16">
        <f>IFERROR(AK34/AK148, "NA")</f>
        <v>-3.7675302903278896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10895.02</v>
      </c>
      <c r="C35" s="14">
        <f>IFERROR(B35/B148, "NA")</f>
        <v>0.22674282603248441</v>
      </c>
      <c r="D35" s="13">
        <f>IFERROR(D13+D15+D16+D17+D18+D19+D20+D21+D22+D23+D24+D25+D26+D29+D30+D31+D32+D33, "NA")</f>
        <v>8476.2899999999991</v>
      </c>
      <c r="E35" s="14">
        <f>IFERROR(D35/D148, "NA")</f>
        <v>0.19970836413910875</v>
      </c>
      <c r="F35" s="13">
        <f>IFERROR(F13+F15+F16+F17+F18+F19+F20+F21+F22+F23+F24+F25+F26+F29+F30+F31+F32+F33, "NA")</f>
        <v>12367.73</v>
      </c>
      <c r="G35" s="14">
        <f>IFERROR(F35/F148, "NA")</f>
        <v>0.20501954093716929</v>
      </c>
      <c r="H35" s="13">
        <f>IFERROR(H13+H15+H16+H17+H18+H19+H20+H21+H22+H23+H24+H25+H26+H29+H30+H31+H32+H33, "NA")</f>
        <v>11044.310000000001</v>
      </c>
      <c r="I35" s="14">
        <f>IFERROR(H35/H148, "NA")</f>
        <v>0.18792002835396104</v>
      </c>
      <c r="J35" s="13">
        <f>IFERROR(J13+J15+J16+J17+J18+J19+J20+J21+J22+J23+J24+J25+J26+J29+J30+J31+J32+J33, "NA")</f>
        <v>9442.48</v>
      </c>
      <c r="K35" s="14">
        <f>IFERROR(J35/J148, "NA")</f>
        <v>0.19655519252353881</v>
      </c>
      <c r="L35" s="13">
        <f>IFERROR(L13+L15+L16+L17+L18+L19+L20+L21+L22+L23+L24+L25+L26+L29+L30+L31+L32+L33, "NA")</f>
        <v>9444.01</v>
      </c>
      <c r="M35" s="14">
        <f>IFERROR(L35/L148, "NA")</f>
        <v>0.22767397911447837</v>
      </c>
      <c r="N35" s="13">
        <f>IFERROR(N13+N15+N16+N17+N18+N19+N20+N21+N22+N23+N24+N25+N26+N29+N30+N31+N32+N33, "NA")</f>
        <v>10643.95</v>
      </c>
      <c r="O35" s="14">
        <f>IFERROR(N35/N148, "NA")</f>
        <v>0.21347335250805294</v>
      </c>
      <c r="P35" s="13">
        <f>IFERROR(P13+P15+P16+P17+P18+P19+P20+P21+P22+P23+P24+P25+P26+P29+P30+P31+P32+P33, "NA")</f>
        <v>10318.519999999999</v>
      </c>
      <c r="Q35" s="14">
        <f>IFERROR(P35/P148, "NA")</f>
        <v>0.20166577936631899</v>
      </c>
      <c r="R35" s="13">
        <f>IFERROR(R13+R15+R16+R17+R18+R19+R20+R21+R22+R23+R24+R25+R26+R29+R30+R31+R32+R33, "NA")</f>
        <v>9813.1200000000026</v>
      </c>
      <c r="S35" s="14">
        <f>IFERROR(R35/R148, "NA")</f>
        <v>0.20713329380547527</v>
      </c>
      <c r="T35" s="13">
        <f>IFERROR(T13+T15+T16+T17+T18+T19+T20+T21+T22+T23+T24+T25+T26+T29+T30+T31+T32+T33, "NA")</f>
        <v>9185.0500000000029</v>
      </c>
      <c r="U35" s="14">
        <f>IFERROR(T35/T148, "NA")</f>
        <v>0.20832246554476319</v>
      </c>
      <c r="V35" s="13">
        <f>IFERROR(V13+V15+V16+V17+V18+V19+V20+V21+V22+V23+V24+V25+V26+V29+V30+V31+V32+V33, "NA")</f>
        <v>9129.5300000000007</v>
      </c>
      <c r="W35" s="14">
        <f>IFERROR(V35/V148, "NA")</f>
        <v>0.18472009014318874</v>
      </c>
      <c r="X35" s="13">
        <f>IFERROR(X13+X15+X16+X17+X18+X19+X20+X21+X22+X23+X24+X25+X26+X29+X30+X31+X32+X33, "NA")</f>
        <v>9100.4000000000015</v>
      </c>
      <c r="Y35" s="14">
        <f>IFERROR(X35/X148, "NA")</f>
        <v>0.21909236190926512</v>
      </c>
      <c r="Z35" s="13">
        <f>IFERROR(Z13+Z15+Z16+Z17+Z18+Z19+Z20+Z21+Z22+Z23+Z24+Z25+Z26+Z29+Z30+Z31+Z32+Z33, "NA")</f>
        <v>27414.979999999996</v>
      </c>
      <c r="AA35" s="14">
        <f>IFERROR(Z35/Z148, "NA")</f>
        <v>0.20299731323622672</v>
      </c>
      <c r="AB35" s="13">
        <f t="shared" si="6"/>
        <v>9307.0250000000015</v>
      </c>
      <c r="AC35" s="14">
        <f>IFERROR(AB35/AB148, "NA")</f>
        <v>0.20407141888456973</v>
      </c>
      <c r="AD35" s="15">
        <f t="shared" si="7"/>
        <v>-206.625</v>
      </c>
      <c r="AE35" s="16">
        <f>IFERROR(AD35/AD148, "NA")</f>
        <v>5.0769247779728396E-2</v>
      </c>
      <c r="AF35" s="15">
        <f t="shared" si="8"/>
        <v>-2.2200971846535276E-2</v>
      </c>
      <c r="AG35" s="13">
        <f t="shared" si="9"/>
        <v>9634.6324999999997</v>
      </c>
      <c r="AH35" s="14">
        <f>IFERROR(AG35/AG148, "NA")</f>
        <v>0.20665515023421185</v>
      </c>
      <c r="AI35" s="15">
        <f t="shared" si="10"/>
        <v>-534.23249999999825</v>
      </c>
      <c r="AJ35" s="16">
        <f>IFERROR(AI35/AI148, "NA")</f>
        <v>0.10506114345863536</v>
      </c>
      <c r="AK35" s="15">
        <f t="shared" si="11"/>
        <v>-5.5449182934585027E-2</v>
      </c>
      <c r="AL35" s="16">
        <f>IFERROR(AK35/AK148, "NA")</f>
        <v>0.50838870136826841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921.97</v>
      </c>
      <c r="C40" s="8">
        <f>IFERROR(B40/B148, "NA")</f>
        <v>1.9187673204562238E-2</v>
      </c>
      <c r="D40" s="7">
        <v>1089</v>
      </c>
      <c r="E40" s="8">
        <f>IFERROR(D40/D148, "NA")</f>
        <v>2.5657735701290239E-2</v>
      </c>
      <c r="F40" s="7">
        <v>1173.48</v>
      </c>
      <c r="G40" s="8">
        <f>IFERROR(F40/F148, "NA")</f>
        <v>1.9452747666625116E-2</v>
      </c>
      <c r="H40" s="7">
        <v>1277.51</v>
      </c>
      <c r="I40" s="8">
        <f>IFERROR(H40/H148, "NA")</f>
        <v>2.1736959160189161E-2</v>
      </c>
      <c r="J40" s="7">
        <v>1005.2</v>
      </c>
      <c r="K40" s="8">
        <f>IFERROR(J40/J148, "NA")</f>
        <v>2.0924299498083259E-2</v>
      </c>
      <c r="L40" s="7">
        <v>1060.5999999999999</v>
      </c>
      <c r="M40" s="8">
        <f>IFERROR(L40/L148, "NA")</f>
        <v>2.5568696162839272E-2</v>
      </c>
      <c r="N40" s="7">
        <v>1508.79</v>
      </c>
      <c r="O40" s="8">
        <f>IFERROR(N40/N148, "NA")</f>
        <v>3.0260050031297135E-2</v>
      </c>
      <c r="P40" s="7">
        <v>1125.1199999999999</v>
      </c>
      <c r="Q40" s="8">
        <f>IFERROR(P40/P148, "NA")</f>
        <v>2.1989413373297025E-2</v>
      </c>
      <c r="R40" s="7">
        <v>974.15</v>
      </c>
      <c r="S40" s="8">
        <f>IFERROR(R40/R148, "NA")</f>
        <v>2.0562155375721859E-2</v>
      </c>
      <c r="T40" s="7">
        <v>940.45</v>
      </c>
      <c r="U40" s="8">
        <f>IFERROR(T40/T148, "NA")</f>
        <v>2.132997237049036E-2</v>
      </c>
      <c r="V40" s="7">
        <v>935.71</v>
      </c>
      <c r="W40" s="8">
        <f>IFERROR(V40/V148, "NA")</f>
        <v>1.8932457152545983E-2</v>
      </c>
      <c r="X40" s="7">
        <v>910.54</v>
      </c>
      <c r="Y40" s="8">
        <f>IFERROR(X40/X148, "NA")</f>
        <v>2.1921273703668216E-2</v>
      </c>
      <c r="Z40" s="7">
        <v>2786.7</v>
      </c>
      <c r="AA40" s="8">
        <f>IFERROR(Z40/Z148, "NA")</f>
        <v>2.063443463374378E-2</v>
      </c>
      <c r="AB40" s="9">
        <f t="shared" si="12"/>
        <v>940.21249999999998</v>
      </c>
      <c r="AC40" s="8">
        <f>IFERROR(AB40/AB148, "NA")</f>
        <v>2.0615663859075106E-2</v>
      </c>
      <c r="AD40" s="10">
        <f t="shared" si="13"/>
        <v>-29.672500000000014</v>
      </c>
      <c r="AE40" s="11">
        <f>IFERROR(AD40/AD148, "NA")</f>
        <v>7.2907465444355304E-3</v>
      </c>
      <c r="AF40" s="10">
        <f t="shared" si="14"/>
        <v>-3.1559354933060363E-2</v>
      </c>
      <c r="AG40" s="9">
        <f t="shared" si="15"/>
        <v>1057.57</v>
      </c>
      <c r="AH40" s="8">
        <f>IFERROR(AG40/AG148, "NA")</f>
        <v>2.2684029435808311E-2</v>
      </c>
      <c r="AI40" s="10">
        <f t="shared" si="16"/>
        <v>-147.02999999999997</v>
      </c>
      <c r="AJ40" s="11">
        <f>IFERROR(AI40/AI148, "NA")</f>
        <v>2.8914639080780753E-2</v>
      </c>
      <c r="AK40" s="10">
        <f t="shared" si="17"/>
        <v>-0.13902625830914264</v>
      </c>
      <c r="AL40" s="11">
        <f>IFERROR(AK40/AK148, "NA")</f>
        <v>1.2746694392459654</v>
      </c>
    </row>
    <row r="41" spans="1:38" ht="16.5" customHeight="1">
      <c r="A41" s="25" t="s">
        <v>56</v>
      </c>
      <c r="B41" s="7">
        <v>244.19</v>
      </c>
      <c r="C41" s="8">
        <f>IFERROR(B41/B148, "NA")</f>
        <v>5.0819852270920446E-3</v>
      </c>
      <c r="D41" s="7">
        <v>583.16999999999996</v>
      </c>
      <c r="E41" s="8">
        <f>IFERROR(D41/D148, "NA")</f>
        <v>1.373996485667716E-2</v>
      </c>
      <c r="F41" s="7">
        <v>766.6</v>
      </c>
      <c r="G41" s="8">
        <f>IFERROR(F41/F148, "NA")</f>
        <v>1.2707908410228392E-2</v>
      </c>
      <c r="H41" s="7">
        <v>626.83000000000004</v>
      </c>
      <c r="I41" s="8">
        <f>IFERROR(H41/H148, "NA")</f>
        <v>1.066557452417701E-2</v>
      </c>
      <c r="J41" s="7">
        <v>837.72</v>
      </c>
      <c r="K41" s="8">
        <f>IFERROR(J41/J148, "NA")</f>
        <v>1.7438026438056416E-2</v>
      </c>
      <c r="L41" s="7">
        <v>599.58000000000004</v>
      </c>
      <c r="M41" s="8">
        <f>IFERROR(L41/L148, "NA")</f>
        <v>1.4454534080063336E-2</v>
      </c>
      <c r="N41" s="7">
        <v>452.69</v>
      </c>
      <c r="O41" s="8">
        <f>IFERROR(N41/N148, "NA")</f>
        <v>9.0790779688809577E-3</v>
      </c>
      <c r="P41" s="7">
        <v>685.62</v>
      </c>
      <c r="Q41" s="8">
        <f>IFERROR(P41/P148, "NA")</f>
        <v>1.3399798774352876E-2</v>
      </c>
      <c r="R41" s="7">
        <v>867.31</v>
      </c>
      <c r="S41" s="8">
        <f>IFERROR(R41/R148, "NA")</f>
        <v>1.8306998900495124E-2</v>
      </c>
      <c r="T41" s="7">
        <v>842.46</v>
      </c>
      <c r="U41" s="8">
        <f>IFERROR(T41/T148, "NA")</f>
        <v>1.9107500157630186E-2</v>
      </c>
      <c r="V41" s="7">
        <v>436.84</v>
      </c>
      <c r="W41" s="8">
        <f>IFERROR(V41/V148, "NA")</f>
        <v>8.8386942348785275E-3</v>
      </c>
      <c r="X41" s="7">
        <v>632.84</v>
      </c>
      <c r="Y41" s="8">
        <f>IFERROR(X41/X148, "NA")</f>
        <v>1.5235639126924017E-2</v>
      </c>
      <c r="Z41" s="7">
        <v>1912.14</v>
      </c>
      <c r="AA41" s="8">
        <f>IFERROR(Z41/Z148, "NA")</f>
        <v>1.4158656418188838E-2</v>
      </c>
      <c r="AB41" s="9">
        <f t="shared" si="12"/>
        <v>694.86250000000007</v>
      </c>
      <c r="AC41" s="8">
        <f>IFERROR(AB41/AB148, "NA")</f>
        <v>1.5235972429931082E-2</v>
      </c>
      <c r="AD41" s="10">
        <f t="shared" si="13"/>
        <v>-62.022500000000036</v>
      </c>
      <c r="AE41" s="11">
        <f>IFERROR(AD41/AD148, "NA")</f>
        <v>1.523937408550856E-2</v>
      </c>
      <c r="AF41" s="10">
        <f t="shared" si="14"/>
        <v>-8.9258666282897733E-2</v>
      </c>
      <c r="AG41" s="9">
        <f t="shared" si="15"/>
        <v>669.38250000000005</v>
      </c>
      <c r="AH41" s="8">
        <f>IFERROR(AG41/AG148, "NA")</f>
        <v>1.4357718480871204E-2</v>
      </c>
      <c r="AI41" s="10">
        <f t="shared" si="16"/>
        <v>-36.542500000000018</v>
      </c>
      <c r="AJ41" s="11">
        <f>IFERROR(AI41/AI148, "NA")</f>
        <v>7.1863782806871482E-3</v>
      </c>
      <c r="AK41" s="10">
        <f t="shared" si="17"/>
        <v>-5.4591358453500077E-2</v>
      </c>
      <c r="AL41" s="11">
        <f>IFERROR(AK41/AK148, "NA")</f>
        <v>0.50052369324984081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1166.1600000000001</v>
      </c>
      <c r="C44" s="14">
        <f>IFERROR(B44/B148, "NA")</f>
        <v>2.4269658431654281E-2</v>
      </c>
      <c r="D44" s="13">
        <f>IFERROR(D39+D40+D41+D42+D43, "NA")</f>
        <v>1672.17</v>
      </c>
      <c r="E44" s="14">
        <f>IFERROR(D44/D148, "NA")</f>
        <v>3.9397700557967402E-2</v>
      </c>
      <c r="F44" s="13">
        <f>IFERROR(F39+F40+F41+F42+F43, "NA")</f>
        <v>1940.08</v>
      </c>
      <c r="G44" s="14">
        <f>IFERROR(F44/F148, "NA")</f>
        <v>3.2160656076853505E-2</v>
      </c>
      <c r="H44" s="13">
        <f>IFERROR(H39+H40+H41+H42+H43, "NA")</f>
        <v>1904.3400000000001</v>
      </c>
      <c r="I44" s="14">
        <f>IFERROR(H44/H148, "NA")</f>
        <v>3.2402533684366172E-2</v>
      </c>
      <c r="J44" s="13">
        <f>IFERROR(J39+J40+J41+J42+J43, "NA")</f>
        <v>1842.92</v>
      </c>
      <c r="K44" s="14">
        <f>IFERROR(J44/J148, "NA")</f>
        <v>3.8362325936139675E-2</v>
      </c>
      <c r="L44" s="13">
        <f>IFERROR(L39+L40+L41+L42+L43, "NA")</f>
        <v>1660.1799999999998</v>
      </c>
      <c r="M44" s="14">
        <f>IFERROR(L44/L148, "NA")</f>
        <v>4.0023230242902608E-2</v>
      </c>
      <c r="N44" s="13">
        <f>IFERROR(N39+N40+N41+N42+N43, "NA")</f>
        <v>1961.48</v>
      </c>
      <c r="O44" s="14">
        <f>IFERROR(N44/N148, "NA")</f>
        <v>3.9339128000178095E-2</v>
      </c>
      <c r="P44" s="13">
        <f>IFERROR(P39+P40+P41+P42+P43, "NA")</f>
        <v>1810.7399999999998</v>
      </c>
      <c r="Q44" s="14">
        <f>IFERROR(P44/P148, "NA")</f>
        <v>3.5389212147649902E-2</v>
      </c>
      <c r="R44" s="13">
        <f>IFERROR(R39+R40+R41+R42+R43, "NA")</f>
        <v>1841.46</v>
      </c>
      <c r="S44" s="14">
        <f>IFERROR(R44/R148, "NA")</f>
        <v>3.8869154276216983E-2</v>
      </c>
      <c r="T44" s="13">
        <f>IFERROR(T39+T40+T41+T42+T43, "NA")</f>
        <v>1782.91</v>
      </c>
      <c r="U44" s="14">
        <f>IFERROR(T44/T148, "NA")</f>
        <v>4.0437472528120542E-2</v>
      </c>
      <c r="V44" s="13">
        <f>IFERROR(V39+V40+V41+V42+V43, "NA")</f>
        <v>1372.55</v>
      </c>
      <c r="W44" s="14">
        <f>IFERROR(V44/V148, "NA")</f>
        <v>2.7771151387424507E-2</v>
      </c>
      <c r="X44" s="13">
        <f>IFERROR(X39+X40+X41+X42+X43, "NA")</f>
        <v>1543.38</v>
      </c>
      <c r="Y44" s="14">
        <f>IFERROR(X44/X148, "NA")</f>
        <v>3.7156912830592234E-2</v>
      </c>
      <c r="Z44" s="13">
        <f>IFERROR(Z39+Z40+Z41+Z42+Z43, "NA")</f>
        <v>4698.84</v>
      </c>
      <c r="AA44" s="14">
        <f>IFERROR(Z44/Z148, "NA")</f>
        <v>3.4793091051932623E-2</v>
      </c>
      <c r="AB44" s="13">
        <f t="shared" si="12"/>
        <v>1635.075</v>
      </c>
      <c r="AC44" s="14">
        <f>IFERROR(AB44/AB148, "NA")</f>
        <v>3.5851636289006186E-2</v>
      </c>
      <c r="AD44" s="15">
        <f t="shared" si="13"/>
        <v>-91.694999999999936</v>
      </c>
      <c r="AE44" s="16">
        <f>IFERROR(AD44/AD148, "NA")</f>
        <v>2.2530120629944063E-2</v>
      </c>
      <c r="AF44" s="15">
        <f t="shared" si="14"/>
        <v>-5.607999633044352E-2</v>
      </c>
      <c r="AG44" s="13">
        <f t="shared" si="15"/>
        <v>1726.9524999999999</v>
      </c>
      <c r="AH44" s="14">
        <f>IFERROR(AG44/AG148, "NA")</f>
        <v>3.704174791667951E-2</v>
      </c>
      <c r="AI44" s="15">
        <f t="shared" si="16"/>
        <v>-183.57249999999976</v>
      </c>
      <c r="AJ44" s="16">
        <f>IFERROR(AI44/AI148, "NA")</f>
        <v>3.6101017361467855E-2</v>
      </c>
      <c r="AK44" s="15">
        <f t="shared" si="17"/>
        <v>-0.10629852297616743</v>
      </c>
      <c r="AL44" s="16">
        <f>IFERROR(AK44/AK148, "NA")</f>
        <v>0.97460350528469386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65.39</v>
      </c>
      <c r="C47" s="8">
        <f>IFERROR(B47/B148, "NA")</f>
        <v>1.3608706908536336E-3</v>
      </c>
      <c r="D47" s="7">
        <v>64.650000000000006</v>
      </c>
      <c r="E47" s="8">
        <f>IFERROR(D47/D148, "NA")</f>
        <v>1.5232071745531811E-3</v>
      </c>
      <c r="F47" s="7">
        <v>83.1</v>
      </c>
      <c r="G47" s="8">
        <f>IFERROR(F47/F148, "NA")</f>
        <v>1.377546554774301E-3</v>
      </c>
      <c r="H47" s="7">
        <v>73.48</v>
      </c>
      <c r="I47" s="8">
        <f>IFERROR(H47/H148, "NA")</f>
        <v>1.2502694766308674E-3</v>
      </c>
      <c r="J47" s="7">
        <v>86.43</v>
      </c>
      <c r="K47" s="8">
        <f>IFERROR(J47/J148, "NA")</f>
        <v>1.7991317206718426E-3</v>
      </c>
      <c r="L47" s="7">
        <v>69.27</v>
      </c>
      <c r="M47" s="8">
        <f>IFERROR(L47/L148, "NA")</f>
        <v>1.6699449209880036E-3</v>
      </c>
      <c r="N47" s="7">
        <v>84.74</v>
      </c>
      <c r="O47" s="8">
        <f>IFERROR(N47/N148, "NA")</f>
        <v>1.6995318365392925E-3</v>
      </c>
      <c r="P47" s="7">
        <v>70.739999999999995</v>
      </c>
      <c r="Q47" s="8">
        <f>IFERROR(P47/P148, "NA")</f>
        <v>1.3825468412498503E-3</v>
      </c>
      <c r="R47" s="7">
        <v>90.89</v>
      </c>
      <c r="S47" s="8">
        <f>IFERROR(R47/R148, "NA")</f>
        <v>1.9184871961190368E-3</v>
      </c>
      <c r="T47" s="7">
        <v>72.19</v>
      </c>
      <c r="U47" s="8">
        <f>IFERROR(T47/T148, "NA")</f>
        <v>1.6373126752360029E-3</v>
      </c>
      <c r="V47" s="7">
        <v>60.02</v>
      </c>
      <c r="W47" s="8">
        <f>IFERROR(V47/V148, "NA")</f>
        <v>1.2143998442848852E-3</v>
      </c>
      <c r="X47" s="7">
        <v>43.93</v>
      </c>
      <c r="Y47" s="8">
        <f>IFERROR(X47/X148, "NA")</f>
        <v>1.0576158694863978E-3</v>
      </c>
      <c r="Z47" s="7">
        <v>176.14</v>
      </c>
      <c r="AA47" s="8">
        <f>IFERROR(Z47/Z148, "NA")</f>
        <v>1.3042485076928372E-3</v>
      </c>
      <c r="AB47" s="9">
        <f t="shared" si="18"/>
        <v>66.757499999999993</v>
      </c>
      <c r="AC47" s="8">
        <f>IFERROR(AB47/AB148, "NA")</f>
        <v>1.4637650319180039E-3</v>
      </c>
      <c r="AD47" s="10">
        <f t="shared" si="19"/>
        <v>-22.827499999999993</v>
      </c>
      <c r="AE47" s="11">
        <f>IFERROR(AD47/AD148, "NA")</f>
        <v>5.6088808406134279E-3</v>
      </c>
      <c r="AF47" s="10">
        <f t="shared" si="20"/>
        <v>-0.3419465977605512</v>
      </c>
      <c r="AG47" s="9">
        <f t="shared" si="21"/>
        <v>72.27624999999999</v>
      </c>
      <c r="AH47" s="8">
        <f>IFERROR(AG47/AG148, "NA")</f>
        <v>1.5502676725983532E-3</v>
      </c>
      <c r="AI47" s="10">
        <f t="shared" si="22"/>
        <v>-28.346249999999991</v>
      </c>
      <c r="AJ47" s="11">
        <f>IFERROR(AI47/AI148, "NA")</f>
        <v>5.5745194044996352E-3</v>
      </c>
      <c r="AK47" s="10">
        <f t="shared" si="23"/>
        <v>-0.39219314781826664</v>
      </c>
      <c r="AL47" s="11">
        <f>IFERROR(AK47/AK148, "NA")</f>
        <v>3.5958431585923254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65.39</v>
      </c>
      <c r="C52" s="14">
        <f>IFERROR(B52/B148, "NA")</f>
        <v>1.3608706908536336E-3</v>
      </c>
      <c r="D52" s="13">
        <f>IFERROR(D46+D47+D48+D49+D50+D51, "NA")</f>
        <v>64.650000000000006</v>
      </c>
      <c r="E52" s="14">
        <f>IFERROR(D52/D148, "NA")</f>
        <v>1.5232071745531811E-3</v>
      </c>
      <c r="F52" s="13">
        <f>IFERROR(F46+F47+F48+F49+F50+F51, "NA")</f>
        <v>83.1</v>
      </c>
      <c r="G52" s="14">
        <f>IFERROR(F52/F148, "NA")</f>
        <v>1.377546554774301E-3</v>
      </c>
      <c r="H52" s="13">
        <f>IFERROR(H46+H47+H48+H49+H50+H51, "NA")</f>
        <v>73.48</v>
      </c>
      <c r="I52" s="14">
        <f>IFERROR(H52/H148, "NA")</f>
        <v>1.2502694766308674E-3</v>
      </c>
      <c r="J52" s="13">
        <f>IFERROR(J46+J47+J48+J49+J50+J51, "NA")</f>
        <v>86.43</v>
      </c>
      <c r="K52" s="14">
        <f>IFERROR(J52/J148, "NA")</f>
        <v>1.7991317206718426E-3</v>
      </c>
      <c r="L52" s="13">
        <f>IFERROR(L46+L47+L48+L49+L50+L51, "NA")</f>
        <v>69.27</v>
      </c>
      <c r="M52" s="14">
        <f>IFERROR(L52/L148, "NA")</f>
        <v>1.6699449209880036E-3</v>
      </c>
      <c r="N52" s="13">
        <f>IFERROR(N46+N47+N48+N49+N50+N51, "NA")</f>
        <v>84.74</v>
      </c>
      <c r="O52" s="14">
        <f>IFERROR(N52/N148, "NA")</f>
        <v>1.6995318365392925E-3</v>
      </c>
      <c r="P52" s="13">
        <f>IFERROR(P46+P47+P48+P49+P50+P51, "NA")</f>
        <v>70.739999999999995</v>
      </c>
      <c r="Q52" s="14">
        <f>IFERROR(P52/P148, "NA")</f>
        <v>1.3825468412498503E-3</v>
      </c>
      <c r="R52" s="13">
        <f>IFERROR(R46+R47+R48+R49+R50+R51, "NA")</f>
        <v>90.89</v>
      </c>
      <c r="S52" s="14">
        <f>IFERROR(R52/R148, "NA")</f>
        <v>1.9184871961190368E-3</v>
      </c>
      <c r="T52" s="13">
        <f>IFERROR(T46+T47+T48+T49+T50+T51, "NA")</f>
        <v>72.19</v>
      </c>
      <c r="U52" s="14">
        <f>IFERROR(T52/T148, "NA")</f>
        <v>1.6373126752360029E-3</v>
      </c>
      <c r="V52" s="13">
        <f>IFERROR(V46+V47+V48+V49+V50+V51, "NA")</f>
        <v>60.02</v>
      </c>
      <c r="W52" s="14">
        <f>IFERROR(V52/V148, "NA")</f>
        <v>1.2143998442848852E-3</v>
      </c>
      <c r="X52" s="13">
        <f>IFERROR(X46+X47+X48+X49+X50+X51, "NA")</f>
        <v>43.93</v>
      </c>
      <c r="Y52" s="14">
        <f>IFERROR(X52/X148, "NA")</f>
        <v>1.0576158694863978E-3</v>
      </c>
      <c r="Z52" s="13">
        <f>IFERROR(Z46+Z47+Z48+Z49+Z50+Z51, "NA")</f>
        <v>176.14</v>
      </c>
      <c r="AA52" s="14">
        <f>IFERROR(Z52/Z148, "NA")</f>
        <v>1.3042485076928372E-3</v>
      </c>
      <c r="AB52" s="13">
        <f t="shared" si="18"/>
        <v>66.757499999999993</v>
      </c>
      <c r="AC52" s="14">
        <f>IFERROR(AB52/AB148, "NA")</f>
        <v>1.4637650319180039E-3</v>
      </c>
      <c r="AD52" s="15">
        <f t="shared" si="19"/>
        <v>-22.827499999999993</v>
      </c>
      <c r="AE52" s="16">
        <f>IFERROR(AD52/AD148, "NA")</f>
        <v>5.6088808406134279E-3</v>
      </c>
      <c r="AF52" s="15">
        <f t="shared" si="20"/>
        <v>-0.3419465977605512</v>
      </c>
      <c r="AG52" s="13">
        <f t="shared" si="21"/>
        <v>72.27624999999999</v>
      </c>
      <c r="AH52" s="14">
        <f>IFERROR(AG52/AG148, "NA")</f>
        <v>1.5502676725983532E-3</v>
      </c>
      <c r="AI52" s="15">
        <f t="shared" si="22"/>
        <v>-28.346249999999991</v>
      </c>
      <c r="AJ52" s="16">
        <f>IFERROR(AI52/AI148, "NA")</f>
        <v>5.5745194044996352E-3</v>
      </c>
      <c r="AK52" s="15">
        <f t="shared" si="23"/>
        <v>-0.39219314781826664</v>
      </c>
      <c r="AL52" s="16">
        <f>IFERROR(AK52/AK148, "NA")</f>
        <v>3.5958431585923254</v>
      </c>
    </row>
    <row r="53" spans="1:38" ht="16.5" customHeight="1">
      <c r="A53" s="23" t="s">
        <v>68</v>
      </c>
      <c r="B53" s="7">
        <v>36.07</v>
      </c>
      <c r="C53" s="8">
        <f>IFERROR(B53/B148, "NA")</f>
        <v>7.5067450403869956E-4</v>
      </c>
      <c r="D53" s="7">
        <v>26.83</v>
      </c>
      <c r="E53" s="8">
        <f>IFERROR(D53/D148, "NA")</f>
        <v>6.3213686764519478E-4</v>
      </c>
      <c r="F53" s="7">
        <v>42.59</v>
      </c>
      <c r="G53" s="8">
        <f>IFERROR(F53/F148, "NA")</f>
        <v>7.0601333053956069E-4</v>
      </c>
      <c r="H53" s="7">
        <v>42.93</v>
      </c>
      <c r="I53" s="8">
        <f>IFERROR(H53/H148, "NA")</f>
        <v>7.3045820130325447E-4</v>
      </c>
      <c r="J53" s="7">
        <v>74.28</v>
      </c>
      <c r="K53" s="8">
        <f>IFERROR(J53/J148, "NA")</f>
        <v>1.5462166401886436E-3</v>
      </c>
      <c r="L53" s="7">
        <v>17.3</v>
      </c>
      <c r="M53" s="8">
        <f>IFERROR(L53/L148, "NA")</f>
        <v>4.1706434434953752E-4</v>
      </c>
      <c r="N53" s="7">
        <v>32.81</v>
      </c>
      <c r="O53" s="8">
        <f>IFERROR(N53/N148, "NA")</f>
        <v>6.5803209295320038E-4</v>
      </c>
      <c r="P53" s="7">
        <v>28.18</v>
      </c>
      <c r="Q53" s="8">
        <f>IFERROR(P53/P148, "NA")</f>
        <v>5.5075162547951349E-4</v>
      </c>
      <c r="R53" s="7">
        <v>81.52</v>
      </c>
      <c r="S53" s="8">
        <f>IFERROR(R53/R148, "NA")</f>
        <v>1.7207071870131354E-3</v>
      </c>
      <c r="T53" s="7">
        <v>18.22</v>
      </c>
      <c r="U53" s="8">
        <f>IFERROR(T53/T148, "NA")</f>
        <v>4.132405726942786E-4</v>
      </c>
      <c r="V53" s="7">
        <v>59.55</v>
      </c>
      <c r="W53" s="8">
        <f>IFERROR(V53/V148, "NA")</f>
        <v>1.2048902153809547E-3</v>
      </c>
      <c r="X53" s="7">
        <v>29.28</v>
      </c>
      <c r="Y53" s="8">
        <f>IFERROR(X53/X148, "NA")</f>
        <v>7.0491674615437579E-4</v>
      </c>
      <c r="Z53" s="7">
        <v>107.05</v>
      </c>
      <c r="AA53" s="8">
        <f>IFERROR(Z53/Z148, "NA")</f>
        <v>7.9266380577108113E-4</v>
      </c>
      <c r="AB53" s="9">
        <f t="shared" si="18"/>
        <v>47.142499999999998</v>
      </c>
      <c r="AC53" s="8">
        <f>IFERROR(AB53/AB148, "NA")</f>
        <v>1.033674763392795E-3</v>
      </c>
      <c r="AD53" s="10">
        <f t="shared" si="19"/>
        <v>-17.862499999999997</v>
      </c>
      <c r="AE53" s="11">
        <f>IFERROR(AD53/AD148, "NA")</f>
        <v>4.3889446507702273E-3</v>
      </c>
      <c r="AF53" s="10">
        <f t="shared" si="20"/>
        <v>-0.37890438563928508</v>
      </c>
      <c r="AG53" s="9">
        <f t="shared" si="21"/>
        <v>42.642499999999998</v>
      </c>
      <c r="AH53" s="8">
        <f>IFERROR(AG53/AG148, "NA")</f>
        <v>9.1464747034849321E-4</v>
      </c>
      <c r="AI53" s="10">
        <f t="shared" si="22"/>
        <v>-13.362499999999997</v>
      </c>
      <c r="AJ53" s="11">
        <f>IFERROR(AI53/AI148, "NA")</f>
        <v>2.6278437374476827E-3</v>
      </c>
      <c r="AK53" s="10">
        <f t="shared" si="23"/>
        <v>-0.31336108342615931</v>
      </c>
      <c r="AL53" s="11">
        <f>IFERROR(AK53/AK148, "NA")</f>
        <v>2.8730672993021442</v>
      </c>
    </row>
    <row r="54" spans="1:38" ht="16.5" customHeight="1">
      <c r="A54" s="23" t="s">
        <v>69</v>
      </c>
      <c r="B54" s="7">
        <v>46</v>
      </c>
      <c r="C54" s="8">
        <f>IFERROR(B54/B148, "NA")</f>
        <v>9.5733371737677234E-4</v>
      </c>
      <c r="D54" s="7">
        <v>33</v>
      </c>
      <c r="E54" s="8">
        <f>IFERROR(D54/D148, "NA")</f>
        <v>7.7750714246334058E-4</v>
      </c>
      <c r="F54" s="7">
        <v>49</v>
      </c>
      <c r="G54" s="8">
        <f>IFERROR(F54/F148, "NA")</f>
        <v>8.122717350654724E-4</v>
      </c>
      <c r="H54" s="7">
        <v>33.25</v>
      </c>
      <c r="I54" s="8">
        <f>IFERROR(H54/H148, "NA")</f>
        <v>5.6575204270517608E-4</v>
      </c>
      <c r="J54" s="7">
        <v>42</v>
      </c>
      <c r="K54" s="8">
        <f>IFERROR(J54/J148, "NA")</f>
        <v>8.7427435228760141E-4</v>
      </c>
      <c r="L54" s="7">
        <v>46</v>
      </c>
      <c r="M54" s="8">
        <f>IFERROR(L54/L148, "NA")</f>
        <v>1.1089572161895216E-3</v>
      </c>
      <c r="N54" s="7">
        <v>50</v>
      </c>
      <c r="O54" s="8">
        <f>IFERROR(N54/N148, "NA")</f>
        <v>1.0027919734123746E-3</v>
      </c>
      <c r="P54" s="7">
        <v>43</v>
      </c>
      <c r="Q54" s="8">
        <f>IFERROR(P54/P148, "NA")</f>
        <v>8.4039460239954155E-4</v>
      </c>
      <c r="R54" s="7">
        <v>49</v>
      </c>
      <c r="S54" s="8">
        <f>IFERROR(R54/R148, "NA")</f>
        <v>1.0342817978857169E-3</v>
      </c>
      <c r="T54" s="7">
        <v>55</v>
      </c>
      <c r="U54" s="8">
        <f>IFERROR(T54/T148, "NA")</f>
        <v>1.2474331228422243E-3</v>
      </c>
      <c r="V54" s="7">
        <v>57.25</v>
      </c>
      <c r="W54" s="8">
        <f>IFERROR(V54/V148, "NA")</f>
        <v>1.1583537335106576E-3</v>
      </c>
      <c r="X54" s="7">
        <v>38</v>
      </c>
      <c r="Y54" s="8">
        <f>IFERROR(X54/X148, "NA")</f>
        <v>9.1485096836974999E-4</v>
      </c>
      <c r="Z54" s="7">
        <v>150.25</v>
      </c>
      <c r="AA54" s="8">
        <f>IFERROR(Z54/Z148, "NA")</f>
        <v>1.1125430809631476E-3</v>
      </c>
      <c r="AB54" s="9">
        <f t="shared" si="18"/>
        <v>49.8125</v>
      </c>
      <c r="AC54" s="8">
        <f>IFERROR(AB54/AB148, "NA")</f>
        <v>1.0922187866893695E-3</v>
      </c>
      <c r="AD54" s="10">
        <f t="shared" si="19"/>
        <v>-11.8125</v>
      </c>
      <c r="AE54" s="11">
        <f>IFERROR(AD54/AD148, "NA")</f>
        <v>2.9024161616360154E-3</v>
      </c>
      <c r="AF54" s="10">
        <f t="shared" si="20"/>
        <v>-0.2371392722710163</v>
      </c>
      <c r="AG54" s="9">
        <f t="shared" si="21"/>
        <v>47.53125</v>
      </c>
      <c r="AH54" s="8">
        <f>IFERROR(AG54/AG148, "NA")</f>
        <v>1.0195072421880006E-3</v>
      </c>
      <c r="AI54" s="10">
        <f t="shared" si="22"/>
        <v>-9.53125</v>
      </c>
      <c r="AJ54" s="11">
        <f>IFERROR(AI54/AI148, "NA")</f>
        <v>1.8743974273188575E-3</v>
      </c>
      <c r="AK54" s="10">
        <f t="shared" si="23"/>
        <v>-0.20052596975673898</v>
      </c>
      <c r="AL54" s="11">
        <f>IFERROR(AK54/AK148, "NA")</f>
        <v>1.8385327241973746</v>
      </c>
    </row>
    <row r="55" spans="1:38" ht="16.5" customHeight="1">
      <c r="A55" s="23" t="s">
        <v>70</v>
      </c>
      <c r="B55" s="7">
        <v>-287.17</v>
      </c>
      <c r="C55" s="8">
        <f>IFERROR(B55/B148, "NA")</f>
        <v>-5.9764679047627769E-3</v>
      </c>
      <c r="D55" s="7">
        <v>-361.62</v>
      </c>
      <c r="E55" s="8">
        <f>IFERROR(D55/D148, "NA")</f>
        <v>-8.5200646320482791E-3</v>
      </c>
      <c r="F55" s="7">
        <v>-318.88</v>
      </c>
      <c r="G55" s="8">
        <f>IFERROR(F55/F148, "NA")</f>
        <v>-5.2860655281158743E-3</v>
      </c>
      <c r="H55" s="7">
        <v>-270.89</v>
      </c>
      <c r="I55" s="8">
        <f>IFERROR(H55/H148, "NA")</f>
        <v>-4.6092201758918842E-3</v>
      </c>
      <c r="J55" s="7">
        <v>-267.55</v>
      </c>
      <c r="K55" s="8">
        <f>IFERROR(J55/J148, "NA")</f>
        <v>-5.5693357846320892E-3</v>
      </c>
      <c r="L55" s="7">
        <v>-389.38</v>
      </c>
      <c r="M55" s="8">
        <f>IFERROR(L55/L148, "NA")</f>
        <v>-9.3870817573886069E-3</v>
      </c>
      <c r="N55" s="7">
        <v>-452.63</v>
      </c>
      <c r="O55" s="8">
        <f>IFERROR(N55/N148, "NA")</f>
        <v>-9.0778746185128639E-3</v>
      </c>
      <c r="P55" s="7">
        <v>-547.62</v>
      </c>
      <c r="Q55" s="8">
        <f>IFERROR(P55/P148, "NA")</f>
        <v>-1.0702718422465975E-2</v>
      </c>
      <c r="R55" s="7">
        <v>-788.26</v>
      </c>
      <c r="S55" s="8">
        <f>IFERROR(R55/R148, "NA")</f>
        <v>-1.6638427959212148E-2</v>
      </c>
      <c r="T55" s="7">
        <v>-459</v>
      </c>
      <c r="U55" s="8">
        <f>IFERROR(T55/T148, "NA")</f>
        <v>-1.0410396425174199E-2</v>
      </c>
      <c r="V55" s="7">
        <v>-422.16</v>
      </c>
      <c r="W55" s="8">
        <f>IFERROR(V55/V148, "NA")</f>
        <v>-8.541670081028109E-3</v>
      </c>
      <c r="X55" s="7">
        <v>-454.11</v>
      </c>
      <c r="Y55" s="8">
        <f>IFERROR(X55/X148, "NA")</f>
        <v>-1.0932709822273347E-2</v>
      </c>
      <c r="Z55" s="7">
        <v>-1335.27</v>
      </c>
      <c r="AA55" s="8">
        <f>IFERROR(Z55/Z148, "NA")</f>
        <v>-9.8871574024470017E-3</v>
      </c>
      <c r="AB55" s="9">
        <f t="shared" si="18"/>
        <v>-530.88250000000005</v>
      </c>
      <c r="AC55" s="8">
        <f>IFERROR(AB55/AB148, "NA")</f>
        <v>-1.1640448482301013E-2</v>
      </c>
      <c r="AD55" s="10">
        <f t="shared" si="19"/>
        <v>76.772500000000036</v>
      </c>
      <c r="AE55" s="11">
        <f>IFERROR(AD55/AD148, "NA")</f>
        <v>-1.8863555112736598E-2</v>
      </c>
      <c r="AF55" s="10">
        <f t="shared" si="20"/>
        <v>-0.14461297933158473</v>
      </c>
      <c r="AG55" s="9">
        <f t="shared" si="21"/>
        <v>-472.58874999999995</v>
      </c>
      <c r="AH55" s="8">
        <f>IFERROR(AG55/AG148, "NA")</f>
        <v>-1.0136650165976582E-2</v>
      </c>
      <c r="AI55" s="10">
        <f t="shared" si="22"/>
        <v>18.478749999999934</v>
      </c>
      <c r="AJ55" s="11">
        <f>IFERROR(AI55/AI148, "NA")</f>
        <v>-3.6339956941710914E-3</v>
      </c>
      <c r="AK55" s="10">
        <f t="shared" si="23"/>
        <v>-3.910112121797215E-2</v>
      </c>
      <c r="AL55" s="11">
        <f>IFERROR(AK55/AK148, "NA")</f>
        <v>0.35850065205648596</v>
      </c>
    </row>
    <row r="56" spans="1:38" ht="16.5" customHeight="1">
      <c r="A56" s="27" t="s">
        <v>71</v>
      </c>
      <c r="B56" s="13">
        <f>IFERROR(B37+B39+B40+B41+B42+B43+B46+B47+B48+B49+B50+B51+B53+B54+B55, "NA")</f>
        <v>1026.45</v>
      </c>
      <c r="C56" s="14">
        <f>IFERROR(B56/B148, "NA")</f>
        <v>2.1362069439160608E-2</v>
      </c>
      <c r="D56" s="13">
        <f>IFERROR(D37+D39+D40+D41+D42+D43+D46+D47+D48+D49+D50+D51+D53+D54+D55, "NA")</f>
        <v>1435.0300000000002</v>
      </c>
      <c r="E56" s="14">
        <f>IFERROR(D56/D148, "NA")</f>
        <v>3.3810487110580843E-2</v>
      </c>
      <c r="F56" s="13">
        <f>IFERROR(F37+F39+F40+F41+F42+F43+F46+F47+F48+F49+F50+F51+F53+F54+F55, "NA")</f>
        <v>1795.8899999999999</v>
      </c>
      <c r="G56" s="14">
        <f>IFERROR(F56/F148, "NA")</f>
        <v>2.9770422169116961E-2</v>
      </c>
      <c r="H56" s="13">
        <f>IFERROR(H37+H39+H40+H41+H42+H43+H46+H47+H48+H49+H50+H51+H53+H54+H55, "NA")</f>
        <v>1783.1100000000001</v>
      </c>
      <c r="I56" s="14">
        <f>IFERROR(H56/H148, "NA")</f>
        <v>3.0339793229113586E-2</v>
      </c>
      <c r="J56" s="13">
        <f>IFERROR(J37+J39+J40+J41+J42+J43+J46+J47+J48+J49+J50+J51+J53+J54+J55, "NA")</f>
        <v>1778.0800000000002</v>
      </c>
      <c r="K56" s="14">
        <f>IFERROR(J56/J148, "NA")</f>
        <v>3.7012612864655674E-2</v>
      </c>
      <c r="L56" s="13">
        <f>IFERROR(L37+L39+L40+L41+L42+L43+L46+L47+L48+L49+L50+L51+L53+L54+L55, "NA")</f>
        <v>1403.37</v>
      </c>
      <c r="M56" s="14">
        <f>IFERROR(L56/L148, "NA")</f>
        <v>3.3832114967041062E-2</v>
      </c>
      <c r="N56" s="13">
        <f>IFERROR(N37+N39+N40+N41+N42+N43+N46+N47+N48+N49+N50+N51+N53+N54+N55, "NA")</f>
        <v>1676.4</v>
      </c>
      <c r="O56" s="14">
        <f>IFERROR(N56/N148, "NA")</f>
        <v>3.36216092845701E-2</v>
      </c>
      <c r="P56" s="13">
        <f>IFERROR(P37+P39+P40+P41+P42+P43+P46+P47+P48+P49+P50+P51+P53+P54+P55, "NA")</f>
        <v>1405.04</v>
      </c>
      <c r="Q56" s="14">
        <f>IFERROR(P56/P148, "NA")</f>
        <v>2.7460186794312832E-2</v>
      </c>
      <c r="R56" s="13">
        <f>IFERROR(R37+R39+R40+R41+R42+R43+R46+R47+R48+R49+R50+R51+R53+R54+R55, "NA")</f>
        <v>1274.6099999999999</v>
      </c>
      <c r="S56" s="14">
        <f>IFERROR(R56/R148, "NA")</f>
        <v>2.6904202498022722E-2</v>
      </c>
      <c r="T56" s="13">
        <f>IFERROR(T37+T39+T40+T41+T42+T43+T46+T47+T48+T49+T50+T51+T53+T54+T55, "NA")</f>
        <v>1469.3200000000002</v>
      </c>
      <c r="U56" s="14">
        <f>IFERROR(T56/T148, "NA")</f>
        <v>3.3325062473718858E-2</v>
      </c>
      <c r="V56" s="13">
        <f>IFERROR(V37+V39+V40+V41+V42+V43+V46+V47+V48+V49+V50+V51+V53+V54+V55, "NA")</f>
        <v>1127.2099999999998</v>
      </c>
      <c r="W56" s="14">
        <f>IFERROR(V56/V148, "NA")</f>
        <v>2.2807125099572893E-2</v>
      </c>
      <c r="X56" s="13">
        <f>IFERROR(X37+X39+X40+X41+X42+X43+X46+X47+X48+X49+X50+X51+X53+X54+X55, "NA")</f>
        <v>1200.48</v>
      </c>
      <c r="Y56" s="14">
        <f>IFERROR(X56/X148, "NA")</f>
        <v>2.8901586592329408E-2</v>
      </c>
      <c r="Z56" s="13">
        <f>IFERROR(Z37+Z39+Z40+Z41+Z42+Z43+Z46+Z47+Z48+Z49+Z50+Z51+Z53+Z54+Z55, "NA")</f>
        <v>3797.0100000000007</v>
      </c>
      <c r="AA56" s="14">
        <f>IFERROR(Z56/Z148, "NA")</f>
        <v>2.8115389043912691E-2</v>
      </c>
      <c r="AB56" s="13">
        <f t="shared" si="18"/>
        <v>1267.9050000000002</v>
      </c>
      <c r="AC56" s="14">
        <f>IFERROR(AB56/AB148, "NA")</f>
        <v>2.780084638870535E-2</v>
      </c>
      <c r="AD56" s="15">
        <f t="shared" si="19"/>
        <v>-67.425000000000182</v>
      </c>
      <c r="AE56" s="16">
        <f>IFERROR(AD56/AD148, "NA")</f>
        <v>1.6566807170227207E-2</v>
      </c>
      <c r="AF56" s="15">
        <f t="shared" si="20"/>
        <v>-5.3178274397529916E-2</v>
      </c>
      <c r="AG56" s="13">
        <f t="shared" si="21"/>
        <v>1416.8137499999998</v>
      </c>
      <c r="AH56" s="14">
        <f>IFERROR(AG56/AG148, "NA")</f>
        <v>3.0389520135837775E-2</v>
      </c>
      <c r="AI56" s="15">
        <f t="shared" si="22"/>
        <v>-216.33374999999978</v>
      </c>
      <c r="AJ56" s="16">
        <f>IFERROR(AI56/AI148, "NA")</f>
        <v>4.2543782236562931E-2</v>
      </c>
      <c r="AK56" s="15">
        <f t="shared" si="23"/>
        <v>-0.1526903236222826</v>
      </c>
      <c r="AL56" s="16">
        <f>IFERROR(AK56/AK148, "NA")</f>
        <v>1.3999491287258554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11921.47</v>
      </c>
      <c r="C57" s="29">
        <f>IFERROR(B57/B148, "NA")</f>
        <v>0.24810489547164499</v>
      </c>
      <c r="D57" s="28">
        <f>IFERROR(D13+D15+D16+D17+D18+D19+D20+D21+D22+D23+D24+D25+D26+D29+D30+D31+D32+D33+D37+D39+D40+D41+D42+D43+D46+D47+D48+D49+D50+D51+D53+D54+D55, "NA")</f>
        <v>9911.3199999999979</v>
      </c>
      <c r="E57" s="29">
        <f>IFERROR(D57/D148, "NA")</f>
        <v>0.23351885124968955</v>
      </c>
      <c r="F57" s="28">
        <f>IFERROR(F13+F15+F16+F17+F18+F19+F20+F21+F22+F23+F24+F25+F26+F29+F30+F31+F32+F33+F37+F39+F40+F41+F42+F43+F46+F47+F48+F49+F50+F51+F53+F54+F55, "NA")</f>
        <v>14163.62</v>
      </c>
      <c r="G57" s="29">
        <f>IFERROR(F57/F148, "NA")</f>
        <v>0.23478996310628628</v>
      </c>
      <c r="H57" s="28">
        <f>IFERROR(H13+H15+H16+H17+H18+H19+H20+H21+H22+H23+H24+H25+H26+H29+H30+H31+H32+H33+H37+H39+H40+H41+H42+H43+H46+H47+H48+H49+H50+H51+H53+H54+H55, "NA")</f>
        <v>12827.420000000002</v>
      </c>
      <c r="I57" s="29">
        <f>IFERROR(H57/H148, "NA")</f>
        <v>0.21825982158307464</v>
      </c>
      <c r="J57" s="28">
        <f>IFERROR(J13+J15+J16+J17+J18+J19+J20+J21+J22+J23+J24+J25+J26+J29+J30+J31+J32+J33+J37+J39+J40+J41+J42+J43+J46+J47+J48+J49+J50+J51+J53+J54+J55, "NA")</f>
        <v>11220.560000000001</v>
      </c>
      <c r="K57" s="29">
        <f>IFERROR(J57/J148, "NA")</f>
        <v>0.23356780538819452</v>
      </c>
      <c r="L57" s="28">
        <f>IFERROR(L13+L15+L16+L17+L18+L19+L20+L21+L22+L23+L24+L25+L26+L29+L30+L31+L32+L33+L37+L39+L40+L41+L42+L43+L46+L47+L48+L49+L50+L51+L53+L54+L55, "NA")</f>
        <v>10847.380000000001</v>
      </c>
      <c r="M57" s="29">
        <f>IFERROR(L57/L148, "NA")</f>
        <v>0.26150609408151942</v>
      </c>
      <c r="N57" s="28">
        <f>IFERROR(N13+N15+N16+N17+N18+N19+N20+N21+N22+N23+N24+N25+N26+N29+N30+N31+N32+N33+N37+N39+N40+N41+N42+N43+N46+N47+N48+N49+N50+N51+N53+N54+N55, "NA")</f>
        <v>12320.350000000002</v>
      </c>
      <c r="O57" s="29">
        <f>IFERROR(N57/N148, "NA")</f>
        <v>0.24709496179262305</v>
      </c>
      <c r="P57" s="28">
        <f>IFERROR(P13+P15+P16+P17+P18+P19+P20+P21+P22+P23+P24+P25+P26+P29+P30+P31+P32+P33+P37+P39+P40+P41+P42+P43+P46+P47+P48+P49+P50+P51+P53+P54+P55, "NA")</f>
        <v>11723.56</v>
      </c>
      <c r="Q57" s="29">
        <f>IFERROR(P57/P148, "NA")</f>
        <v>0.22912596616063183</v>
      </c>
      <c r="R57" s="28">
        <f>IFERROR(R13+R15+R16+R17+R18+R19+R20+R21+R22+R23+R24+R25+R26+R29+R30+R31+R32+R33+R37+R39+R40+R41+R42+R43+R46+R47+R48+R49+R50+R51+R53+R54+R55, "NA")</f>
        <v>11087.730000000001</v>
      </c>
      <c r="S57" s="29">
        <f>IFERROR(R57/R148, "NA")</f>
        <v>0.23403749630349799</v>
      </c>
      <c r="T57" s="28">
        <f>IFERROR(T13+T15+T16+T17+T18+T19+T20+T21+T22+T23+T24+T25+T26+T29+T30+T31+T32+T33+T37+T39+T40+T41+T42+T43+T46+T47+T48+T49+T50+T51+T53+T54+T55, "NA")</f>
        <v>10654.370000000003</v>
      </c>
      <c r="U57" s="29">
        <f>IFERROR(T57/T148, "NA")</f>
        <v>0.24164752801848202</v>
      </c>
      <c r="V57" s="28">
        <f>IFERROR(V13+V15+V16+V17+V18+V19+V20+V21+V22+V23+V24+V25+V26+V29+V30+V31+V32+V33+V37+V39+V40+V41+V42+V43+V46+V47+V48+V49+V50+V51+V53+V54+V55, "NA")</f>
        <v>10256.740000000002</v>
      </c>
      <c r="W57" s="29">
        <f>IFERROR(V57/V148, "NA")</f>
        <v>0.20752721524276166</v>
      </c>
      <c r="X57" s="28">
        <f>IFERROR(X13+X15+X16+X17+X18+X19+X20+X21+X22+X23+X24+X25+X26+X29+X30+X31+X32+X33+X37+X39+X40+X41+X42+X43+X46+X47+X48+X49+X50+X51+X53+X54+X55, "NA")</f>
        <v>10300.880000000003</v>
      </c>
      <c r="Y57" s="29">
        <f>IFERROR(X57/X148, "NA")</f>
        <v>0.24799394850159456</v>
      </c>
      <c r="Z57" s="28">
        <f>IFERROR(Z13+Z15+Z16+Z17+Z18+Z19+Z20+Z21+Z22+Z23+Z24+Z25+Z26+Z29+Z30+Z31+Z32+Z33+Z37+Z39+Z40+Z41+Z42+Z43+Z46+Z47+Z48+Z49+Z50+Z51+Z53+Z54+Z55, "NA")</f>
        <v>31211.989999999994</v>
      </c>
      <c r="AA57" s="29">
        <f>IFERROR(Z57/Z148, "NA")</f>
        <v>0.23111270228013939</v>
      </c>
      <c r="AB57" s="28">
        <f t="shared" si="18"/>
        <v>10574.930000000002</v>
      </c>
      <c r="AC57" s="29">
        <f>IFERROR(AB57/AB148, "NA")</f>
        <v>0.23187226527327509</v>
      </c>
      <c r="AD57" s="30">
        <f t="shared" si="19"/>
        <v>-274.04999999999927</v>
      </c>
      <c r="AE57" s="31">
        <f>IFERROR(AD57/AD148, "NA")</f>
        <v>6.7336054949955371E-2</v>
      </c>
      <c r="AF57" s="30">
        <f t="shared" si="20"/>
        <v>-2.5915065158823674E-2</v>
      </c>
      <c r="AG57" s="28">
        <f t="shared" si="21"/>
        <v>11051.446250000003</v>
      </c>
      <c r="AH57" s="29">
        <f>IFERROR(AG57/AG148, "NA")</f>
        <v>0.2370446703700497</v>
      </c>
      <c r="AI57" s="30">
        <f t="shared" si="22"/>
        <v>-750.56624999999985</v>
      </c>
      <c r="AJ57" s="31">
        <f>IFERROR(AI57/AI148, "NA")</f>
        <v>0.14760492569519865</v>
      </c>
      <c r="AK57" s="30">
        <f t="shared" si="23"/>
        <v>-6.7915658550119593E-2</v>
      </c>
      <c r="AL57" s="31">
        <f>IFERROR(AK57/AK148, "NA")</f>
        <v>0.62268822777062671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36128.65</v>
      </c>
      <c r="C59" s="34">
        <f>IFERROR(B59/B148, "NA")</f>
        <v>0.75189510452835495</v>
      </c>
      <c r="D59" s="33">
        <f>IFERROR(D9-D57, "NA")</f>
        <v>32532.01999999999</v>
      </c>
      <c r="E59" s="34">
        <f>IFERROR(D59/D148, "NA")</f>
        <v>0.76648114875031026</v>
      </c>
      <c r="F59" s="33">
        <f>IFERROR(F9-F57, "NA")</f>
        <v>46161.01999999999</v>
      </c>
      <c r="G59" s="34">
        <f>IFERROR(F59/F148, "NA")</f>
        <v>0.76521003689371359</v>
      </c>
      <c r="H59" s="33">
        <f>IFERROR(H9-H57, "NA")</f>
        <v>45943.909999999989</v>
      </c>
      <c r="I59" s="34">
        <f>IFERROR(H59/H148, "NA")</f>
        <v>0.78174017841692522</v>
      </c>
      <c r="J59" s="33">
        <f>IFERROR(J9-J57, "NA")</f>
        <v>36819.279999999999</v>
      </c>
      <c r="K59" s="34">
        <f>IFERROR(J59/J148, "NA")</f>
        <v>0.76643219461180556</v>
      </c>
      <c r="L59" s="33">
        <f>IFERROR(L9-L57, "NA")</f>
        <v>30633.029999999995</v>
      </c>
      <c r="M59" s="34">
        <f>IFERROR(L59/L148, "NA")</f>
        <v>0.73849390591848041</v>
      </c>
      <c r="N59" s="33">
        <f>IFERROR(N9-N57, "NA")</f>
        <v>37540.439999999988</v>
      </c>
      <c r="O59" s="34">
        <f>IFERROR(N59/N148, "NA")</f>
        <v>0.75290503820737675</v>
      </c>
      <c r="P59" s="33">
        <f>IFERROR(P9-P57, "NA")</f>
        <v>39442.880000000012</v>
      </c>
      <c r="Q59" s="34">
        <f>IFERROR(P59/P148, "NA")</f>
        <v>0.77087403383936837</v>
      </c>
      <c r="R59" s="33">
        <f>IFERROR(R9-R57, "NA")</f>
        <v>36288.140000000007</v>
      </c>
      <c r="S59" s="34">
        <f>IFERROR(R59/R148, "NA")</f>
        <v>0.76596250369650209</v>
      </c>
      <c r="T59" s="33">
        <f>IFERROR(T9-T57, "NA")</f>
        <v>33436.170000000006</v>
      </c>
      <c r="U59" s="34">
        <f>IFERROR(T59/T148, "NA")</f>
        <v>0.75835247198151812</v>
      </c>
      <c r="V59" s="33">
        <f>IFERROR(V9-V57, "NA")</f>
        <v>39166.850000000006</v>
      </c>
      <c r="W59" s="34">
        <f>IFERROR(V59/V148, "NA")</f>
        <v>0.79247278475723859</v>
      </c>
      <c r="X59" s="33">
        <f>IFERROR(X9-X57, "NA")</f>
        <v>31235.940000000002</v>
      </c>
      <c r="Y59" s="34">
        <f>IFERROR(X59/X148, "NA")</f>
        <v>0.7520060514984056</v>
      </c>
      <c r="Z59" s="33">
        <f>IFERROR(Z9-Z57, "NA")</f>
        <v>103838.96000000002</v>
      </c>
      <c r="AA59" s="34">
        <f>IFERROR(Z59/Z148, "NA")</f>
        <v>0.76888729771986064</v>
      </c>
      <c r="AB59" s="33">
        <f>IFERROR((R59+T59+V59+X59)/4, "NA")</f>
        <v>35031.775000000009</v>
      </c>
      <c r="AC59" s="34">
        <f>IFERROR(AB59/AB148, "NA")</f>
        <v>0.76812773472672513</v>
      </c>
      <c r="AD59" s="15">
        <f>IFERROR(X59-AB59, "NA")</f>
        <v>-3795.8350000000064</v>
      </c>
      <c r="AE59" s="16">
        <f>IFERROR(AD59/AD148, "NA")</f>
        <v>0.93266394505004557</v>
      </c>
      <c r="AF59" s="15">
        <f>IFERROR((X59-AB59)/AB59, "NA")</f>
        <v>-0.10835405856540256</v>
      </c>
      <c r="AG59" s="33">
        <f>IFERROR((J59+L59+N59+P59+R59+T59+V59+X59)/8, "NA")</f>
        <v>35570.341250000005</v>
      </c>
      <c r="AH59" s="34">
        <f>IFERROR(AG59/AG148, "NA")</f>
        <v>0.7629553296299505</v>
      </c>
      <c r="AI59" s="15">
        <f>IFERROR(X59-AG59, "NA")</f>
        <v>-4334.4012500000026</v>
      </c>
      <c r="AJ59" s="16">
        <f>IFERROR(AI59/AI148, "NA")</f>
        <v>0.8523950743048021</v>
      </c>
      <c r="AK59" s="15">
        <f>IFERROR((X59-AG59)/AG59, "NA")</f>
        <v>-0.12185436230528157</v>
      </c>
      <c r="AL59" s="16">
        <f>IFERROR(AK59/AK148, "NA")</f>
        <v>1.1172280226657985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2519.23</v>
      </c>
      <c r="C66" s="8">
        <f>IFERROR(B66/B148, "NA")</f>
        <v>5.2429213496241009E-2</v>
      </c>
      <c r="D66" s="7">
        <v>2519.23</v>
      </c>
      <c r="E66" s="8">
        <f>IFERROR(D66/D148, "NA")</f>
        <v>5.9355130863876414E-2</v>
      </c>
      <c r="F66" s="7">
        <v>2519.23</v>
      </c>
      <c r="G66" s="8">
        <f>IFERROR(F66/F148, "NA")</f>
        <v>4.1761210676101841E-2</v>
      </c>
      <c r="H66" s="7">
        <v>2519.23</v>
      </c>
      <c r="I66" s="8">
        <f>IFERROR(H66/H148, "NA")</f>
        <v>4.2864947926140179E-2</v>
      </c>
      <c r="J66" s="7">
        <v>2519.23</v>
      </c>
      <c r="K66" s="8">
        <f>IFERROR(J66/J148, "NA")</f>
        <v>5.244043277413081E-2</v>
      </c>
      <c r="L66" s="7">
        <v>2519.23</v>
      </c>
      <c r="M66" s="8">
        <f>IFERROR(L66/L148, "NA")</f>
        <v>6.0733006255241931E-2</v>
      </c>
      <c r="N66" s="7">
        <v>2519.23</v>
      </c>
      <c r="O66" s="8">
        <f>IFERROR(N66/N148, "NA")</f>
        <v>5.0525272463593132E-2</v>
      </c>
      <c r="P66" s="7">
        <v>2519.23</v>
      </c>
      <c r="Q66" s="8">
        <f>IFERROR(P66/P148, "NA")</f>
        <v>4.9235983586116208E-2</v>
      </c>
      <c r="R66" s="7">
        <v>2519.23</v>
      </c>
      <c r="S66" s="8">
        <f>IFERROR(R66/R148, "NA")</f>
        <v>5.3175382320155805E-2</v>
      </c>
      <c r="T66" s="7">
        <v>2519.23</v>
      </c>
      <c r="U66" s="8">
        <f>IFERROR(T66/T148, "NA")</f>
        <v>5.7137653564687571E-2</v>
      </c>
      <c r="V66" s="7">
        <v>2519.23</v>
      </c>
      <c r="W66" s="8">
        <f>IFERROR(V66/V148, "NA")</f>
        <v>5.0972217922655966E-2</v>
      </c>
      <c r="X66" s="7">
        <v>2519.23</v>
      </c>
      <c r="Y66" s="8">
        <f>IFERROR(X66/X148, "NA")</f>
        <v>6.0650526448582244E-2</v>
      </c>
      <c r="Z66" s="7">
        <v>7557.69</v>
      </c>
      <c r="AA66" s="8">
        <f>IFERROR(Z66/Z148, "NA")</f>
        <v>5.596176850292426E-2</v>
      </c>
      <c r="AB66" s="9">
        <f t="shared" si="24"/>
        <v>2519.23</v>
      </c>
      <c r="AC66" s="8">
        <f>IFERROR(AB66/AB148, "NA")</f>
        <v>5.5238149741359301E-2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2519.23</v>
      </c>
      <c r="AH66" s="8">
        <f>IFERROR(AG66/AG148, "NA")</f>
        <v>5.4035465714393729E-2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5939.14</v>
      </c>
      <c r="C68" s="8">
        <f>IFERROR(B68/B148, "NA")</f>
        <v>0.12360302117871923</v>
      </c>
      <c r="D68" s="7">
        <v>6285.82</v>
      </c>
      <c r="E68" s="8">
        <f>IFERROR(D68/D148, "NA")</f>
        <v>0.14809908927996712</v>
      </c>
      <c r="F68" s="7">
        <v>8052.56</v>
      </c>
      <c r="G68" s="8">
        <f>IFERROR(F68/F148, "NA")</f>
        <v>0.13348707924324124</v>
      </c>
      <c r="H68" s="7">
        <v>8154.52</v>
      </c>
      <c r="I68" s="8">
        <f>IFERROR(H68/H148, "NA")</f>
        <v>0.13874996533173573</v>
      </c>
      <c r="J68" s="7">
        <v>7551.75</v>
      </c>
      <c r="K68" s="8">
        <f>IFERROR(J68/J148, "NA")</f>
        <v>0.15719765094971175</v>
      </c>
      <c r="L68" s="7">
        <v>6695.05</v>
      </c>
      <c r="M68" s="8">
        <f>IFERROR(L68/L148, "NA")</f>
        <v>0.16140269587499254</v>
      </c>
      <c r="N68" s="7">
        <v>8012.16</v>
      </c>
      <c r="O68" s="8">
        <f>IFERROR(N68/N148, "NA")</f>
        <v>0.16069059475391384</v>
      </c>
      <c r="P68" s="7">
        <v>7685.83</v>
      </c>
      <c r="Q68" s="8">
        <f>IFERROR(P68/P148, "NA")</f>
        <v>0.15021232667349926</v>
      </c>
      <c r="R68" s="7">
        <v>6943.38</v>
      </c>
      <c r="S68" s="8">
        <f>IFERROR(R68/R148, "NA")</f>
        <v>0.14655941938374956</v>
      </c>
      <c r="T68" s="7">
        <v>6896.57</v>
      </c>
      <c r="U68" s="8">
        <f>IFERROR(T68/T148, "NA")</f>
        <v>0.1564183609454545</v>
      </c>
      <c r="V68" s="7">
        <v>7621.22</v>
      </c>
      <c r="W68" s="8">
        <f>IFERROR(V68/V148, "NA")</f>
        <v>0.15420207233023747</v>
      </c>
      <c r="X68" s="7">
        <v>7148.11</v>
      </c>
      <c r="Y68" s="8">
        <f>IFERROR(X68/X148, "NA")</f>
        <v>0.17209093040824983</v>
      </c>
      <c r="Z68" s="7">
        <v>21665.9</v>
      </c>
      <c r="AA68" s="8">
        <f>IFERROR(Z68/Z148, "NA")</f>
        <v>0.16042760158295813</v>
      </c>
      <c r="AB68" s="9">
        <f t="shared" si="24"/>
        <v>7152.3200000000006</v>
      </c>
      <c r="AC68" s="8">
        <f>IFERROR(AB68/AB148, "NA")</f>
        <v>0.15682606318522682</v>
      </c>
      <c r="AD68" s="10">
        <f t="shared" si="25"/>
        <v>-4.2100000000009459</v>
      </c>
      <c r="AE68" s="11">
        <f>IFERROR(AD68/AD148, "NA")</f>
        <v>1.0344272626870155E-3</v>
      </c>
      <c r="AF68" s="10">
        <f t="shared" si="26"/>
        <v>-5.8862019596451858E-4</v>
      </c>
      <c r="AG68" s="9">
        <f t="shared" si="27"/>
        <v>7319.25875</v>
      </c>
      <c r="AH68" s="8">
        <f>IFERROR(AG68/AG148, "NA")</f>
        <v>0.15699223780297999</v>
      </c>
      <c r="AI68" s="10">
        <f t="shared" si="28"/>
        <v>-171.14875000000029</v>
      </c>
      <c r="AJ68" s="11">
        <f>IFERROR(AI68/AI148, "NA")</f>
        <v>3.3657786406697844E-2</v>
      </c>
      <c r="AK68" s="10">
        <f t="shared" si="29"/>
        <v>-2.338334465904765E-2</v>
      </c>
      <c r="AL68" s="11">
        <f>IFERROR(AK68/AK148, "NA")</f>
        <v>0.2143914048090533</v>
      </c>
    </row>
    <row r="69" spans="1:38" ht="16.5" customHeight="1">
      <c r="A69" s="25" t="s">
        <v>81</v>
      </c>
      <c r="B69" s="7">
        <v>230.1</v>
      </c>
      <c r="C69" s="8">
        <f>IFERROR(B69/B148, "NA")</f>
        <v>4.7887497471390287E-3</v>
      </c>
      <c r="D69" s="7">
        <v>0.02</v>
      </c>
      <c r="E69" s="8">
        <f>IFERROR(D69/D148, "NA")</f>
        <v>4.7121644997778221E-7</v>
      </c>
      <c r="F69" s="7">
        <v>330.74</v>
      </c>
      <c r="G69" s="8">
        <f>IFERROR(F69/F148, "NA")</f>
        <v>5.4826684419500889E-3</v>
      </c>
      <c r="H69" s="7">
        <v>331.53</v>
      </c>
      <c r="I69" s="8">
        <f>IFERROR(H69/H148, "NA")</f>
        <v>5.6410157809938955E-3</v>
      </c>
      <c r="J69" s="7">
        <v>93.98</v>
      </c>
      <c r="K69" s="8">
        <f>IFERROR(J69/J148, "NA")</f>
        <v>1.9562929435235424E-3</v>
      </c>
      <c r="L69" s="7">
        <v>145.08000000000001</v>
      </c>
      <c r="M69" s="8">
        <f>IFERROR(L69/L148, "NA")</f>
        <v>3.4975546287994742E-3</v>
      </c>
      <c r="N69" s="7">
        <v>453.47</v>
      </c>
      <c r="O69" s="8">
        <f>IFERROR(N69/N148, "NA")</f>
        <v>9.0947215236661921E-3</v>
      </c>
      <c r="P69" s="7">
        <v>274.60000000000002</v>
      </c>
      <c r="Q69" s="8">
        <f>IFERROR(P69/P148, "NA")</f>
        <v>5.3667990190445145E-3</v>
      </c>
      <c r="R69" s="7">
        <v>229.06</v>
      </c>
      <c r="S69" s="8">
        <f>IFERROR(R69/R148, "NA")</f>
        <v>4.8349507882388225E-3</v>
      </c>
      <c r="T69" s="7">
        <v>230.99</v>
      </c>
      <c r="U69" s="8">
        <f>IFERROR(T69/T148, "NA")</f>
        <v>5.2389923099150065E-3</v>
      </c>
      <c r="V69" s="7">
        <v>264.58</v>
      </c>
      <c r="W69" s="8">
        <f>IFERROR(V69/V148, "NA")</f>
        <v>5.3533140753231406E-3</v>
      </c>
      <c r="X69" s="7">
        <v>219.61</v>
      </c>
      <c r="Y69" s="8">
        <f>IFERROR(X69/X148, "NA")</f>
        <v>5.2871163464126535E-3</v>
      </c>
      <c r="Z69" s="7">
        <v>715.18</v>
      </c>
      <c r="AA69" s="8">
        <f>IFERROR(Z69/Z148, "NA")</f>
        <v>5.2956310192560649E-3</v>
      </c>
      <c r="AB69" s="9">
        <f t="shared" si="24"/>
        <v>236.06</v>
      </c>
      <c r="AC69" s="8">
        <f>IFERROR(AB69/AB148, "NA")</f>
        <v>5.1759933106327238E-3</v>
      </c>
      <c r="AD69" s="10">
        <f t="shared" si="25"/>
        <v>-16.449999999999989</v>
      </c>
      <c r="AE69" s="11">
        <f>IFERROR(AD69/AD148, "NA")</f>
        <v>4.0418832473153371E-3</v>
      </c>
      <c r="AF69" s="10">
        <f t="shared" si="26"/>
        <v>-6.9685673133948953E-2</v>
      </c>
      <c r="AG69" s="9">
        <f t="shared" si="27"/>
        <v>238.92124999999999</v>
      </c>
      <c r="AH69" s="8">
        <f>IFERROR(AG69/AG148, "NA")</f>
        <v>5.1246694477340661E-3</v>
      </c>
      <c r="AI69" s="10">
        <f t="shared" si="28"/>
        <v>-19.311249999999973</v>
      </c>
      <c r="AJ69" s="11">
        <f>IFERROR(AI69/AI148, "NA")</f>
        <v>3.7977135547080641E-3</v>
      </c>
      <c r="AK69" s="10">
        <f t="shared" si="29"/>
        <v>-8.0826841480194728E-2</v>
      </c>
      <c r="AL69" s="11">
        <f>IFERROR(AK69/AK148, "NA")</f>
        <v>0.74106507618501494</v>
      </c>
    </row>
    <row r="70" spans="1:38" ht="16.5" customHeight="1">
      <c r="A70" s="26" t="s">
        <v>82</v>
      </c>
      <c r="B70" s="13">
        <f>IFERROR(B65+B66+B67+B68+B69, "NA")</f>
        <v>8688.4700000000012</v>
      </c>
      <c r="C70" s="14">
        <f>IFERROR(B70/B148, "NA")</f>
        <v>0.18082098442209926</v>
      </c>
      <c r="D70" s="13">
        <f>IFERROR(D65+D66+D67+D68+D69, "NA")</f>
        <v>8805.07</v>
      </c>
      <c r="E70" s="14">
        <f>IFERROR(D70/D148, "NA")</f>
        <v>0.20745469136029351</v>
      </c>
      <c r="F70" s="13">
        <f>IFERROR(F65+F66+F67+F68+F69, "NA")</f>
        <v>10902.53</v>
      </c>
      <c r="G70" s="14">
        <f>IFERROR(F70/F148, "NA")</f>
        <v>0.18073095836129319</v>
      </c>
      <c r="H70" s="13">
        <f>IFERROR(H65+H66+H67+H68+H69, "NA")</f>
        <v>11005.28</v>
      </c>
      <c r="I70" s="14">
        <f>IFERROR(H70/H148, "NA")</f>
        <v>0.18725592903886981</v>
      </c>
      <c r="J70" s="13">
        <f>IFERROR(J65+J66+J67+J68+J69, "NA")</f>
        <v>10164.959999999999</v>
      </c>
      <c r="K70" s="14">
        <f>IFERROR(J70/J148, "NA")</f>
        <v>0.21159437666736608</v>
      </c>
      <c r="L70" s="13">
        <f>IFERROR(L65+L66+L67+L68+L69, "NA")</f>
        <v>9359.36</v>
      </c>
      <c r="M70" s="14">
        <f>IFERROR(L70/L148, "NA")</f>
        <v>0.22563325675903395</v>
      </c>
      <c r="N70" s="13">
        <f>IFERROR(N65+N66+N67+N68+N69, "NA")</f>
        <v>10984.859999999999</v>
      </c>
      <c r="O70" s="14">
        <f>IFERROR(N70/N148, "NA")</f>
        <v>0.22031058874117315</v>
      </c>
      <c r="P70" s="13">
        <f>IFERROR(P65+P66+P67+P68+P69, "NA")</f>
        <v>10479.66</v>
      </c>
      <c r="Q70" s="14">
        <f>IFERROR(P70/P148, "NA")</f>
        <v>0.20481510927865998</v>
      </c>
      <c r="R70" s="13">
        <f>IFERROR(R65+R66+R67+R68+R69, "NA")</f>
        <v>9691.67</v>
      </c>
      <c r="S70" s="14">
        <f>IFERROR(R70/R148, "NA")</f>
        <v>0.20456975249214421</v>
      </c>
      <c r="T70" s="13">
        <f>IFERROR(T65+T66+T67+T68+T69, "NA")</f>
        <v>9646.7899999999991</v>
      </c>
      <c r="U70" s="14">
        <f>IFERROR(T70/T148, "NA")</f>
        <v>0.21879500682005706</v>
      </c>
      <c r="V70" s="13">
        <f>IFERROR(V65+V66+V67+V68+V69, "NA")</f>
        <v>10405.030000000001</v>
      </c>
      <c r="W70" s="14">
        <f>IFERROR(V70/V148, "NA")</f>
        <v>0.21052760432821657</v>
      </c>
      <c r="X70" s="13">
        <f>IFERROR(X65+X66+X67+X68+X69, "NA")</f>
        <v>9886.9500000000007</v>
      </c>
      <c r="Y70" s="14">
        <f>IFERROR(X70/X148, "NA")</f>
        <v>0.23802857320324475</v>
      </c>
      <c r="Z70" s="13">
        <f>IFERROR(Z65+Z66+Z67+Z68+Z69, "NA")</f>
        <v>29938.77</v>
      </c>
      <c r="AA70" s="14">
        <f>IFERROR(Z70/Z148, "NA")</f>
        <v>0.22168500110513845</v>
      </c>
      <c r="AB70" s="13">
        <f t="shared" si="24"/>
        <v>9907.61</v>
      </c>
      <c r="AC70" s="14">
        <f>IFERROR(AB70/AB148, "NA")</f>
        <v>0.21724020623721885</v>
      </c>
      <c r="AD70" s="15">
        <f t="shared" si="25"/>
        <v>-20.659999999999854</v>
      </c>
      <c r="AE70" s="16">
        <f>IFERROR(AD70/AD148, "NA")</f>
        <v>5.0763105100020871E-3</v>
      </c>
      <c r="AF70" s="15">
        <f t="shared" si="26"/>
        <v>-2.0852657704532023E-3</v>
      </c>
      <c r="AG70" s="13">
        <f t="shared" si="27"/>
        <v>10077.41</v>
      </c>
      <c r="AH70" s="14">
        <f>IFERROR(AG70/AG148, "NA")</f>
        <v>0.21615237296510778</v>
      </c>
      <c r="AI70" s="15">
        <f t="shared" si="28"/>
        <v>-190.45999999999913</v>
      </c>
      <c r="AJ70" s="16">
        <f>IFERROR(AI70/AI148, "NA")</f>
        <v>3.7455499961405687E-2</v>
      </c>
      <c r="AK70" s="15">
        <f t="shared" si="29"/>
        <v>-1.8899697442100613E-2</v>
      </c>
      <c r="AL70" s="16">
        <f>IFERROR(AK70/AK148, "NA")</f>
        <v>0.17328285342234903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1013</v>
      </c>
      <c r="C72" s="8">
        <f>IFERROR(B72/B148, "NA")</f>
        <v>2.1082153384840662E-2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-1876</v>
      </c>
      <c r="K72" s="8">
        <f>IFERROR(J72/J148, "NA")</f>
        <v>-3.9050921068846195E-2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863</v>
      </c>
      <c r="S72" s="8">
        <f>IFERROR(R72/R148, "NA")</f>
        <v>1.821602431786477E-2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215.75</v>
      </c>
      <c r="AC72" s="8">
        <f>IFERROR(AB72/AB148, "NA")</f>
        <v>4.7306640547700165E-3</v>
      </c>
      <c r="AD72" s="10">
        <f t="shared" si="25"/>
        <v>-215.75</v>
      </c>
      <c r="AE72" s="11">
        <f>IFERROR(AD72/AD148, "NA")</f>
        <v>5.3011325872844045E-2</v>
      </c>
      <c r="AF72" s="10">
        <f t="shared" si="26"/>
        <v>-1</v>
      </c>
      <c r="AG72" s="9">
        <f t="shared" si="27"/>
        <v>-126.625</v>
      </c>
      <c r="AH72" s="8">
        <f>IFERROR(AG72/AG148, "NA")</f>
        <v>-2.7160048292871656E-3</v>
      </c>
      <c r="AI72" s="10">
        <f t="shared" si="28"/>
        <v>126.625</v>
      </c>
      <c r="AJ72" s="11">
        <f>IFERROR(AI72/AI148, "NA")</f>
        <v>-2.4901830739331183E-2</v>
      </c>
      <c r="AK72" s="10">
        <f t="shared" si="29"/>
        <v>-1</v>
      </c>
      <c r="AL72" s="11">
        <f>IFERROR(AK72/AK148, "NA")</f>
        <v>9.1685517164072365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849.49</v>
      </c>
      <c r="C74" s="8">
        <f>IFERROR(B74/B148, "NA")</f>
        <v>1.767924825161727E-2</v>
      </c>
      <c r="D74" s="7">
        <v>837.16</v>
      </c>
      <c r="E74" s="8">
        <f>IFERROR(D74/D148, "NA")</f>
        <v>1.9724178163170007E-2</v>
      </c>
      <c r="F74" s="7">
        <v>1103.42</v>
      </c>
      <c r="G74" s="8">
        <f>IFERROR(F74/F148, "NA")</f>
        <v>1.8291364855223341E-2</v>
      </c>
      <c r="H74" s="7">
        <v>1116.1500000000001</v>
      </c>
      <c r="I74" s="8">
        <f>IFERROR(H74/H148, "NA")</f>
        <v>1.8991402780913755E-2</v>
      </c>
      <c r="J74" s="7">
        <v>1016.17</v>
      </c>
      <c r="K74" s="8">
        <f>IFERROR(J74/J148, "NA")</f>
        <v>2.1152651632478377E-2</v>
      </c>
      <c r="L74" s="7">
        <v>1020.27</v>
      </c>
      <c r="M74" s="8">
        <f>IFERROR(L74/L148, "NA")</f>
        <v>2.4596429977427895E-2</v>
      </c>
      <c r="N74" s="7">
        <v>1146.8599999999999</v>
      </c>
      <c r="O74" s="8">
        <f>IFERROR(N74/N148, "NA")</f>
        <v>2.3001240052554318E-2</v>
      </c>
      <c r="P74" s="7">
        <v>1081.04</v>
      </c>
      <c r="Q74" s="8">
        <f>IFERROR(P74/P148, "NA")</f>
        <v>2.1127911185534892E-2</v>
      </c>
      <c r="R74" s="7">
        <v>1003.55</v>
      </c>
      <c r="S74" s="8">
        <f>IFERROR(R74/R148, "NA")</f>
        <v>2.1182724454453287E-2</v>
      </c>
      <c r="T74" s="7">
        <v>963.22</v>
      </c>
      <c r="U74" s="8">
        <f>IFERROR(T74/T148, "NA")</f>
        <v>2.1846409683347039E-2</v>
      </c>
      <c r="V74" s="7">
        <v>1037.05</v>
      </c>
      <c r="W74" s="8">
        <f>IFERROR(V74/V148, "NA")</f>
        <v>2.0982895010257248E-2</v>
      </c>
      <c r="X74" s="7">
        <v>954.23</v>
      </c>
      <c r="Y74" s="8">
        <f>IFERROR(X74/X148, "NA")</f>
        <v>2.2973111567038594E-2</v>
      </c>
      <c r="Z74" s="7">
        <v>2954.5</v>
      </c>
      <c r="AA74" s="8">
        <f>IFERROR(Z74/Z148, "NA")</f>
        <v>2.1876928670253707E-2</v>
      </c>
      <c r="AB74" s="9">
        <f t="shared" ref="AB74:AB85" si="30">IFERROR((R74+T74+V74+X74)/4, "NA")</f>
        <v>989.51249999999993</v>
      </c>
      <c r="AC74" s="8">
        <f>IFERROR(AB74/AB148, "NA")</f>
        <v>2.1696645263015599E-2</v>
      </c>
      <c r="AD74" s="10">
        <f t="shared" ref="AD74:AD85" si="31">IFERROR(X74-AB74, "NA")</f>
        <v>-35.282499999999914</v>
      </c>
      <c r="AE74" s="11">
        <f>IFERROR(AD74/AD148, "NA")</f>
        <v>8.6691638707235945E-3</v>
      </c>
      <c r="AF74" s="10">
        <f t="shared" ref="AF74:AF85" si="32">IFERROR((X74-AB74)/AB74, "NA")</f>
        <v>-3.5656446987784307E-2</v>
      </c>
      <c r="AG74" s="9">
        <f t="shared" ref="AG74:AG85" si="33">IFERROR((J74+L74+N74+P74+R74+T74+V74+X74)/8, "NA")</f>
        <v>1027.7987500000002</v>
      </c>
      <c r="AH74" s="8">
        <f>IFERROR(AG74/AG148, "NA")</f>
        <v>2.2045459968689535E-2</v>
      </c>
      <c r="AI74" s="10">
        <f t="shared" ref="AI74:AI85" si="34">IFERROR(X74-AG74, "NA")</f>
        <v>-73.568750000000136</v>
      </c>
      <c r="AJ74" s="11">
        <f>IFERROR(AI74/AI148, "NA")</f>
        <v>1.4467889912767418E-2</v>
      </c>
      <c r="AK74" s="10">
        <f t="shared" ref="AK74:AK85" si="35">IFERROR((X74-AG74)/AG74, "NA")</f>
        <v>-7.1578944808018227E-2</v>
      </c>
      <c r="AL74" s="11">
        <f>IFERROR(AK74/AK148, "NA")</f>
        <v>0.65627525727817437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849.49</v>
      </c>
      <c r="C81" s="14">
        <f>IFERROR(B81/B148, "NA")</f>
        <v>1.767924825161727E-2</v>
      </c>
      <c r="D81" s="13">
        <f>IFERROR(D74+D75+D76+D77+D78+D79+D80, "NA")</f>
        <v>837.16</v>
      </c>
      <c r="E81" s="14">
        <f>IFERROR(D81/D148, "NA")</f>
        <v>1.9724178163170007E-2</v>
      </c>
      <c r="F81" s="13">
        <f>IFERROR(F74+F75+F76+F77+F78+F79+F80, "NA")</f>
        <v>1103.42</v>
      </c>
      <c r="G81" s="14">
        <f>IFERROR(F81/F148, "NA")</f>
        <v>1.8291364855223341E-2</v>
      </c>
      <c r="H81" s="13">
        <f>IFERROR(H74+H75+H76+H77+H78+H79+H80, "NA")</f>
        <v>1116.1500000000001</v>
      </c>
      <c r="I81" s="14">
        <f>IFERROR(H81/H148, "NA")</f>
        <v>1.8991402780913755E-2</v>
      </c>
      <c r="J81" s="13">
        <f>IFERROR(J74+J75+J76+J77+J78+J79+J80, "NA")</f>
        <v>1016.17</v>
      </c>
      <c r="K81" s="14">
        <f>IFERROR(J81/J148, "NA")</f>
        <v>2.1152651632478377E-2</v>
      </c>
      <c r="L81" s="13">
        <f>IFERROR(L74+L75+L76+L77+L78+L79+L80, "NA")</f>
        <v>1020.27</v>
      </c>
      <c r="M81" s="14">
        <f>IFERROR(L81/L148, "NA")</f>
        <v>2.4596429977427895E-2</v>
      </c>
      <c r="N81" s="13">
        <f>IFERROR(N74+N75+N76+N77+N78+N79+N80, "NA")</f>
        <v>1146.8599999999999</v>
      </c>
      <c r="O81" s="14">
        <f>IFERROR(N81/N148, "NA")</f>
        <v>2.3001240052554318E-2</v>
      </c>
      <c r="P81" s="13">
        <f>IFERROR(P74+P75+P76+P77+P78+P79+P80, "NA")</f>
        <v>1081.04</v>
      </c>
      <c r="Q81" s="14">
        <f>IFERROR(P81/P148, "NA")</f>
        <v>2.1127911185534892E-2</v>
      </c>
      <c r="R81" s="13">
        <f>IFERROR(R74+R75+R76+R77+R78+R79+R80, "NA")</f>
        <v>1003.55</v>
      </c>
      <c r="S81" s="14">
        <f>IFERROR(R81/R148, "NA")</f>
        <v>2.1182724454453287E-2</v>
      </c>
      <c r="T81" s="13">
        <f>IFERROR(T74+T75+T76+T77+T78+T79+T80, "NA")</f>
        <v>963.22</v>
      </c>
      <c r="U81" s="14">
        <f>IFERROR(T81/T148, "NA")</f>
        <v>2.1846409683347039E-2</v>
      </c>
      <c r="V81" s="13">
        <f>IFERROR(V74+V75+V76+V77+V78+V79+V80, "NA")</f>
        <v>1037.05</v>
      </c>
      <c r="W81" s="14">
        <f>IFERROR(V81/V148, "NA")</f>
        <v>2.0982895010257248E-2</v>
      </c>
      <c r="X81" s="13">
        <f>IFERROR(X74+X75+X76+X77+X78+X79+X80, "NA")</f>
        <v>954.23</v>
      </c>
      <c r="Y81" s="14">
        <f>IFERROR(X81/X148, "NA")</f>
        <v>2.2973111567038594E-2</v>
      </c>
      <c r="Z81" s="13">
        <f>IFERROR(Z74+Z75+Z76+Z77+Z78+Z79+Z80, "NA")</f>
        <v>2954.5</v>
      </c>
      <c r="AA81" s="14">
        <f>IFERROR(Z81/Z148, "NA")</f>
        <v>2.1876928670253707E-2</v>
      </c>
      <c r="AB81" s="13">
        <f t="shared" si="30"/>
        <v>989.51249999999993</v>
      </c>
      <c r="AC81" s="14">
        <f>IFERROR(AB81/AB148, "NA")</f>
        <v>2.1696645263015599E-2</v>
      </c>
      <c r="AD81" s="15">
        <f t="shared" si="31"/>
        <v>-35.282499999999914</v>
      </c>
      <c r="AE81" s="16">
        <f>IFERROR(AD81/AD148, "NA")</f>
        <v>8.6691638707235945E-3</v>
      </c>
      <c r="AF81" s="15">
        <f t="shared" si="32"/>
        <v>-3.5656446987784307E-2</v>
      </c>
      <c r="AG81" s="13">
        <f t="shared" si="33"/>
        <v>1027.7987500000002</v>
      </c>
      <c r="AH81" s="14">
        <f>IFERROR(AG81/AG148, "NA")</f>
        <v>2.2045459968689535E-2</v>
      </c>
      <c r="AI81" s="15">
        <f t="shared" si="34"/>
        <v>-73.568750000000136</v>
      </c>
      <c r="AJ81" s="16">
        <f>IFERROR(AI81/AI148, "NA")</f>
        <v>1.4467889912767418E-2</v>
      </c>
      <c r="AK81" s="15">
        <f t="shared" si="35"/>
        <v>-7.1578944808018227E-2</v>
      </c>
      <c r="AL81" s="16">
        <f>IFERROR(AK81/AK148, "NA")</f>
        <v>0.65627525727817437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224.72</v>
      </c>
      <c r="E82" s="8">
        <f>IFERROR(D82/D148, "NA")</f>
        <v>5.294588031950361E-3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275.60000000000002</v>
      </c>
      <c r="M82" s="8">
        <f>IFERROR(L82/L148, "NA")</f>
        <v>6.6441001909093959E-3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262.88</v>
      </c>
      <c r="W82" s="8">
        <f>IFERROR(V82/V148, "NA")</f>
        <v>5.318917545245095E-3</v>
      </c>
      <c r="X82" s="7">
        <v>0</v>
      </c>
      <c r="Y82" s="8">
        <f>IFERROR(X82/X148, "NA")</f>
        <v>0</v>
      </c>
      <c r="Z82" s="7">
        <v>262.88</v>
      </c>
      <c r="AA82" s="8">
        <f>IFERROR(Z82/Z148, "NA")</f>
        <v>1.9465246264465373E-3</v>
      </c>
      <c r="AB82" s="9">
        <f t="shared" si="30"/>
        <v>65.72</v>
      </c>
      <c r="AC82" s="8">
        <f>IFERROR(AB82/AB148, "NA")</f>
        <v>1.4410161839141854E-3</v>
      </c>
      <c r="AD82" s="10">
        <f t="shared" si="31"/>
        <v>-65.72</v>
      </c>
      <c r="AE82" s="11">
        <f>IFERROR(AD82/AD148, "NA")</f>
        <v>1.6147876414198428E-2</v>
      </c>
      <c r="AF82" s="10">
        <f t="shared" si="32"/>
        <v>-1</v>
      </c>
      <c r="AG82" s="9">
        <f t="shared" si="33"/>
        <v>67.31</v>
      </c>
      <c r="AH82" s="8">
        <f>IFERROR(AG82/AG148, "NA")</f>
        <v>1.4437455878327273E-3</v>
      </c>
      <c r="AI82" s="10">
        <f t="shared" si="34"/>
        <v>-67.31</v>
      </c>
      <c r="AJ82" s="11">
        <f>IFERROR(AI82/AI148, "NA")</f>
        <v>1.3237056087379127E-2</v>
      </c>
      <c r="AK82" s="10">
        <f t="shared" si="35"/>
        <v>-1</v>
      </c>
      <c r="AL82" s="11">
        <f>IFERROR(AK82/AK148, "NA")</f>
        <v>9.1685517164072365</v>
      </c>
    </row>
    <row r="83" spans="1:38" ht="16.5" customHeight="1">
      <c r="A83" s="23" t="s">
        <v>95</v>
      </c>
      <c r="B83" s="7">
        <v>-61.25</v>
      </c>
      <c r="C83" s="8">
        <f>IFERROR(B83/B148, "NA")</f>
        <v>-1.274710656289724E-3</v>
      </c>
      <c r="D83" s="7">
        <v>-61.25</v>
      </c>
      <c r="E83" s="8">
        <f>IFERROR(D83/D148, "NA")</f>
        <v>-1.443100378056958E-3</v>
      </c>
      <c r="F83" s="7">
        <v>0</v>
      </c>
      <c r="G83" s="8">
        <f>IFERROR(F83/F148, "NA")</f>
        <v>0</v>
      </c>
      <c r="H83" s="7">
        <v>484.37</v>
      </c>
      <c r="I83" s="8">
        <f>IFERROR(H83/H148, "NA")</f>
        <v>8.2416035165445468E-3</v>
      </c>
      <c r="J83" s="7">
        <v>0</v>
      </c>
      <c r="K83" s="8">
        <f>IFERROR(J83/J148, "NA")</f>
        <v>0</v>
      </c>
      <c r="L83" s="7">
        <v>-245</v>
      </c>
      <c r="M83" s="8">
        <f>IFERROR(L83/L148, "NA")</f>
        <v>-5.90640256448767E-3</v>
      </c>
      <c r="N83" s="7">
        <v>-61.25</v>
      </c>
      <c r="O83" s="8">
        <f>IFERROR(N83/N148, "NA")</f>
        <v>-1.228420167430159E-3</v>
      </c>
      <c r="P83" s="7">
        <v>423.12</v>
      </c>
      <c r="Q83" s="8">
        <f>IFERROR(P83/P148, "NA")</f>
        <v>8.2694828876114894E-3</v>
      </c>
      <c r="R83" s="7">
        <v>-61.25</v>
      </c>
      <c r="S83" s="8">
        <f>IFERROR(R83/R148, "NA")</f>
        <v>-1.292852247357146E-3</v>
      </c>
      <c r="T83" s="7">
        <v>-61.25</v>
      </c>
      <c r="U83" s="8">
        <f>IFERROR(T83/T148, "NA")</f>
        <v>-1.3891868868015679E-3</v>
      </c>
      <c r="V83" s="7">
        <v>-61.25</v>
      </c>
      <c r="W83" s="8">
        <f>IFERROR(V83/V148, "NA")</f>
        <v>-1.2392867454590006E-3</v>
      </c>
      <c r="X83" s="7">
        <v>-61.25</v>
      </c>
      <c r="Y83" s="8">
        <f>IFERROR(X83/X148, "NA")</f>
        <v>-1.4745953108591366E-3</v>
      </c>
      <c r="Z83" s="7">
        <v>-183.75</v>
      </c>
      <c r="AA83" s="8">
        <f>IFERROR(Z83/Z148, "NA")</f>
        <v>-1.3605976114940323E-3</v>
      </c>
      <c r="AB83" s="9">
        <f t="shared" si="30"/>
        <v>-61.25</v>
      </c>
      <c r="AC83" s="8">
        <f>IFERROR(AB83/AB148, "NA")</f>
        <v>-1.3430042797435158E-3</v>
      </c>
      <c r="AD83" s="10">
        <f t="shared" si="31"/>
        <v>0</v>
      </c>
      <c r="AE83" s="11">
        <f>IFERROR(AD83/AD148, "NA")</f>
        <v>0</v>
      </c>
      <c r="AF83" s="10">
        <f t="shared" si="32"/>
        <v>0</v>
      </c>
      <c r="AG83" s="9">
        <f t="shared" si="33"/>
        <v>-16.016249999999999</v>
      </c>
      <c r="AH83" s="8">
        <f>IFERROR(AG83/AG148, "NA")</f>
        <v>-3.4353573423155431E-4</v>
      </c>
      <c r="AI83" s="10">
        <f t="shared" si="34"/>
        <v>-45.233750000000001</v>
      </c>
      <c r="AJ83" s="11">
        <f>IFERROR(AI83/AI148, "NA")</f>
        <v>8.895582911788524E-3</v>
      </c>
      <c r="AK83" s="10">
        <f t="shared" si="35"/>
        <v>2.8242410052290645</v>
      </c>
      <c r="AL83" s="11">
        <f>IFERROR(AK83/AK148, "NA")</f>
        <v>-25.894199716040635</v>
      </c>
    </row>
    <row r="84" spans="1:38" ht="16.5" customHeight="1">
      <c r="A84" s="27" t="s">
        <v>96</v>
      </c>
      <c r="B84" s="13">
        <f>IFERROR(B63+B65+B66+B67+B68+B69+B71+B72+B74+B75+B76+B77+B78+B79+B80+B82+B83, "NA")</f>
        <v>10489.710000000001</v>
      </c>
      <c r="C84" s="14">
        <f>IFERROR(B84/B148, "NA")</f>
        <v>0.21830767540226748</v>
      </c>
      <c r="D84" s="13">
        <f>IFERROR(D63+D65+D66+D67+D68+D69+D71+D72+D74+D75+D76+D77+D78+D79+D80+D82+D83, "NA")</f>
        <v>9805.6999999999989</v>
      </c>
      <c r="E84" s="14">
        <f>IFERROR(D84/D148, "NA")</f>
        <v>0.2310303571773569</v>
      </c>
      <c r="F84" s="13">
        <f>IFERROR(F63+F65+F66+F67+F68+F69+F71+F72+F74+F75+F76+F77+F78+F79+F80+F82+F83, "NA")</f>
        <v>12005.95</v>
      </c>
      <c r="G84" s="14">
        <f>IFERROR(F84/F148, "NA")</f>
        <v>0.19902232321651653</v>
      </c>
      <c r="H84" s="13">
        <f>IFERROR(H63+H65+H66+H67+H68+H69+H71+H72+H74+H75+H76+H77+H78+H79+H80+H82+H83, "NA")</f>
        <v>12605.800000000001</v>
      </c>
      <c r="I84" s="14">
        <f>IFERROR(H84/H148, "NA")</f>
        <v>0.21448893533632812</v>
      </c>
      <c r="J84" s="13">
        <f>IFERROR(J63+J65+J66+J67+J68+J69+J71+J72+J74+J75+J76+J77+J78+J79+J80+J82+J83, "NA")</f>
        <v>9305.1299999999992</v>
      </c>
      <c r="K84" s="14">
        <f>IFERROR(J84/J148, "NA")</f>
        <v>0.19369610723099828</v>
      </c>
      <c r="L84" s="13">
        <f>IFERROR(L63+L65+L66+L67+L68+L69+L71+L72+L74+L75+L76+L77+L78+L79+L80+L82+L83, "NA")</f>
        <v>10410.230000000001</v>
      </c>
      <c r="M84" s="14">
        <f>IFERROR(L84/L148, "NA")</f>
        <v>0.25096738436288363</v>
      </c>
      <c r="N84" s="13">
        <f>IFERROR(N63+N65+N66+N67+N68+N69+N71+N72+N74+N75+N76+N77+N78+N79+N80+N82+N83, "NA")</f>
        <v>12070.47</v>
      </c>
      <c r="O84" s="14">
        <f>IFERROR(N84/N148, "NA")</f>
        <v>0.24208340862629732</v>
      </c>
      <c r="P84" s="13">
        <f>IFERROR(P63+P65+P66+P67+P68+P69+P71+P72+P74+P75+P76+P77+P78+P79+P80+P82+P83, "NA")</f>
        <v>11983.820000000002</v>
      </c>
      <c r="Q84" s="14">
        <f>IFERROR(P84/P148, "NA")</f>
        <v>0.23421250335180641</v>
      </c>
      <c r="R84" s="13">
        <f>IFERROR(R63+R65+R66+R67+R68+R69+R71+R72+R74+R75+R76+R77+R78+R79+R80+R82+R83, "NA")</f>
        <v>11496.97</v>
      </c>
      <c r="S84" s="14">
        <f>IFERROR(R84/R148, "NA")</f>
        <v>0.24267564901710509</v>
      </c>
      <c r="T84" s="13">
        <f>IFERROR(T63+T65+T66+T67+T68+T69+T71+T72+T74+T75+T76+T77+T78+T79+T80+T82+T83, "NA")</f>
        <v>10548.759999999998</v>
      </c>
      <c r="U84" s="14">
        <f>IFERROR(T84/T148, "NA")</f>
        <v>0.23925222961660253</v>
      </c>
      <c r="V84" s="13">
        <f>IFERROR(V63+V65+V66+V67+V68+V69+V71+V72+V74+V75+V76+V77+V78+V79+V80+V82+V83, "NA")</f>
        <v>11643.71</v>
      </c>
      <c r="W84" s="14">
        <f>IFERROR(V84/V148, "NA")</f>
        <v>0.23559013013825988</v>
      </c>
      <c r="X84" s="13">
        <f>IFERROR(X63+X65+X66+X67+X68+X69+X71+X72+X74+X75+X76+X77+X78+X79+X80+X82+X83, "NA")</f>
        <v>10779.93</v>
      </c>
      <c r="Y84" s="14">
        <f>IFERROR(X84/X148, "NA")</f>
        <v>0.25952708945942421</v>
      </c>
      <c r="Z84" s="13">
        <f>IFERROR(Z63+Z65+Z66+Z67+Z68+Z69+Z71+Z72+Z74+Z75+Z76+Z77+Z78+Z79+Z80+Z82+Z83, "NA")</f>
        <v>32972.400000000001</v>
      </c>
      <c r="AA84" s="14">
        <f>IFERROR(Z84/Z148, "NA")</f>
        <v>0.24414785679034468</v>
      </c>
      <c r="AB84" s="13">
        <f t="shared" si="30"/>
        <v>11117.342499999999</v>
      </c>
      <c r="AC84" s="14">
        <f>IFERROR(AB84/AB148, "NA")</f>
        <v>0.2437655274591751</v>
      </c>
      <c r="AD84" s="15">
        <f t="shared" si="31"/>
        <v>-337.41249999999854</v>
      </c>
      <c r="AE84" s="16">
        <f>IFERROR(AD84/AD148, "NA")</f>
        <v>8.2904676667767851E-2</v>
      </c>
      <c r="AF84" s="15">
        <f t="shared" si="32"/>
        <v>-3.0350103902978483E-2</v>
      </c>
      <c r="AG84" s="13">
        <f t="shared" si="33"/>
        <v>11029.877499999999</v>
      </c>
      <c r="AH84" s="14">
        <f>IFERROR(AG84/AG148, "NA")</f>
        <v>0.23658203795811131</v>
      </c>
      <c r="AI84" s="15">
        <f t="shared" si="34"/>
        <v>-249.9474999999984</v>
      </c>
      <c r="AJ84" s="16">
        <f>IFERROR(AI84/AI148, "NA")</f>
        <v>4.9154198134009404E-2</v>
      </c>
      <c r="AK84" s="15">
        <f t="shared" si="35"/>
        <v>-2.2660949770294224E-2</v>
      </c>
      <c r="AL84" s="16">
        <f>IFERROR(AK84/AK148, "NA")</f>
        <v>0.20776808991184925</v>
      </c>
    </row>
    <row r="85" spans="1:38" ht="16.5" customHeight="1">
      <c r="A85" s="12" t="s">
        <v>96</v>
      </c>
      <c r="B85" s="28">
        <f>IFERROR(B63+B65+B66+B67+B68+B69+B71+B72+B74+B75+B76+B77+B78+B79+B80+B82+B83, "NA")</f>
        <v>10489.710000000001</v>
      </c>
      <c r="C85" s="29">
        <f>IFERROR(B85/B148, "NA")</f>
        <v>0.21830767540226748</v>
      </c>
      <c r="D85" s="28">
        <f>IFERROR(D63+D65+D66+D67+D68+D69+D71+D72+D74+D75+D76+D77+D78+D79+D80+D82+D83, "NA")</f>
        <v>9805.6999999999989</v>
      </c>
      <c r="E85" s="29">
        <f>IFERROR(D85/D148, "NA")</f>
        <v>0.2310303571773569</v>
      </c>
      <c r="F85" s="28">
        <f>IFERROR(F63+F65+F66+F67+F68+F69+F71+F72+F74+F75+F76+F77+F78+F79+F80+F82+F83, "NA")</f>
        <v>12005.95</v>
      </c>
      <c r="G85" s="29">
        <f>IFERROR(F85/F148, "NA")</f>
        <v>0.19902232321651653</v>
      </c>
      <c r="H85" s="28">
        <f>IFERROR(H63+H65+H66+H67+H68+H69+H71+H72+H74+H75+H76+H77+H78+H79+H80+H82+H83, "NA")</f>
        <v>12605.800000000001</v>
      </c>
      <c r="I85" s="29">
        <f>IFERROR(H85/H148, "NA")</f>
        <v>0.21448893533632812</v>
      </c>
      <c r="J85" s="28">
        <f>IFERROR(J63+J65+J66+J67+J68+J69+J71+J72+J74+J75+J76+J77+J78+J79+J80+J82+J83, "NA")</f>
        <v>9305.1299999999992</v>
      </c>
      <c r="K85" s="29">
        <f>IFERROR(J85/J148, "NA")</f>
        <v>0.19369610723099828</v>
      </c>
      <c r="L85" s="28">
        <f>IFERROR(L63+L65+L66+L67+L68+L69+L71+L72+L74+L75+L76+L77+L78+L79+L80+L82+L83, "NA")</f>
        <v>10410.230000000001</v>
      </c>
      <c r="M85" s="29">
        <f>IFERROR(L85/L148, "NA")</f>
        <v>0.25096738436288363</v>
      </c>
      <c r="N85" s="28">
        <f>IFERROR(N63+N65+N66+N67+N68+N69+N71+N72+N74+N75+N76+N77+N78+N79+N80+N82+N83, "NA")</f>
        <v>12070.47</v>
      </c>
      <c r="O85" s="29">
        <f>IFERROR(N85/N148, "NA")</f>
        <v>0.24208340862629732</v>
      </c>
      <c r="P85" s="28">
        <f>IFERROR(P63+P65+P66+P67+P68+P69+P71+P72+P74+P75+P76+P77+P78+P79+P80+P82+P83, "NA")</f>
        <v>11983.820000000002</v>
      </c>
      <c r="Q85" s="29">
        <f>IFERROR(P85/P148, "NA")</f>
        <v>0.23421250335180641</v>
      </c>
      <c r="R85" s="28">
        <f>IFERROR(R63+R65+R66+R67+R68+R69+R71+R72+R74+R75+R76+R77+R78+R79+R80+R82+R83, "NA")</f>
        <v>11496.97</v>
      </c>
      <c r="S85" s="29">
        <f>IFERROR(R85/R148, "NA")</f>
        <v>0.24267564901710509</v>
      </c>
      <c r="T85" s="28">
        <f>IFERROR(T63+T65+T66+T67+T68+T69+T71+T72+T74+T75+T76+T77+T78+T79+T80+T82+T83, "NA")</f>
        <v>10548.759999999998</v>
      </c>
      <c r="U85" s="29">
        <f>IFERROR(T85/T148, "NA")</f>
        <v>0.23925222961660253</v>
      </c>
      <c r="V85" s="28">
        <f>IFERROR(V63+V65+V66+V67+V68+V69+V71+V72+V74+V75+V76+V77+V78+V79+V80+V82+V83, "NA")</f>
        <v>11643.71</v>
      </c>
      <c r="W85" s="29">
        <f>IFERROR(V85/V148, "NA")</f>
        <v>0.23559013013825988</v>
      </c>
      <c r="X85" s="28">
        <f>IFERROR(X63+X65+X66+X67+X68+X69+X71+X72+X74+X75+X76+X77+X78+X79+X80+X82+X83, "NA")</f>
        <v>10779.93</v>
      </c>
      <c r="Y85" s="29">
        <f>IFERROR(X85/X148, "NA")</f>
        <v>0.25952708945942421</v>
      </c>
      <c r="Z85" s="28">
        <f>IFERROR(Z63+Z65+Z66+Z67+Z68+Z69+Z71+Z72+Z74+Z75+Z76+Z77+Z78+Z79+Z80+Z82+Z83, "NA")</f>
        <v>32972.400000000001</v>
      </c>
      <c r="AA85" s="29">
        <f>IFERROR(Z85/Z148, "NA")</f>
        <v>0.24414785679034468</v>
      </c>
      <c r="AB85" s="28">
        <f t="shared" si="30"/>
        <v>11117.342499999999</v>
      </c>
      <c r="AC85" s="29">
        <f>IFERROR(AB85/AB148, "NA")</f>
        <v>0.2437655274591751</v>
      </c>
      <c r="AD85" s="30">
        <f t="shared" si="31"/>
        <v>-337.41249999999854</v>
      </c>
      <c r="AE85" s="31">
        <f>IFERROR(AD85/AD148, "NA")</f>
        <v>8.2904676667767851E-2</v>
      </c>
      <c r="AF85" s="30">
        <f t="shared" si="32"/>
        <v>-3.0350103902978483E-2</v>
      </c>
      <c r="AG85" s="28">
        <f t="shared" si="33"/>
        <v>11029.877499999999</v>
      </c>
      <c r="AH85" s="29">
        <f>IFERROR(AG85/AG148, "NA")</f>
        <v>0.23658203795811131</v>
      </c>
      <c r="AI85" s="30">
        <f t="shared" si="34"/>
        <v>-249.9474999999984</v>
      </c>
      <c r="AJ85" s="31">
        <f>IFERROR(AI85/AI148, "NA")</f>
        <v>4.9154198134009404E-2</v>
      </c>
      <c r="AK85" s="30">
        <f t="shared" si="35"/>
        <v>-2.2660949770294224E-2</v>
      </c>
      <c r="AL85" s="31">
        <f>IFERROR(AK85/AK148, "NA")</f>
        <v>0.20776808991184925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25638.940000000002</v>
      </c>
      <c r="C87" s="34">
        <f>IFERROR(B87/B148, "NA")</f>
        <v>0.53358742912608748</v>
      </c>
      <c r="D87" s="33">
        <f>IFERROR(D59-D85, "NA")</f>
        <v>22726.319999999992</v>
      </c>
      <c r="E87" s="34">
        <f>IFERROR(D87/D148, "NA")</f>
        <v>0.53545079157295339</v>
      </c>
      <c r="F87" s="33">
        <f>IFERROR(F59-F85, "NA")</f>
        <v>34155.069999999992</v>
      </c>
      <c r="G87" s="34">
        <f>IFERROR(F87/F148, "NA")</f>
        <v>0.56618771367719711</v>
      </c>
      <c r="H87" s="33">
        <f>IFERROR(H59-H85, "NA")</f>
        <v>33338.109999999986</v>
      </c>
      <c r="I87" s="34">
        <f>IFERROR(H87/H148, "NA")</f>
        <v>0.56725124308059705</v>
      </c>
      <c r="J87" s="33">
        <f>IFERROR(J59-J85, "NA")</f>
        <v>27514.15</v>
      </c>
      <c r="K87" s="34">
        <f>IFERROR(J87/J148, "NA")</f>
        <v>0.57273608738080739</v>
      </c>
      <c r="L87" s="33">
        <f>IFERROR(L59-L85, "NA")</f>
        <v>20222.799999999996</v>
      </c>
      <c r="M87" s="34">
        <f>IFERROR(L87/L148, "NA")</f>
        <v>0.48752652155559684</v>
      </c>
      <c r="N87" s="33">
        <f>IFERROR(N59-N85, "NA")</f>
        <v>25469.969999999987</v>
      </c>
      <c r="O87" s="34">
        <f>IFERROR(N87/N148, "NA")</f>
        <v>0.51082162958107935</v>
      </c>
      <c r="P87" s="33">
        <f>IFERROR(P59-P85, "NA")</f>
        <v>27459.060000000012</v>
      </c>
      <c r="Q87" s="34">
        <f>IFERROR(P87/P148, "NA")</f>
        <v>0.53666153048756193</v>
      </c>
      <c r="R87" s="33">
        <f>IFERROR(R59-R85, "NA")</f>
        <v>24791.170000000006</v>
      </c>
      <c r="S87" s="34">
        <f>IFERROR(R87/R148, "NA")</f>
        <v>0.52328685467939695</v>
      </c>
      <c r="T87" s="33">
        <f>IFERROR(T59-T85, "NA")</f>
        <v>22887.410000000007</v>
      </c>
      <c r="U87" s="34">
        <f>IFERROR(T87/T148, "NA")</f>
        <v>0.51910024236491559</v>
      </c>
      <c r="V87" s="33">
        <f>IFERROR(V59-V85, "NA")</f>
        <v>27523.140000000007</v>
      </c>
      <c r="W87" s="34">
        <f>IFERROR(V87/V148, "NA")</f>
        <v>0.55688265461897868</v>
      </c>
      <c r="X87" s="33">
        <f>IFERROR(X59-X85, "NA")</f>
        <v>20456.010000000002</v>
      </c>
      <c r="Y87" s="34">
        <f>IFERROR(X87/X148, "NA")</f>
        <v>0.49247896203898139</v>
      </c>
      <c r="Z87" s="33">
        <f>IFERROR(Z59-Z85, "NA")</f>
        <v>70866.560000000027</v>
      </c>
      <c r="AA87" s="34">
        <f>IFERROR(Z87/Z148, "NA")</f>
        <v>0.52473944092951597</v>
      </c>
      <c r="AB87" s="33">
        <f>IFERROR((R87+T87+V87+X87)/4, "NA")</f>
        <v>23914.43250000001</v>
      </c>
      <c r="AC87" s="34">
        <f>IFERROR(AB87/AB148, "NA")</f>
        <v>0.52436220726755001</v>
      </c>
      <c r="AD87" s="15">
        <f>IFERROR(X87-AB87, "NA")</f>
        <v>-3458.4225000000079</v>
      </c>
      <c r="AE87" s="16">
        <f>IFERROR(AD87/AD148, "NA")</f>
        <v>0.84975926838227767</v>
      </c>
      <c r="AF87" s="15">
        <f>IFERROR((X87-AB87)/AB87, "NA")</f>
        <v>-0.14461654066012256</v>
      </c>
      <c r="AG87" s="33">
        <f>IFERROR((J87+L87+N87+P87+R87+T87+V87+X87)/8, "NA")</f>
        <v>24540.463750000003</v>
      </c>
      <c r="AH87" s="34">
        <f>IFERROR(AG87/AG148, "NA")</f>
        <v>0.52637329167183911</v>
      </c>
      <c r="AI87" s="15">
        <f>IFERROR(X87-AG87, "NA")</f>
        <v>-4084.4537500000006</v>
      </c>
      <c r="AJ87" s="16">
        <f>IFERROR(AI87/AI148, "NA")</f>
        <v>0.80324087617079198</v>
      </c>
      <c r="AK87" s="15">
        <f>IFERROR((X87-AG87)/AG87, "NA")</f>
        <v>-0.16643751282002567</v>
      </c>
      <c r="AL87" s="16">
        <f>IFERROR(AK87/AK148, "NA")</f>
        <v>1.5259909438405976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830.36</v>
      </c>
      <c r="C90" s="8">
        <f>IFERROR(B90/B148, "NA")</f>
        <v>1.7281122294803841E-2</v>
      </c>
      <c r="D90" s="7">
        <v>602.38</v>
      </c>
      <c r="E90" s="8">
        <f>IFERROR(D90/D148, "NA")</f>
        <v>1.4192568256880821E-2</v>
      </c>
      <c r="F90" s="7">
        <v>1205.3799999999997</v>
      </c>
      <c r="G90" s="8">
        <f>IFERROR(F90/F148, "NA")</f>
        <v>1.9981553143126916E-2</v>
      </c>
      <c r="H90" s="7">
        <v>900.44</v>
      </c>
      <c r="I90" s="8">
        <f>IFERROR(H90/H148, "NA")</f>
        <v>1.5321075769427032E-2</v>
      </c>
      <c r="J90" s="7">
        <v>1010.4799999999999</v>
      </c>
      <c r="K90" s="8">
        <f>IFERROR(J90/J148, "NA")</f>
        <v>2.1034208273799412E-2</v>
      </c>
      <c r="L90" s="7">
        <v>744.20999999999992</v>
      </c>
      <c r="M90" s="8">
        <f>IFERROR(L90/L148, "NA")</f>
        <v>1.7941240214356606E-2</v>
      </c>
      <c r="N90" s="7">
        <v>475.95</v>
      </c>
      <c r="O90" s="8">
        <f>IFERROR(N90/N148, "NA")</f>
        <v>9.5455767949123946E-3</v>
      </c>
      <c r="P90" s="7">
        <v>851.93</v>
      </c>
      <c r="Q90" s="8">
        <f>IFERROR(P90/P148, "NA")</f>
        <v>1.6650171479587007E-2</v>
      </c>
      <c r="R90" s="7">
        <v>974.20999999999992</v>
      </c>
      <c r="S90" s="8">
        <f>IFERROR(R90/R148, "NA")</f>
        <v>2.0563421843229474E-2</v>
      </c>
      <c r="T90" s="7">
        <v>1108.3799999999999</v>
      </c>
      <c r="U90" s="8">
        <f>IFERROR(T90/T148, "NA")</f>
        <v>2.5138725903561168E-2</v>
      </c>
      <c r="V90" s="7">
        <v>864.41</v>
      </c>
      <c r="W90" s="8">
        <f>IFERROR(V90/V148, "NA")</f>
        <v>1.7489826214566771E-2</v>
      </c>
      <c r="X90" s="7">
        <v>592.25</v>
      </c>
      <c r="Y90" s="8">
        <f>IFERROR(X90/X148, "NA")</f>
        <v>1.4258433842552222E-2</v>
      </c>
      <c r="Z90" s="7">
        <v>2565.0400000000004</v>
      </c>
      <c r="AA90" s="8">
        <f>IFERROR(Z90/Z148, "NA")</f>
        <v>1.8993128149043012E-2</v>
      </c>
      <c r="AB90" s="9">
        <f t="shared" ref="AB90:AB99" si="36">IFERROR((R90+T90+V90+X90)/4, "NA")</f>
        <v>884.81249999999989</v>
      </c>
      <c r="AC90" s="8">
        <f>IFERROR(AB90/AB148, "NA")</f>
        <v>1.9400930192172396E-2</v>
      </c>
      <c r="AD90" s="10">
        <f t="shared" ref="AD90:AD99" si="37">IFERROR(X90-AB90, "NA")</f>
        <v>-292.56249999999989</v>
      </c>
      <c r="AE90" s="11">
        <f>IFERROR(AD90/AD148, "NA")</f>
        <v>7.188470927311208E-2</v>
      </c>
      <c r="AF90" s="10">
        <f t="shared" ref="AF90:AF99" si="38">IFERROR((X90-AB90)/AB90, "NA")</f>
        <v>-0.33064914883096691</v>
      </c>
      <c r="AG90" s="9">
        <f t="shared" ref="AG90:AG99" si="39">IFERROR((J90+L90+N90+P90+R90+T90+V90+X90)/8, "NA")</f>
        <v>827.72749999999996</v>
      </c>
      <c r="AH90" s="8">
        <f>IFERROR(AG90/AG148, "NA")</f>
        <v>1.7754091903919383E-2</v>
      </c>
      <c r="AI90" s="10">
        <f t="shared" ref="AI90:AI99" si="40">IFERROR(X90-AG90, "NA")</f>
        <v>-235.47749999999996</v>
      </c>
      <c r="AJ90" s="11">
        <f>IFERROR(AI90/AI148, "NA")</f>
        <v>4.6308555561072912E-2</v>
      </c>
      <c r="AK90" s="10">
        <f t="shared" ref="AK90:AK99" si="41">IFERROR((X90-AG90)/AG90, "NA")</f>
        <v>-0.28448674231555671</v>
      </c>
      <c r="AL90" s="11">
        <f>IFERROR(AK90/AK148, "NA")</f>
        <v>2.6083314095524006</v>
      </c>
    </row>
    <row r="91" spans="1:38" ht="16.5" hidden="1" customHeight="1">
      <c r="A91" s="6" t="s">
        <v>100</v>
      </c>
      <c r="B91" s="7">
        <v>3915.6</v>
      </c>
      <c r="C91" s="8">
        <f>IFERROR(B91/B148, "NA")</f>
        <v>8.1489910951314998E-2</v>
      </c>
      <c r="D91" s="7">
        <v>4147.83</v>
      </c>
      <c r="E91" s="8">
        <f>IFERROR(D91/D148, "NA")</f>
        <v>9.7726286385567213E-2</v>
      </c>
      <c r="F91" s="7">
        <v>4671.34</v>
      </c>
      <c r="G91" s="8">
        <f>IFERROR(F91/F148, "NA")</f>
        <v>7.7436682589402936E-2</v>
      </c>
      <c r="H91" s="7">
        <v>5913.32</v>
      </c>
      <c r="I91" s="8">
        <f>IFERROR(H91/H148, "NA")</f>
        <v>0.10061572538855254</v>
      </c>
      <c r="J91" s="7">
        <v>1475.94</v>
      </c>
      <c r="K91" s="8">
        <f>IFERROR(J91/J148, "NA")</f>
        <v>3.0723249702746723E-2</v>
      </c>
      <c r="L91" s="7">
        <v>1308.29</v>
      </c>
      <c r="M91" s="8">
        <f>IFERROR(L91/L148, "NA")</f>
        <v>3.153994861670846E-2</v>
      </c>
      <c r="N91" s="7">
        <v>1076.97</v>
      </c>
      <c r="O91" s="8">
        <f>IFERROR(N91/N148, "NA")</f>
        <v>2.1599537432118506E-2</v>
      </c>
      <c r="P91" s="7">
        <v>2844.63</v>
      </c>
      <c r="Q91" s="8">
        <f>IFERROR(P91/P148, "NA")</f>
        <v>5.5595620879623442E-2</v>
      </c>
      <c r="R91" s="7">
        <v>3014.6000000000004</v>
      </c>
      <c r="S91" s="8">
        <f>IFERROR(R91/R148, "NA")</f>
        <v>6.3631549140944543E-2</v>
      </c>
      <c r="T91" s="7">
        <v>2991.4799999999996</v>
      </c>
      <c r="U91" s="8">
        <f>IFERROR(T91/T148, "NA")</f>
        <v>6.784856796945557E-2</v>
      </c>
      <c r="V91" s="7">
        <v>1791.91</v>
      </c>
      <c r="W91" s="8">
        <f>IFERROR(V91/V148, "NA")</f>
        <v>3.6256168360088777E-2</v>
      </c>
      <c r="X91" s="7">
        <v>602.26</v>
      </c>
      <c r="Y91" s="8">
        <f>IFERROR(X91/X148, "NA")</f>
        <v>1.4499424847641201E-2</v>
      </c>
      <c r="Z91" s="7">
        <v>5385.65</v>
      </c>
      <c r="AA91" s="8">
        <f>IFERROR(Z91/Z148, "NA")</f>
        <v>3.9878653204586854E-2</v>
      </c>
      <c r="AB91" s="9">
        <f t="shared" si="36"/>
        <v>2100.0625</v>
      </c>
      <c r="AC91" s="8">
        <f>IFERROR(AB91/AB148, "NA")</f>
        <v>4.6047231432308031E-2</v>
      </c>
      <c r="AD91" s="10">
        <f t="shared" si="37"/>
        <v>-1497.8025</v>
      </c>
      <c r="AE91" s="11">
        <f>IFERROR(AD91/AD148, "NA")</f>
        <v>0.36802084088371029</v>
      </c>
      <c r="AF91" s="10">
        <f t="shared" si="38"/>
        <v>-0.71321805898633972</v>
      </c>
      <c r="AG91" s="9">
        <f t="shared" si="39"/>
        <v>1888.26</v>
      </c>
      <c r="AH91" s="8">
        <f>IFERROR(AG91/AG148, "NA")</f>
        <v>4.0501664591903519E-2</v>
      </c>
      <c r="AI91" s="10">
        <f t="shared" si="40"/>
        <v>-1286</v>
      </c>
      <c r="AJ91" s="11">
        <f>IFERROR(AI91/AI148, "NA")</f>
        <v>0.25290230468532993</v>
      </c>
      <c r="AK91" s="10">
        <f t="shared" si="41"/>
        <v>-0.68105027909292148</v>
      </c>
      <c r="AL91" s="11">
        <f>IFERROR(AK91/AK148, "NA")</f>
        <v>6.2442447053370325</v>
      </c>
    </row>
    <row r="92" spans="1:38" ht="16.5" hidden="1" customHeight="1">
      <c r="A92" s="6" t="s">
        <v>101</v>
      </c>
      <c r="B92" s="7">
        <v>1010.62</v>
      </c>
      <c r="C92" s="8">
        <f>IFERROR(B92/B148, "NA")</f>
        <v>2.1032621770767691E-2</v>
      </c>
      <c r="D92" s="7">
        <v>639.41</v>
      </c>
      <c r="E92" s="8">
        <f>IFERROR(D92/D148, "NA")</f>
        <v>1.5065025514014684E-2</v>
      </c>
      <c r="F92" s="7">
        <v>921.43999999999994</v>
      </c>
      <c r="G92" s="8">
        <f>IFERROR(F92/F148, "NA")</f>
        <v>1.5274687093035283E-2</v>
      </c>
      <c r="H92" s="7">
        <v>949.68</v>
      </c>
      <c r="I92" s="8">
        <f>IFERROR(H92/H148, "NA")</f>
        <v>1.6158899245601554E-2</v>
      </c>
      <c r="J92" s="7">
        <v>1316.9399999999998</v>
      </c>
      <c r="K92" s="8">
        <f>IFERROR(J92/J148, "NA")</f>
        <v>2.7413496797657942E-2</v>
      </c>
      <c r="L92" s="7">
        <v>1195.6499999999999</v>
      </c>
      <c r="M92" s="8">
        <f>IFERROR(L92/L148, "NA")</f>
        <v>2.8824449902978291E-2</v>
      </c>
      <c r="N92" s="7">
        <v>1150.6599999999999</v>
      </c>
      <c r="O92" s="8">
        <f>IFERROR(N92/N148, "NA")</f>
        <v>2.3077452242533658E-2</v>
      </c>
      <c r="P92" s="7">
        <v>1331.71</v>
      </c>
      <c r="Q92" s="8">
        <f>IFERROR(P92/P148, "NA")</f>
        <v>2.6027020836313801E-2</v>
      </c>
      <c r="R92" s="7">
        <v>1110.3599999999999</v>
      </c>
      <c r="S92" s="8">
        <f>IFERROR(R92/R148, "NA")</f>
        <v>2.3437247695926214E-2</v>
      </c>
      <c r="T92" s="7">
        <v>1189.07</v>
      </c>
      <c r="U92" s="8">
        <f>IFERROR(T92/T148, "NA")</f>
        <v>2.696882369778188E-2</v>
      </c>
      <c r="V92" s="7">
        <v>890.76</v>
      </c>
      <c r="W92" s="8">
        <f>IFERROR(V92/V148, "NA")</f>
        <v>1.8022972430776479E-2</v>
      </c>
      <c r="X92" s="7">
        <v>950.11</v>
      </c>
      <c r="Y92" s="8">
        <f>IFERROR(X92/X148, "NA")</f>
        <v>2.2873922462046926E-2</v>
      </c>
      <c r="Z92" s="7">
        <v>3029.94</v>
      </c>
      <c r="AA92" s="8">
        <f>IFERROR(Z92/Z148, "NA")</f>
        <v>2.2435532663783557E-2</v>
      </c>
      <c r="AB92" s="9">
        <f t="shared" si="36"/>
        <v>1035.0749999999998</v>
      </c>
      <c r="AC92" s="8">
        <f>IFERROR(AB92/AB148, "NA")</f>
        <v>2.2695675997641131E-2</v>
      </c>
      <c r="AD92" s="10">
        <f t="shared" si="37"/>
        <v>-84.964999999999804</v>
      </c>
      <c r="AE92" s="11">
        <f>IFERROR(AD92/AD148, "NA")</f>
        <v>2.0876511252774899E-2</v>
      </c>
      <c r="AF92" s="10">
        <f t="shared" si="38"/>
        <v>-8.2085839190396651E-2</v>
      </c>
      <c r="AG92" s="9">
        <f t="shared" si="39"/>
        <v>1141.9074999999998</v>
      </c>
      <c r="AH92" s="8">
        <f>IFERROR(AG92/AG148, "NA")</f>
        <v>2.4493001260408556E-2</v>
      </c>
      <c r="AI92" s="10">
        <f t="shared" si="40"/>
        <v>-191.79749999999979</v>
      </c>
      <c r="AJ92" s="11">
        <f>IFERROR(AI92/AI148, "NA")</f>
        <v>3.7718530157764003E-2</v>
      </c>
      <c r="AK92" s="10">
        <f t="shared" si="41"/>
        <v>-0.16796237873908335</v>
      </c>
      <c r="AL92" s="11">
        <f>IFERROR(AK92/AK148, "NA")</f>
        <v>1.5399717558800647</v>
      </c>
    </row>
    <row r="93" spans="1:38" ht="16.5" hidden="1" customHeight="1">
      <c r="A93" s="6" t="s">
        <v>102</v>
      </c>
      <c r="B93" s="7">
        <v>4919.7299999999996</v>
      </c>
      <c r="C93" s="8">
        <f>IFERROR(B93/B148, "NA")</f>
        <v>0.10238746542152234</v>
      </c>
      <c r="D93" s="7">
        <v>3835.44</v>
      </c>
      <c r="E93" s="8">
        <f>IFERROR(D93/D148, "NA")</f>
        <v>9.0366121045139247E-2</v>
      </c>
      <c r="F93" s="7">
        <v>6984.3600000000006</v>
      </c>
      <c r="G93" s="8">
        <f>IFERROR(F93/F148, "NA")</f>
        <v>0.11577955541881395</v>
      </c>
      <c r="H93" s="7">
        <v>6231.1100000000006</v>
      </c>
      <c r="I93" s="8">
        <f>IFERROR(H93/H148, "NA")</f>
        <v>0.10602295370889174</v>
      </c>
      <c r="J93" s="7">
        <v>5550.6900000000005</v>
      </c>
      <c r="K93" s="8">
        <f>IFERROR(J93/J148, "NA")</f>
        <v>0.11554347391664919</v>
      </c>
      <c r="L93" s="7">
        <v>3885.83</v>
      </c>
      <c r="M93" s="8">
        <f>IFERROR(L93/L148, "NA")</f>
        <v>9.3678678682298455E-2</v>
      </c>
      <c r="N93" s="7">
        <v>5255.29</v>
      </c>
      <c r="O93" s="8">
        <f>IFERROR(N93/N148, "NA")</f>
        <v>0.10539925259908638</v>
      </c>
      <c r="P93" s="7">
        <v>5160.62</v>
      </c>
      <c r="Q93" s="8">
        <f>IFERROR(P93/P148, "NA")</f>
        <v>0.10085946960546795</v>
      </c>
      <c r="R93" s="7">
        <v>5327.74</v>
      </c>
      <c r="S93" s="8">
        <f>IFERROR(R93/R148, "NA")</f>
        <v>0.11245682665036018</v>
      </c>
      <c r="T93" s="7">
        <v>4097.17</v>
      </c>
      <c r="U93" s="8">
        <f>IFERROR(T93/T148, "NA")</f>
        <v>9.2926283053008651E-2</v>
      </c>
      <c r="V93" s="7">
        <v>5884.13</v>
      </c>
      <c r="W93" s="8">
        <f>IFERROR(V93/V148, "NA")</f>
        <v>0.11905509089890072</v>
      </c>
      <c r="X93" s="7">
        <v>2994.95</v>
      </c>
      <c r="Y93" s="8">
        <f>IFERROR(X93/X148, "NA")</f>
        <v>7.2103497571552169E-2</v>
      </c>
      <c r="Z93" s="7">
        <v>12976.250000000002</v>
      </c>
      <c r="AA93" s="8">
        <f>IFERROR(Z93/Z148, "NA")</f>
        <v>9.608410751645953E-2</v>
      </c>
      <c r="AB93" s="9">
        <f t="shared" si="36"/>
        <v>4575.9975000000004</v>
      </c>
      <c r="AC93" s="8">
        <f>IFERROR(AB93/AB148, "NA")</f>
        <v>0.10033606900564293</v>
      </c>
      <c r="AD93" s="10">
        <f t="shared" si="37"/>
        <v>-1581.0475000000006</v>
      </c>
      <c r="AE93" s="11">
        <f>IFERROR(AD93/AD148, "NA")</f>
        <v>0.38847473577263236</v>
      </c>
      <c r="AF93" s="10">
        <f t="shared" si="38"/>
        <v>-0.34550882075438205</v>
      </c>
      <c r="AG93" s="9">
        <f t="shared" si="39"/>
        <v>4769.5524999999989</v>
      </c>
      <c r="AH93" s="8">
        <f>IFERROR(AG93/AG148, "NA")</f>
        <v>0.10230308093613955</v>
      </c>
      <c r="AI93" s="10">
        <f t="shared" si="40"/>
        <v>-1774.6024999999991</v>
      </c>
      <c r="AJ93" s="11">
        <f>IFERROR(AI93/AI148, "NA")</f>
        <v>0.34898993946372309</v>
      </c>
      <c r="AK93" s="10">
        <f t="shared" si="41"/>
        <v>-0.37206897292775359</v>
      </c>
      <c r="AL93" s="11">
        <f>IFERROR(AK93/AK148, "NA")</f>
        <v>3.4113336203586324</v>
      </c>
    </row>
    <row r="94" spans="1:38" ht="16.5" hidden="1" customHeight="1">
      <c r="A94" s="6" t="s">
        <v>103</v>
      </c>
      <c r="B94" s="7">
        <v>1195.54</v>
      </c>
      <c r="C94" s="8">
        <f>IFERROR(B94/B148, "NA")</f>
        <v>2.4881103314622312E-2</v>
      </c>
      <c r="D94" s="7">
        <v>1231.8900000000001</v>
      </c>
      <c r="E94" s="8">
        <f>IFERROR(D94/D148, "NA")</f>
        <v>2.9024341628156508E-2</v>
      </c>
      <c r="F94" s="7">
        <v>1660.08</v>
      </c>
      <c r="G94" s="8">
        <f>IFERROR(F94/F148, "NA")</f>
        <v>2.7519103305050804E-2</v>
      </c>
      <c r="H94" s="7">
        <v>1549.9</v>
      </c>
      <c r="I94" s="8">
        <f>IFERROR(H94/H148, "NA")</f>
        <v>2.6371701984624137E-2</v>
      </c>
      <c r="J94" s="7">
        <v>1301.67</v>
      </c>
      <c r="K94" s="8">
        <f>IFERROR(J94/J148, "NA")</f>
        <v>2.7095635622433382E-2</v>
      </c>
      <c r="L94" s="7">
        <v>1115.01</v>
      </c>
      <c r="M94" s="8">
        <f>IFERROR(L94/L148, "NA")</f>
        <v>2.6880399687466926E-2</v>
      </c>
      <c r="N94" s="7">
        <v>1365.11</v>
      </c>
      <c r="O94" s="8">
        <f>IFERROR(N94/N148, "NA")</f>
        <v>2.7378427016499333E-2</v>
      </c>
      <c r="P94" s="7">
        <v>1415.97</v>
      </c>
      <c r="Q94" s="8">
        <f>IFERROR(P94/P148, "NA")</f>
        <v>2.7673803375806483E-2</v>
      </c>
      <c r="R94" s="7">
        <v>1374.14</v>
      </c>
      <c r="S94" s="8">
        <f>IFERROR(R94/R148, "NA")</f>
        <v>2.9005061015238347E-2</v>
      </c>
      <c r="T94" s="7">
        <v>1135.6099999999999</v>
      </c>
      <c r="U94" s="8">
        <f>IFERROR(T94/T148, "NA")</f>
        <v>2.5756318702379238E-2</v>
      </c>
      <c r="V94" s="7">
        <v>1295.06</v>
      </c>
      <c r="W94" s="8">
        <f>IFERROR(V94/V148, "NA")</f>
        <v>2.6203276613455236E-2</v>
      </c>
      <c r="X94" s="7">
        <v>837.76</v>
      </c>
      <c r="Y94" s="8">
        <f>IFERROR(X94/X148, "NA")</f>
        <v>2.0169093348985308E-2</v>
      </c>
      <c r="Z94" s="7">
        <v>3268.43</v>
      </c>
      <c r="AA94" s="8">
        <f>IFERROR(Z94/Z148, "NA")</f>
        <v>2.4201458782777904E-2</v>
      </c>
      <c r="AB94" s="9">
        <f t="shared" si="36"/>
        <v>1160.6424999999999</v>
      </c>
      <c r="AC94" s="8">
        <f>IFERROR(AB94/AB148, "NA")</f>
        <v>2.5448944404117768E-2</v>
      </c>
      <c r="AD94" s="10">
        <f t="shared" si="37"/>
        <v>-322.88249999999994</v>
      </c>
      <c r="AE94" s="11">
        <f>IFERROR(AD94/AD148, "NA")</f>
        <v>7.9334551221963215E-2</v>
      </c>
      <c r="AF94" s="10">
        <f t="shared" si="38"/>
        <v>-0.27819289746842801</v>
      </c>
      <c r="AG94" s="9">
        <f t="shared" si="39"/>
        <v>1230.04125</v>
      </c>
      <c r="AH94" s="8">
        <f>IFERROR(AG94/AG148, "NA")</f>
        <v>2.6383399606889804E-2</v>
      </c>
      <c r="AI94" s="10">
        <f t="shared" si="40"/>
        <v>-392.28125</v>
      </c>
      <c r="AJ94" s="11">
        <f>IFERROR(AI94/AI148, "NA")</f>
        <v>7.714528165617579E-2</v>
      </c>
      <c r="AK94" s="10">
        <f t="shared" si="41"/>
        <v>-0.31891715013622512</v>
      </c>
      <c r="AL94" s="11">
        <f>IFERROR(AK94/AK148, "NA")</f>
        <v>2.9240083842731912</v>
      </c>
    </row>
    <row r="95" spans="1:38" ht="16.5" hidden="1" customHeight="1">
      <c r="A95" s="6" t="s">
        <v>104</v>
      </c>
      <c r="B95" s="7">
        <v>1701.29</v>
      </c>
      <c r="C95" s="8">
        <f>IFERROR(B95/B148, "NA")</f>
        <v>3.5406571305128892E-2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0</v>
      </c>
      <c r="I95" s="8">
        <f>IFERROR(H95/H148, "NA")</f>
        <v>0</v>
      </c>
      <c r="J95" s="7">
        <v>1244.29</v>
      </c>
      <c r="K95" s="8">
        <f>IFERROR(J95/J148, "NA")</f>
        <v>2.5901210328760464E-2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1244.29</v>
      </c>
      <c r="S95" s="8">
        <f>IFERROR(R95/R148, "NA")</f>
        <v>2.6264214250841196E-2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311.07249999999999</v>
      </c>
      <c r="AC95" s="8">
        <f>IFERROR(AB95/AB148, "NA")</f>
        <v>6.8207624295594247E-3</v>
      </c>
      <c r="AD95" s="10">
        <f t="shared" si="37"/>
        <v>-311.07249999999999</v>
      </c>
      <c r="AE95" s="11">
        <f>IFERROR(AD95/AD148, "NA")</f>
        <v>7.6432749328297939E-2</v>
      </c>
      <c r="AF95" s="10">
        <f t="shared" si="38"/>
        <v>-1</v>
      </c>
      <c r="AG95" s="9">
        <f t="shared" si="39"/>
        <v>311.07249999999999</v>
      </c>
      <c r="AH95" s="8">
        <f>IFERROR(AG95/AG148, "NA")</f>
        <v>6.672255970451583E-3</v>
      </c>
      <c r="AI95" s="10">
        <f t="shared" si="40"/>
        <v>-311.07249999999999</v>
      </c>
      <c r="AJ95" s="11">
        <f>IFERROR(AI95/AI148, "NA")</f>
        <v>6.117492393019229E-2</v>
      </c>
      <c r="AK95" s="10">
        <f t="shared" si="41"/>
        <v>-1</v>
      </c>
      <c r="AL95" s="11">
        <f>IFERROR(AK95/AK148, "NA")</f>
        <v>9.1685517164072365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710.69</v>
      </c>
      <c r="C97" s="8">
        <f>IFERROR(B97/B148, "NA")</f>
        <v>1.4790597817445617E-2</v>
      </c>
      <c r="D97" s="7">
        <v>1622.1100000000001</v>
      </c>
      <c r="E97" s="8">
        <f>IFERROR(D97/D148, "NA")</f>
        <v>3.8218245783673013E-2</v>
      </c>
      <c r="F97" s="7">
        <v>219.54000000000002</v>
      </c>
      <c r="G97" s="8">
        <f>IFERROR(F97/F148, "NA")</f>
        <v>3.6393089125770169E-3</v>
      </c>
      <c r="H97" s="7">
        <v>644.37</v>
      </c>
      <c r="I97" s="8">
        <f>IFERROR(H97/H148, "NA")</f>
        <v>1.0964019361140883E-2</v>
      </c>
      <c r="J97" s="7">
        <v>826.07999999999993</v>
      </c>
      <c r="K97" s="8">
        <f>IFERROR(J97/J148, "NA")</f>
        <v>1.7195727546136706E-2</v>
      </c>
      <c r="L97" s="7">
        <v>231.58</v>
      </c>
      <c r="M97" s="8">
        <f>IFERROR(L97/L148, "NA")</f>
        <v>5.5828763505471621E-3</v>
      </c>
      <c r="N97" s="7">
        <v>204.96</v>
      </c>
      <c r="O97" s="8">
        <f>IFERROR(N97/N148, "NA")</f>
        <v>4.1106448574120069E-3</v>
      </c>
      <c r="P97" s="7">
        <v>1360.37</v>
      </c>
      <c r="Q97" s="8">
        <f>IFERROR(P97/P148, "NA")</f>
        <v>2.6587153610843354E-2</v>
      </c>
      <c r="R97" s="7">
        <v>1917.76</v>
      </c>
      <c r="S97" s="8">
        <f>IFERROR(R97/R148, "NA")</f>
        <v>4.04796787900676E-2</v>
      </c>
      <c r="T97" s="7">
        <v>0</v>
      </c>
      <c r="U97" s="8">
        <f>IFERROR(T97/T148, "NA")</f>
        <v>0</v>
      </c>
      <c r="V97" s="7">
        <v>259.95</v>
      </c>
      <c r="W97" s="8">
        <f>IFERROR(V97/V148, "NA")</f>
        <v>5.2596341139929332E-3</v>
      </c>
      <c r="X97" s="7">
        <v>1098.98</v>
      </c>
      <c r="Y97" s="8">
        <f>IFERROR(X97/X148, "NA")</f>
        <v>2.6457971505762838E-2</v>
      </c>
      <c r="Z97" s="7">
        <v>1358.93</v>
      </c>
      <c r="AA97" s="8">
        <f>IFERROR(Z97/Z148, "NA")</f>
        <v>1.0062350542517471E-2</v>
      </c>
      <c r="AB97" s="9">
        <f t="shared" si="36"/>
        <v>819.17250000000001</v>
      </c>
      <c r="AC97" s="8">
        <f>IFERROR(AB97/AB148, "NA")</f>
        <v>1.7961668136297064E-2</v>
      </c>
      <c r="AD97" s="10">
        <f t="shared" si="37"/>
        <v>279.8075</v>
      </c>
      <c r="AE97" s="11">
        <f>IFERROR(AD97/AD148, "NA")</f>
        <v>-6.8750714086515924E-2</v>
      </c>
      <c r="AF97" s="10">
        <f t="shared" si="38"/>
        <v>0.34157335603917366</v>
      </c>
      <c r="AG97" s="9">
        <f t="shared" si="39"/>
        <v>737.46</v>
      </c>
      <c r="AH97" s="8">
        <f>IFERROR(AG97/AG148, "NA")</f>
        <v>1.5817926328972266E-2</v>
      </c>
      <c r="AI97" s="10">
        <f t="shared" si="40"/>
        <v>361.52</v>
      </c>
      <c r="AJ97" s="11">
        <f>IFERROR(AI97/AI148, "NA")</f>
        <v>-7.1095832962550898E-2</v>
      </c>
      <c r="AK97" s="10">
        <f t="shared" si="41"/>
        <v>0.49022319854636176</v>
      </c>
      <c r="AL97" s="11">
        <f>IFERROR(AK97/AK148, "NA")</f>
        <v>-4.4946367484548899</v>
      </c>
    </row>
    <row r="98" spans="1:38" ht="16.5" hidden="1" customHeight="1">
      <c r="A98" s="6" t="s">
        <v>107</v>
      </c>
      <c r="B98" s="7">
        <v>631.01</v>
      </c>
      <c r="C98" s="8">
        <f>IFERROR(B98/B148, "NA")</f>
        <v>1.3132329326128633E-2</v>
      </c>
      <c r="D98" s="7">
        <v>497.6</v>
      </c>
      <c r="E98" s="8">
        <f>IFERROR(D98/D148, "NA")</f>
        <v>1.1723865275447221E-2</v>
      </c>
      <c r="F98" s="7">
        <v>2765.36</v>
      </c>
      <c r="G98" s="8">
        <f>IFERROR(F98/F148, "NA")</f>
        <v>4.5841301332258264E-2</v>
      </c>
      <c r="H98" s="7">
        <v>2523.0700000000002</v>
      </c>
      <c r="I98" s="8">
        <f>IFERROR(H98/H148, "NA")</f>
        <v>4.2930285906410494E-2</v>
      </c>
      <c r="J98" s="7">
        <v>557.79</v>
      </c>
      <c r="K98" s="8">
        <f>IFERROR(J98/J148, "NA")</f>
        <v>1.1610987880059551E-2</v>
      </c>
      <c r="L98" s="7">
        <v>601.20000000000005</v>
      </c>
      <c r="M98" s="8">
        <f>IFERROR(L98/L148, "NA")</f>
        <v>1.4493588660285663E-2</v>
      </c>
      <c r="N98" s="7">
        <v>2573.83</v>
      </c>
      <c r="O98" s="8">
        <f>IFERROR(N98/N148, "NA")</f>
        <v>5.1620321298559445E-2</v>
      </c>
      <c r="P98" s="7">
        <v>2484.8900000000003</v>
      </c>
      <c r="Q98" s="8">
        <f>IFERROR(P98/P148, "NA")</f>
        <v>4.8564840547827837E-2</v>
      </c>
      <c r="R98" s="7">
        <v>1108.03</v>
      </c>
      <c r="S98" s="8">
        <f>IFERROR(R98/R148, "NA")</f>
        <v>2.3388066541047161E-2</v>
      </c>
      <c r="T98" s="7">
        <v>573.91</v>
      </c>
      <c r="U98" s="8">
        <f>IFERROR(T98/T148, "NA")</f>
        <v>1.3016624427825106E-2</v>
      </c>
      <c r="V98" s="7">
        <v>762.85</v>
      </c>
      <c r="W98" s="8">
        <f>IFERROR(V98/V148, "NA")</f>
        <v>1.5434937041198344E-2</v>
      </c>
      <c r="X98" s="7">
        <v>1795.5099999999998</v>
      </c>
      <c r="Y98" s="8">
        <f>IFERROR(X98/X148, "NA")</f>
        <v>4.3226949005725518E-2</v>
      </c>
      <c r="Z98" s="7">
        <v>3132.27</v>
      </c>
      <c r="AA98" s="8">
        <f>IFERROR(Z98/Z148, "NA")</f>
        <v>2.3193246696894761E-2</v>
      </c>
      <c r="AB98" s="9">
        <f t="shared" si="36"/>
        <v>1060.0749999999998</v>
      </c>
      <c r="AC98" s="8">
        <f>IFERROR(AB98/AB148, "NA")</f>
        <v>2.3243841009781344E-2</v>
      </c>
      <c r="AD98" s="10">
        <f t="shared" si="37"/>
        <v>735.43499999999995</v>
      </c>
      <c r="AE98" s="11">
        <f>IFERROR(AD98/AD148, "NA")</f>
        <v>-0.18070166601759008</v>
      </c>
      <c r="AF98" s="10">
        <f t="shared" si="38"/>
        <v>0.693757517156805</v>
      </c>
      <c r="AG98" s="9">
        <f t="shared" si="39"/>
        <v>1307.25125</v>
      </c>
      <c r="AH98" s="8">
        <f>IFERROR(AG98/AG148, "NA")</f>
        <v>2.8039492265284769E-2</v>
      </c>
      <c r="AI98" s="10">
        <f t="shared" si="40"/>
        <v>488.25874999999974</v>
      </c>
      <c r="AJ98" s="11">
        <f>IFERROR(AI98/AI148, "NA")</f>
        <v>-9.602003355970315E-2</v>
      </c>
      <c r="AK98" s="10">
        <f t="shared" si="41"/>
        <v>0.37350031220088697</v>
      </c>
      <c r="AL98" s="11">
        <f>IFERROR(AK98/AK148, "NA")</f>
        <v>-3.4244569285080808</v>
      </c>
    </row>
    <row r="99" spans="1:38" ht="16.5" hidden="1" customHeight="1">
      <c r="A99" s="12" t="s">
        <v>108</v>
      </c>
      <c r="B99" s="13">
        <f>IFERROR(B90+B91+B92+B93+B94+B95+B96+B97+B98, "NA")</f>
        <v>14914.84</v>
      </c>
      <c r="C99" s="14">
        <f>IFERROR(B99/B148, "NA")</f>
        <v>0.31040172220173434</v>
      </c>
      <c r="D99" s="13">
        <f>IFERROR(D90+D91+D92+D93+D94+D95+D96+D97+D98, "NA")</f>
        <v>12576.66</v>
      </c>
      <c r="E99" s="14">
        <f>IFERROR(D99/D148, "NA")</f>
        <v>0.29631645388887867</v>
      </c>
      <c r="F99" s="13">
        <f>IFERROR(F90+F91+F92+F93+F94+F95+F96+F97+F98, "NA")</f>
        <v>18427.5</v>
      </c>
      <c r="G99" s="14">
        <f>IFERROR(F99/F148, "NA")</f>
        <v>0.30547219179426516</v>
      </c>
      <c r="H99" s="13">
        <f>IFERROR(H90+H91+H92+H93+H94+H95+H96+H97+H98, "NA")</f>
        <v>18711.890000000003</v>
      </c>
      <c r="I99" s="14">
        <f>IFERROR(H99/H148, "NA")</f>
        <v>0.31838466136464844</v>
      </c>
      <c r="J99" s="13">
        <f>IFERROR(J90+J91+J92+J93+J94+J95+J96+J97+J98, "NA")</f>
        <v>13283.879999999997</v>
      </c>
      <c r="K99" s="14">
        <f>IFERROR(J99/J148, "NA")</f>
        <v>0.27651799006824335</v>
      </c>
      <c r="L99" s="13">
        <f>IFERROR(L90+L91+L92+L93+L94+L95+L96+L97+L98, "NA")</f>
        <v>9081.77</v>
      </c>
      <c r="M99" s="14">
        <f>IFERROR(L99/L148, "NA")</f>
        <v>0.21894118211464159</v>
      </c>
      <c r="N99" s="13">
        <f>IFERROR(N90+N91+N92+N93+N94+N95+N96+N97+N98, "NA")</f>
        <v>12102.769999999999</v>
      </c>
      <c r="O99" s="14">
        <f>IFERROR(N99/N148, "NA")</f>
        <v>0.24273121224112171</v>
      </c>
      <c r="P99" s="13">
        <f>IFERROR(P90+P91+P92+P93+P94+P95+P96+P97+P98, "NA")</f>
        <v>15450.119999999999</v>
      </c>
      <c r="Q99" s="14">
        <f>IFERROR(P99/P148, "NA")</f>
        <v>0.30195808033546984</v>
      </c>
      <c r="R99" s="13">
        <f>IFERROR(R90+R91+R92+R93+R94+R95+R96+R97+R98, "NA")</f>
        <v>16071.130000000001</v>
      </c>
      <c r="S99" s="14">
        <f>IFERROR(R99/R148, "NA")</f>
        <v>0.33922606592765475</v>
      </c>
      <c r="T99" s="13">
        <f>IFERROR(T90+T91+T92+T93+T94+T95+T96+T97+T98, "NA")</f>
        <v>11095.619999999999</v>
      </c>
      <c r="U99" s="14">
        <f>IFERROR(T99/T148, "NA")</f>
        <v>0.25165534375401161</v>
      </c>
      <c r="V99" s="13">
        <f>IFERROR(V90+V91+V92+V93+V94+V95+V96+V97+V98, "NA")</f>
        <v>11749.07</v>
      </c>
      <c r="W99" s="14">
        <f>IFERROR(V99/V148, "NA")</f>
        <v>0.23772190567297924</v>
      </c>
      <c r="X99" s="13">
        <f>IFERROR(X90+X91+X92+X93+X94+X95+X96+X97+X98, "NA")</f>
        <v>8871.82</v>
      </c>
      <c r="Y99" s="14">
        <f>IFERROR(X99/X148, "NA")</f>
        <v>0.2135892925842662</v>
      </c>
      <c r="Z99" s="13">
        <f>IFERROR(Z90+Z91+Z92+Z93+Z94+Z95+Z96+Z97+Z98, "NA")</f>
        <v>31716.510000000006</v>
      </c>
      <c r="AA99" s="14">
        <f>IFERROR(Z99/Z148, "NA")</f>
        <v>0.23484847755606311</v>
      </c>
      <c r="AB99" s="13">
        <f t="shared" si="36"/>
        <v>11946.91</v>
      </c>
      <c r="AC99" s="14">
        <f>IFERROR(AB99/AB148, "NA")</f>
        <v>0.26195512260752007</v>
      </c>
      <c r="AD99" s="15">
        <f t="shared" si="37"/>
        <v>-3075.09</v>
      </c>
      <c r="AE99" s="16">
        <f>IFERROR(AD99/AD148, "NA")</f>
        <v>0.75557171762838471</v>
      </c>
      <c r="AF99" s="15">
        <f t="shared" si="38"/>
        <v>-0.25739626397118587</v>
      </c>
      <c r="AG99" s="13">
        <f t="shared" si="39"/>
        <v>12213.272499999999</v>
      </c>
      <c r="AH99" s="14">
        <f>IFERROR(AG99/AG148, "NA")</f>
        <v>0.26196491286396945</v>
      </c>
      <c r="AI99" s="15">
        <f t="shared" si="40"/>
        <v>-3341.4524999999994</v>
      </c>
      <c r="AJ99" s="16">
        <f>IFERROR(AI99/AI148, "NA")</f>
        <v>0.65712366893200402</v>
      </c>
      <c r="AK99" s="15">
        <f t="shared" si="41"/>
        <v>-0.27359190585488041</v>
      </c>
      <c r="AL99" s="16">
        <f>IFERROR(AK99/AK148, "NA")</f>
        <v>2.5084415380208909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10724.100000000002</v>
      </c>
      <c r="C101" s="34">
        <f>IFERROR(B101/B148, "NA")</f>
        <v>0.22318570692435319</v>
      </c>
      <c r="D101" s="33">
        <f>IFERROR(D87-D99, "NA")</f>
        <v>10149.659999999993</v>
      </c>
      <c r="E101" s="34">
        <f>IFERROR(D101/D148, "NA")</f>
        <v>0.23913433768407466</v>
      </c>
      <c r="F101" s="33">
        <f>IFERROR(F87-F99, "NA")</f>
        <v>15727.569999999992</v>
      </c>
      <c r="G101" s="34">
        <f>IFERROR(F101/F148, "NA")</f>
        <v>0.26071552188293196</v>
      </c>
      <c r="H101" s="33">
        <f>IFERROR(H87-H99, "NA")</f>
        <v>14626.219999999983</v>
      </c>
      <c r="I101" s="34">
        <f>IFERROR(H101/H148, "NA")</f>
        <v>0.24886658171594861</v>
      </c>
      <c r="J101" s="33">
        <f>IFERROR(J87-J99, "NA")</f>
        <v>14230.270000000004</v>
      </c>
      <c r="K101" s="34">
        <f>IFERROR(J101/J148, "NA")</f>
        <v>0.29621809731256399</v>
      </c>
      <c r="L101" s="33">
        <f>IFERROR(L87-L99, "NA")</f>
        <v>11141.029999999995</v>
      </c>
      <c r="M101" s="34">
        <f>IFERROR(L101/L148, "NA")</f>
        <v>0.26858533944095525</v>
      </c>
      <c r="N101" s="33">
        <f>IFERROR(N87-N99, "NA")</f>
        <v>13367.199999999988</v>
      </c>
      <c r="O101" s="34">
        <f>IFERROR(N101/N148, "NA")</f>
        <v>0.26809041733995764</v>
      </c>
      <c r="P101" s="33">
        <f>IFERROR(P87-P99, "NA")</f>
        <v>12008.940000000013</v>
      </c>
      <c r="Q101" s="34">
        <f>IFERROR(P101/P148, "NA")</f>
        <v>0.23470345015209212</v>
      </c>
      <c r="R101" s="33">
        <f>IFERROR(R87-R99, "NA")</f>
        <v>8720.0400000000045</v>
      </c>
      <c r="S101" s="34">
        <f>IFERROR(R101/R148, "NA")</f>
        <v>0.18406078875174228</v>
      </c>
      <c r="T101" s="33">
        <f>IFERROR(T87-T99, "NA")</f>
        <v>11791.790000000008</v>
      </c>
      <c r="U101" s="34">
        <f>IFERROR(T101/T148, "NA")</f>
        <v>0.26744489861090404</v>
      </c>
      <c r="V101" s="33">
        <f>IFERROR(V87-V99, "NA")</f>
        <v>15774.070000000007</v>
      </c>
      <c r="W101" s="34">
        <f>IFERROR(V101/V148, "NA")</f>
        <v>0.31916074894599944</v>
      </c>
      <c r="X101" s="33">
        <f>IFERROR(X87-X99, "NA")</f>
        <v>11584.190000000002</v>
      </c>
      <c r="Y101" s="34">
        <f>IFERROR(X101/X148, "NA")</f>
        <v>0.27888966945471516</v>
      </c>
      <c r="Z101" s="33">
        <f>IFERROR(Z87-Z99, "NA")</f>
        <v>39150.050000000017</v>
      </c>
      <c r="AA101" s="34">
        <f>IFERROR(Z101/Z148, "NA")</f>
        <v>0.28989096337345288</v>
      </c>
      <c r="AB101" s="33">
        <f>IFERROR((R101+T101+V101+X101)/4, "NA")</f>
        <v>11967.522500000006</v>
      </c>
      <c r="AC101" s="34">
        <f>IFERROR(AB101/AB148, "NA")</f>
        <v>0.26240708466002982</v>
      </c>
      <c r="AD101" s="15">
        <f>IFERROR(X101-AB101, "NA")</f>
        <v>-383.33250000000407</v>
      </c>
      <c r="AE101" s="16">
        <f>IFERROR(AD101/AD148, "NA")</f>
        <v>9.4187550753892041E-2</v>
      </c>
      <c r="AF101" s="15">
        <f>IFERROR((X101-AB101)/AB101, "NA")</f>
        <v>-3.2031065744810912E-2</v>
      </c>
      <c r="AG101" s="33">
        <f>IFERROR((J101+L101+N101+P101+R101+T101+V101+X101)/8, "NA")</f>
        <v>12327.191250000003</v>
      </c>
      <c r="AH101" s="34">
        <f>IFERROR(AG101/AG148, "NA")</f>
        <v>0.26440837880786966</v>
      </c>
      <c r="AI101" s="15">
        <f>IFERROR(X101-AG101, "NA")</f>
        <v>-743.00125000000116</v>
      </c>
      <c r="AJ101" s="16">
        <f>IFERROR(AI101/AI148, "NA")</f>
        <v>0.14611720723878793</v>
      </c>
      <c r="AK101" s="15">
        <f>IFERROR((X101-AG101)/AG101, "NA")</f>
        <v>-6.0273361135692684E-2</v>
      </c>
      <c r="AL101" s="16">
        <f>IFERROR(AK101/AK148, "NA")</f>
        <v>0.55261942869428837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16410.449999999997</v>
      </c>
      <c r="C104" s="34">
        <f>IFERROR(B104/B148, "NA")</f>
        <v>0.34152776309403587</v>
      </c>
      <c r="D104" s="39">
        <v>-1203.1099999999999</v>
      </c>
      <c r="E104" s="34">
        <f>IFERROR(D104/D148, "NA")</f>
        <v>-2.8346261156638474E-2</v>
      </c>
      <c r="F104" s="39">
        <v>0</v>
      </c>
      <c r="G104" s="34">
        <f>IFERROR(F104/F148, "NA")</f>
        <v>0</v>
      </c>
      <c r="H104" s="39">
        <v>6618.8</v>
      </c>
      <c r="I104" s="34">
        <f>IFERROR(H104/H148, "NA")</f>
        <v>0.11261953745133894</v>
      </c>
      <c r="J104" s="39">
        <v>16493.909999999996</v>
      </c>
      <c r="K104" s="34">
        <f>IFERROR(J104/J148, "NA")</f>
        <v>0.34333815433190445</v>
      </c>
      <c r="L104" s="39">
        <v>-2619</v>
      </c>
      <c r="M104" s="34">
        <f>IFERROR(L104/L148, "NA")</f>
        <v>-6.3138238026094723E-2</v>
      </c>
      <c r="N104" s="39">
        <v>0</v>
      </c>
      <c r="O104" s="34">
        <f>IFERROR(N104/N148, "NA")</f>
        <v>0</v>
      </c>
      <c r="P104" s="39">
        <v>7359.56</v>
      </c>
      <c r="Q104" s="34">
        <f>IFERROR(P104/P148, "NA")</f>
        <v>0.14383568604733885</v>
      </c>
      <c r="R104" s="39">
        <v>17460.159999999996</v>
      </c>
      <c r="S104" s="34">
        <f>IFERROR(R104/R148, "NA")</f>
        <v>0.36854542196269946</v>
      </c>
      <c r="T104" s="39">
        <v>-3000</v>
      </c>
      <c r="U104" s="34">
        <f>IFERROR(T104/T148, "NA")</f>
        <v>-6.8041806700484958E-2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-3000</v>
      </c>
      <c r="AA104" s="34">
        <f>IFERROR(Z104/Z148, "NA")</f>
        <v>-2.2213838555004608E-2</v>
      </c>
      <c r="AB104" s="33">
        <f>IFERROR((R104+T104+V104+X104)/4, "NA")</f>
        <v>3615.0399999999991</v>
      </c>
      <c r="AC104" s="34">
        <f>IFERROR(AB104/AB148, "NA")</f>
        <v>7.9265537819493845E-2</v>
      </c>
      <c r="AD104" s="15">
        <f>IFERROR(X104-AB104, "NA")</f>
        <v>-3615.0399999999991</v>
      </c>
      <c r="AE104" s="16">
        <f>IFERROR(AD104/AD148, "NA")</f>
        <v>0.88824131394375938</v>
      </c>
      <c r="AF104" s="15">
        <f>IFERROR((X104-AB104)/AB104, "NA")</f>
        <v>-1</v>
      </c>
      <c r="AG104" s="33">
        <f>IFERROR((J104+L104+N104+P104+R104+T104+V104+X104)/8, "NA")</f>
        <v>4461.8287499999988</v>
      </c>
      <c r="AH104" s="34">
        <f>IFERROR(AG104/AG148, "NA")</f>
        <v>9.5702652970995561E-2</v>
      </c>
      <c r="AI104" s="15">
        <f>IFERROR(X104-AG104, "NA")</f>
        <v>-4461.8287499999988</v>
      </c>
      <c r="AJ104" s="16">
        <f>IFERROR(AI104/AI148, "NA")</f>
        <v>0.87745472316194739</v>
      </c>
      <c r="AK104" s="15">
        <f>IFERROR((X104-AG104)/AG104, "NA")</f>
        <v>-1</v>
      </c>
      <c r="AL104" s="16">
        <f>IFERROR(AK104/AK148, "NA")</f>
        <v>9.1685517164072365</v>
      </c>
    </row>
    <row r="105" spans="1:38" ht="16.5" hidden="1" customHeight="1">
      <c r="A105" s="12" t="s">
        <v>112</v>
      </c>
      <c r="B105" s="13">
        <f>IFERROR(B104, "NA")</f>
        <v>16410.449999999997</v>
      </c>
      <c r="C105" s="14">
        <f>IFERROR(B105/B148, "NA")</f>
        <v>0.34152776309403587</v>
      </c>
      <c r="D105" s="13">
        <f>IFERROR(D104, "NA")</f>
        <v>-1203.1099999999999</v>
      </c>
      <c r="E105" s="14">
        <f>IFERROR(D105/D148, "NA")</f>
        <v>-2.8346261156638474E-2</v>
      </c>
      <c r="F105" s="13">
        <f>IFERROR(F104, "NA")</f>
        <v>0</v>
      </c>
      <c r="G105" s="14">
        <f>IFERROR(F105/F148, "NA")</f>
        <v>0</v>
      </c>
      <c r="H105" s="13">
        <f>IFERROR(H104, "NA")</f>
        <v>6618.8</v>
      </c>
      <c r="I105" s="14">
        <f>IFERROR(H105/H148, "NA")</f>
        <v>0.11261953745133894</v>
      </c>
      <c r="J105" s="13">
        <f>IFERROR(J104, "NA")</f>
        <v>16493.909999999996</v>
      </c>
      <c r="K105" s="14">
        <f>IFERROR(J105/J148, "NA")</f>
        <v>0.34333815433190445</v>
      </c>
      <c r="L105" s="13">
        <f>IFERROR(L104, "NA")</f>
        <v>-2619</v>
      </c>
      <c r="M105" s="14">
        <f>IFERROR(L105/L148, "NA")</f>
        <v>-6.3138238026094723E-2</v>
      </c>
      <c r="N105" s="13">
        <f>IFERROR(N104, "NA")</f>
        <v>0</v>
      </c>
      <c r="O105" s="14">
        <f>IFERROR(N105/N148, "NA")</f>
        <v>0</v>
      </c>
      <c r="P105" s="13">
        <f>IFERROR(P104, "NA")</f>
        <v>7359.56</v>
      </c>
      <c r="Q105" s="14">
        <f>IFERROR(P105/P148, "NA")</f>
        <v>0.14383568604733885</v>
      </c>
      <c r="R105" s="13">
        <f>IFERROR(R104, "NA")</f>
        <v>17460.159999999996</v>
      </c>
      <c r="S105" s="14">
        <f>IFERROR(R105/R148, "NA")</f>
        <v>0.36854542196269946</v>
      </c>
      <c r="T105" s="13">
        <f>IFERROR(T104, "NA")</f>
        <v>-3000</v>
      </c>
      <c r="U105" s="14">
        <f>IFERROR(T105/T148, "NA")</f>
        <v>-6.8041806700484958E-2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-3000</v>
      </c>
      <c r="AA105" s="14">
        <f>IFERROR(Z105/Z148, "NA")</f>
        <v>-2.2213838555004608E-2</v>
      </c>
      <c r="AB105" s="13">
        <f>IFERROR((R105+T105+V105+X105)/4, "NA")</f>
        <v>3615.0399999999991</v>
      </c>
      <c r="AC105" s="14">
        <f>IFERROR(AB105/AB148, "NA")</f>
        <v>7.9265537819493845E-2</v>
      </c>
      <c r="AD105" s="15">
        <f>IFERROR(X105-AB105, "NA")</f>
        <v>-3615.0399999999991</v>
      </c>
      <c r="AE105" s="16">
        <f>IFERROR(AD105/AD148, "NA")</f>
        <v>0.88824131394375938</v>
      </c>
      <c r="AF105" s="15">
        <f>IFERROR((X105-AB105)/AB105, "NA")</f>
        <v>-1</v>
      </c>
      <c r="AG105" s="13">
        <f>IFERROR((J105+L105+N105+P105+R105+T105+V105+X105)/8, "NA")</f>
        <v>4461.8287499999988</v>
      </c>
      <c r="AH105" s="14">
        <f>IFERROR(AG105/AG148, "NA")</f>
        <v>9.5702652970995561E-2</v>
      </c>
      <c r="AI105" s="15">
        <f>IFERROR(X105-AG105, "NA")</f>
        <v>-4461.8287499999988</v>
      </c>
      <c r="AJ105" s="16">
        <f>IFERROR(AI105/AI148, "NA")</f>
        <v>0.87745472316194739</v>
      </c>
      <c r="AK105" s="15">
        <f>IFERROR((X105-AG105)/AG105, "NA")</f>
        <v>-1</v>
      </c>
      <c r="AL105" s="16">
        <f>IFERROR(AK105/AK148, "NA")</f>
        <v>9.1685517164072365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-5686.3499999999949</v>
      </c>
      <c r="C107" s="34">
        <f>IFERROR(B107/B148, "NA")</f>
        <v>-0.11834205616968271</v>
      </c>
      <c r="D107" s="33">
        <f>IFERROR(D87-D99-D105, "NA")</f>
        <v>11352.769999999993</v>
      </c>
      <c r="E107" s="34">
        <f>IFERROR(D107/D148, "NA")</f>
        <v>0.26748059884071312</v>
      </c>
      <c r="F107" s="33">
        <f>IFERROR(F87-F99-F105, "NA")</f>
        <v>15727.569999999992</v>
      </c>
      <c r="G107" s="34">
        <f>IFERROR(F107/F148, "NA")</f>
        <v>0.26071552188293196</v>
      </c>
      <c r="H107" s="33">
        <f>IFERROR(H87-H99-H105, "NA")</f>
        <v>8007.4199999999828</v>
      </c>
      <c r="I107" s="34">
        <f>IFERROR(H107/H148, "NA")</f>
        <v>0.13624704426460968</v>
      </c>
      <c r="J107" s="33">
        <f>IFERROR(J87-J99-J105, "NA")</f>
        <v>-2263.6399999999921</v>
      </c>
      <c r="K107" s="34">
        <f>IFERROR(J107/J148, "NA")</f>
        <v>-4.7120057019340453E-2</v>
      </c>
      <c r="L107" s="33">
        <f>IFERROR(L87-L99-L105, "NA")</f>
        <v>13760.029999999995</v>
      </c>
      <c r="M107" s="34">
        <f>IFERROR(L107/L148, "NA")</f>
        <v>0.33172357746704995</v>
      </c>
      <c r="N107" s="33">
        <f>IFERROR(N87-N99-N105, "NA")</f>
        <v>13367.199999999988</v>
      </c>
      <c r="O107" s="34">
        <f>IFERROR(N107/N148, "NA")</f>
        <v>0.26809041733995764</v>
      </c>
      <c r="P107" s="33">
        <f>IFERROR(P87-P99-P105, "NA")</f>
        <v>4649.3800000000128</v>
      </c>
      <c r="Q107" s="34">
        <f>IFERROR(P107/P148, "NA")</f>
        <v>9.0867764104753279E-2</v>
      </c>
      <c r="R107" s="33">
        <f>IFERROR(R87-R99-R105, "NA")</f>
        <v>-8740.1199999999917</v>
      </c>
      <c r="S107" s="34">
        <f>IFERROR(R107/R148, "NA")</f>
        <v>-0.18448463321095721</v>
      </c>
      <c r="T107" s="33">
        <f>IFERROR(T87-T99-T105, "NA")</f>
        <v>14791.790000000008</v>
      </c>
      <c r="U107" s="34">
        <f>IFERROR(T107/T148, "NA")</f>
        <v>0.33548670531138897</v>
      </c>
      <c r="V107" s="33">
        <f>IFERROR(V87-V99-V105, "NA")</f>
        <v>15774.070000000007</v>
      </c>
      <c r="W107" s="34">
        <f>IFERROR(V107/V148, "NA")</f>
        <v>0.31916074894599944</v>
      </c>
      <c r="X107" s="33">
        <f>IFERROR(X87-X99-X105, "NA")</f>
        <v>11584.190000000002</v>
      </c>
      <c r="Y107" s="34">
        <f>IFERROR(X107/X148, "NA")</f>
        <v>0.27888966945471516</v>
      </c>
      <c r="Z107" s="33">
        <f>IFERROR(Z87-Z99-Z105, "NA")</f>
        <v>42150.050000000017</v>
      </c>
      <c r="AA107" s="34">
        <f>IFERROR(Z107/Z148, "NA")</f>
        <v>0.31210480192845746</v>
      </c>
      <c r="AB107" s="33">
        <f>IFERROR((R107+T107+V107+X107)/4, "NA")</f>
        <v>8352.4825000000055</v>
      </c>
      <c r="AC107" s="34">
        <f>IFERROR(AB107/AB148, "NA")</f>
        <v>0.18314154684053596</v>
      </c>
      <c r="AD107" s="15">
        <f>IFERROR(X107-AB107, "NA")</f>
        <v>3231.7074999999968</v>
      </c>
      <c r="AE107" s="16">
        <f>IFERROR(AD107/AD148, "NA")</f>
        <v>-0.79405376318986787</v>
      </c>
      <c r="AF107" s="15">
        <f>IFERROR((X107-AB107)/AB107, "NA")</f>
        <v>0.38691580616900362</v>
      </c>
      <c r="AG107" s="33">
        <f>IFERROR((J107+L107+N107+P107+R107+T107+V107+X107)/8, "NA")</f>
        <v>7865.3625000000029</v>
      </c>
      <c r="AH107" s="34">
        <f>IFERROR(AG107/AG148, "NA")</f>
        <v>0.16870572583687407</v>
      </c>
      <c r="AI107" s="15">
        <f>IFERROR(X107-AG107, "NA")</f>
        <v>3718.8274999999994</v>
      </c>
      <c r="AJ107" s="16">
        <f>IFERROR(AI107/AI148, "NA")</f>
        <v>-0.73133751592315988</v>
      </c>
      <c r="AK107" s="15">
        <f>IFERROR((X107-AG107)/AG107, "NA")</f>
        <v>0.47281069372199919</v>
      </c>
      <c r="AL107" s="16">
        <f>IFERROR(AK107/AK148, "NA")</f>
        <v>-4.334989297460532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-3534.9800000000005</v>
      </c>
      <c r="C128" s="8">
        <f>IFERROR(B128/B148, "NA")</f>
        <v>-7.3568598788098766E-2</v>
      </c>
      <c r="D128" s="7">
        <v>670.39</v>
      </c>
      <c r="E128" s="8">
        <f>IFERROR(D128/D148, "NA")</f>
        <v>1.5794939795030268E-2</v>
      </c>
      <c r="F128" s="7">
        <v>738.80000000000007</v>
      </c>
      <c r="G128" s="8">
        <f>IFERROR(F128/F148, "NA")</f>
        <v>1.2247068527885124E-2</v>
      </c>
      <c r="H128" s="7">
        <v>811.16</v>
      </c>
      <c r="I128" s="8">
        <f>IFERROR(H128/H148, "NA")</f>
        <v>1.3801967728142276E-2</v>
      </c>
      <c r="J128" s="7">
        <v>-2220.35</v>
      </c>
      <c r="K128" s="8">
        <f>IFERROR(J128/J148, "NA")</f>
        <v>-4.6218929954804179E-2</v>
      </c>
      <c r="L128" s="7">
        <v>674.71</v>
      </c>
      <c r="M128" s="8">
        <f>IFERROR(L128/L148, "NA")</f>
        <v>1.6265750507287655E-2</v>
      </c>
      <c r="N128" s="7">
        <v>466.58999999999992</v>
      </c>
      <c r="O128" s="8">
        <f>IFERROR(N128/N148, "NA")</f>
        <v>9.3578541374895966E-3</v>
      </c>
      <c r="P128" s="7">
        <v>716.08999999999992</v>
      </c>
      <c r="Q128" s="8">
        <f>IFERROR(P128/P148, "NA")</f>
        <v>1.3995306298425294E-2</v>
      </c>
      <c r="R128" s="7">
        <v>-1857.39</v>
      </c>
      <c r="S128" s="8">
        <f>IFERROR(R128/R148, "NA")</f>
        <v>-3.9205401399488811E-2</v>
      </c>
      <c r="T128" s="7">
        <v>764.65000000000009</v>
      </c>
      <c r="U128" s="8">
        <f>IFERROR(T128/T148, "NA")</f>
        <v>1.7342722497841943E-2</v>
      </c>
      <c r="V128" s="7">
        <v>906.13</v>
      </c>
      <c r="W128" s="8">
        <f>IFERROR(V128/V148, "NA")</f>
        <v>1.8333957529187987E-2</v>
      </c>
      <c r="X128" s="7">
        <v>979.9</v>
      </c>
      <c r="Y128" s="8">
        <f>IFERROR(X128/X148, "NA")</f>
        <v>2.3591117471197843E-2</v>
      </c>
      <c r="Z128" s="7">
        <v>2650.6800000000003</v>
      </c>
      <c r="AA128" s="8">
        <f>IFERROR(Z128/Z148, "NA")</f>
        <v>1.9627259193659874E-2</v>
      </c>
      <c r="AB128" s="9">
        <f t="shared" si="42"/>
        <v>198.32249999999999</v>
      </c>
      <c r="AC128" s="8">
        <f>IFERROR(AB128/AB148, "NA")</f>
        <v>4.3485382248070756E-3</v>
      </c>
      <c r="AD128" s="10">
        <f t="shared" si="43"/>
        <v>781.57749999999999</v>
      </c>
      <c r="AE128" s="11">
        <f>IFERROR(AD128/AD148, "NA")</f>
        <v>-0.19203920995310669</v>
      </c>
      <c r="AF128" s="10">
        <f t="shared" si="44"/>
        <v>3.9409421523024366</v>
      </c>
      <c r="AG128" s="9">
        <f t="shared" si="45"/>
        <v>53.791249999999962</v>
      </c>
      <c r="AH128" s="8">
        <f>IFERROR(AG128/AG148, "NA")</f>
        <v>1.1537792282202814E-3</v>
      </c>
      <c r="AI128" s="10">
        <f t="shared" si="46"/>
        <v>926.10874999999999</v>
      </c>
      <c r="AJ128" s="11">
        <f>IFERROR(AI128/AI148, "NA")</f>
        <v>-0.18212677858806378</v>
      </c>
      <c r="AK128" s="10">
        <f t="shared" si="47"/>
        <v>17.216717402923351</v>
      </c>
      <c r="AL128" s="11">
        <f>IFERROR(AK128/AK148, "NA")</f>
        <v>-157.85236389547123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-3534.9800000000005</v>
      </c>
      <c r="C135" s="14">
        <f>IFERROR(B135/B148, "NA")</f>
        <v>-7.3568598788098766E-2</v>
      </c>
      <c r="D135" s="13">
        <f>IFERROR(D110+D111+D112+D113+D114+D115+D116+D117+D118+D119+D120+D121+D122+D123+D124+D125+D126+D127+D128+D129+D130+D131+D132+D133+D134, "NA")</f>
        <v>670.39</v>
      </c>
      <c r="E135" s="14">
        <f>IFERROR(D135/D148, "NA")</f>
        <v>1.5794939795030268E-2</v>
      </c>
      <c r="F135" s="13">
        <f>IFERROR(F110+F111+F112+F113+F114+F115+F116+F117+F118+F119+F120+F121+F122+F123+F124+F125+F126+F127+F128+F129+F130+F131+F132+F133+F134, "NA")</f>
        <v>738.80000000000007</v>
      </c>
      <c r="G135" s="14">
        <f>IFERROR(F135/F148, "NA")</f>
        <v>1.2247068527885124E-2</v>
      </c>
      <c r="H135" s="13">
        <f>IFERROR(H110+H111+H112+H113+H114+H115+H116+H117+H118+H119+H120+H121+H122+H123+H124+H125+H126+H127+H128+H129+H130+H131+H132+H133+H134, "NA")</f>
        <v>811.16</v>
      </c>
      <c r="I135" s="14">
        <f>IFERROR(H135/H148, "NA")</f>
        <v>1.3801967728142276E-2</v>
      </c>
      <c r="J135" s="13">
        <f>IFERROR(J110+J111+J112+J113+J114+J115+J116+J117+J118+J119+J120+J121+J122+J123+J124+J125+J126+J127+J128+J129+J130+J131+J132+J133+J134, "NA")</f>
        <v>-2220.35</v>
      </c>
      <c r="K135" s="14">
        <f>IFERROR(J135/J148, "NA")</f>
        <v>-4.6218929954804179E-2</v>
      </c>
      <c r="L135" s="13">
        <f>IFERROR(L110+L111+L112+L113+L114+L115+L116+L117+L118+L119+L120+L121+L122+L123+L124+L125+L126+L127+L128+L129+L130+L131+L132+L133+L134, "NA")</f>
        <v>674.71</v>
      </c>
      <c r="M135" s="14">
        <f>IFERROR(L135/L148, "NA")</f>
        <v>1.6265750507287655E-2</v>
      </c>
      <c r="N135" s="13">
        <f>IFERROR(N110+N111+N112+N113+N114+N115+N116+N117+N118+N119+N120+N121+N122+N123+N124+N125+N126+N127+N128+N129+N130+N131+N132+N133+N134, "NA")</f>
        <v>466.58999999999992</v>
      </c>
      <c r="O135" s="14">
        <f>IFERROR(N135/N148, "NA")</f>
        <v>9.3578541374895966E-3</v>
      </c>
      <c r="P135" s="13">
        <f>IFERROR(P110+P111+P112+P113+P114+P115+P116+P117+P118+P119+P120+P121+P122+P123+P124+P125+P126+P127+P128+P129+P130+P131+P132+P133+P134, "NA")</f>
        <v>716.08999999999992</v>
      </c>
      <c r="Q135" s="14">
        <f>IFERROR(P135/P148, "NA")</f>
        <v>1.3995306298425294E-2</v>
      </c>
      <c r="R135" s="13">
        <f>IFERROR(R110+R111+R112+R113+R114+R115+R116+R117+R118+R119+R120+R121+R122+R123+R124+R125+R126+R127+R128+R129+R130+R131+R132+R133+R134, "NA")</f>
        <v>-1857.39</v>
      </c>
      <c r="S135" s="14">
        <f>IFERROR(R135/R148, "NA")</f>
        <v>-3.9205401399488811E-2</v>
      </c>
      <c r="T135" s="13">
        <f>IFERROR(T110+T111+T112+T113+T114+T115+T116+T117+T118+T119+T120+T121+T122+T123+T124+T125+T126+T127+T128+T129+T130+T131+T132+T133+T134, "NA")</f>
        <v>764.65000000000009</v>
      </c>
      <c r="U135" s="14">
        <f>IFERROR(T135/T148, "NA")</f>
        <v>1.7342722497841943E-2</v>
      </c>
      <c r="V135" s="13">
        <f>IFERROR(V110+V111+V112+V113+V114+V115+V116+V117+V118+V119+V120+V121+V122+V123+V124+V125+V126+V127+V128+V129+V130+V131+V132+V133+V134, "NA")</f>
        <v>906.13</v>
      </c>
      <c r="W135" s="14">
        <f>IFERROR(V135/V148, "NA")</f>
        <v>1.8333957529187987E-2</v>
      </c>
      <c r="X135" s="13">
        <f>IFERROR(X110+X111+X112+X113+X114+X115+X116+X117+X118+X119+X120+X121+X122+X123+X124+X125+X126+X127+X128+X129+X130+X131+X132+X133+X134, "NA")</f>
        <v>979.9</v>
      </c>
      <c r="Y135" s="14">
        <f>IFERROR(X135/X148, "NA")</f>
        <v>2.3591117471197843E-2</v>
      </c>
      <c r="Z135" s="13">
        <f>IFERROR(Z110+Z111+Z112+Z113+Z114+Z115+Z116+Z117+Z118+Z119+Z120+Z121+Z122+Z123+Z124+Z125+Z126+Z127+Z128+Z129+Z130+Z131+Z132+Z133+Z134, "NA")</f>
        <v>2650.6800000000003</v>
      </c>
      <c r="AA135" s="14">
        <f>IFERROR(Z135/Z148, "NA")</f>
        <v>1.9627259193659874E-2</v>
      </c>
      <c r="AB135" s="13">
        <f t="shared" si="42"/>
        <v>198.32249999999999</v>
      </c>
      <c r="AC135" s="14">
        <f>IFERROR(AB135/AB148, "NA")</f>
        <v>4.3485382248070756E-3</v>
      </c>
      <c r="AD135" s="15">
        <f t="shared" si="43"/>
        <v>781.57749999999999</v>
      </c>
      <c r="AE135" s="16">
        <f>IFERROR(AD135/AD148, "NA")</f>
        <v>-0.19203920995310669</v>
      </c>
      <c r="AF135" s="15">
        <f t="shared" si="44"/>
        <v>3.9409421523024366</v>
      </c>
      <c r="AG135" s="13">
        <f t="shared" si="45"/>
        <v>53.791249999999962</v>
      </c>
      <c r="AH135" s="14">
        <f>IFERROR(AG135/AG148, "NA")</f>
        <v>1.1537792282202814E-3</v>
      </c>
      <c r="AI135" s="15">
        <f t="shared" si="46"/>
        <v>926.10874999999999</v>
      </c>
      <c r="AJ135" s="16">
        <f>IFERROR(AI135/AI148, "NA")</f>
        <v>-0.18212677858806378</v>
      </c>
      <c r="AK135" s="15">
        <f t="shared" si="47"/>
        <v>17.216717402923351</v>
      </c>
      <c r="AL135" s="16">
        <f>IFERROR(AK135/AK148, "NA")</f>
        <v>-157.85236389547123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-2151.3699999999944</v>
      </c>
      <c r="C137" s="34">
        <f>IFERROR(B137/B148, "NA")</f>
        <v>-4.4773457381583948E-2</v>
      </c>
      <c r="D137" s="33">
        <f>IFERROR(D107-D135, "NA")</f>
        <v>10682.379999999994</v>
      </c>
      <c r="E137" s="34">
        <f>IFERROR(D137/D148, "NA")</f>
        <v>0.25168565904568291</v>
      </c>
      <c r="F137" s="33">
        <f>IFERROR(F107-F135, "NA")</f>
        <v>14988.769999999993</v>
      </c>
      <c r="G137" s="34">
        <f>IFERROR(F137/F148, "NA")</f>
        <v>0.24846845335504686</v>
      </c>
      <c r="H137" s="33">
        <f>IFERROR(H107-H135, "NA")</f>
        <v>7196.2599999999829</v>
      </c>
      <c r="I137" s="34">
        <f>IFERROR(H137/H148, "NA")</f>
        <v>0.1224450765364674</v>
      </c>
      <c r="J137" s="33">
        <f>IFERROR(J107-J135, "NA")</f>
        <v>-43.289999999992233</v>
      </c>
      <c r="K137" s="34">
        <f>IFERROR(J137/J148, "NA")</f>
        <v>-9.0112706453627318E-4</v>
      </c>
      <c r="L137" s="33">
        <f>IFERROR(L107-L135, "NA")</f>
        <v>13085.319999999996</v>
      </c>
      <c r="M137" s="34">
        <f>IFERROR(L137/L148, "NA")</f>
        <v>0.31545782695976232</v>
      </c>
      <c r="N137" s="33">
        <f>IFERROR(N107-N135, "NA")</f>
        <v>12900.609999999988</v>
      </c>
      <c r="O137" s="34">
        <f>IFERROR(N137/N148, "NA")</f>
        <v>0.25873256320246807</v>
      </c>
      <c r="P137" s="33">
        <f>IFERROR(P107-P135, "NA")</f>
        <v>3933.2900000000127</v>
      </c>
      <c r="Q137" s="34">
        <f>IFERROR(P137/P148, "NA")</f>
        <v>7.6872457806327982E-2</v>
      </c>
      <c r="R137" s="33">
        <f>IFERROR(R107-R135, "NA")</f>
        <v>-6882.7299999999914</v>
      </c>
      <c r="S137" s="34">
        <f>IFERROR(R137/R148, "NA")</f>
        <v>-0.1452792318114684</v>
      </c>
      <c r="T137" s="33">
        <f>IFERROR(T107-T135, "NA")</f>
        <v>14027.140000000009</v>
      </c>
      <c r="U137" s="34">
        <f>IFERROR(T137/T148, "NA")</f>
        <v>0.31814398281354705</v>
      </c>
      <c r="V137" s="33">
        <f>IFERROR(V107-V135, "NA")</f>
        <v>14867.940000000008</v>
      </c>
      <c r="W137" s="34">
        <f>IFERROR(V137/V148, "NA")</f>
        <v>0.30082679141681146</v>
      </c>
      <c r="X137" s="33">
        <f>IFERROR(X107-X135, "NA")</f>
        <v>10604.290000000003</v>
      </c>
      <c r="Y137" s="34">
        <f>IFERROR(X137/X148, "NA")</f>
        <v>0.25529855198351736</v>
      </c>
      <c r="Z137" s="33">
        <f>IFERROR(Z107-Z135, "NA")</f>
        <v>39499.370000000017</v>
      </c>
      <c r="AA137" s="34">
        <f>IFERROR(Z137/Z148, "NA")</f>
        <v>0.29247754273479759</v>
      </c>
      <c r="AB137" s="33">
        <f>IFERROR((R137+T137+V137+X137)/4, "NA")</f>
        <v>8154.1600000000071</v>
      </c>
      <c r="AC137" s="34">
        <f>IFERROR(AB137/AB148, "NA")</f>
        <v>0.17879300861572892</v>
      </c>
      <c r="AD137" s="15">
        <f>IFERROR(X137-AB137, "NA")</f>
        <v>2450.1299999999956</v>
      </c>
      <c r="AE137" s="16">
        <f>IFERROR(AD137/AD148, "NA")</f>
        <v>-0.60201455323676079</v>
      </c>
      <c r="AF137" s="15">
        <f>IFERROR((X137-AB137)/AB137, "NA")</f>
        <v>0.30047607601518656</v>
      </c>
      <c r="AG137" s="33">
        <f>IFERROR((J137+L137+N137+P137+R137+T137+V137+X137)/8, "NA")</f>
        <v>7811.5712500000036</v>
      </c>
      <c r="AH137" s="34">
        <f>IFERROR(AG137/AG148, "NA")</f>
        <v>0.16755194660865383</v>
      </c>
      <c r="AI137" s="15">
        <f>IFERROR(X137-AG137, "NA")</f>
        <v>2792.7187499999991</v>
      </c>
      <c r="AJ137" s="16">
        <f>IFERROR(AI137/AI148, "NA")</f>
        <v>-0.54921073733509596</v>
      </c>
      <c r="AK137" s="15">
        <f>IFERROR((X137-AG137)/AG137, "NA")</f>
        <v>0.35751050084834057</v>
      </c>
      <c r="AL137" s="16">
        <f>IFERROR(AK137/AK148, "NA")</f>
        <v>-3.2778535161866635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4548.24</v>
      </c>
      <c r="C140" s="8">
        <f>IFERROR(B140/B148, "NA")</f>
        <v>9.4656163189602849E-2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5418.4000000000005</v>
      </c>
      <c r="K140" s="8">
        <f>IFERROR(J140/J148, "NA")</f>
        <v>0.11278971786750333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-10</v>
      </c>
      <c r="Q140" s="8">
        <f>IFERROR(P140/P148, "NA")</f>
        <v>-1.9544060520919571E-4</v>
      </c>
      <c r="R140" s="7">
        <v>5856.3499999999995</v>
      </c>
      <c r="S140" s="8">
        <f>IFERROR(R140/R148, "NA")</f>
        <v>0.1236146164703677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1464.0874999999999</v>
      </c>
      <c r="AC140" s="8">
        <f>IFERROR(AB140/AB148, "NA")</f>
        <v>3.2102461688473215E-2</v>
      </c>
      <c r="AD140" s="10">
        <f>IFERROR(X140-AB140, "NA")</f>
        <v>-1464.0874999999999</v>
      </c>
      <c r="AE140" s="11">
        <f>IFERROR(AD140/AD148, "NA")</f>
        <v>0.35973682303062599</v>
      </c>
      <c r="AF140" s="10">
        <f>IFERROR((X140-AB140)/AB140, "NA")</f>
        <v>-1</v>
      </c>
      <c r="AG140" s="9">
        <f>IFERROR((J140+L140+N140+P140+R140+T140+V140+X140)/8, "NA")</f>
        <v>1408.09375</v>
      </c>
      <c r="AH140" s="8">
        <f>IFERROR(AG140/AG148, "NA")</f>
        <v>3.0202483120150638E-2</v>
      </c>
      <c r="AI140" s="10">
        <f>IFERROR(X140-AG140, "NA")</f>
        <v>-1408.09375</v>
      </c>
      <c r="AJ140" s="11">
        <f>IFERROR(AI140/AI148, "NA")</f>
        <v>0.27691302845101767</v>
      </c>
      <c r="AK140" s="10">
        <f>IFERROR((X140-AG140)/AG140, "NA")</f>
        <v>-1</v>
      </c>
      <c r="AL140" s="11">
        <f>IFERROR(AK140/AK148, "NA")</f>
        <v>9.1685517164072365</v>
      </c>
    </row>
    <row r="141" spans="1:38" ht="16.5" hidden="1" customHeight="1">
      <c r="A141" s="12" t="s">
        <v>144</v>
      </c>
      <c r="B141" s="13">
        <f>IFERROR(B140, "NA")</f>
        <v>4548.24</v>
      </c>
      <c r="C141" s="14">
        <f>IFERROR(B141/B148, "NA")</f>
        <v>9.4656163189602849E-2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5418.4000000000005</v>
      </c>
      <c r="K141" s="14">
        <f>IFERROR(J141/J148, "NA")</f>
        <v>0.11278971786750333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-10</v>
      </c>
      <c r="Q141" s="14">
        <f>IFERROR(P141/P148, "NA")</f>
        <v>-1.9544060520919571E-4</v>
      </c>
      <c r="R141" s="13">
        <f>IFERROR(R140, "NA")</f>
        <v>5856.3499999999995</v>
      </c>
      <c r="S141" s="14">
        <f>IFERROR(R141/R148, "NA")</f>
        <v>0.1236146164703677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1464.0874999999999</v>
      </c>
      <c r="AC141" s="14">
        <f>IFERROR(AB141/AB148, "NA")</f>
        <v>3.2102461688473215E-2</v>
      </c>
      <c r="AD141" s="15">
        <f>IFERROR(X141-AB141, "NA")</f>
        <v>-1464.0874999999999</v>
      </c>
      <c r="AE141" s="16">
        <f>IFERROR(AD141/AD148, "NA")</f>
        <v>0.35973682303062599</v>
      </c>
      <c r="AF141" s="15">
        <f>IFERROR((X141-AB141)/AB141, "NA")</f>
        <v>-1</v>
      </c>
      <c r="AG141" s="13">
        <f>IFERROR((J141+L141+N141+P141+R141+T141+V141+X141)/8, "NA")</f>
        <v>1408.09375</v>
      </c>
      <c r="AH141" s="14">
        <f>IFERROR(AG141/AG148, "NA")</f>
        <v>3.0202483120150638E-2</v>
      </c>
      <c r="AI141" s="15">
        <f>IFERROR(X141-AG141, "NA")</f>
        <v>-1408.09375</v>
      </c>
      <c r="AJ141" s="16">
        <f>IFERROR(AI141/AI148, "NA")</f>
        <v>0.27691302845101767</v>
      </c>
      <c r="AK141" s="15">
        <f>IFERROR((X141-AG141)/AG141, "NA")</f>
        <v>-1</v>
      </c>
      <c r="AL141" s="16">
        <f>IFERROR(AK141/AK148, "NA")</f>
        <v>9.1685517164072365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-6699.6099999999942</v>
      </c>
      <c r="C147" s="34">
        <f>IFERROR(B147/B148, "NA")</f>
        <v>-0.1394296205711868</v>
      </c>
      <c r="D147" s="33">
        <f>IFERROR(D137-D141-D145, "NA")</f>
        <v>10682.379999999994</v>
      </c>
      <c r="E147" s="34">
        <f>IFERROR(D147/D148, "NA")</f>
        <v>0.25168565904568291</v>
      </c>
      <c r="F147" s="33">
        <f>IFERROR(F137-F141-F145, "NA")</f>
        <v>14988.769999999993</v>
      </c>
      <c r="G147" s="34">
        <f>IFERROR(F147/F148, "NA")</f>
        <v>0.24846845335504686</v>
      </c>
      <c r="H147" s="33">
        <f>IFERROR(H137-H141-H145, "NA")</f>
        <v>7196.2599999999829</v>
      </c>
      <c r="I147" s="34">
        <f>IFERROR(H147/H148, "NA")</f>
        <v>0.1224450765364674</v>
      </c>
      <c r="J147" s="33">
        <f>IFERROR(J137-J141-J145, "NA")</f>
        <v>-5461.6899999999932</v>
      </c>
      <c r="K147" s="34">
        <f>IFERROR(J147/J148, "NA")</f>
        <v>-0.11369084493203961</v>
      </c>
      <c r="L147" s="33">
        <f>IFERROR(L137-L141-L145, "NA")</f>
        <v>13085.319999999996</v>
      </c>
      <c r="M147" s="34">
        <f>IFERROR(L147/L148, "NA")</f>
        <v>0.31545782695976232</v>
      </c>
      <c r="N147" s="33">
        <f>IFERROR(N137-N141-N145, "NA")</f>
        <v>12900.609999999988</v>
      </c>
      <c r="O147" s="34">
        <f>IFERROR(N147/N148, "NA")</f>
        <v>0.25873256320246807</v>
      </c>
      <c r="P147" s="33">
        <f>IFERROR(P137-P141-P145, "NA")</f>
        <v>3943.2900000000127</v>
      </c>
      <c r="Q147" s="34">
        <f>IFERROR(P147/P148, "NA")</f>
        <v>7.7067898411537175E-2</v>
      </c>
      <c r="R147" s="33">
        <f>IFERROR(R137-R141-R145, "NA")</f>
        <v>-12739.079999999991</v>
      </c>
      <c r="S147" s="34">
        <f>IFERROR(R147/R148, "NA")</f>
        <v>-0.2688938482818361</v>
      </c>
      <c r="T147" s="33">
        <f>IFERROR(T137-T141-T145, "NA")</f>
        <v>14027.140000000009</v>
      </c>
      <c r="U147" s="34">
        <f>IFERROR(T147/T148, "NA")</f>
        <v>0.31814398281354705</v>
      </c>
      <c r="V147" s="33">
        <f>IFERROR(V137-V141-V145, "NA")</f>
        <v>14867.940000000008</v>
      </c>
      <c r="W147" s="34">
        <f>IFERROR(V147/V148, "NA")</f>
        <v>0.30082679141681146</v>
      </c>
      <c r="X147" s="33">
        <f>IFERROR(X137-X141-X145, "NA")</f>
        <v>10604.290000000003</v>
      </c>
      <c r="Y147" s="34">
        <f>IFERROR(X147/X148, "NA")</f>
        <v>0.25529855198351736</v>
      </c>
      <c r="Z147" s="33">
        <f>IFERROR(Z137-Z141-Z145, "NA")</f>
        <v>39499.370000000017</v>
      </c>
      <c r="AA147" s="34">
        <f>IFERROR(Z147/Z148, "NA")</f>
        <v>0.29247754273479759</v>
      </c>
      <c r="AB147" s="33">
        <f>IFERROR((R147+T147+V147+X147)/4, "NA")</f>
        <v>6690.0725000000075</v>
      </c>
      <c r="AC147" s="34">
        <f>IFERROR(AB147/AB148, "NA")</f>
        <v>0.14669054692725569</v>
      </c>
      <c r="AD147" s="15">
        <f>IFERROR(X147-AB147, "NA")</f>
        <v>3914.2174999999952</v>
      </c>
      <c r="AE147" s="16">
        <f>IFERROR(AD147/AD148, "NA")</f>
        <v>-0.96175137626738672</v>
      </c>
      <c r="AF147" s="15">
        <f>IFERROR((X147-AB147)/AB147, "NA")</f>
        <v>0.58507848756496894</v>
      </c>
      <c r="AG147" s="33">
        <f>IFERROR((J147+L147+N147+P147+R147+T147+V147+X147)/8, "NA")</f>
        <v>6403.4775000000036</v>
      </c>
      <c r="AH147" s="34">
        <f>IFERROR(AG147/AG148, "NA")</f>
        <v>0.13734946348850319</v>
      </c>
      <c r="AI147" s="15">
        <f>IFERROR(X147-AG147, "NA")</f>
        <v>4200.8124999999991</v>
      </c>
      <c r="AJ147" s="16">
        <f>IFERROR(AI147/AI148, "NA")</f>
        <v>-0.82612376578611368</v>
      </c>
      <c r="AK147" s="15">
        <f>IFERROR((X147-AG147)/AG147, "NA")</f>
        <v>0.65602049823709019</v>
      </c>
      <c r="AL147" s="16">
        <f>IFERROR(AK147/AK148, "NA")</f>
        <v>-6.0147578651100035</v>
      </c>
    </row>
    <row r="148" spans="1:38" ht="15.6" hidden="1">
      <c r="A148" s="40" t="s">
        <v>25</v>
      </c>
      <c r="B148" s="7">
        <v>48050.12</v>
      </c>
      <c r="C148" s="41"/>
      <c r="D148" s="7">
        <v>42443.34</v>
      </c>
      <c r="E148" s="41"/>
      <c r="F148" s="7">
        <v>60324.639999999999</v>
      </c>
      <c r="G148" s="41"/>
      <c r="H148" s="7">
        <v>58771.33</v>
      </c>
      <c r="I148" s="41"/>
      <c r="J148" s="7">
        <v>48039.839999999997</v>
      </c>
      <c r="K148" s="41"/>
      <c r="L148" s="7">
        <v>41480.410000000003</v>
      </c>
      <c r="M148" s="41"/>
      <c r="N148" s="7">
        <v>49860.79</v>
      </c>
      <c r="O148" s="41"/>
      <c r="P148" s="7">
        <v>51166.44</v>
      </c>
      <c r="Q148" s="41"/>
      <c r="R148" s="7">
        <v>47375.87</v>
      </c>
      <c r="S148" s="41"/>
      <c r="T148" s="7">
        <v>44090.54</v>
      </c>
      <c r="U148" s="41"/>
      <c r="V148" s="7">
        <v>49423.59</v>
      </c>
      <c r="W148" s="41"/>
      <c r="X148" s="7">
        <v>41536.82</v>
      </c>
      <c r="Y148" s="41"/>
      <c r="Z148" s="7">
        <v>135050.95000000001</v>
      </c>
      <c r="AA148" s="41"/>
      <c r="AB148" s="9">
        <f>IFERROR((R148+T148+V148+X148)/4, "NA")</f>
        <v>45606.705000000002</v>
      </c>
      <c r="AC148" s="41"/>
      <c r="AD148" s="10">
        <f>IFERROR(X148-AB148, "NA")</f>
        <v>-4069.885000000002</v>
      </c>
      <c r="AE148" s="42"/>
      <c r="AF148" s="10">
        <f>IFERROR((X148-AB148)/AB148, "NA")</f>
        <v>-8.9238742417370467E-2</v>
      </c>
      <c r="AG148" s="9">
        <f>IFERROR((J148+L148+N148+P148+R148+T148+V148+X148)/8, "NA")</f>
        <v>46621.787499999999</v>
      </c>
      <c r="AH148" s="41"/>
      <c r="AI148" s="10">
        <f>IFERROR(X148-AG148, "NA")</f>
        <v>-5084.9674999999988</v>
      </c>
      <c r="AJ148" s="42"/>
      <c r="AK148" s="10">
        <f>IFERROR((X148-AG148)/AG148, "NA")</f>
        <v>-0.10906848005345138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153</v>
      </c>
      <c r="B3" s="148" t="s">
        <v>153</v>
      </c>
      <c r="C3" s="148" t="s">
        <v>153</v>
      </c>
      <c r="D3" s="148" t="s">
        <v>153</v>
      </c>
      <c r="E3" s="148" t="s">
        <v>153</v>
      </c>
      <c r="F3" s="148" t="s">
        <v>153</v>
      </c>
      <c r="G3" s="148" t="s">
        <v>153</v>
      </c>
      <c r="H3" s="148" t="s">
        <v>153</v>
      </c>
      <c r="I3" s="148" t="s">
        <v>153</v>
      </c>
      <c r="J3" s="148" t="s">
        <v>153</v>
      </c>
      <c r="K3" s="148" t="s">
        <v>153</v>
      </c>
      <c r="L3" s="148" t="s">
        <v>153</v>
      </c>
      <c r="M3" s="148" t="s">
        <v>153</v>
      </c>
      <c r="N3" s="148" t="s">
        <v>153</v>
      </c>
      <c r="O3" s="148" t="s">
        <v>153</v>
      </c>
      <c r="P3" s="148" t="s">
        <v>153</v>
      </c>
      <c r="Q3" s="148" t="s">
        <v>153</v>
      </c>
      <c r="R3" s="148" t="s">
        <v>153</v>
      </c>
      <c r="S3" s="148" t="s">
        <v>153</v>
      </c>
      <c r="T3" s="148" t="s">
        <v>153</v>
      </c>
      <c r="U3" s="148" t="s">
        <v>153</v>
      </c>
      <c r="V3" s="148" t="s">
        <v>153</v>
      </c>
      <c r="W3" s="148" t="s">
        <v>153</v>
      </c>
      <c r="X3" s="148" t="s">
        <v>153</v>
      </c>
      <c r="Y3" s="148" t="s">
        <v>153</v>
      </c>
      <c r="Z3" s="148" t="s">
        <v>153</v>
      </c>
      <c r="AA3" s="148" t="s">
        <v>153</v>
      </c>
      <c r="AB3" s="148" t="s">
        <v>153</v>
      </c>
      <c r="AC3" s="148" t="s">
        <v>153</v>
      </c>
      <c r="AD3" s="148" t="s">
        <v>153</v>
      </c>
      <c r="AE3" s="148" t="s">
        <v>153</v>
      </c>
      <c r="AF3" s="148" t="s">
        <v>153</v>
      </c>
      <c r="AG3" s="148" t="s">
        <v>153</v>
      </c>
      <c r="AH3" s="148" t="s">
        <v>153</v>
      </c>
      <c r="AI3" s="148" t="s">
        <v>153</v>
      </c>
      <c r="AJ3" s="148" t="s">
        <v>153</v>
      </c>
      <c r="AK3" s="148" t="s">
        <v>153</v>
      </c>
      <c r="AL3" s="148" t="s">
        <v>153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34438.15</v>
      </c>
      <c r="C7" s="8">
        <f>IFERROR(B7/B148, "NA")</f>
        <v>1</v>
      </c>
      <c r="D7" s="7">
        <v>28548.880000000001</v>
      </c>
      <c r="E7" s="8">
        <f>IFERROR(D7/D148, "NA")</f>
        <v>1</v>
      </c>
      <c r="F7" s="7">
        <v>34892.289999999994</v>
      </c>
      <c r="G7" s="8">
        <f>IFERROR(F7/F148, "NA")</f>
        <v>0.99999999999999978</v>
      </c>
      <c r="H7" s="7">
        <v>45409.659999999996</v>
      </c>
      <c r="I7" s="8">
        <f>IFERROR(H7/H148, "NA")</f>
        <v>0.99999999999999989</v>
      </c>
      <c r="J7" s="7">
        <v>40494.579999999994</v>
      </c>
      <c r="K7" s="8">
        <f>IFERROR(J7/J148, "NA")</f>
        <v>0.99999999999999978</v>
      </c>
      <c r="L7" s="7">
        <v>23146.28</v>
      </c>
      <c r="M7" s="8">
        <f>IFERROR(L7/L148, "NA")</f>
        <v>1</v>
      </c>
      <c r="N7" s="7">
        <v>25422.050000000007</v>
      </c>
      <c r="O7" s="8">
        <f>IFERROR(N7/N148, "NA")</f>
        <v>1.0000000000000002</v>
      </c>
      <c r="P7" s="7">
        <v>24506.450000000004</v>
      </c>
      <c r="Q7" s="8">
        <f>IFERROR(P7/P148, "NA")</f>
        <v>1.0000000000000002</v>
      </c>
      <c r="R7" s="7">
        <v>25844.799999999996</v>
      </c>
      <c r="S7" s="8">
        <f>IFERROR(R7/R148, "NA")</f>
        <v>0.99999999999999989</v>
      </c>
      <c r="T7" s="7">
        <v>28469.190000000002</v>
      </c>
      <c r="U7" s="8">
        <f>IFERROR(T7/T148, "NA")</f>
        <v>1.0000000000000002</v>
      </c>
      <c r="V7" s="7">
        <v>24576.240000000005</v>
      </c>
      <c r="W7" s="8">
        <f>IFERROR(V7/V148, "NA")</f>
        <v>1.0000000000000002</v>
      </c>
      <c r="X7" s="7">
        <v>20601.12</v>
      </c>
      <c r="Y7" s="8">
        <f>IFERROR(X7/X148, "NA")</f>
        <v>1</v>
      </c>
      <c r="Z7" s="7">
        <v>73646.55</v>
      </c>
      <c r="AA7" s="8">
        <f>IFERROR(Z7/Z148, "NA")</f>
        <v>1</v>
      </c>
      <c r="AB7" s="9">
        <f>IFERROR((R7+T7+V7+X7)/4, "NA")</f>
        <v>24872.837500000001</v>
      </c>
      <c r="AC7" s="8">
        <f>IFERROR(AB7/AB148, "NA")</f>
        <v>1.0000000000000002</v>
      </c>
      <c r="AD7" s="10">
        <f>IFERROR(X7-AB7, "NA")</f>
        <v>-4271.7175000000025</v>
      </c>
      <c r="AE7" s="11">
        <f>IFERROR(AD7/AD148, "NA")</f>
        <v>1.0000000000000009</v>
      </c>
      <c r="AF7" s="10">
        <f>IFERROR((X7-AB7)/AB7, "NA")</f>
        <v>-0.17174226704130569</v>
      </c>
      <c r="AG7" s="9">
        <f>IFERROR((J7+L7+N7+P7+R7+T7+V7+X7)/8, "NA")</f>
        <v>26632.588750000003</v>
      </c>
      <c r="AH7" s="8">
        <f>IFERROR(AG7/AG148, "NA")</f>
        <v>1.0000000000000002</v>
      </c>
      <c r="AI7" s="10">
        <f>IFERROR(X7-AG7, "NA")</f>
        <v>-6031.4687500000036</v>
      </c>
      <c r="AJ7" s="11">
        <f>IFERROR(AI7/AI148, "NA")</f>
        <v>1.0000000000000007</v>
      </c>
      <c r="AK7" s="10">
        <f>IFERROR((X7-AG7)/AG7, "NA")</f>
        <v>-0.22646948843829548</v>
      </c>
      <c r="AL7" s="11">
        <f>IFERROR(AK7/AK148, "NA")</f>
        <v>1.0000000000000004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34438.15</v>
      </c>
      <c r="C9" s="14">
        <f>IFERROR(B9/B148, "NA")</f>
        <v>1</v>
      </c>
      <c r="D9" s="13">
        <f>IFERROR(D7+D8, "NA")</f>
        <v>28548.880000000001</v>
      </c>
      <c r="E9" s="14">
        <f>IFERROR(D9/D148, "NA")</f>
        <v>1</v>
      </c>
      <c r="F9" s="13">
        <f>IFERROR(F7+F8, "NA")</f>
        <v>34892.289999999994</v>
      </c>
      <c r="G9" s="14">
        <f>IFERROR(F9/F148, "NA")</f>
        <v>0.99999999999999978</v>
      </c>
      <c r="H9" s="13">
        <f>IFERROR(H7+H8, "NA")</f>
        <v>45409.659999999996</v>
      </c>
      <c r="I9" s="14">
        <f>IFERROR(H9/H148, "NA")</f>
        <v>0.99999999999999989</v>
      </c>
      <c r="J9" s="13">
        <f>IFERROR(J7+J8, "NA")</f>
        <v>40494.579999999994</v>
      </c>
      <c r="K9" s="14">
        <f>IFERROR(J9/J148, "NA")</f>
        <v>0.99999999999999978</v>
      </c>
      <c r="L9" s="13">
        <f>IFERROR(L7+L8, "NA")</f>
        <v>23146.28</v>
      </c>
      <c r="M9" s="14">
        <f>IFERROR(L9/L148, "NA")</f>
        <v>1</v>
      </c>
      <c r="N9" s="13">
        <f>IFERROR(N7+N8, "NA")</f>
        <v>25422.050000000007</v>
      </c>
      <c r="O9" s="14">
        <f>IFERROR(N9/N148, "NA")</f>
        <v>1.0000000000000002</v>
      </c>
      <c r="P9" s="13">
        <f>IFERROR(P7+P8, "NA")</f>
        <v>24506.450000000004</v>
      </c>
      <c r="Q9" s="14">
        <f>IFERROR(P9/P148, "NA")</f>
        <v>1.0000000000000002</v>
      </c>
      <c r="R9" s="13">
        <f>IFERROR(R7+R8, "NA")</f>
        <v>25844.799999999996</v>
      </c>
      <c r="S9" s="14">
        <f>IFERROR(R9/R148, "NA")</f>
        <v>0.99999999999999989</v>
      </c>
      <c r="T9" s="13">
        <f>IFERROR(T7+T8, "NA")</f>
        <v>28469.190000000002</v>
      </c>
      <c r="U9" s="14">
        <f>IFERROR(T9/T148, "NA")</f>
        <v>1.0000000000000002</v>
      </c>
      <c r="V9" s="13">
        <f>IFERROR(V7+V8, "NA")</f>
        <v>24576.240000000005</v>
      </c>
      <c r="W9" s="14">
        <f>IFERROR(V9/V148, "NA")</f>
        <v>1.0000000000000002</v>
      </c>
      <c r="X9" s="13">
        <f>IFERROR(X7+X8, "NA")</f>
        <v>20601.12</v>
      </c>
      <c r="Y9" s="14">
        <f>IFERROR(X9/X148, "NA")</f>
        <v>1</v>
      </c>
      <c r="Z9" s="13">
        <f>IFERROR(Z7+Z8, "NA")</f>
        <v>73646.55</v>
      </c>
      <c r="AA9" s="14">
        <f>IFERROR(Z9/Z148, "NA")</f>
        <v>1</v>
      </c>
      <c r="AB9" s="13">
        <f>IFERROR((R9+T9+V9+X9)/4, "NA")</f>
        <v>24872.837500000001</v>
      </c>
      <c r="AC9" s="14">
        <f>IFERROR(AB9/AB148, "NA")</f>
        <v>1.0000000000000002</v>
      </c>
      <c r="AD9" s="15">
        <f>IFERROR(X9-AB9, "NA")</f>
        <v>-4271.7175000000025</v>
      </c>
      <c r="AE9" s="16">
        <f>IFERROR(AD9/AD148, "NA")</f>
        <v>1.0000000000000009</v>
      </c>
      <c r="AF9" s="15">
        <f>IFERROR((X9-AB9)/AB9, "NA")</f>
        <v>-0.17174226704130569</v>
      </c>
      <c r="AG9" s="13">
        <f>IFERROR((J9+L9+N9+P9+R9+T9+V9+X9)/8, "NA")</f>
        <v>26632.588750000003</v>
      </c>
      <c r="AH9" s="14">
        <f>IFERROR(AG9/AG148, "NA")</f>
        <v>1.0000000000000002</v>
      </c>
      <c r="AI9" s="15">
        <f>IFERROR(X9-AG9, "NA")</f>
        <v>-6031.4687500000036</v>
      </c>
      <c r="AJ9" s="16">
        <f>IFERROR(AI9/AI148, "NA")</f>
        <v>1.0000000000000007</v>
      </c>
      <c r="AK9" s="15">
        <f>IFERROR((X9-AG9)/AG9, "NA")</f>
        <v>-0.22646948843829548</v>
      </c>
      <c r="AL9" s="16">
        <f>IFERROR(AK9/AK148, "NA")</f>
        <v>1.0000000000000004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1515.33</v>
      </c>
      <c r="C16" s="8">
        <f>IFERROR(B16/B148, "NA")</f>
        <v>4.400149253081248E-2</v>
      </c>
      <c r="D16" s="7">
        <v>1123.6300000000001</v>
      </c>
      <c r="E16" s="8">
        <f>IFERROR(D16/D148, "NA")</f>
        <v>3.9358111421533878E-2</v>
      </c>
      <c r="F16" s="7">
        <v>1562.6</v>
      </c>
      <c r="G16" s="8">
        <f>IFERROR(F16/F148, "NA")</f>
        <v>4.4783532407875776E-2</v>
      </c>
      <c r="H16" s="7">
        <v>1618.52</v>
      </c>
      <c r="I16" s="8">
        <f>IFERROR(H16/H148, "NA")</f>
        <v>3.5642636390582967E-2</v>
      </c>
      <c r="J16" s="7">
        <v>1586.33</v>
      </c>
      <c r="K16" s="8">
        <f>IFERROR(J16/J148, "NA")</f>
        <v>3.9173884505037462E-2</v>
      </c>
      <c r="L16" s="7">
        <v>843.49</v>
      </c>
      <c r="M16" s="8">
        <f>IFERROR(L16/L148, "NA")</f>
        <v>3.6441708991682469E-2</v>
      </c>
      <c r="N16" s="7">
        <v>1074.76</v>
      </c>
      <c r="O16" s="8">
        <f>IFERROR(N16/N148, "NA")</f>
        <v>4.2276685003766419E-2</v>
      </c>
      <c r="P16" s="7">
        <v>1065.3399999999999</v>
      </c>
      <c r="Q16" s="8">
        <f>IFERROR(P16/P148, "NA")</f>
        <v>4.3471820683942383E-2</v>
      </c>
      <c r="R16" s="7">
        <v>931.84</v>
      </c>
      <c r="S16" s="8">
        <f>IFERROR(R16/R148, "NA")</f>
        <v>3.605522194019687E-2</v>
      </c>
      <c r="T16" s="7">
        <v>923.91</v>
      </c>
      <c r="U16" s="8">
        <f>IFERROR(T16/T148, "NA")</f>
        <v>3.2452978114235073E-2</v>
      </c>
      <c r="V16" s="7">
        <v>883.45</v>
      </c>
      <c r="W16" s="8">
        <f>IFERROR(V16/V148, "NA")</f>
        <v>3.5947321477980361E-2</v>
      </c>
      <c r="X16" s="7">
        <v>1021.44</v>
      </c>
      <c r="Y16" s="8">
        <f>IFERROR(X16/X148, "NA")</f>
        <v>4.9581770311517046E-2</v>
      </c>
      <c r="Z16" s="7">
        <v>2828.8</v>
      </c>
      <c r="AA16" s="8">
        <f>IFERROR(Z16/Z148, "NA")</f>
        <v>3.8410489018154956E-2</v>
      </c>
      <c r="AB16" s="9">
        <f t="shared" si="0"/>
        <v>940.16</v>
      </c>
      <c r="AC16" s="8">
        <f>IFERROR(AB16/AB148, "NA")</f>
        <v>3.7798662898834927E-2</v>
      </c>
      <c r="AD16" s="10">
        <f t="shared" si="1"/>
        <v>81.280000000000086</v>
      </c>
      <c r="AE16" s="11">
        <f>IFERROR(AD16/AD148, "NA")</f>
        <v>-1.9027475482636693E-2</v>
      </c>
      <c r="AF16" s="10">
        <f t="shared" si="2"/>
        <v>8.6453369639210437E-2</v>
      </c>
      <c r="AG16" s="9">
        <f t="shared" si="3"/>
        <v>1041.32</v>
      </c>
      <c r="AH16" s="8">
        <f>IFERROR(AG16/AG148, "NA")</f>
        <v>3.9099466062982702E-2</v>
      </c>
      <c r="AI16" s="10">
        <f t="shared" si="4"/>
        <v>-19.879999999999882</v>
      </c>
      <c r="AJ16" s="11">
        <f>IFERROR(AI16/AI148, "NA")</f>
        <v>3.2960462573896087E-3</v>
      </c>
      <c r="AK16" s="10">
        <f t="shared" si="5"/>
        <v>-1.9091153535896636E-2</v>
      </c>
      <c r="AL16" s="11">
        <f>IFERROR(AK16/AK148, "NA")</f>
        <v>8.4299009405402858E-2</v>
      </c>
    </row>
    <row r="17" spans="1:38" ht="16.5" customHeight="1">
      <c r="A17" s="25" t="s">
        <v>32</v>
      </c>
      <c r="B17" s="7">
        <v>799.86</v>
      </c>
      <c r="C17" s="8">
        <f>IFERROR(B17/B148, "NA")</f>
        <v>2.3225986297173339E-2</v>
      </c>
      <c r="D17" s="7">
        <v>686.16</v>
      </c>
      <c r="E17" s="8">
        <f>IFERROR(D17/D148, "NA")</f>
        <v>2.4034568081129627E-2</v>
      </c>
      <c r="F17" s="7">
        <v>670.97</v>
      </c>
      <c r="G17" s="8">
        <f>IFERROR(F17/F148, "NA")</f>
        <v>1.922974960944094E-2</v>
      </c>
      <c r="H17" s="7">
        <v>1434.38</v>
      </c>
      <c r="I17" s="8">
        <f>IFERROR(H17/H148, "NA")</f>
        <v>3.1587552075923932E-2</v>
      </c>
      <c r="J17" s="7">
        <v>783.84</v>
      </c>
      <c r="K17" s="8">
        <f>IFERROR(J17/J148, "NA")</f>
        <v>1.9356664521523622E-2</v>
      </c>
      <c r="L17" s="7">
        <v>392.89</v>
      </c>
      <c r="M17" s="8">
        <f>IFERROR(L17/L148, "NA")</f>
        <v>1.6974217887280374E-2</v>
      </c>
      <c r="N17" s="7">
        <v>605.05999999999995</v>
      </c>
      <c r="O17" s="8">
        <f>IFERROR(N17/N148, "NA")</f>
        <v>2.3800598299507709E-2</v>
      </c>
      <c r="P17" s="7">
        <v>741.04</v>
      </c>
      <c r="Q17" s="8">
        <f>IFERROR(P17/P148, "NA")</f>
        <v>3.0238569845897709E-2</v>
      </c>
      <c r="R17" s="7">
        <v>553.62</v>
      </c>
      <c r="S17" s="8">
        <f>IFERROR(R17/R148, "NA")</f>
        <v>2.1420943477991707E-2</v>
      </c>
      <c r="T17" s="7">
        <v>715.58</v>
      </c>
      <c r="U17" s="8">
        <f>IFERROR(T17/T148, "NA")</f>
        <v>2.5135242695700163E-2</v>
      </c>
      <c r="V17" s="7">
        <v>564.22</v>
      </c>
      <c r="W17" s="8">
        <f>IFERROR(V17/V148, "NA")</f>
        <v>2.2957946374221605E-2</v>
      </c>
      <c r="X17" s="7">
        <v>677.4</v>
      </c>
      <c r="Y17" s="8">
        <f>IFERROR(X17/X148, "NA")</f>
        <v>3.2881707402315989E-2</v>
      </c>
      <c r="Z17" s="7">
        <v>1957.2</v>
      </c>
      <c r="AA17" s="8">
        <f>IFERROR(Z17/Z148, "NA")</f>
        <v>2.6575582970281703E-2</v>
      </c>
      <c r="AB17" s="9">
        <f t="shared" si="0"/>
        <v>627.70500000000004</v>
      </c>
      <c r="AC17" s="8">
        <f>IFERROR(AB17/AB148, "NA")</f>
        <v>2.5236565791900506E-2</v>
      </c>
      <c r="AD17" s="10">
        <f t="shared" si="1"/>
        <v>49.694999999999936</v>
      </c>
      <c r="AE17" s="11">
        <f>IFERROR(AD17/AD148, "NA")</f>
        <v>-1.1633494022018064E-2</v>
      </c>
      <c r="AF17" s="10">
        <f t="shared" si="2"/>
        <v>7.9169355031423888E-2</v>
      </c>
      <c r="AG17" s="9">
        <f t="shared" si="3"/>
        <v>629.20624999999995</v>
      </c>
      <c r="AH17" s="8">
        <f>IFERROR(AG17/AG148, "NA")</f>
        <v>2.3625425823465995E-2</v>
      </c>
      <c r="AI17" s="10">
        <f t="shared" si="4"/>
        <v>48.193750000000023</v>
      </c>
      <c r="AJ17" s="11">
        <f>IFERROR(AI17/AI148, "NA")</f>
        <v>-7.9903837684643601E-3</v>
      </c>
      <c r="AK17" s="10">
        <f t="shared" si="5"/>
        <v>7.6594518887884586E-2</v>
      </c>
      <c r="AL17" s="11">
        <f>IFERROR(AK17/AK148, "NA")</f>
        <v>-0.3382112063575124</v>
      </c>
    </row>
    <row r="18" spans="1:38" ht="16.5" customHeight="1">
      <c r="A18" s="25" t="s">
        <v>33</v>
      </c>
      <c r="B18" s="7">
        <v>1113.5899999999999</v>
      </c>
      <c r="C18" s="8">
        <f>IFERROR(B18/B148, "NA")</f>
        <v>3.2335941390579923E-2</v>
      </c>
      <c r="D18" s="7">
        <v>1133.83</v>
      </c>
      <c r="E18" s="8">
        <f>IFERROR(D18/D148, "NA")</f>
        <v>3.9715393388462174E-2</v>
      </c>
      <c r="F18" s="7">
        <v>1162.22</v>
      </c>
      <c r="G18" s="8">
        <f>IFERROR(F18/F148, "NA")</f>
        <v>3.330879113981914E-2</v>
      </c>
      <c r="H18" s="7">
        <v>1669.07</v>
      </c>
      <c r="I18" s="8">
        <f>IFERROR(H18/H148, "NA")</f>
        <v>3.6755835652590219E-2</v>
      </c>
      <c r="J18" s="7">
        <v>1968.65</v>
      </c>
      <c r="K18" s="8">
        <f>IFERROR(J18/J148, "NA")</f>
        <v>4.8615148002522805E-2</v>
      </c>
      <c r="L18" s="7">
        <v>756.24</v>
      </c>
      <c r="M18" s="8">
        <f>IFERROR(L18/L148, "NA")</f>
        <v>3.2672204777614372E-2</v>
      </c>
      <c r="N18" s="7">
        <v>711.53</v>
      </c>
      <c r="O18" s="8">
        <f>IFERROR(N18/N148, "NA")</f>
        <v>2.798869485348349E-2</v>
      </c>
      <c r="P18" s="7">
        <v>884.66</v>
      </c>
      <c r="Q18" s="8">
        <f>IFERROR(P18/P148, "NA")</f>
        <v>3.6099067796437262E-2</v>
      </c>
      <c r="R18" s="7">
        <v>680.62</v>
      </c>
      <c r="S18" s="8">
        <f>IFERROR(R18/R148, "NA")</f>
        <v>2.6334891351451745E-2</v>
      </c>
      <c r="T18" s="7">
        <v>834.53</v>
      </c>
      <c r="U18" s="8">
        <f>IFERROR(T18/T148, "NA")</f>
        <v>2.9313443761483905E-2</v>
      </c>
      <c r="V18" s="7">
        <v>875.36</v>
      </c>
      <c r="W18" s="8">
        <f>IFERROR(V18/V148, "NA")</f>
        <v>3.5618141749917807E-2</v>
      </c>
      <c r="X18" s="7">
        <v>687.61</v>
      </c>
      <c r="Y18" s="8">
        <f>IFERROR(X18/X148, "NA")</f>
        <v>3.3377311524810306E-2</v>
      </c>
      <c r="Z18" s="7">
        <v>2397.5</v>
      </c>
      <c r="AA18" s="8">
        <f>IFERROR(Z18/Z148, "NA")</f>
        <v>3.2554138652795002E-2</v>
      </c>
      <c r="AB18" s="9">
        <f t="shared" si="0"/>
        <v>769.53000000000009</v>
      </c>
      <c r="AC18" s="8">
        <f>IFERROR(AB18/AB148, "NA")</f>
        <v>3.0938569031378111E-2</v>
      </c>
      <c r="AD18" s="10">
        <f t="shared" si="1"/>
        <v>-81.920000000000073</v>
      </c>
      <c r="AE18" s="11">
        <f>IFERROR(AD18/AD148, "NA")</f>
        <v>1.9177298124232255E-2</v>
      </c>
      <c r="AF18" s="10">
        <f t="shared" si="2"/>
        <v>-0.10645458916481497</v>
      </c>
      <c r="AG18" s="9">
        <f t="shared" si="3"/>
        <v>924.89999999999986</v>
      </c>
      <c r="AH18" s="8">
        <f>IFERROR(AG18/AG148, "NA")</f>
        <v>3.4728129836796282E-2</v>
      </c>
      <c r="AI18" s="10">
        <f t="shared" si="4"/>
        <v>-237.28999999999985</v>
      </c>
      <c r="AJ18" s="11">
        <f>IFERROR(AI18/AI148, "NA")</f>
        <v>3.9341992777464002E-2</v>
      </c>
      <c r="AK18" s="10">
        <f t="shared" si="5"/>
        <v>-0.25655746567196441</v>
      </c>
      <c r="AL18" s="11">
        <f>IFERROR(AK18/AK148, "NA")</f>
        <v>1.1328566485540807</v>
      </c>
    </row>
    <row r="19" spans="1:38" ht="16.5" customHeight="1">
      <c r="A19" s="25" t="s">
        <v>34</v>
      </c>
      <c r="B19" s="7">
        <v>745.41</v>
      </c>
      <c r="C19" s="8">
        <f>IFERROR(B19/B148, "NA")</f>
        <v>2.164489091312977E-2</v>
      </c>
      <c r="D19" s="7">
        <v>654.19000000000005</v>
      </c>
      <c r="E19" s="8">
        <f>IFERROR(D19/D148, "NA")</f>
        <v>2.2914734308316125E-2</v>
      </c>
      <c r="F19" s="7">
        <v>476.96</v>
      </c>
      <c r="G19" s="8">
        <f>IFERROR(F19/F148, "NA")</f>
        <v>1.3669495467336767E-2</v>
      </c>
      <c r="H19" s="7">
        <v>780.81</v>
      </c>
      <c r="I19" s="8">
        <f>IFERROR(H19/H148, "NA")</f>
        <v>1.7194799520630629E-2</v>
      </c>
      <c r="J19" s="7">
        <v>752.33</v>
      </c>
      <c r="K19" s="8">
        <f>IFERROR(J19/J148, "NA")</f>
        <v>1.8578535695394298E-2</v>
      </c>
      <c r="L19" s="7">
        <v>423.57</v>
      </c>
      <c r="M19" s="8">
        <f>IFERROR(L19/L148, "NA")</f>
        <v>1.8299700859058129E-2</v>
      </c>
      <c r="N19" s="7">
        <v>417</v>
      </c>
      <c r="O19" s="8">
        <f>IFERROR(N19/N148, "NA")</f>
        <v>1.6403083150257357E-2</v>
      </c>
      <c r="P19" s="7">
        <v>469.09</v>
      </c>
      <c r="Q19" s="8">
        <f>IFERROR(P19/P148, "NA")</f>
        <v>1.9141491321672456E-2</v>
      </c>
      <c r="R19" s="7">
        <v>454</v>
      </c>
      <c r="S19" s="8">
        <f>IFERROR(R19/R148, "NA")</f>
        <v>1.7566396335046121E-2</v>
      </c>
      <c r="T19" s="7">
        <v>604.47</v>
      </c>
      <c r="U19" s="8">
        <f>IFERROR(T19/T148, "NA")</f>
        <v>2.1232427055353525E-2</v>
      </c>
      <c r="V19" s="7">
        <v>471.45</v>
      </c>
      <c r="W19" s="8">
        <f>IFERROR(V19/V148, "NA")</f>
        <v>1.9183162273805919E-2</v>
      </c>
      <c r="X19" s="7">
        <v>427.59</v>
      </c>
      <c r="Y19" s="8">
        <f>IFERROR(X19/X148, "NA")</f>
        <v>2.0755667653020806E-2</v>
      </c>
      <c r="Z19" s="7">
        <v>1503.51</v>
      </c>
      <c r="AA19" s="8">
        <f>IFERROR(Z19/Z148, "NA")</f>
        <v>2.0415212932581361E-2</v>
      </c>
      <c r="AB19" s="9">
        <f t="shared" si="0"/>
        <v>489.3775</v>
      </c>
      <c r="AC19" s="8">
        <f>IFERROR(AB19/AB148, "NA")</f>
        <v>1.9675177791838187E-2</v>
      </c>
      <c r="AD19" s="10">
        <f t="shared" si="1"/>
        <v>-61.787500000000023</v>
      </c>
      <c r="AE19" s="11">
        <f>IFERROR(AD19/AD148, "NA")</f>
        <v>1.4464322605603024E-2</v>
      </c>
      <c r="AF19" s="10">
        <f t="shared" si="2"/>
        <v>-0.12625733712726889</v>
      </c>
      <c r="AG19" s="9">
        <f t="shared" si="3"/>
        <v>502.4375</v>
      </c>
      <c r="AH19" s="8">
        <f>IFERROR(AG19/AG148, "NA")</f>
        <v>1.886551490417919E-2</v>
      </c>
      <c r="AI19" s="10">
        <f t="shared" si="4"/>
        <v>-74.847500000000025</v>
      </c>
      <c r="AJ19" s="11">
        <f>IFERROR(AI19/AI148, "NA")</f>
        <v>1.2409498101105145E-2</v>
      </c>
      <c r="AK19" s="10">
        <f t="shared" si="5"/>
        <v>-0.14896877721109597</v>
      </c>
      <c r="AL19" s="11">
        <f>IFERROR(AK19/AK148, "NA")</f>
        <v>0.65778740543975966</v>
      </c>
    </row>
    <row r="20" spans="1:38" ht="16.5" customHeight="1">
      <c r="A20" s="25" t="s">
        <v>35</v>
      </c>
      <c r="B20" s="7">
        <v>314.58999999999997</v>
      </c>
      <c r="C20" s="8">
        <f>IFERROR(B20/B148, "NA")</f>
        <v>9.1349273988294948E-3</v>
      </c>
      <c r="D20" s="7">
        <v>329.68</v>
      </c>
      <c r="E20" s="8">
        <f>IFERROR(D20/D148, "NA")</f>
        <v>1.1547913613423715E-2</v>
      </c>
      <c r="F20" s="7">
        <v>368.44</v>
      </c>
      <c r="G20" s="8">
        <f>IFERROR(F20/F148, "NA")</f>
        <v>1.0559352796849962E-2</v>
      </c>
      <c r="H20" s="7">
        <v>381.66</v>
      </c>
      <c r="I20" s="8">
        <f>IFERROR(H20/H148, "NA")</f>
        <v>8.4048195912499683E-3</v>
      </c>
      <c r="J20" s="7">
        <v>437.72</v>
      </c>
      <c r="K20" s="8">
        <f>IFERROR(J20/J148, "NA")</f>
        <v>1.0809347818893294E-2</v>
      </c>
      <c r="L20" s="7">
        <v>323.17</v>
      </c>
      <c r="M20" s="8">
        <f>IFERROR(L20/L148, "NA")</f>
        <v>1.3962070794961439E-2</v>
      </c>
      <c r="N20" s="7">
        <v>279.8</v>
      </c>
      <c r="O20" s="8">
        <f>IFERROR(N20/N148, "NA")</f>
        <v>1.1006193442306975E-2</v>
      </c>
      <c r="P20" s="7">
        <v>286.86</v>
      </c>
      <c r="Q20" s="8">
        <f>IFERROR(P20/P148, "NA")</f>
        <v>1.1705489779221388E-2</v>
      </c>
      <c r="R20" s="7">
        <v>337.28</v>
      </c>
      <c r="S20" s="8">
        <f>IFERROR(R20/R148, "NA")</f>
        <v>1.3050207391815762E-2</v>
      </c>
      <c r="T20" s="7">
        <v>336.91</v>
      </c>
      <c r="U20" s="8">
        <f>IFERROR(T20/T148, "NA")</f>
        <v>1.1834196898471648E-2</v>
      </c>
      <c r="V20" s="7">
        <v>252.24</v>
      </c>
      <c r="W20" s="8">
        <f>IFERROR(V20/V148, "NA")</f>
        <v>1.0263571644808156E-2</v>
      </c>
      <c r="X20" s="7">
        <v>291.58999999999997</v>
      </c>
      <c r="Y20" s="8">
        <f>IFERROR(X20/X148, "NA")</f>
        <v>1.4154084826456036E-2</v>
      </c>
      <c r="Z20" s="7">
        <v>880.74</v>
      </c>
      <c r="AA20" s="8">
        <f>IFERROR(Z20/Z148, "NA")</f>
        <v>1.1959012336626766E-2</v>
      </c>
      <c r="AB20" s="9">
        <f t="shared" si="0"/>
        <v>304.505</v>
      </c>
      <c r="AC20" s="8">
        <f>IFERROR(AB20/AB148, "NA")</f>
        <v>1.2242471330422193E-2</v>
      </c>
      <c r="AD20" s="10">
        <f t="shared" si="1"/>
        <v>-12.91500000000002</v>
      </c>
      <c r="AE20" s="11">
        <f>IFERROR(AD20/AD148, "NA")</f>
        <v>3.0233740878229946E-3</v>
      </c>
      <c r="AF20" s="10">
        <f t="shared" si="2"/>
        <v>-4.2413096665079461E-2</v>
      </c>
      <c r="AG20" s="9">
        <f t="shared" si="3"/>
        <v>318.19625000000008</v>
      </c>
      <c r="AH20" s="8">
        <f>IFERROR(AG20/AG148, "NA")</f>
        <v>1.1947627509548808E-2</v>
      </c>
      <c r="AI20" s="10">
        <f t="shared" si="4"/>
        <v>-26.606250000000102</v>
      </c>
      <c r="AJ20" s="11">
        <f>IFERROR(AI20/AI148, "NA")</f>
        <v>4.4112389706073007E-3</v>
      </c>
      <c r="AK20" s="10">
        <f t="shared" si="5"/>
        <v>-8.3615850281076834E-2</v>
      </c>
      <c r="AL20" s="11">
        <f>IFERROR(AK20/AK148, "NA")</f>
        <v>0.36921463839425367</v>
      </c>
    </row>
    <row r="21" spans="1:38" ht="16.5" customHeight="1">
      <c r="A21" s="25" t="s">
        <v>36</v>
      </c>
      <c r="B21" s="7">
        <v>205.97</v>
      </c>
      <c r="C21" s="8">
        <f>IFERROR(B21/B148, "NA")</f>
        <v>5.9808671487870278E-3</v>
      </c>
      <c r="D21" s="7">
        <v>133.5</v>
      </c>
      <c r="E21" s="8">
        <f>IFERROR(D21/D148, "NA")</f>
        <v>4.6761904495027477E-3</v>
      </c>
      <c r="F21" s="7">
        <v>146.44999999999999</v>
      </c>
      <c r="G21" s="8">
        <f>IFERROR(F21/F148, "NA")</f>
        <v>4.1972023045778878E-3</v>
      </c>
      <c r="H21" s="7">
        <v>514.97</v>
      </c>
      <c r="I21" s="8">
        <f>IFERROR(H21/H148, "NA")</f>
        <v>1.1340538555012302E-2</v>
      </c>
      <c r="J21" s="7">
        <v>385.34</v>
      </c>
      <c r="K21" s="8">
        <f>IFERROR(J21/J148, "NA")</f>
        <v>9.5158413792660636E-3</v>
      </c>
      <c r="L21" s="7">
        <v>126.38</v>
      </c>
      <c r="M21" s="8">
        <f>IFERROR(L21/L148, "NA")</f>
        <v>5.4600566484117536E-3</v>
      </c>
      <c r="N21" s="7">
        <v>211.05</v>
      </c>
      <c r="O21" s="8">
        <f>IFERROR(N21/N148, "NA")</f>
        <v>8.301848198709388E-3</v>
      </c>
      <c r="P21" s="7">
        <v>149.55000000000001</v>
      </c>
      <c r="Q21" s="8">
        <f>IFERROR(P21/P148, "NA")</f>
        <v>6.1024750626875787E-3</v>
      </c>
      <c r="R21" s="7">
        <v>112.44</v>
      </c>
      <c r="S21" s="8">
        <f>IFERROR(R21/R148, "NA")</f>
        <v>4.3505850306444624E-3</v>
      </c>
      <c r="T21" s="7">
        <v>158.71</v>
      </c>
      <c r="U21" s="8">
        <f>IFERROR(T21/T148, "NA")</f>
        <v>5.5747985805005345E-3</v>
      </c>
      <c r="V21" s="7">
        <v>101.46</v>
      </c>
      <c r="W21" s="8">
        <f>IFERROR(V21/V148, "NA")</f>
        <v>4.1283776525619861E-3</v>
      </c>
      <c r="X21" s="7">
        <v>304.02</v>
      </c>
      <c r="Y21" s="8">
        <f>IFERROR(X21/X148, "NA")</f>
        <v>1.4757450080383979E-2</v>
      </c>
      <c r="Z21" s="7">
        <v>564.19000000000005</v>
      </c>
      <c r="AA21" s="8">
        <f>IFERROR(Z21/Z148, "NA")</f>
        <v>7.6607797649720184E-3</v>
      </c>
      <c r="AB21" s="9">
        <f t="shared" si="0"/>
        <v>169.15749999999997</v>
      </c>
      <c r="AC21" s="8">
        <f>IFERROR(AB21/AB148, "NA")</f>
        <v>6.800892740926723E-3</v>
      </c>
      <c r="AD21" s="10">
        <f t="shared" si="1"/>
        <v>134.86250000000001</v>
      </c>
      <c r="AE21" s="11">
        <f>IFERROR(AD21/AD148, "NA")</f>
        <v>-3.157102500340906E-2</v>
      </c>
      <c r="AF21" s="10">
        <f t="shared" si="2"/>
        <v>0.79725995004655448</v>
      </c>
      <c r="AG21" s="9">
        <f t="shared" si="3"/>
        <v>193.61875000000001</v>
      </c>
      <c r="AH21" s="8">
        <f>IFERROR(AG21/AG148, "NA")</f>
        <v>7.2699936088638775E-3</v>
      </c>
      <c r="AI21" s="10">
        <f t="shared" si="4"/>
        <v>110.40124999999998</v>
      </c>
      <c r="AJ21" s="11">
        <f>IFERROR(AI21/AI148, "NA")</f>
        <v>-1.8304206583180917E-2</v>
      </c>
      <c r="AK21" s="10">
        <f t="shared" si="5"/>
        <v>0.57019916717776542</v>
      </c>
      <c r="AL21" s="11">
        <f>IFERROR(AK21/AK148, "NA")</f>
        <v>-2.5177747833043029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189.59</v>
      </c>
      <c r="C23" s="8">
        <f>IFERROR(B23/B148, "NA")</f>
        <v>5.5052318431739215E-3</v>
      </c>
      <c r="D23" s="7">
        <v>158.16</v>
      </c>
      <c r="E23" s="8">
        <f>IFERROR(D23/D148, "NA")</f>
        <v>5.539972146017637E-3</v>
      </c>
      <c r="F23" s="7">
        <v>135.97</v>
      </c>
      <c r="G23" s="8">
        <f>IFERROR(F23/F148, "NA")</f>
        <v>3.8968494185964864E-3</v>
      </c>
      <c r="H23" s="7">
        <v>204.85</v>
      </c>
      <c r="I23" s="8">
        <f>IFERROR(H23/H148, "NA")</f>
        <v>4.5111546750184871E-3</v>
      </c>
      <c r="J23" s="7">
        <v>161.16</v>
      </c>
      <c r="K23" s="8">
        <f>IFERROR(J23/J148, "NA")</f>
        <v>3.9797918635037085E-3</v>
      </c>
      <c r="L23" s="7">
        <v>210.88</v>
      </c>
      <c r="M23" s="8">
        <f>IFERROR(L23/L148, "NA")</f>
        <v>9.1107512740708236E-3</v>
      </c>
      <c r="N23" s="7">
        <v>131.51</v>
      </c>
      <c r="O23" s="8">
        <f>IFERROR(N23/N148, "NA")</f>
        <v>5.1730682616075415E-3</v>
      </c>
      <c r="P23" s="7">
        <v>273.24</v>
      </c>
      <c r="Q23" s="8">
        <f>IFERROR(P23/P148, "NA")</f>
        <v>1.1149717727373814E-2</v>
      </c>
      <c r="R23" s="7">
        <v>79.84</v>
      </c>
      <c r="S23" s="8">
        <f>IFERROR(R23/R148, "NA")</f>
        <v>3.0892094347799172E-3</v>
      </c>
      <c r="T23" s="7">
        <v>-619.03</v>
      </c>
      <c r="U23" s="8">
        <f>IFERROR(T23/T148, "NA")</f>
        <v>-2.1743857131165306E-2</v>
      </c>
      <c r="V23" s="7">
        <v>960.83</v>
      </c>
      <c r="W23" s="8">
        <f>IFERROR(V23/V148, "NA")</f>
        <v>3.9095890990647877E-2</v>
      </c>
      <c r="X23" s="7">
        <v>163.1</v>
      </c>
      <c r="Y23" s="8">
        <f>IFERROR(X23/X148, "NA")</f>
        <v>7.917045286858191E-3</v>
      </c>
      <c r="Z23" s="7">
        <v>504.9</v>
      </c>
      <c r="AA23" s="8">
        <f>IFERROR(Z23/Z148, "NA")</f>
        <v>6.8557182923028974E-3</v>
      </c>
      <c r="AB23" s="9">
        <f t="shared" si="0"/>
        <v>146.18500000000003</v>
      </c>
      <c r="AC23" s="8">
        <f>IFERROR(AB23/AB148, "NA")</f>
        <v>5.8772948603069532E-3</v>
      </c>
      <c r="AD23" s="10">
        <f t="shared" si="1"/>
        <v>16.914999999999964</v>
      </c>
      <c r="AE23" s="11">
        <f>IFERROR(AD23/AD148, "NA")</f>
        <v>-3.9597655977952591E-3</v>
      </c>
      <c r="AF23" s="10">
        <f t="shared" si="2"/>
        <v>0.11570954612306297</v>
      </c>
      <c r="AG23" s="9">
        <f t="shared" si="3"/>
        <v>170.19125</v>
      </c>
      <c r="AH23" s="8">
        <f>IFERROR(AG23/AG148, "NA")</f>
        <v>6.3903382280102233E-3</v>
      </c>
      <c r="AI23" s="10">
        <f t="shared" si="4"/>
        <v>-7.0912500000000023</v>
      </c>
      <c r="AJ23" s="11">
        <f>IFERROR(AI23/AI148, "NA")</f>
        <v>1.1757086530540346E-3</v>
      </c>
      <c r="AK23" s="10">
        <f t="shared" si="5"/>
        <v>-4.1666360638399465E-2</v>
      </c>
      <c r="AL23" s="11">
        <f>IFERROR(AK23/AK148, "NA")</f>
        <v>0.18398222615207621</v>
      </c>
    </row>
    <row r="24" spans="1:38" ht="16.5" customHeight="1">
      <c r="A24" s="25" t="s">
        <v>39</v>
      </c>
      <c r="B24" s="7">
        <v>1970.7</v>
      </c>
      <c r="C24" s="8">
        <f>IFERROR(B24/B148, "NA")</f>
        <v>5.7224328252243516E-2</v>
      </c>
      <c r="D24" s="7">
        <v>1262.8</v>
      </c>
      <c r="E24" s="8">
        <f>IFERROR(D24/D148, "NA")</f>
        <v>4.4232908611476177E-2</v>
      </c>
      <c r="F24" s="7">
        <v>1996.09</v>
      </c>
      <c r="G24" s="8">
        <f>IFERROR(F24/F148, "NA")</f>
        <v>5.7207193910173273E-2</v>
      </c>
      <c r="H24" s="7">
        <v>2667.5</v>
      </c>
      <c r="I24" s="8">
        <f>IFERROR(H24/H148, "NA")</f>
        <v>5.8743007545090618E-2</v>
      </c>
      <c r="J24" s="7">
        <v>2122.83</v>
      </c>
      <c r="K24" s="8">
        <f>IFERROR(J24/J148, "NA")</f>
        <v>5.2422571119394246E-2</v>
      </c>
      <c r="L24" s="7">
        <v>1182.8399999999999</v>
      </c>
      <c r="M24" s="8">
        <f>IFERROR(L24/L148, "NA")</f>
        <v>5.1102812201355895E-2</v>
      </c>
      <c r="N24" s="7">
        <v>2097.35</v>
      </c>
      <c r="O24" s="8">
        <f>IFERROR(N24/N148, "NA")</f>
        <v>8.2501214496863942E-2</v>
      </c>
      <c r="P24" s="7">
        <v>1372.72</v>
      </c>
      <c r="Q24" s="8">
        <f>IFERROR(P24/P148, "NA")</f>
        <v>5.601464104348039E-2</v>
      </c>
      <c r="R24" s="7">
        <v>1390.86</v>
      </c>
      <c r="S24" s="8">
        <f>IFERROR(R24/R148, "NA")</f>
        <v>5.3815854640004948E-2</v>
      </c>
      <c r="T24" s="7">
        <v>1680.19</v>
      </c>
      <c r="U24" s="8">
        <f>IFERROR(T24/T148, "NA")</f>
        <v>5.901783647515086E-2</v>
      </c>
      <c r="V24" s="7">
        <v>1205.08</v>
      </c>
      <c r="W24" s="8">
        <f>IFERROR(V24/V148, "NA")</f>
        <v>4.9034351878074103E-2</v>
      </c>
      <c r="X24" s="7">
        <v>891.25</v>
      </c>
      <c r="Y24" s="8">
        <f>IFERROR(X24/X148, "NA")</f>
        <v>4.3262210986587141E-2</v>
      </c>
      <c r="Z24" s="7">
        <v>3776.52</v>
      </c>
      <c r="AA24" s="8">
        <f>IFERROR(Z24/Z148, "NA")</f>
        <v>5.1278980481774095E-2</v>
      </c>
      <c r="AB24" s="9">
        <f t="shared" si="0"/>
        <v>1291.845</v>
      </c>
      <c r="AC24" s="8">
        <f>IFERROR(AB24/AB148, "NA")</f>
        <v>5.1937982548231586E-2</v>
      </c>
      <c r="AD24" s="10">
        <f t="shared" si="1"/>
        <v>-400.59500000000003</v>
      </c>
      <c r="AE24" s="11">
        <f>IFERROR(AD24/AD148, "NA")</f>
        <v>9.3778439234336097E-2</v>
      </c>
      <c r="AF24" s="10">
        <f t="shared" si="2"/>
        <v>-0.31009525136529537</v>
      </c>
      <c r="AG24" s="9">
        <f t="shared" si="3"/>
        <v>1492.89</v>
      </c>
      <c r="AH24" s="8">
        <f>IFERROR(AG24/AG148, "NA")</f>
        <v>5.6055008922104882E-2</v>
      </c>
      <c r="AI24" s="10">
        <f t="shared" si="4"/>
        <v>-601.6400000000001</v>
      </c>
      <c r="AJ24" s="11">
        <f>IFERROR(AI24/AI148, "NA")</f>
        <v>9.9750164501805655E-2</v>
      </c>
      <c r="AK24" s="10">
        <f t="shared" si="5"/>
        <v>-0.40300357025634848</v>
      </c>
      <c r="AL24" s="11">
        <f>IFERROR(AK24/AK148, "NA")</f>
        <v>1.7795049259633584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6855.04</v>
      </c>
      <c r="C27" s="14">
        <f>IFERROR(B27/B148, "NA")</f>
        <v>0.19905366577472947</v>
      </c>
      <c r="D27" s="13">
        <f>IFERROR(D15+D16+D17+D18+D19+D20+D21+D22+D23+D24+D25+D26, "NA")</f>
        <v>5481.95</v>
      </c>
      <c r="E27" s="14">
        <f>IFERROR(D27/D148, "NA")</f>
        <v>0.19201979201986205</v>
      </c>
      <c r="F27" s="13">
        <f>IFERROR(F15+F16+F17+F18+F19+F20+F21+F22+F23+F24+F25+F26, "NA")</f>
        <v>6519.7</v>
      </c>
      <c r="G27" s="14">
        <f>IFERROR(F27/F148, "NA")</f>
        <v>0.18685216705467023</v>
      </c>
      <c r="H27" s="13">
        <f>IFERROR(H15+H16+H17+H18+H19+H20+H21+H22+H23+H24+H25+H26, "NA")</f>
        <v>9271.760000000002</v>
      </c>
      <c r="I27" s="14">
        <f>IFERROR(H27/H148, "NA")</f>
        <v>0.20418034400609916</v>
      </c>
      <c r="J27" s="13">
        <f>IFERROR(J15+J16+J17+J18+J19+J20+J21+J22+J23+J24+J25+J26, "NA")</f>
        <v>8198.2000000000007</v>
      </c>
      <c r="K27" s="14">
        <f>IFERROR(J27/J148, "NA")</f>
        <v>0.2024517849055355</v>
      </c>
      <c r="L27" s="13">
        <f>IFERROR(L15+L16+L17+L18+L19+L20+L21+L22+L23+L24+L25+L26, "NA")</f>
        <v>4259.46</v>
      </c>
      <c r="M27" s="14">
        <f>IFERROR(L27/L148, "NA")</f>
        <v>0.18402352343443526</v>
      </c>
      <c r="N27" s="13">
        <f>IFERROR(N15+N16+N17+N18+N19+N20+N21+N22+N23+N24+N25+N26, "NA")</f>
        <v>5528.0599999999995</v>
      </c>
      <c r="O27" s="14">
        <f>IFERROR(N27/N148, "NA")</f>
        <v>0.2174513857065028</v>
      </c>
      <c r="P27" s="13">
        <f>IFERROR(P15+P16+P17+P18+P19+P20+P21+P22+P23+P24+P25+P26, "NA")</f>
        <v>5242.5000000000009</v>
      </c>
      <c r="Q27" s="14">
        <f>IFERROR(P27/P148, "NA")</f>
        <v>0.21392327326071303</v>
      </c>
      <c r="R27" s="13">
        <f>IFERROR(R15+R16+R17+R18+R19+R20+R21+R22+R23+R24+R25+R26, "NA")</f>
        <v>4540.5</v>
      </c>
      <c r="S27" s="14">
        <f>IFERROR(R27/R148, "NA")</f>
        <v>0.17568330960193154</v>
      </c>
      <c r="T27" s="13">
        <f>IFERROR(T15+T16+T17+T18+T19+T20+T21+T22+T23+T24+T25+T26, "NA")</f>
        <v>4635.2700000000004</v>
      </c>
      <c r="U27" s="14">
        <f>IFERROR(T27/T148, "NA")</f>
        <v>0.1628170664497304</v>
      </c>
      <c r="V27" s="13">
        <f>IFERROR(V15+V16+V17+V18+V19+V20+V21+V22+V23+V24+V25+V26, "NA")</f>
        <v>5314.09</v>
      </c>
      <c r="W27" s="14">
        <f>IFERROR(V27/V148, "NA")</f>
        <v>0.21622876404201782</v>
      </c>
      <c r="X27" s="13">
        <f>IFERROR(X15+X16+X17+X18+X19+X20+X21+X22+X23+X24+X25+X26, "NA")</f>
        <v>4464</v>
      </c>
      <c r="Y27" s="14">
        <f>IFERROR(X27/X148, "NA")</f>
        <v>0.2166872480719495</v>
      </c>
      <c r="Z27" s="13">
        <f>IFERROR(Z15+Z16+Z17+Z18+Z19+Z20+Z21+Z22+Z23+Z24+Z25+Z26, "NA")</f>
        <v>14413.36</v>
      </c>
      <c r="AA27" s="14">
        <f>IFERROR(Z27/Z148, "NA")</f>
        <v>0.19570991444948882</v>
      </c>
      <c r="AB27" s="13">
        <f t="shared" si="0"/>
        <v>4738.4650000000001</v>
      </c>
      <c r="AC27" s="14">
        <f>IFERROR(AB27/AB148, "NA")</f>
        <v>0.1905076169938392</v>
      </c>
      <c r="AD27" s="15">
        <f t="shared" si="1"/>
        <v>-274.46500000000015</v>
      </c>
      <c r="AE27" s="16">
        <f>IFERROR(AD27/AD148, "NA")</f>
        <v>6.4251673946135304E-2</v>
      </c>
      <c r="AF27" s="15">
        <f t="shared" si="2"/>
        <v>-5.7922766127849447E-2</v>
      </c>
      <c r="AG27" s="13">
        <f t="shared" si="3"/>
        <v>5272.76</v>
      </c>
      <c r="AH27" s="14">
        <f>IFERROR(AG27/AG148, "NA")</f>
        <v>0.19798150489595198</v>
      </c>
      <c r="AI27" s="15">
        <f t="shared" si="4"/>
        <v>-808.76000000000022</v>
      </c>
      <c r="AJ27" s="16">
        <f>IFERROR(AI27/AI148, "NA")</f>
        <v>0.13409005890978051</v>
      </c>
      <c r="AK27" s="15">
        <f t="shared" si="5"/>
        <v>-0.15338456519925053</v>
      </c>
      <c r="AL27" s="16">
        <f>IFERROR(AK27/AK148, "NA")</f>
        <v>0.67728578475171597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502.46</v>
      </c>
      <c r="C30" s="8">
        <f>IFERROR(B30/B148, "NA")</f>
        <v>1.4590214631157596E-2</v>
      </c>
      <c r="D30" s="7">
        <v>428.24</v>
      </c>
      <c r="E30" s="8">
        <f>IFERROR(D30/D148, "NA")</f>
        <v>1.5000238187977952E-2</v>
      </c>
      <c r="F30" s="7">
        <v>360.74</v>
      </c>
      <c r="G30" s="8">
        <f>IFERROR(F30/F148, "NA")</f>
        <v>1.0338673672607903E-2</v>
      </c>
      <c r="H30" s="7">
        <v>871.68</v>
      </c>
      <c r="I30" s="8">
        <f>IFERROR(H30/H148, "NA")</f>
        <v>1.919591558271962E-2</v>
      </c>
      <c r="J30" s="7">
        <v>-367.22</v>
      </c>
      <c r="K30" s="8">
        <f>IFERROR(J30/J148, "NA")</f>
        <v>-9.0683740885817311E-3</v>
      </c>
      <c r="L30" s="7">
        <v>180.23</v>
      </c>
      <c r="M30" s="8">
        <f>IFERROR(L30/L148, "NA")</f>
        <v>7.7865644068938937E-3</v>
      </c>
      <c r="N30" s="7">
        <v>229.29</v>
      </c>
      <c r="O30" s="8">
        <f>IFERROR(N30/N148, "NA")</f>
        <v>9.0193355767925875E-3</v>
      </c>
      <c r="P30" s="7">
        <v>250.72</v>
      </c>
      <c r="Q30" s="8">
        <f>IFERROR(P30/P148, "NA")</f>
        <v>1.0230775979385019E-2</v>
      </c>
      <c r="R30" s="7">
        <v>436.78</v>
      </c>
      <c r="S30" s="8">
        <f>IFERROR(R30/R148, "NA")</f>
        <v>1.690011143440847E-2</v>
      </c>
      <c r="T30" s="7">
        <v>322.70999999999998</v>
      </c>
      <c r="U30" s="8">
        <f>IFERROR(T30/T148, "NA")</f>
        <v>1.1335412071787079E-2</v>
      </c>
      <c r="V30" s="7">
        <v>-68.47</v>
      </c>
      <c r="W30" s="8">
        <f>IFERROR(V30/V148, "NA")</f>
        <v>-2.786024225023844E-3</v>
      </c>
      <c r="X30" s="7">
        <v>218.86</v>
      </c>
      <c r="Y30" s="8">
        <f>IFERROR(X30/X148, "NA")</f>
        <v>1.0623694245749746E-2</v>
      </c>
      <c r="Z30" s="7">
        <v>473.1</v>
      </c>
      <c r="AA30" s="8">
        <f>IFERROR(Z30/Z148, "NA")</f>
        <v>6.4239261716943974E-3</v>
      </c>
      <c r="AB30" s="9">
        <f t="shared" si="6"/>
        <v>227.47</v>
      </c>
      <c r="AC30" s="8">
        <f>IFERROR(AB30/AB148, "NA")</f>
        <v>9.145317658268785E-3</v>
      </c>
      <c r="AD30" s="10">
        <f t="shared" si="7"/>
        <v>-8.6099999999999852</v>
      </c>
      <c r="AE30" s="11">
        <f>IFERROR(AD30/AD148, "NA")</f>
        <v>2.0155827252153233E-3</v>
      </c>
      <c r="AF30" s="10">
        <f t="shared" si="8"/>
        <v>-3.7851145205961161E-2</v>
      </c>
      <c r="AG30" s="9">
        <f t="shared" si="9"/>
        <v>150.36250000000001</v>
      </c>
      <c r="AH30" s="8">
        <f>IFERROR(AG30/AG148, "NA")</f>
        <v>5.6458086523789404E-3</v>
      </c>
      <c r="AI30" s="10">
        <f t="shared" si="10"/>
        <v>68.497500000000002</v>
      </c>
      <c r="AJ30" s="11">
        <f>IFERROR(AI30/AI148, "NA")</f>
        <v>-1.135668654504759E-2</v>
      </c>
      <c r="AK30" s="10">
        <f t="shared" si="11"/>
        <v>0.45554908969989188</v>
      </c>
      <c r="AL30" s="11">
        <f>IFERROR(AK30/AK148, "NA")</f>
        <v>-2.0115252294748407</v>
      </c>
    </row>
    <row r="31" spans="1:38" ht="16.5" customHeight="1">
      <c r="A31" s="25" t="s">
        <v>46</v>
      </c>
      <c r="B31" s="7">
        <v>-20.260000000000002</v>
      </c>
      <c r="C31" s="8">
        <f>IFERROR(B31/B148, "NA")</f>
        <v>-5.883010556606554E-4</v>
      </c>
      <c r="D31" s="7">
        <v>4.87</v>
      </c>
      <c r="E31" s="8">
        <f>IFERROR(D31/D148, "NA")</f>
        <v>1.7058462538635492E-4</v>
      </c>
      <c r="F31" s="7">
        <v>15.92</v>
      </c>
      <c r="G31" s="8">
        <f>IFERROR(F31/F148, "NA")</f>
        <v>4.5626125427709099E-4</v>
      </c>
      <c r="H31" s="7">
        <v>2.44</v>
      </c>
      <c r="I31" s="8">
        <f>IFERROR(H31/H148, "NA")</f>
        <v>5.3733060322407167E-5</v>
      </c>
      <c r="J31" s="7">
        <v>26.79</v>
      </c>
      <c r="K31" s="8">
        <f>IFERROR(J31/J148, "NA")</f>
        <v>6.6157001751839374E-4</v>
      </c>
      <c r="L31" s="7">
        <v>30.18</v>
      </c>
      <c r="M31" s="8">
        <f>IFERROR(L31/L148, "NA")</f>
        <v>1.3038812284306594E-3</v>
      </c>
      <c r="N31" s="7">
        <v>7.66</v>
      </c>
      <c r="O31" s="8">
        <f>IFERROR(N31/N148, "NA")</f>
        <v>3.0131323005029098E-4</v>
      </c>
      <c r="P31" s="7">
        <v>16.420000000000002</v>
      </c>
      <c r="Q31" s="8">
        <f>IFERROR(P31/P148, "NA")</f>
        <v>6.7002768658863286E-4</v>
      </c>
      <c r="R31" s="7">
        <v>12.38</v>
      </c>
      <c r="S31" s="8">
        <f>IFERROR(R31/R148, "NA")</f>
        <v>4.790131864050022E-4</v>
      </c>
      <c r="T31" s="7">
        <v>27.36</v>
      </c>
      <c r="U31" s="8">
        <f>IFERROR(T31/T148, "NA")</f>
        <v>9.6103893366829198E-4</v>
      </c>
      <c r="V31" s="7">
        <v>7.3</v>
      </c>
      <c r="W31" s="8">
        <f>IFERROR(V31/V148, "NA")</f>
        <v>2.9703485968561502E-4</v>
      </c>
      <c r="X31" s="7">
        <v>2.44</v>
      </c>
      <c r="Y31" s="8">
        <f>IFERROR(X31/X148, "NA")</f>
        <v>1.1844016247660321E-4</v>
      </c>
      <c r="Z31" s="7">
        <v>37.1</v>
      </c>
      <c r="AA31" s="8">
        <f>IFERROR(Z31/Z148, "NA")</f>
        <v>5.0375747404325113E-4</v>
      </c>
      <c r="AB31" s="9">
        <f t="shared" si="6"/>
        <v>12.37</v>
      </c>
      <c r="AC31" s="8">
        <f>IFERROR(AB31/AB148, "NA")</f>
        <v>4.9732966735299103E-4</v>
      </c>
      <c r="AD31" s="10">
        <f t="shared" si="7"/>
        <v>-9.93</v>
      </c>
      <c r="AE31" s="11">
        <f>IFERROR(AD31/AD148, "NA")</f>
        <v>2.3245919235061782E-3</v>
      </c>
      <c r="AF31" s="10">
        <f t="shared" si="8"/>
        <v>-0.80274858528698467</v>
      </c>
      <c r="AG31" s="9">
        <f t="shared" si="9"/>
        <v>16.31625</v>
      </c>
      <c r="AH31" s="8">
        <f>IFERROR(AG31/AG148, "NA")</f>
        <v>6.1264228397624328E-4</v>
      </c>
      <c r="AI31" s="10">
        <f t="shared" si="10"/>
        <v>-13.876250000000001</v>
      </c>
      <c r="AJ31" s="11">
        <f>IFERROR(AI31/AI148, "NA")</f>
        <v>2.300641945628915E-3</v>
      </c>
      <c r="AK31" s="10">
        <f t="shared" si="11"/>
        <v>-0.85045583390791391</v>
      </c>
      <c r="AL31" s="11">
        <f>IFERROR(AK31/AK148, "NA")</f>
        <v>3.7552777629010805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482.2</v>
      </c>
      <c r="C34" s="14">
        <f>IFERROR(B34/B148, "NA")</f>
        <v>1.4001913575496941E-2</v>
      </c>
      <c r="D34" s="13">
        <f>IFERROR(D29+D30+D31+D32+D33, "NA")</f>
        <v>433.11</v>
      </c>
      <c r="E34" s="14">
        <f>IFERROR(D34/D148, "NA")</f>
        <v>1.5170822813364307E-2</v>
      </c>
      <c r="F34" s="13">
        <f>IFERROR(F29+F30+F31+F32+F33, "NA")</f>
        <v>376.66</v>
      </c>
      <c r="G34" s="14">
        <f>IFERROR(F34/F148, "NA")</f>
        <v>1.0794934926884995E-2</v>
      </c>
      <c r="H34" s="13">
        <f>IFERROR(H29+H30+H31+H32+H33, "NA")</f>
        <v>874.12</v>
      </c>
      <c r="I34" s="14">
        <f>IFERROR(H34/H148, "NA")</f>
        <v>1.924964864304203E-2</v>
      </c>
      <c r="J34" s="13">
        <f>IFERROR(J29+J30+J31+J32+J33, "NA")</f>
        <v>-340.43</v>
      </c>
      <c r="K34" s="14">
        <f>IFERROR(J34/J148, "NA")</f>
        <v>-8.4068040710633379E-3</v>
      </c>
      <c r="L34" s="13">
        <f>IFERROR(L29+L30+L31+L32+L33, "NA")</f>
        <v>210.41</v>
      </c>
      <c r="M34" s="14">
        <f>IFERROR(L34/L148, "NA")</f>
        <v>9.0904456353245542E-3</v>
      </c>
      <c r="N34" s="13">
        <f>IFERROR(N29+N30+N31+N32+N33, "NA")</f>
        <v>236.95</v>
      </c>
      <c r="O34" s="14">
        <f>IFERROR(N34/N148, "NA")</f>
        <v>9.3206488068428781E-3</v>
      </c>
      <c r="P34" s="13">
        <f>IFERROR(P29+P30+P31+P32+P33, "NA")</f>
        <v>267.14</v>
      </c>
      <c r="Q34" s="14">
        <f>IFERROR(P34/P148, "NA")</f>
        <v>1.0900803665973652E-2</v>
      </c>
      <c r="R34" s="13">
        <f>IFERROR(R29+R30+R31+R32+R33, "NA")</f>
        <v>449.15999999999997</v>
      </c>
      <c r="S34" s="14">
        <f>IFERROR(R34/R148, "NA")</f>
        <v>1.7379124620813469E-2</v>
      </c>
      <c r="T34" s="13">
        <f>IFERROR(T29+T30+T31+T32+T33, "NA")</f>
        <v>350.07</v>
      </c>
      <c r="U34" s="14">
        <f>IFERROR(T34/T148, "NA")</f>
        <v>1.2296451005455372E-2</v>
      </c>
      <c r="V34" s="13">
        <f>IFERROR(V29+V30+V31+V32+V33, "NA")</f>
        <v>-61.17</v>
      </c>
      <c r="W34" s="14">
        <f>IFERROR(V34/V148, "NA")</f>
        <v>-2.4889893653382289E-3</v>
      </c>
      <c r="X34" s="13">
        <f>IFERROR(X29+X30+X31+X32+X33, "NA")</f>
        <v>221.3</v>
      </c>
      <c r="Y34" s="14">
        <f>IFERROR(X34/X148, "NA")</f>
        <v>1.0742134408226351E-2</v>
      </c>
      <c r="Z34" s="13">
        <f>IFERROR(Z29+Z30+Z31+Z32+Z33, "NA")</f>
        <v>510.20000000000005</v>
      </c>
      <c r="AA34" s="14">
        <f>IFERROR(Z34/Z148, "NA")</f>
        <v>6.9276836457376487E-3</v>
      </c>
      <c r="AB34" s="13">
        <f t="shared" si="6"/>
        <v>239.84000000000003</v>
      </c>
      <c r="AC34" s="14">
        <f>IFERROR(AB34/AB148, "NA")</f>
        <v>9.6426473256217768E-3</v>
      </c>
      <c r="AD34" s="15">
        <f t="shared" si="7"/>
        <v>-18.54000000000002</v>
      </c>
      <c r="AE34" s="16">
        <f>IFERROR(AD34/AD148, "NA")</f>
        <v>4.3401746487215093E-3</v>
      </c>
      <c r="AF34" s="15">
        <f t="shared" si="8"/>
        <v>-7.7301534356237572E-2</v>
      </c>
      <c r="AG34" s="13">
        <f t="shared" si="9"/>
        <v>166.67874999999998</v>
      </c>
      <c r="AH34" s="14">
        <f>IFERROR(AG34/AG148, "NA")</f>
        <v>6.2584509363551822E-3</v>
      </c>
      <c r="AI34" s="15">
        <f t="shared" si="10"/>
        <v>54.621250000000032</v>
      </c>
      <c r="AJ34" s="16">
        <f>IFERROR(AI34/AI148, "NA")</f>
        <v>-9.0560445994186788E-3</v>
      </c>
      <c r="AK34" s="15">
        <f t="shared" si="11"/>
        <v>0.32770374147874304</v>
      </c>
      <c r="AL34" s="16">
        <f>IFERROR(AK34/AK148, "NA")</f>
        <v>-1.4470105608421961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7337.24</v>
      </c>
      <c r="C35" s="14">
        <f>IFERROR(B35/B148, "NA")</f>
        <v>0.2130555793502264</v>
      </c>
      <c r="D35" s="13">
        <f>IFERROR(D13+D15+D16+D17+D18+D19+D20+D21+D22+D23+D24+D25+D26+D29+D30+D31+D32+D33, "NA")</f>
        <v>5915.0599999999995</v>
      </c>
      <c r="E35" s="14">
        <f>IFERROR(D35/D148, "NA")</f>
        <v>0.20719061483322634</v>
      </c>
      <c r="F35" s="13">
        <f>IFERROR(F13+F15+F16+F17+F18+F19+F20+F21+F22+F23+F24+F25+F26+F29+F30+F31+F32+F33, "NA")</f>
        <v>6896.36</v>
      </c>
      <c r="G35" s="14">
        <f>IFERROR(F35/F148, "NA")</f>
        <v>0.19764710198155522</v>
      </c>
      <c r="H35" s="13">
        <f>IFERROR(H13+H15+H16+H17+H18+H19+H20+H21+H22+H23+H24+H25+H26+H29+H30+H31+H32+H33, "NA")</f>
        <v>10145.880000000003</v>
      </c>
      <c r="I35" s="14">
        <f>IFERROR(H35/H148, "NA")</f>
        <v>0.22342999264914121</v>
      </c>
      <c r="J35" s="13">
        <f>IFERROR(J13+J15+J16+J17+J18+J19+J20+J21+J22+J23+J24+J25+J26+J29+J30+J31+J32+J33, "NA")</f>
        <v>7857.77</v>
      </c>
      <c r="K35" s="14">
        <f>IFERROR(J35/J148, "NA")</f>
        <v>0.19404498083447216</v>
      </c>
      <c r="L35" s="13">
        <f>IFERROR(L13+L15+L16+L17+L18+L19+L20+L21+L22+L23+L24+L25+L26+L29+L30+L31+L32+L33, "NA")</f>
        <v>4469.87</v>
      </c>
      <c r="M35" s="14">
        <f>IFERROR(L35/L148, "NA")</f>
        <v>0.19311396906975981</v>
      </c>
      <c r="N35" s="13">
        <f>IFERROR(N13+N15+N16+N17+N18+N19+N20+N21+N22+N23+N24+N25+N26+N29+N30+N31+N32+N33, "NA")</f>
        <v>5765.0099999999993</v>
      </c>
      <c r="O35" s="14">
        <f>IFERROR(N35/N148, "NA")</f>
        <v>0.22677203451334568</v>
      </c>
      <c r="P35" s="13">
        <f>IFERROR(P13+P15+P16+P17+P18+P19+P20+P21+P22+P23+P24+P25+P26+P29+P30+P31+P32+P33, "NA")</f>
        <v>5509.6400000000012</v>
      </c>
      <c r="Q35" s="14">
        <f>IFERROR(P35/P148, "NA")</f>
        <v>0.22482407692668668</v>
      </c>
      <c r="R35" s="13">
        <f>IFERROR(R13+R15+R16+R17+R18+R19+R20+R21+R22+R23+R24+R25+R26+R29+R30+R31+R32+R33, "NA")</f>
        <v>4989.66</v>
      </c>
      <c r="S35" s="14">
        <f>IFERROR(R35/R148, "NA")</f>
        <v>0.19306243422274499</v>
      </c>
      <c r="T35" s="13">
        <f>IFERROR(T13+T15+T16+T17+T18+T19+T20+T21+T22+T23+T24+T25+T26+T29+T30+T31+T32+T33, "NA")</f>
        <v>4985.34</v>
      </c>
      <c r="U35" s="14">
        <f>IFERROR(T35/T148, "NA")</f>
        <v>0.17511351745518577</v>
      </c>
      <c r="V35" s="13">
        <f>IFERROR(V13+V15+V16+V17+V18+V19+V20+V21+V22+V23+V24+V25+V26+V29+V30+V31+V32+V33, "NA")</f>
        <v>5252.92</v>
      </c>
      <c r="W35" s="14">
        <f>IFERROR(V35/V148, "NA")</f>
        <v>0.21373977467667957</v>
      </c>
      <c r="X35" s="13">
        <f>IFERROR(X13+X15+X16+X17+X18+X19+X20+X21+X22+X23+X24+X25+X26+X29+X30+X31+X32+X33, "NA")</f>
        <v>4685.2999999999993</v>
      </c>
      <c r="Y35" s="14">
        <f>IFERROR(X35/X148, "NA")</f>
        <v>0.2274293824801758</v>
      </c>
      <c r="Z35" s="13">
        <f>IFERROR(Z13+Z15+Z16+Z17+Z18+Z19+Z20+Z21+Z22+Z23+Z24+Z25+Z26+Z29+Z30+Z31+Z32+Z33, "NA")</f>
        <v>14923.560000000001</v>
      </c>
      <c r="AA35" s="14">
        <f>IFERROR(Z35/Z148, "NA")</f>
        <v>0.20263759809522647</v>
      </c>
      <c r="AB35" s="13">
        <f t="shared" si="6"/>
        <v>4978.3050000000003</v>
      </c>
      <c r="AC35" s="14">
        <f>IFERROR(AB35/AB148, "NA")</f>
        <v>0.20015026431946098</v>
      </c>
      <c r="AD35" s="15">
        <f t="shared" si="7"/>
        <v>-293.00500000000102</v>
      </c>
      <c r="AE35" s="16">
        <f>IFERROR(AD35/AD148, "NA")</f>
        <v>6.8591848594857008E-2</v>
      </c>
      <c r="AF35" s="15">
        <f t="shared" si="8"/>
        <v>-5.8856377823375827E-2</v>
      </c>
      <c r="AG35" s="13">
        <f t="shared" si="9"/>
        <v>5439.4387499999993</v>
      </c>
      <c r="AH35" s="14">
        <f>IFERROR(AG35/AG148, "NA")</f>
        <v>0.20423995583230711</v>
      </c>
      <c r="AI35" s="15">
        <f t="shared" si="10"/>
        <v>-754.13875000000007</v>
      </c>
      <c r="AJ35" s="16">
        <f>IFERROR(AI35/AI148, "NA")</f>
        <v>0.12503401431036182</v>
      </c>
      <c r="AK35" s="15">
        <f t="shared" si="11"/>
        <v>-0.13864275059628167</v>
      </c>
      <c r="AL35" s="16">
        <f>IFERROR(AK35/AK148, "NA")</f>
        <v>0.61219174182069447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1141.98</v>
      </c>
      <c r="C40" s="8">
        <f>IFERROR(B40/B148, "NA")</f>
        <v>3.3160317845180413E-2</v>
      </c>
      <c r="D40" s="7">
        <v>1046.6300000000001</v>
      </c>
      <c r="E40" s="8">
        <f>IFERROR(D40/D148, "NA")</f>
        <v>3.6660982847663379E-2</v>
      </c>
      <c r="F40" s="7">
        <v>967.25</v>
      </c>
      <c r="G40" s="8">
        <f>IFERROR(F40/F148, "NA")</f>
        <v>2.7721023756251021E-2</v>
      </c>
      <c r="H40" s="7">
        <v>972.87</v>
      </c>
      <c r="I40" s="8">
        <f>IFERROR(H40/H148, "NA")</f>
        <v>2.1424296063877156E-2</v>
      </c>
      <c r="J40" s="7">
        <v>969.56</v>
      </c>
      <c r="K40" s="8">
        <f>IFERROR(J40/J148, "NA")</f>
        <v>2.3942957304409623E-2</v>
      </c>
      <c r="L40" s="7">
        <v>734.82</v>
      </c>
      <c r="M40" s="8">
        <f>IFERROR(L40/L148, "NA")</f>
        <v>3.1746786092624824E-2</v>
      </c>
      <c r="N40" s="7">
        <v>881.41</v>
      </c>
      <c r="O40" s="8">
        <f>IFERROR(N40/N148, "NA")</f>
        <v>3.4671082780499608E-2</v>
      </c>
      <c r="P40" s="7">
        <v>571.04999999999995</v>
      </c>
      <c r="Q40" s="8">
        <f>IFERROR(P40/P148, "NA")</f>
        <v>2.3302028649600407E-2</v>
      </c>
      <c r="R40" s="7">
        <v>677.31</v>
      </c>
      <c r="S40" s="8">
        <f>IFERROR(R40/R148, "NA")</f>
        <v>2.6206819166718257E-2</v>
      </c>
      <c r="T40" s="7">
        <v>782.3</v>
      </c>
      <c r="U40" s="8">
        <f>IFERROR(T40/T148, "NA")</f>
        <v>2.7478828867277223E-2</v>
      </c>
      <c r="V40" s="7">
        <v>734.01</v>
      </c>
      <c r="W40" s="8">
        <f>IFERROR(V40/V148, "NA")</f>
        <v>2.9866651692854559E-2</v>
      </c>
      <c r="X40" s="7">
        <v>764.65</v>
      </c>
      <c r="Y40" s="8">
        <f>IFERROR(X40/X148, "NA")</f>
        <v>3.7116914031858461E-2</v>
      </c>
      <c r="Z40" s="7">
        <v>2280.96</v>
      </c>
      <c r="AA40" s="8">
        <f>IFERROR(Z40/Z148, "NA")</f>
        <v>3.0971715579344857E-2</v>
      </c>
      <c r="AB40" s="9">
        <f t="shared" si="12"/>
        <v>739.5675</v>
      </c>
      <c r="AC40" s="8">
        <f>IFERROR(AB40/AB148, "NA")</f>
        <v>2.9733941694428716E-2</v>
      </c>
      <c r="AD40" s="10">
        <f t="shared" si="13"/>
        <v>25.082499999999982</v>
      </c>
      <c r="AE40" s="11">
        <f>IFERROR(AD40/AD148, "NA")</f>
        <v>-5.8717600122199067E-3</v>
      </c>
      <c r="AF40" s="10">
        <f t="shared" si="14"/>
        <v>3.3915092266763994E-2</v>
      </c>
      <c r="AG40" s="9">
        <f t="shared" si="15"/>
        <v>764.38874999999996</v>
      </c>
      <c r="AH40" s="8">
        <f>IFERROR(AG40/AG148, "NA")</f>
        <v>2.8701256087994825E-2</v>
      </c>
      <c r="AI40" s="10">
        <f t="shared" si="16"/>
        <v>0.26125000000001819</v>
      </c>
      <c r="AJ40" s="11">
        <f>IFERROR(AI40/AI148, "NA")</f>
        <v>-4.3314491184260582E-5</v>
      </c>
      <c r="AK40" s="10">
        <f t="shared" si="17"/>
        <v>3.417763539822089E-4</v>
      </c>
      <c r="AL40" s="11">
        <f>IFERROR(AK40/AK148, "NA")</f>
        <v>-1.5091496710618942E-3</v>
      </c>
    </row>
    <row r="41" spans="1:38" ht="16.5" customHeight="1">
      <c r="A41" s="25" t="s">
        <v>56</v>
      </c>
      <c r="B41" s="7">
        <v>212.04</v>
      </c>
      <c r="C41" s="8">
        <f>IFERROR(B41/B148, "NA")</f>
        <v>6.1571251649696623E-3</v>
      </c>
      <c r="D41" s="7">
        <v>471.73</v>
      </c>
      <c r="E41" s="8">
        <f>IFERROR(D41/D148, "NA")</f>
        <v>1.6523590417557535E-2</v>
      </c>
      <c r="F41" s="7">
        <v>129.26</v>
      </c>
      <c r="G41" s="8">
        <f>IFERROR(F41/F148, "NA")</f>
        <v>3.7045433246141193E-3</v>
      </c>
      <c r="H41" s="7">
        <v>158.44999999999999</v>
      </c>
      <c r="I41" s="8">
        <f>IFERROR(H41/H148, "NA")</f>
        <v>3.4893456590513994E-3</v>
      </c>
      <c r="J41" s="7">
        <v>1134.42</v>
      </c>
      <c r="K41" s="8">
        <f>IFERROR(J41/J148, "NA")</f>
        <v>2.8014119420426142E-2</v>
      </c>
      <c r="L41" s="7">
        <v>253.91</v>
      </c>
      <c r="M41" s="8">
        <f>IFERROR(L41/L148, "NA")</f>
        <v>1.0969797306521825E-2</v>
      </c>
      <c r="N41" s="7">
        <v>13.55</v>
      </c>
      <c r="O41" s="8">
        <f>IFERROR(N41/N148, "NA")</f>
        <v>5.3300186255632418E-4</v>
      </c>
      <c r="P41" s="7">
        <v>369.73</v>
      </c>
      <c r="Q41" s="8">
        <f>IFERROR(P41/P148, "NA")</f>
        <v>1.5087048511718344E-2</v>
      </c>
      <c r="R41" s="7">
        <v>358.32</v>
      </c>
      <c r="S41" s="8">
        <f>IFERROR(R41/R148, "NA")</f>
        <v>1.3864297653686622E-2</v>
      </c>
      <c r="T41" s="7">
        <v>432.75</v>
      </c>
      <c r="U41" s="8">
        <f>IFERROR(T41/T148, "NA")</f>
        <v>1.5200643221672272E-2</v>
      </c>
      <c r="V41" s="7">
        <v>-26.63</v>
      </c>
      <c r="W41" s="8">
        <f>IFERROR(V41/V148, "NA")</f>
        <v>-1.0835668922504012E-3</v>
      </c>
      <c r="X41" s="7">
        <v>445.11</v>
      </c>
      <c r="Y41" s="8">
        <f>IFERROR(X41/X148, "NA")</f>
        <v>2.1606106852442977E-2</v>
      </c>
      <c r="Z41" s="7">
        <v>851.23</v>
      </c>
      <c r="AA41" s="8">
        <f>IFERROR(Z41/Z148, "NA")</f>
        <v>1.1558314680049506E-2</v>
      </c>
      <c r="AB41" s="9">
        <f t="shared" si="12"/>
        <v>302.38749999999999</v>
      </c>
      <c r="AC41" s="8">
        <f>IFERROR(AB41/AB148, "NA")</f>
        <v>1.2157338301269407E-2</v>
      </c>
      <c r="AD41" s="10">
        <f t="shared" si="13"/>
        <v>142.72250000000003</v>
      </c>
      <c r="AE41" s="11">
        <f>IFERROR(AD41/AD148, "NA")</f>
        <v>-3.3411034320504587E-2</v>
      </c>
      <c r="AF41" s="10">
        <f t="shared" si="14"/>
        <v>0.47198544913397555</v>
      </c>
      <c r="AG41" s="9">
        <f t="shared" si="15"/>
        <v>372.64500000000004</v>
      </c>
      <c r="AH41" s="8">
        <f>IFERROR(AG41/AG148, "NA")</f>
        <v>1.399206827011888E-2</v>
      </c>
      <c r="AI41" s="10">
        <f t="shared" si="16"/>
        <v>72.464999999999975</v>
      </c>
      <c r="AJ41" s="11">
        <f>IFERROR(AI41/AI148, "NA")</f>
        <v>-1.2014486521214252E-2</v>
      </c>
      <c r="AK41" s="10">
        <f t="shared" si="17"/>
        <v>0.19446121643923833</v>
      </c>
      <c r="AL41" s="11">
        <f>IFERROR(AK41/AK148, "NA")</f>
        <v>-0.85866408662914384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1354.02</v>
      </c>
      <c r="C44" s="14">
        <f>IFERROR(B44/B148, "NA")</f>
        <v>3.9317443010150076E-2</v>
      </c>
      <c r="D44" s="13">
        <f>IFERROR(D39+D40+D41+D42+D43, "NA")</f>
        <v>1518.3600000000001</v>
      </c>
      <c r="E44" s="14">
        <f>IFERROR(D44/D148, "NA")</f>
        <v>5.3184573265220914E-2</v>
      </c>
      <c r="F44" s="13">
        <f>IFERROR(F39+F40+F41+F42+F43, "NA")</f>
        <v>1096.51</v>
      </c>
      <c r="G44" s="14">
        <f>IFERROR(F44/F148, "NA")</f>
        <v>3.1425567080865142E-2</v>
      </c>
      <c r="H44" s="13">
        <f>IFERROR(H39+H40+H41+H42+H43, "NA")</f>
        <v>1131.32</v>
      </c>
      <c r="I44" s="14">
        <f>IFERROR(H44/H148, "NA")</f>
        <v>2.4913641722928554E-2</v>
      </c>
      <c r="J44" s="13">
        <f>IFERROR(J39+J40+J41+J42+J43, "NA")</f>
        <v>2103.98</v>
      </c>
      <c r="K44" s="14">
        <f>IFERROR(J44/J148, "NA")</f>
        <v>5.1957076724835766E-2</v>
      </c>
      <c r="L44" s="13">
        <f>IFERROR(L39+L40+L41+L42+L43, "NA")</f>
        <v>988.73</v>
      </c>
      <c r="M44" s="14">
        <f>IFERROR(L44/L148, "NA")</f>
        <v>4.2716583399146649E-2</v>
      </c>
      <c r="N44" s="13">
        <f>IFERROR(N39+N40+N41+N42+N43, "NA")</f>
        <v>894.95999999999992</v>
      </c>
      <c r="O44" s="14">
        <f>IFERROR(N44/N148, "NA")</f>
        <v>3.5204084643055925E-2</v>
      </c>
      <c r="P44" s="13">
        <f>IFERROR(P39+P40+P41+P42+P43, "NA")</f>
        <v>940.78</v>
      </c>
      <c r="Q44" s="14">
        <f>IFERROR(P44/P148, "NA")</f>
        <v>3.8389077161318751E-2</v>
      </c>
      <c r="R44" s="13">
        <f>IFERROR(R39+R40+R41+R42+R43, "NA")</f>
        <v>1035.6299999999999</v>
      </c>
      <c r="S44" s="14">
        <f>IFERROR(R44/R148, "NA")</f>
        <v>4.0071116820404873E-2</v>
      </c>
      <c r="T44" s="13">
        <f>IFERROR(T39+T40+T41+T42+T43, "NA")</f>
        <v>1215.05</v>
      </c>
      <c r="U44" s="14">
        <f>IFERROR(T44/T148, "NA")</f>
        <v>4.267947208894949E-2</v>
      </c>
      <c r="V44" s="13">
        <f>IFERROR(V39+V40+V41+V42+V43, "NA")</f>
        <v>707.38</v>
      </c>
      <c r="W44" s="14">
        <f>IFERROR(V44/V148, "NA")</f>
        <v>2.878308480060416E-2</v>
      </c>
      <c r="X44" s="13">
        <f>IFERROR(X39+X40+X41+X42+X43, "NA")</f>
        <v>1209.76</v>
      </c>
      <c r="Y44" s="14">
        <f>IFERROR(X44/X148, "NA")</f>
        <v>5.8723020884301438E-2</v>
      </c>
      <c r="Z44" s="13">
        <f>IFERROR(Z39+Z40+Z41+Z42+Z43, "NA")</f>
        <v>3132.19</v>
      </c>
      <c r="AA44" s="14">
        <f>IFERROR(Z44/Z148, "NA")</f>
        <v>4.2530030259394364E-2</v>
      </c>
      <c r="AB44" s="13">
        <f t="shared" si="12"/>
        <v>1041.9549999999999</v>
      </c>
      <c r="AC44" s="14">
        <f>IFERROR(AB44/AB148, "NA")</f>
        <v>4.1891279995698118E-2</v>
      </c>
      <c r="AD44" s="15">
        <f t="shared" si="13"/>
        <v>167.80500000000006</v>
      </c>
      <c r="AE44" s="16">
        <f>IFERROR(AD44/AD148, "NA")</f>
        <v>-3.928279433272451E-2</v>
      </c>
      <c r="AF44" s="15">
        <f t="shared" si="14"/>
        <v>0.16104822185219139</v>
      </c>
      <c r="AG44" s="13">
        <f t="shared" si="15"/>
        <v>1137.0337500000001</v>
      </c>
      <c r="AH44" s="14">
        <f>IFERROR(AG44/AG148, "NA")</f>
        <v>4.269332435811371E-2</v>
      </c>
      <c r="AI44" s="15">
        <f t="shared" si="16"/>
        <v>72.726249999999936</v>
      </c>
      <c r="AJ44" s="16">
        <f>IFERROR(AI44/AI148, "NA")</f>
        <v>-1.2057801012398504E-2</v>
      </c>
      <c r="AK44" s="15">
        <f t="shared" si="17"/>
        <v>6.396138197305043E-2</v>
      </c>
      <c r="AL44" s="16">
        <f>IFERROR(AK44/AK148, "NA")</f>
        <v>-0.2824282529806551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65.31</v>
      </c>
      <c r="C47" s="8">
        <f>IFERROR(B47/B148, "NA")</f>
        <v>1.8964433339189242E-3</v>
      </c>
      <c r="D47" s="7">
        <v>66.09</v>
      </c>
      <c r="E47" s="8">
        <f>IFERROR(D47/D148, "NA")</f>
        <v>2.3149769798324837E-3</v>
      </c>
      <c r="F47" s="7">
        <v>70.430000000000007</v>
      </c>
      <c r="G47" s="8">
        <f>IFERROR(F47/F148, "NA")</f>
        <v>2.0184974961517288E-3</v>
      </c>
      <c r="H47" s="7">
        <v>74.510000000000005</v>
      </c>
      <c r="I47" s="8">
        <f>IFERROR(H47/H148, "NA")</f>
        <v>1.6408402969764584E-3</v>
      </c>
      <c r="J47" s="7">
        <v>56.35</v>
      </c>
      <c r="K47" s="8">
        <f>IFERROR(J47/J148, "NA")</f>
        <v>1.3915442511071852E-3</v>
      </c>
      <c r="L47" s="7">
        <v>86.97</v>
      </c>
      <c r="M47" s="8">
        <f>IFERROR(L47/L148, "NA")</f>
        <v>3.7574072377937191E-3</v>
      </c>
      <c r="N47" s="7">
        <v>81.34</v>
      </c>
      <c r="O47" s="8">
        <f>IFERROR(N47/N148, "NA")</f>
        <v>3.1995846125705838E-3</v>
      </c>
      <c r="P47" s="7">
        <v>62.41</v>
      </c>
      <c r="Q47" s="8">
        <f>IFERROR(P47/P148, "NA")</f>
        <v>2.5466764872105097E-3</v>
      </c>
      <c r="R47" s="7">
        <v>50.71</v>
      </c>
      <c r="S47" s="8">
        <f>IFERROR(R47/R148, "NA")</f>
        <v>1.9620968241193587E-3</v>
      </c>
      <c r="T47" s="7">
        <v>46.74</v>
      </c>
      <c r="U47" s="8">
        <f>IFERROR(T47/T148, "NA")</f>
        <v>1.6417748450166655E-3</v>
      </c>
      <c r="V47" s="7">
        <v>55.01</v>
      </c>
      <c r="W47" s="8">
        <f>IFERROR(V47/V148, "NA")</f>
        <v>2.2383407714117371E-3</v>
      </c>
      <c r="X47" s="7">
        <v>56.3</v>
      </c>
      <c r="Y47" s="8">
        <f>IFERROR(X47/X148, "NA")</f>
        <v>2.7328611259970332E-3</v>
      </c>
      <c r="Z47" s="7">
        <v>158.05000000000001</v>
      </c>
      <c r="AA47" s="8">
        <f>IFERROR(Z47/Z148, "NA")</f>
        <v>2.1460611528985405E-3</v>
      </c>
      <c r="AB47" s="9">
        <f t="shared" si="18"/>
        <v>52.19</v>
      </c>
      <c r="AC47" s="8">
        <f>IFERROR(AB47/AB148, "NA")</f>
        <v>2.0982728649274534E-3</v>
      </c>
      <c r="AD47" s="10">
        <f t="shared" si="19"/>
        <v>4.1099999999999994</v>
      </c>
      <c r="AE47" s="11">
        <f>IFERROR(AD47/AD148, "NA")</f>
        <v>-9.6214227649651473E-4</v>
      </c>
      <c r="AF47" s="10">
        <f t="shared" si="20"/>
        <v>7.8750718528453723E-2</v>
      </c>
      <c r="AG47" s="9">
        <f t="shared" si="21"/>
        <v>61.978749999999998</v>
      </c>
      <c r="AH47" s="8">
        <f>IFERROR(AG47/AG148, "NA")</f>
        <v>2.3271770754917697E-3</v>
      </c>
      <c r="AI47" s="10">
        <f t="shared" si="22"/>
        <v>-5.6787500000000009</v>
      </c>
      <c r="AJ47" s="11">
        <f>IFERROR(AI47/AI148, "NA")</f>
        <v>9.4152025574201984E-4</v>
      </c>
      <c r="AK47" s="10">
        <f t="shared" si="23"/>
        <v>-9.1624145372405888E-2</v>
      </c>
      <c r="AL47" s="11">
        <f>IFERROR(AK47/AK148, "NA")</f>
        <v>0.40457611311896485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65.31</v>
      </c>
      <c r="C52" s="14">
        <f>IFERROR(B52/B148, "NA")</f>
        <v>1.8964433339189242E-3</v>
      </c>
      <c r="D52" s="13">
        <f>IFERROR(D46+D47+D48+D49+D50+D51, "NA")</f>
        <v>66.09</v>
      </c>
      <c r="E52" s="14">
        <f>IFERROR(D52/D148, "NA")</f>
        <v>2.3149769798324837E-3</v>
      </c>
      <c r="F52" s="13">
        <f>IFERROR(F46+F47+F48+F49+F50+F51, "NA")</f>
        <v>70.430000000000007</v>
      </c>
      <c r="G52" s="14">
        <f>IFERROR(F52/F148, "NA")</f>
        <v>2.0184974961517288E-3</v>
      </c>
      <c r="H52" s="13">
        <f>IFERROR(H46+H47+H48+H49+H50+H51, "NA")</f>
        <v>74.510000000000005</v>
      </c>
      <c r="I52" s="14">
        <f>IFERROR(H52/H148, "NA")</f>
        <v>1.6408402969764584E-3</v>
      </c>
      <c r="J52" s="13">
        <f>IFERROR(J46+J47+J48+J49+J50+J51, "NA")</f>
        <v>56.35</v>
      </c>
      <c r="K52" s="14">
        <f>IFERROR(J52/J148, "NA")</f>
        <v>1.3915442511071852E-3</v>
      </c>
      <c r="L52" s="13">
        <f>IFERROR(L46+L47+L48+L49+L50+L51, "NA")</f>
        <v>86.97</v>
      </c>
      <c r="M52" s="14">
        <f>IFERROR(L52/L148, "NA")</f>
        <v>3.7574072377937191E-3</v>
      </c>
      <c r="N52" s="13">
        <f>IFERROR(N46+N47+N48+N49+N50+N51, "NA")</f>
        <v>81.34</v>
      </c>
      <c r="O52" s="14">
        <f>IFERROR(N52/N148, "NA")</f>
        <v>3.1995846125705838E-3</v>
      </c>
      <c r="P52" s="13">
        <f>IFERROR(P46+P47+P48+P49+P50+P51, "NA")</f>
        <v>62.41</v>
      </c>
      <c r="Q52" s="14">
        <f>IFERROR(P52/P148, "NA")</f>
        <v>2.5466764872105097E-3</v>
      </c>
      <c r="R52" s="13">
        <f>IFERROR(R46+R47+R48+R49+R50+R51, "NA")</f>
        <v>50.71</v>
      </c>
      <c r="S52" s="14">
        <f>IFERROR(R52/R148, "NA")</f>
        <v>1.9620968241193587E-3</v>
      </c>
      <c r="T52" s="13">
        <f>IFERROR(T46+T47+T48+T49+T50+T51, "NA")</f>
        <v>46.74</v>
      </c>
      <c r="U52" s="14">
        <f>IFERROR(T52/T148, "NA")</f>
        <v>1.6417748450166655E-3</v>
      </c>
      <c r="V52" s="13">
        <f>IFERROR(V46+V47+V48+V49+V50+V51, "NA")</f>
        <v>55.01</v>
      </c>
      <c r="W52" s="14">
        <f>IFERROR(V52/V148, "NA")</f>
        <v>2.2383407714117371E-3</v>
      </c>
      <c r="X52" s="13">
        <f>IFERROR(X46+X47+X48+X49+X50+X51, "NA")</f>
        <v>56.3</v>
      </c>
      <c r="Y52" s="14">
        <f>IFERROR(X52/X148, "NA")</f>
        <v>2.7328611259970332E-3</v>
      </c>
      <c r="Z52" s="13">
        <f>IFERROR(Z46+Z47+Z48+Z49+Z50+Z51, "NA")</f>
        <v>158.05000000000001</v>
      </c>
      <c r="AA52" s="14">
        <f>IFERROR(Z52/Z148, "NA")</f>
        <v>2.1460611528985405E-3</v>
      </c>
      <c r="AB52" s="13">
        <f t="shared" si="18"/>
        <v>52.19</v>
      </c>
      <c r="AC52" s="14">
        <f>IFERROR(AB52/AB148, "NA")</f>
        <v>2.0982728649274534E-3</v>
      </c>
      <c r="AD52" s="15">
        <f t="shared" si="19"/>
        <v>4.1099999999999994</v>
      </c>
      <c r="AE52" s="16">
        <f>IFERROR(AD52/AD148, "NA")</f>
        <v>-9.6214227649651473E-4</v>
      </c>
      <c r="AF52" s="15">
        <f t="shared" si="20"/>
        <v>7.8750718528453723E-2</v>
      </c>
      <c r="AG52" s="13">
        <f t="shared" si="21"/>
        <v>61.978749999999998</v>
      </c>
      <c r="AH52" s="14">
        <f>IFERROR(AG52/AG148, "NA")</f>
        <v>2.3271770754917697E-3</v>
      </c>
      <c r="AI52" s="15">
        <f t="shared" si="22"/>
        <v>-5.6787500000000009</v>
      </c>
      <c r="AJ52" s="16">
        <f>IFERROR(AI52/AI148, "NA")</f>
        <v>9.4152025574201984E-4</v>
      </c>
      <c r="AK52" s="15">
        <f t="shared" si="23"/>
        <v>-9.1624145372405888E-2</v>
      </c>
      <c r="AL52" s="16">
        <f>IFERROR(AK52/AK148, "NA")</f>
        <v>0.40457611311896485</v>
      </c>
    </row>
    <row r="53" spans="1:38" ht="16.5" customHeight="1">
      <c r="A53" s="23" t="s">
        <v>68</v>
      </c>
      <c r="B53" s="7">
        <v>129.62</v>
      </c>
      <c r="C53" s="8">
        <f>IFERROR(B53/B148, "NA")</f>
        <v>3.7638491033926036E-3</v>
      </c>
      <c r="D53" s="7">
        <v>79.959999999999994</v>
      </c>
      <c r="E53" s="8">
        <f>IFERROR(D53/D148, "NA")</f>
        <v>2.8008103995673383E-3</v>
      </c>
      <c r="F53" s="7">
        <v>95.84</v>
      </c>
      <c r="G53" s="8">
        <f>IFERROR(F53/F148, "NA")</f>
        <v>2.7467386061505276E-3</v>
      </c>
      <c r="H53" s="7">
        <v>121.48</v>
      </c>
      <c r="I53" s="8">
        <f>IFERROR(H53/H148, "NA")</f>
        <v>2.6752017081827961E-3</v>
      </c>
      <c r="J53" s="7">
        <v>152.5</v>
      </c>
      <c r="K53" s="8">
        <f>IFERROR(J53/J148, "NA")</f>
        <v>3.7659360832980608E-3</v>
      </c>
      <c r="L53" s="7">
        <v>77.37</v>
      </c>
      <c r="M53" s="8">
        <f>IFERROR(L53/L148, "NA")</f>
        <v>3.3426537655294936E-3</v>
      </c>
      <c r="N53" s="7">
        <v>126.33</v>
      </c>
      <c r="O53" s="8">
        <f>IFERROR(N53/N148, "NA")</f>
        <v>4.9693081399808433E-3</v>
      </c>
      <c r="P53" s="7">
        <v>69.64</v>
      </c>
      <c r="Q53" s="8">
        <f>IFERROR(P53/P148, "NA")</f>
        <v>2.8417008583454559E-3</v>
      </c>
      <c r="R53" s="7">
        <v>58.31</v>
      </c>
      <c r="S53" s="8">
        <f>IFERROR(R53/R148, "NA")</f>
        <v>2.2561598464681484E-3</v>
      </c>
      <c r="T53" s="7">
        <v>134.18</v>
      </c>
      <c r="U53" s="8">
        <f>IFERROR(T53/T148, "NA")</f>
        <v>4.7131653552489553E-3</v>
      </c>
      <c r="V53" s="7">
        <v>67.97</v>
      </c>
      <c r="W53" s="8">
        <f>IFERROR(V53/V148, "NA")</f>
        <v>2.7656793716207195E-3</v>
      </c>
      <c r="X53" s="7">
        <v>84.04</v>
      </c>
      <c r="Y53" s="8">
        <f>IFERROR(X53/X148, "NA")</f>
        <v>4.0793898584154656E-3</v>
      </c>
      <c r="Z53" s="7">
        <v>286.19</v>
      </c>
      <c r="AA53" s="8">
        <f>IFERROR(Z53/Z148, "NA")</f>
        <v>3.8859933017907828E-3</v>
      </c>
      <c r="AB53" s="9">
        <f t="shared" si="18"/>
        <v>86.125000000000014</v>
      </c>
      <c r="AC53" s="8">
        <f>IFERROR(AB53/AB148, "NA")</f>
        <v>3.4626125788824865E-3</v>
      </c>
      <c r="AD53" s="10">
        <f t="shared" si="19"/>
        <v>-2.085000000000008</v>
      </c>
      <c r="AE53" s="11">
        <f>IFERROR(AD53/AD148, "NA")</f>
        <v>4.8809407457305135E-4</v>
      </c>
      <c r="AF53" s="10">
        <f t="shared" si="20"/>
        <v>-2.4208998548621279E-2</v>
      </c>
      <c r="AG53" s="9">
        <f t="shared" si="21"/>
        <v>96.29249999999999</v>
      </c>
      <c r="AH53" s="8">
        <f>IFERROR(AG53/AG148, "NA")</f>
        <v>3.6155891905175759E-3</v>
      </c>
      <c r="AI53" s="10">
        <f t="shared" si="22"/>
        <v>-12.252499999999984</v>
      </c>
      <c r="AJ53" s="11">
        <f>IFERROR(AI53/AI148, "NA")</f>
        <v>2.0314289119047466E-3</v>
      </c>
      <c r="AK53" s="10">
        <f t="shared" si="23"/>
        <v>-0.12724251629150748</v>
      </c>
      <c r="AL53" s="11">
        <f>IFERROR(AK53/AK148, "NA")</f>
        <v>0.56185280043221542</v>
      </c>
    </row>
    <row r="54" spans="1:38" ht="16.5" customHeight="1">
      <c r="A54" s="23" t="s">
        <v>69</v>
      </c>
      <c r="B54" s="7">
        <v>27</v>
      </c>
      <c r="C54" s="8">
        <f>IFERROR(B54/B148, "NA")</f>
        <v>7.8401424002160392E-4</v>
      </c>
      <c r="D54" s="7">
        <v>40</v>
      </c>
      <c r="E54" s="8">
        <f>IFERROR(D54/D148, "NA")</f>
        <v>1.4011057526599991E-3</v>
      </c>
      <c r="F54" s="7">
        <v>29.56</v>
      </c>
      <c r="G54" s="8">
        <f>IFERROR(F54/F148, "NA")</f>
        <v>8.4717856007731219E-4</v>
      </c>
      <c r="H54" s="7">
        <v>24.5</v>
      </c>
      <c r="I54" s="8">
        <f>IFERROR(H54/H148, "NA")</f>
        <v>5.3953277782744905E-4</v>
      </c>
      <c r="J54" s="7">
        <v>26.25</v>
      </c>
      <c r="K54" s="8">
        <f>IFERROR(J54/J148, "NA")</f>
        <v>6.4823489958409247E-4</v>
      </c>
      <c r="L54" s="7">
        <v>25</v>
      </c>
      <c r="M54" s="8">
        <f>IFERROR(L54/L148, "NA")</f>
        <v>1.0800871673547542E-3</v>
      </c>
      <c r="N54" s="7">
        <v>27</v>
      </c>
      <c r="O54" s="8">
        <f>IFERROR(N54/N148, "NA")</f>
        <v>1.0620701320310519E-3</v>
      </c>
      <c r="P54" s="7">
        <v>21</v>
      </c>
      <c r="Q54" s="8">
        <f>IFERROR(P54/P148, "NA")</f>
        <v>8.5691726055793472E-4</v>
      </c>
      <c r="R54" s="7">
        <v>37</v>
      </c>
      <c r="S54" s="8">
        <f>IFERROR(R54/R148, "NA")</f>
        <v>1.4316226088033183E-3</v>
      </c>
      <c r="T54" s="7">
        <v>24</v>
      </c>
      <c r="U54" s="8">
        <f>IFERROR(T54/T148, "NA")</f>
        <v>8.4301660848095782E-4</v>
      </c>
      <c r="V54" s="7">
        <v>24.75</v>
      </c>
      <c r="W54" s="8">
        <f>IFERROR(V54/V148, "NA")</f>
        <v>1.0070702434546537E-3</v>
      </c>
      <c r="X54" s="7">
        <v>31</v>
      </c>
      <c r="Y54" s="8">
        <f>IFERROR(X54/X148, "NA")</f>
        <v>1.5047725560552048E-3</v>
      </c>
      <c r="Z54" s="7">
        <v>79.75</v>
      </c>
      <c r="AA54" s="8">
        <f>IFERROR(Z54/Z148, "NA")</f>
        <v>1.0828748936644011E-3</v>
      </c>
      <c r="AB54" s="9">
        <f t="shared" si="18"/>
        <v>29.1875</v>
      </c>
      <c r="AC54" s="8">
        <f>IFERROR(AB54/AB148, "NA")</f>
        <v>1.1734688493019747E-3</v>
      </c>
      <c r="AD54" s="10">
        <f t="shared" si="19"/>
        <v>1.8125</v>
      </c>
      <c r="AE54" s="11">
        <f>IFERROR(AD54/AD148, "NA")</f>
        <v>-4.243024029561881E-4</v>
      </c>
      <c r="AF54" s="10">
        <f t="shared" si="20"/>
        <v>6.2098501070663809E-2</v>
      </c>
      <c r="AG54" s="9">
        <f t="shared" si="21"/>
        <v>27</v>
      </c>
      <c r="AH54" s="8">
        <f>IFERROR(AG54/AG148, "NA")</f>
        <v>1.0137955515120551E-3</v>
      </c>
      <c r="AI54" s="10">
        <f t="shared" si="22"/>
        <v>4</v>
      </c>
      <c r="AJ54" s="11">
        <f>IFERROR(AI54/AI148, "NA")</f>
        <v>-6.6318838176853692E-4</v>
      </c>
      <c r="AK54" s="10">
        <f t="shared" si="23"/>
        <v>0.14814814814814814</v>
      </c>
      <c r="AL54" s="11">
        <f>IFERROR(AK54/AK148, "NA")</f>
        <v>-0.65416383094146069</v>
      </c>
    </row>
    <row r="55" spans="1:38" ht="16.5" customHeight="1">
      <c r="A55" s="23" t="s">
        <v>70</v>
      </c>
      <c r="B55" s="7">
        <v>-232.63</v>
      </c>
      <c r="C55" s="8">
        <f>IFERROR(B55/B148, "NA")</f>
        <v>-6.7550086168972484E-3</v>
      </c>
      <c r="D55" s="7">
        <v>-259.64</v>
      </c>
      <c r="E55" s="8">
        <f>IFERROR(D55/D148, "NA")</f>
        <v>-9.0945774405160537E-3</v>
      </c>
      <c r="F55" s="7">
        <v>-273.58</v>
      </c>
      <c r="G55" s="8">
        <f>IFERROR(F55/F148, "NA")</f>
        <v>-7.840700624693879E-3</v>
      </c>
      <c r="H55" s="7">
        <v>-264.70999999999998</v>
      </c>
      <c r="I55" s="8">
        <f>IFERROR(H55/H148, "NA")</f>
        <v>-5.829376392600164E-3</v>
      </c>
      <c r="J55" s="7">
        <v>-307.77999999999997</v>
      </c>
      <c r="K55" s="8">
        <f>IFERROR(J55/J148, "NA")</f>
        <v>-7.6005233292949321E-3</v>
      </c>
      <c r="L55" s="7">
        <v>-226.58</v>
      </c>
      <c r="M55" s="8">
        <f>IFERROR(L55/L148, "NA")</f>
        <v>-9.7890460151696095E-3</v>
      </c>
      <c r="N55" s="7">
        <v>-276.54000000000002</v>
      </c>
      <c r="O55" s="8">
        <f>IFERROR(N55/N148, "NA")</f>
        <v>-1.0877958307846929E-2</v>
      </c>
      <c r="P55" s="7">
        <v>-465.05</v>
      </c>
      <c r="Q55" s="8">
        <f>IFERROR(P55/P148, "NA")</f>
        <v>-1.8976636762974647E-2</v>
      </c>
      <c r="R55" s="7">
        <v>-310.23</v>
      </c>
      <c r="S55" s="8">
        <f>IFERROR(R55/R148, "NA")</f>
        <v>-1.2003575187271714E-2</v>
      </c>
      <c r="T55" s="7">
        <v>-342.19</v>
      </c>
      <c r="U55" s="8">
        <f>IFERROR(T55/T148, "NA")</f>
        <v>-1.2019660552337457E-2</v>
      </c>
      <c r="V55" s="7">
        <v>-374.35</v>
      </c>
      <c r="W55" s="8">
        <f>IFERROR(V55/V148, "NA")</f>
        <v>-1.5232191742919177E-2</v>
      </c>
      <c r="X55" s="7">
        <v>-355.21</v>
      </c>
      <c r="Y55" s="8">
        <f>IFERROR(X55/X148, "NA")</f>
        <v>-1.7242266439882879E-2</v>
      </c>
      <c r="Z55" s="7">
        <v>-1071.75</v>
      </c>
      <c r="AA55" s="8">
        <f>IFERROR(Z55/Z148, "NA")</f>
        <v>-1.4552616517678018E-2</v>
      </c>
      <c r="AB55" s="9">
        <f t="shared" si="18"/>
        <v>-345.495</v>
      </c>
      <c r="AC55" s="8">
        <f>IFERROR(AB55/AB148, "NA")</f>
        <v>-1.3890453793219211E-2</v>
      </c>
      <c r="AD55" s="10">
        <f t="shared" si="19"/>
        <v>-9.714999999999975</v>
      </c>
      <c r="AE55" s="11">
        <f>IFERROR(AD55/AD148, "NA")</f>
        <v>2.2742608798451626E-3</v>
      </c>
      <c r="AF55" s="10">
        <f t="shared" si="20"/>
        <v>2.8119075529312941E-2</v>
      </c>
      <c r="AG55" s="9">
        <f t="shared" si="21"/>
        <v>-332.24125000000004</v>
      </c>
      <c r="AH55" s="8">
        <f>IFERROR(AG55/AG148, "NA")</f>
        <v>-1.2474988936252021E-2</v>
      </c>
      <c r="AI55" s="10">
        <f t="shared" si="22"/>
        <v>-22.968749999999943</v>
      </c>
      <c r="AJ55" s="11">
        <f>IFERROR(AI55/AI148, "NA")</f>
        <v>3.8081520359365111E-3</v>
      </c>
      <c r="AK55" s="10">
        <f t="shared" si="23"/>
        <v>6.9132746159605227E-2</v>
      </c>
      <c r="AL55" s="11">
        <f>IFERROR(AK55/AK148, "NA")</f>
        <v>-0.30526295898107864</v>
      </c>
    </row>
    <row r="56" spans="1:38" ht="16.5" customHeight="1">
      <c r="A56" s="27" t="s">
        <v>71</v>
      </c>
      <c r="B56" s="13">
        <f>IFERROR(B37+B39+B40+B41+B42+B43+B46+B47+B48+B49+B50+B51+B53+B54+B55, "NA")</f>
        <v>1343.3199999999997</v>
      </c>
      <c r="C56" s="14">
        <f>IFERROR(B56/B148, "NA")</f>
        <v>3.9006741070585951E-2</v>
      </c>
      <c r="D56" s="13">
        <f>IFERROR(D37+D39+D40+D41+D42+D43+D46+D47+D48+D49+D50+D51+D53+D54+D55, "NA")</f>
        <v>1444.77</v>
      </c>
      <c r="E56" s="14">
        <f>IFERROR(D56/D148, "NA")</f>
        <v>5.0606888956764677E-2</v>
      </c>
      <c r="F56" s="13">
        <f>IFERROR(F37+F39+F40+F41+F42+F43+F46+F47+F48+F49+F50+F51+F53+F54+F55, "NA")</f>
        <v>1018.76</v>
      </c>
      <c r="G56" s="14">
        <f>IFERROR(F56/F148, "NA")</f>
        <v>2.9197281118550831E-2</v>
      </c>
      <c r="H56" s="13">
        <f>IFERROR(H37+H39+H40+H41+H42+H43+H46+H47+H48+H49+H50+H51+H53+H54+H55, "NA")</f>
        <v>1087.0999999999999</v>
      </c>
      <c r="I56" s="14">
        <f>IFERROR(H56/H148, "NA")</f>
        <v>2.3939840113315094E-2</v>
      </c>
      <c r="J56" s="13">
        <f>IFERROR(J37+J39+J40+J41+J42+J43+J46+J47+J48+J49+J50+J51+J53+J54+J55, "NA")</f>
        <v>2031.3</v>
      </c>
      <c r="K56" s="14">
        <f>IFERROR(J56/J148, "NA")</f>
        <v>5.0162268629530174E-2</v>
      </c>
      <c r="L56" s="13">
        <f>IFERROR(L37+L39+L40+L41+L42+L43+L46+L47+L48+L49+L50+L51+L53+L54+L55, "NA")</f>
        <v>951.49000000000012</v>
      </c>
      <c r="M56" s="14">
        <f>IFERROR(L56/L148, "NA")</f>
        <v>4.1107685554655007E-2</v>
      </c>
      <c r="N56" s="13">
        <f>IFERROR(N37+N39+N40+N41+N42+N43+N46+N47+N48+N49+N50+N51+N53+N54+N55, "NA")</f>
        <v>853.08999999999992</v>
      </c>
      <c r="O56" s="14">
        <f>IFERROR(N56/N148, "NA")</f>
        <v>3.3557089219791475E-2</v>
      </c>
      <c r="P56" s="13">
        <f>IFERROR(P37+P39+P40+P41+P42+P43+P46+P47+P48+P49+P50+P51+P53+P54+P55, "NA")</f>
        <v>628.78</v>
      </c>
      <c r="Q56" s="14">
        <f>IFERROR(P56/P148, "NA")</f>
        <v>2.5657735004458008E-2</v>
      </c>
      <c r="R56" s="13">
        <f>IFERROR(R37+R39+R40+R41+R42+R43+R46+R47+R48+R49+R50+R51+R53+R54+R55, "NA")</f>
        <v>871.41999999999985</v>
      </c>
      <c r="S56" s="14">
        <f>IFERROR(R56/R148, "NA")</f>
        <v>3.3717420912523985E-2</v>
      </c>
      <c r="T56" s="13">
        <f>IFERROR(T37+T39+T40+T41+T42+T43+T46+T47+T48+T49+T50+T51+T53+T54+T55, "NA")</f>
        <v>1077.78</v>
      </c>
      <c r="U56" s="14">
        <f>IFERROR(T56/T148, "NA")</f>
        <v>3.7857768345358617E-2</v>
      </c>
      <c r="V56" s="13">
        <f>IFERROR(V37+V39+V40+V41+V42+V43+V46+V47+V48+V49+V50+V51+V53+V54+V55, "NA")</f>
        <v>480.76</v>
      </c>
      <c r="W56" s="14">
        <f>IFERROR(V56/V148, "NA")</f>
        <v>1.9561983444172093E-2</v>
      </c>
      <c r="X56" s="13">
        <f>IFERROR(X37+X39+X40+X41+X42+X43+X46+X47+X48+X49+X50+X51+X53+X54+X55, "NA")</f>
        <v>1025.8899999999999</v>
      </c>
      <c r="Y56" s="14">
        <f>IFERROR(X56/X148, "NA")</f>
        <v>4.9797777984886257E-2</v>
      </c>
      <c r="Z56" s="13">
        <f>IFERROR(Z37+Z39+Z40+Z41+Z42+Z43+Z46+Z47+Z48+Z49+Z50+Z51+Z53+Z54+Z55, "NA")</f>
        <v>2584.4300000000003</v>
      </c>
      <c r="AA56" s="14">
        <f>IFERROR(Z56/Z148, "NA")</f>
        <v>3.5092343090070074E-2</v>
      </c>
      <c r="AB56" s="13">
        <f t="shared" si="18"/>
        <v>863.96249999999998</v>
      </c>
      <c r="AC56" s="14">
        <f>IFERROR(AB56/AB148, "NA")</f>
        <v>3.4735180495590823E-2</v>
      </c>
      <c r="AD56" s="15">
        <f t="shared" si="19"/>
        <v>161.9274999999999</v>
      </c>
      <c r="AE56" s="16">
        <f>IFERROR(AD56/AD148, "NA")</f>
        <v>-3.7906884057758952E-2</v>
      </c>
      <c r="AF56" s="15">
        <f t="shared" si="20"/>
        <v>0.18742422269485065</v>
      </c>
      <c r="AG56" s="13">
        <f t="shared" si="21"/>
        <v>990.06375000000003</v>
      </c>
      <c r="AH56" s="14">
        <f>IFERROR(AG56/AG148, "NA")</f>
        <v>3.7174897239383088E-2</v>
      </c>
      <c r="AI56" s="15">
        <f t="shared" si="22"/>
        <v>35.826249999999845</v>
      </c>
      <c r="AJ56" s="16">
        <f>IFERROR(AI56/AI148, "NA")</f>
        <v>-5.9398881905837354E-3</v>
      </c>
      <c r="AK56" s="15">
        <f t="shared" si="23"/>
        <v>3.6185801166843896E-2</v>
      </c>
      <c r="AL56" s="16">
        <f>IFERROR(AK56/AK148, "NA")</f>
        <v>-0.15978223563967295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8680.5600000000013</v>
      </c>
      <c r="C57" s="29">
        <f>IFERROR(B57/B148, "NA")</f>
        <v>0.25206232042081239</v>
      </c>
      <c r="D57" s="28">
        <f>IFERROR(D13+D15+D16+D17+D18+D19+D20+D21+D22+D23+D24+D25+D26+D29+D30+D31+D32+D33+D37+D39+D40+D41+D42+D43+D46+D47+D48+D49+D50+D51+D53+D54+D55, "NA")</f>
        <v>7359.83</v>
      </c>
      <c r="E57" s="29">
        <f>IFERROR(D57/D148, "NA")</f>
        <v>0.25779750378999106</v>
      </c>
      <c r="F57" s="28">
        <f>IFERROR(F13+F15+F16+F17+F18+F19+F20+F21+F22+F23+F24+F25+F26+F29+F30+F31+F32+F33+F37+F39+F40+F41+F42+F43+F46+F47+F48+F49+F50+F51+F53+F54+F55, "NA")</f>
        <v>7915.1200000000008</v>
      </c>
      <c r="G57" s="29">
        <f>IFERROR(F57/F148, "NA")</f>
        <v>0.22684438310010607</v>
      </c>
      <c r="H57" s="28">
        <f>IFERROR(H13+H15+H16+H17+H18+H19+H20+H21+H22+H23+H24+H25+H26+H29+H30+H31+H32+H33+H37+H39+H40+H41+H42+H43+H46+H47+H48+H49+H50+H51+H53+H54+H55, "NA")</f>
        <v>11232.980000000005</v>
      </c>
      <c r="I57" s="29">
        <f>IFERROR(H57/H148, "NA")</f>
        <v>0.24736983276245636</v>
      </c>
      <c r="J57" s="28">
        <f>IFERROR(J13+J15+J16+J17+J18+J19+J20+J21+J22+J23+J24+J25+J26+J29+J30+J31+J32+J33+J37+J39+J40+J41+J42+J43+J46+J47+J48+J49+J50+J51+J53+J54+J55, "NA")</f>
        <v>9889.07</v>
      </c>
      <c r="K57" s="29">
        <f>IFERROR(J57/J148, "NA")</f>
        <v>0.24420724946400232</v>
      </c>
      <c r="L57" s="28">
        <f>IFERROR(L13+L15+L16+L17+L18+L19+L20+L21+L22+L23+L24+L25+L26+L29+L30+L31+L32+L33+L37+L39+L40+L41+L42+L43+L46+L47+L48+L49+L50+L51+L53+L54+L55, "NA")</f>
        <v>5421.36</v>
      </c>
      <c r="M57" s="29">
        <f>IFERROR(L57/L148, "NA")</f>
        <v>0.2342216546244148</v>
      </c>
      <c r="N57" s="28">
        <f>IFERROR(N13+N15+N16+N17+N18+N19+N20+N21+N22+N23+N24+N25+N26+N29+N30+N31+N32+N33+N37+N39+N40+N41+N42+N43+N46+N47+N48+N49+N50+N51+N53+N54+N55, "NA")</f>
        <v>6618.0999999999995</v>
      </c>
      <c r="O57" s="29">
        <f>IFERROR(N57/N148, "NA")</f>
        <v>0.26032912373313716</v>
      </c>
      <c r="P57" s="28">
        <f>IFERROR(P13+P15+P16+P17+P18+P19+P20+P21+P22+P23+P24+P25+P26+P29+P30+P31+P32+P33+P37+P39+P40+P41+P42+P43+P46+P47+P48+P49+P50+P51+P53+P54+P55, "NA")</f>
        <v>6138.4200000000019</v>
      </c>
      <c r="Q57" s="29">
        <f>IFERROR(P57/P148, "NA")</f>
        <v>0.25048181193114472</v>
      </c>
      <c r="R57" s="28">
        <f>IFERROR(R13+R15+R16+R17+R18+R19+R20+R21+R22+R23+R24+R25+R26+R29+R30+R31+R32+R33+R37+R39+R40+R41+R42+R43+R46+R47+R48+R49+R50+R51+R53+R54+R55, "NA")</f>
        <v>5861.08</v>
      </c>
      <c r="S57" s="29">
        <f>IFERROR(R57/R148, "NA")</f>
        <v>0.22677985513526899</v>
      </c>
      <c r="T57" s="28">
        <f>IFERROR(T13+T15+T16+T17+T18+T19+T20+T21+T22+T23+T24+T25+T26+T29+T30+T31+T32+T33+T37+T39+T40+T41+T42+T43+T46+T47+T48+T49+T50+T51+T53+T54+T55, "NA")</f>
        <v>6063.1200000000008</v>
      </c>
      <c r="U57" s="29">
        <f>IFERROR(T57/T148, "NA")</f>
        <v>0.21297128580054442</v>
      </c>
      <c r="V57" s="28">
        <f>IFERROR(V13+V15+V16+V17+V18+V19+V20+V21+V22+V23+V24+V25+V26+V29+V30+V31+V32+V33+V37+V39+V40+V41+V42+V43+V46+V47+V48+V49+V50+V51+V53+V54+V55, "NA")</f>
        <v>5733.68</v>
      </c>
      <c r="W57" s="29">
        <f>IFERROR(V57/V148, "NA")</f>
        <v>0.23330175812085169</v>
      </c>
      <c r="X57" s="28">
        <f>IFERROR(X13+X15+X16+X17+X18+X19+X20+X21+X22+X23+X24+X25+X26+X29+X30+X31+X32+X33+X37+X39+X40+X41+X42+X43+X46+X47+X48+X49+X50+X51+X53+X54+X55, "NA")</f>
        <v>5711.1899999999987</v>
      </c>
      <c r="Y57" s="29">
        <f>IFERROR(X57/X148, "NA")</f>
        <v>0.27722716046506202</v>
      </c>
      <c r="Z57" s="28">
        <f>IFERROR(Z13+Z15+Z16+Z17+Z18+Z19+Z20+Z21+Z22+Z23+Z24+Z25+Z26+Z29+Z30+Z31+Z32+Z33+Z37+Z39+Z40+Z41+Z42+Z43+Z46+Z47+Z48+Z49+Z50+Z51+Z53+Z54+Z55, "NA")</f>
        <v>17507.989999999998</v>
      </c>
      <c r="AA57" s="29">
        <f>IFERROR(Z57/Z148, "NA")</f>
        <v>0.2377299411852965</v>
      </c>
      <c r="AB57" s="28">
        <f t="shared" si="18"/>
        <v>5842.2674999999999</v>
      </c>
      <c r="AC57" s="29">
        <f>IFERROR(AB57/AB148, "NA")</f>
        <v>0.23488544481505177</v>
      </c>
      <c r="AD57" s="30">
        <f t="shared" si="19"/>
        <v>-131.07750000000124</v>
      </c>
      <c r="AE57" s="31">
        <f>IFERROR(AD57/AD148, "NA")</f>
        <v>3.068496453709808E-2</v>
      </c>
      <c r="AF57" s="30">
        <f t="shared" si="20"/>
        <v>-2.243606613356907E-2</v>
      </c>
      <c r="AG57" s="28">
        <f t="shared" si="21"/>
        <v>6429.5025000000005</v>
      </c>
      <c r="AH57" s="29">
        <f>IFERROR(AG57/AG148, "NA")</f>
        <v>0.24141485307169025</v>
      </c>
      <c r="AI57" s="30">
        <f t="shared" si="22"/>
        <v>-718.31250000000182</v>
      </c>
      <c r="AJ57" s="31">
        <f>IFERROR(AI57/AI148, "NA")</f>
        <v>0.11909412611977833</v>
      </c>
      <c r="AK57" s="30">
        <f t="shared" si="23"/>
        <v>-0.11172131902896092</v>
      </c>
      <c r="AL57" s="31">
        <f>IFERROR(AK57/AK148, "NA")</f>
        <v>0.4933173108632728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25757.59</v>
      </c>
      <c r="C59" s="34">
        <f>IFERROR(B59/B148, "NA")</f>
        <v>0.74793767957918755</v>
      </c>
      <c r="D59" s="33">
        <f>IFERROR(D9-D57, "NA")</f>
        <v>21189.050000000003</v>
      </c>
      <c r="E59" s="34">
        <f>IFERROR(D59/D148, "NA")</f>
        <v>0.742202496210009</v>
      </c>
      <c r="F59" s="33">
        <f>IFERROR(F9-F57, "NA")</f>
        <v>26977.169999999991</v>
      </c>
      <c r="G59" s="34">
        <f>IFERROR(F59/F148, "NA")</f>
        <v>0.77315561689989365</v>
      </c>
      <c r="H59" s="33">
        <f>IFERROR(H9-H57, "NA")</f>
        <v>34176.679999999993</v>
      </c>
      <c r="I59" s="34">
        <f>IFERROR(H59/H148, "NA")</f>
        <v>0.7526301672375435</v>
      </c>
      <c r="J59" s="33">
        <f>IFERROR(J9-J57, "NA")</f>
        <v>30605.509999999995</v>
      </c>
      <c r="K59" s="34">
        <f>IFERROR(J59/J148, "NA")</f>
        <v>0.75579275053599748</v>
      </c>
      <c r="L59" s="33">
        <f>IFERROR(L9-L57, "NA")</f>
        <v>17724.919999999998</v>
      </c>
      <c r="M59" s="34">
        <f>IFERROR(L59/L148, "NA")</f>
        <v>0.7657783453755852</v>
      </c>
      <c r="N59" s="33">
        <f>IFERROR(N9-N57, "NA")</f>
        <v>18803.950000000008</v>
      </c>
      <c r="O59" s="34">
        <f>IFERROR(N59/N148, "NA")</f>
        <v>0.73967087626686312</v>
      </c>
      <c r="P59" s="33">
        <f>IFERROR(P9-P57, "NA")</f>
        <v>18368.030000000002</v>
      </c>
      <c r="Q59" s="34">
        <f>IFERROR(P59/P148, "NA")</f>
        <v>0.7495181880688554</v>
      </c>
      <c r="R59" s="33">
        <f>IFERROR(R9-R57, "NA")</f>
        <v>19983.719999999994</v>
      </c>
      <c r="S59" s="34">
        <f>IFERROR(R59/R148, "NA")</f>
        <v>0.77322014486473079</v>
      </c>
      <c r="T59" s="33">
        <f>IFERROR(T9-T57, "NA")</f>
        <v>22406.07</v>
      </c>
      <c r="U59" s="34">
        <f>IFERROR(T59/T148, "NA")</f>
        <v>0.78702871419945564</v>
      </c>
      <c r="V59" s="33">
        <f>IFERROR(V9-V57, "NA")</f>
        <v>18842.560000000005</v>
      </c>
      <c r="W59" s="34">
        <f>IFERROR(V59/V148, "NA")</f>
        <v>0.76669824187914848</v>
      </c>
      <c r="X59" s="33">
        <f>IFERROR(X9-X57, "NA")</f>
        <v>14889.93</v>
      </c>
      <c r="Y59" s="34">
        <f>IFERROR(X59/X148, "NA")</f>
        <v>0.72277283953493798</v>
      </c>
      <c r="Z59" s="33">
        <f>IFERROR(Z9-Z57, "NA")</f>
        <v>56138.560000000005</v>
      </c>
      <c r="AA59" s="34">
        <f>IFERROR(Z59/Z148, "NA")</f>
        <v>0.76227005881470355</v>
      </c>
      <c r="AB59" s="33">
        <f>IFERROR((R59+T59+V59+X59)/4, "NA")</f>
        <v>19030.57</v>
      </c>
      <c r="AC59" s="34">
        <f>IFERROR(AB59/AB148, "NA")</f>
        <v>0.76511455518494831</v>
      </c>
      <c r="AD59" s="15">
        <f>IFERROR(X59-AB59, "NA")</f>
        <v>-4140.6399999999994</v>
      </c>
      <c r="AE59" s="16">
        <f>IFERROR(AD59/AD148, "NA")</f>
        <v>0.96931503546290232</v>
      </c>
      <c r="AF59" s="15">
        <f>IFERROR((X59-AB59)/AB59, "NA")</f>
        <v>-0.21757834894067804</v>
      </c>
      <c r="AG59" s="33">
        <f>IFERROR((J59+L59+N59+P59+R59+T59+V59+X59)/8, "NA")</f>
        <v>20203.08625</v>
      </c>
      <c r="AH59" s="34">
        <f>IFERROR(AG59/AG148, "NA")</f>
        <v>0.75858514692830981</v>
      </c>
      <c r="AI59" s="15">
        <f>IFERROR(X59-AG59, "NA")</f>
        <v>-5313.15625</v>
      </c>
      <c r="AJ59" s="16">
        <f>IFERROR(AI59/AI148, "NA")</f>
        <v>0.88090587388022201</v>
      </c>
      <c r="AK59" s="15">
        <f>IFERROR((X59-AG59)/AG59, "NA")</f>
        <v>-0.26298735669655421</v>
      </c>
      <c r="AL59" s="16">
        <f>IFERROR(AK59/AK148, "NA")</f>
        <v>1.1612485130340577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1410</v>
      </c>
      <c r="C66" s="8">
        <f>IFERROR(B66/B148, "NA")</f>
        <v>4.0942965867794869E-2</v>
      </c>
      <c r="D66" s="7">
        <v>1410</v>
      </c>
      <c r="E66" s="8">
        <f>IFERROR(D66/D148, "NA")</f>
        <v>4.938897778126497E-2</v>
      </c>
      <c r="F66" s="7">
        <v>1410</v>
      </c>
      <c r="G66" s="8">
        <f>IFERROR(F66/F148, "NA")</f>
        <v>4.0410073400169493E-2</v>
      </c>
      <c r="H66" s="7">
        <v>1410</v>
      </c>
      <c r="I66" s="8">
        <f>IFERROR(H66/H148, "NA")</f>
        <v>3.1050661907620535E-2</v>
      </c>
      <c r="J66" s="7">
        <v>1410</v>
      </c>
      <c r="K66" s="8">
        <f>IFERROR(J66/J148, "NA")</f>
        <v>3.4819474606231249E-2</v>
      </c>
      <c r="L66" s="7">
        <v>1410</v>
      </c>
      <c r="M66" s="8">
        <f>IFERROR(L66/L148, "NA")</f>
        <v>6.0916916238808141E-2</v>
      </c>
      <c r="N66" s="7">
        <v>1410</v>
      </c>
      <c r="O66" s="8">
        <f>IFERROR(N66/N148, "NA")</f>
        <v>5.5463662450510487E-2</v>
      </c>
      <c r="P66" s="7">
        <v>1410</v>
      </c>
      <c r="Q66" s="8">
        <f>IFERROR(P66/P148, "NA")</f>
        <v>5.75358732088899E-2</v>
      </c>
      <c r="R66" s="7">
        <v>1410</v>
      </c>
      <c r="S66" s="8">
        <f>IFERROR(R66/R148, "NA")</f>
        <v>5.4556429146288617E-2</v>
      </c>
      <c r="T66" s="7">
        <v>1410</v>
      </c>
      <c r="U66" s="8">
        <f>IFERROR(T66/T148, "NA")</f>
        <v>4.9527225748256277E-2</v>
      </c>
      <c r="V66" s="7">
        <v>1410</v>
      </c>
      <c r="W66" s="8">
        <f>IFERROR(V66/V148, "NA")</f>
        <v>5.7372486596810574E-2</v>
      </c>
      <c r="X66" s="7">
        <v>1410</v>
      </c>
      <c r="Y66" s="8">
        <f>IFERROR(X66/X148, "NA")</f>
        <v>6.8442880775414161E-2</v>
      </c>
      <c r="Z66" s="7">
        <v>4230</v>
      </c>
      <c r="AA66" s="8">
        <f>IFERROR(Z66/Z148, "NA")</f>
        <v>5.7436499062074188E-2</v>
      </c>
      <c r="AB66" s="9">
        <f t="shared" si="24"/>
        <v>1410</v>
      </c>
      <c r="AC66" s="8">
        <f>IFERROR(AB66/AB148, "NA")</f>
        <v>5.6688345268206736E-2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1410</v>
      </c>
      <c r="AH66" s="8">
        <f>IFERROR(AG66/AG148, "NA")</f>
        <v>5.2942656578962868E-2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5865.62</v>
      </c>
      <c r="C68" s="8">
        <f>IFERROR(B68/B148, "NA")</f>
        <v>0.17032331876131557</v>
      </c>
      <c r="D68" s="7">
        <v>5271.86</v>
      </c>
      <c r="E68" s="8">
        <f>IFERROR(D68/D148, "NA")</f>
        <v>0.18466083433045358</v>
      </c>
      <c r="F68" s="7">
        <v>6400.76</v>
      </c>
      <c r="G68" s="8">
        <f>IFERROR(F68/F148, "NA")</f>
        <v>0.18344339107579355</v>
      </c>
      <c r="H68" s="7">
        <v>8227.84</v>
      </c>
      <c r="I68" s="8">
        <f>IFERROR(H68/H148, "NA")</f>
        <v>0.18119140288652238</v>
      </c>
      <c r="J68" s="7">
        <v>7870.29</v>
      </c>
      <c r="K68" s="8">
        <f>IFERROR(J68/J148, "NA")</f>
        <v>0.19435415801324521</v>
      </c>
      <c r="L68" s="7">
        <v>4972.3999999999996</v>
      </c>
      <c r="M68" s="8">
        <f>IFERROR(L68/L148, "NA")</f>
        <v>0.2148250172381912</v>
      </c>
      <c r="N68" s="7">
        <v>5985.88</v>
      </c>
      <c r="O68" s="8">
        <f>IFERROR(N68/N148, "NA")</f>
        <v>0.23546016155266788</v>
      </c>
      <c r="P68" s="7">
        <v>5854.73</v>
      </c>
      <c r="Q68" s="8">
        <f>IFERROR(P68/P148, "NA")</f>
        <v>0.23890567585268366</v>
      </c>
      <c r="R68" s="7">
        <v>5414.05</v>
      </c>
      <c r="S68" s="8">
        <f>IFERROR(R68/R148, "NA")</f>
        <v>0.20948314554571906</v>
      </c>
      <c r="T68" s="7">
        <v>5049.22</v>
      </c>
      <c r="U68" s="8">
        <f>IFERROR(T68/T148, "NA")</f>
        <v>0.17735734666142594</v>
      </c>
      <c r="V68" s="7">
        <v>5517.43</v>
      </c>
      <c r="W68" s="8">
        <f>IFERROR(V68/V148, "NA")</f>
        <v>0.2245026090240004</v>
      </c>
      <c r="X68" s="7">
        <v>4474.8599999999997</v>
      </c>
      <c r="Y68" s="8">
        <f>IFERROR(X68/X148, "NA")</f>
        <v>0.21721440387707075</v>
      </c>
      <c r="Z68" s="7">
        <v>15041.51</v>
      </c>
      <c r="AA68" s="8">
        <f>IFERROR(Z68/Z148, "NA")</f>
        <v>0.20423916666836395</v>
      </c>
      <c r="AB68" s="9">
        <f t="shared" si="24"/>
        <v>5113.8900000000003</v>
      </c>
      <c r="AC68" s="8">
        <f>IFERROR(AB68/AB148, "NA")</f>
        <v>0.20560139147775161</v>
      </c>
      <c r="AD68" s="10">
        <f t="shared" si="25"/>
        <v>-639.03000000000065</v>
      </c>
      <c r="AE68" s="11">
        <f>IFERROR(AD68/AD148, "NA")</f>
        <v>0.14959556665439622</v>
      </c>
      <c r="AF68" s="10">
        <f t="shared" si="26"/>
        <v>-0.1249596686671009</v>
      </c>
      <c r="AG68" s="9">
        <f t="shared" si="27"/>
        <v>5642.3575000000001</v>
      </c>
      <c r="AH68" s="8">
        <f>IFERROR(AG68/AG148, "NA")</f>
        <v>0.21185914568669184</v>
      </c>
      <c r="AI68" s="10">
        <f t="shared" si="28"/>
        <v>-1167.4975000000004</v>
      </c>
      <c r="AJ68" s="11">
        <f>IFERROR(AI68/AI148, "NA")</f>
        <v>0.19356769443595317</v>
      </c>
      <c r="AK68" s="10">
        <f t="shared" si="29"/>
        <v>-0.20691661242663204</v>
      </c>
      <c r="AL68" s="11">
        <f>IFERROR(AK68/AK148, "NA")</f>
        <v>0.91366220612543669</v>
      </c>
    </row>
    <row r="69" spans="1:38" ht="16.5" customHeight="1">
      <c r="A69" s="25" t="s">
        <v>81</v>
      </c>
      <c r="B69" s="7">
        <v>104.25</v>
      </c>
      <c r="C69" s="8">
        <f>IFERROR(B69/B148, "NA")</f>
        <v>3.0271660934167483E-3</v>
      </c>
      <c r="D69" s="7">
        <v>74.040000000000006</v>
      </c>
      <c r="E69" s="8">
        <f>IFERROR(D69/D148, "NA")</f>
        <v>2.5934467481736586E-3</v>
      </c>
      <c r="F69" s="7">
        <v>0</v>
      </c>
      <c r="G69" s="8">
        <f>IFERROR(F69/F148, "NA")</f>
        <v>0</v>
      </c>
      <c r="H69" s="7">
        <v>211.99</v>
      </c>
      <c r="I69" s="8">
        <f>IFERROR(H69/H148, "NA")</f>
        <v>4.6683899416996291E-3</v>
      </c>
      <c r="J69" s="7">
        <v>154.74</v>
      </c>
      <c r="K69" s="8">
        <f>IFERROR(J69/J148, "NA")</f>
        <v>3.8212521280625703E-3</v>
      </c>
      <c r="L69" s="7">
        <v>0</v>
      </c>
      <c r="M69" s="8">
        <f>IFERROR(L69/L148, "NA")</f>
        <v>0</v>
      </c>
      <c r="N69" s="7">
        <v>0</v>
      </c>
      <c r="O69" s="8">
        <f>IFERROR(N69/N148, "NA")</f>
        <v>0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0</v>
      </c>
      <c r="AC69" s="8">
        <f>IFERROR(AB69/AB148, "NA")</f>
        <v>0</v>
      </c>
      <c r="AD69" s="10">
        <f t="shared" si="25"/>
        <v>0</v>
      </c>
      <c r="AE69" s="11">
        <f>IFERROR(AD69/AD148, "NA")</f>
        <v>0</v>
      </c>
      <c r="AF69" s="10" t="str">
        <f t="shared" si="26"/>
        <v>NA</v>
      </c>
      <c r="AG69" s="9">
        <f t="shared" si="27"/>
        <v>19.342500000000001</v>
      </c>
      <c r="AH69" s="8">
        <f>IFERROR(AG69/AG148, "NA")</f>
        <v>7.2627186870821941E-4</v>
      </c>
      <c r="AI69" s="10">
        <f t="shared" si="28"/>
        <v>-19.342500000000001</v>
      </c>
      <c r="AJ69" s="11">
        <f>IFERROR(AI69/AI148, "NA")</f>
        <v>3.2069303185894814E-3</v>
      </c>
      <c r="AK69" s="10">
        <f t="shared" si="29"/>
        <v>-1</v>
      </c>
      <c r="AL69" s="11">
        <f>IFERROR(AK69/AK148, "NA")</f>
        <v>4.4156058588548603</v>
      </c>
    </row>
    <row r="70" spans="1:38" ht="16.5" customHeight="1">
      <c r="A70" s="26" t="s">
        <v>82</v>
      </c>
      <c r="B70" s="13">
        <f>IFERROR(B65+B66+B67+B68+B69, "NA")</f>
        <v>7379.87</v>
      </c>
      <c r="C70" s="14">
        <f>IFERROR(B70/B148, "NA")</f>
        <v>0.21429345072252717</v>
      </c>
      <c r="D70" s="13">
        <f>IFERROR(D65+D66+D67+D68+D69, "NA")</f>
        <v>6755.9</v>
      </c>
      <c r="E70" s="14">
        <f>IFERROR(D70/D148, "NA")</f>
        <v>0.23664325885989221</v>
      </c>
      <c r="F70" s="13">
        <f>IFERROR(F65+F66+F67+F68+F69, "NA")</f>
        <v>7810.76</v>
      </c>
      <c r="G70" s="14">
        <f>IFERROR(F70/F148, "NA")</f>
        <v>0.22385346447596302</v>
      </c>
      <c r="H70" s="13">
        <f>IFERROR(H65+H66+H67+H68+H69, "NA")</f>
        <v>9849.83</v>
      </c>
      <c r="I70" s="14">
        <f>IFERROR(H70/H148, "NA")</f>
        <v>0.21691045473584253</v>
      </c>
      <c r="J70" s="13">
        <f>IFERROR(J65+J66+J67+J68+J69, "NA")</f>
        <v>9435.0300000000007</v>
      </c>
      <c r="K70" s="14">
        <f>IFERROR(J70/J148, "NA")</f>
        <v>0.23299488474753907</v>
      </c>
      <c r="L70" s="13">
        <f>IFERROR(L65+L66+L67+L68+L69, "NA")</f>
        <v>6382.4</v>
      </c>
      <c r="M70" s="14">
        <f>IFERROR(L70/L148, "NA")</f>
        <v>0.27574193347699932</v>
      </c>
      <c r="N70" s="13">
        <f>IFERROR(N65+N66+N67+N68+N69, "NA")</f>
        <v>7395.88</v>
      </c>
      <c r="O70" s="14">
        <f>IFERROR(N70/N148, "NA")</f>
        <v>0.29092382400317834</v>
      </c>
      <c r="P70" s="13">
        <f>IFERROR(P65+P66+P67+P68+P69, "NA")</f>
        <v>7264.73</v>
      </c>
      <c r="Q70" s="14">
        <f>IFERROR(P70/P148, "NA")</f>
        <v>0.29644154906157355</v>
      </c>
      <c r="R70" s="13">
        <f>IFERROR(R65+R66+R67+R68+R69, "NA")</f>
        <v>6824.05</v>
      </c>
      <c r="S70" s="14">
        <f>IFERROR(R70/R148, "NA")</f>
        <v>0.26403957469200767</v>
      </c>
      <c r="T70" s="13">
        <f>IFERROR(T65+T66+T67+T68+T69, "NA")</f>
        <v>6459.22</v>
      </c>
      <c r="U70" s="14">
        <f>IFERROR(T70/T148, "NA")</f>
        <v>0.22688457240968221</v>
      </c>
      <c r="V70" s="13">
        <f>IFERROR(V65+V66+V67+V68+V69, "NA")</f>
        <v>6927.43</v>
      </c>
      <c r="W70" s="14">
        <f>IFERROR(V70/V148, "NA")</f>
        <v>0.28187509562081098</v>
      </c>
      <c r="X70" s="13">
        <f>IFERROR(X65+X66+X67+X68+X69, "NA")</f>
        <v>5884.86</v>
      </c>
      <c r="Y70" s="14">
        <f>IFERROR(X70/X148, "NA")</f>
        <v>0.28565728465248491</v>
      </c>
      <c r="Z70" s="13">
        <f>IFERROR(Z65+Z66+Z67+Z68+Z69, "NA")</f>
        <v>19271.510000000002</v>
      </c>
      <c r="AA70" s="14">
        <f>IFERROR(Z70/Z148, "NA")</f>
        <v>0.26167566573043816</v>
      </c>
      <c r="AB70" s="13">
        <f t="shared" si="24"/>
        <v>6523.89</v>
      </c>
      <c r="AC70" s="14">
        <f>IFERROR(AB70/AB148, "NA")</f>
        <v>0.26228973674595835</v>
      </c>
      <c r="AD70" s="15">
        <f t="shared" si="25"/>
        <v>-639.03000000000065</v>
      </c>
      <c r="AE70" s="16">
        <f>IFERROR(AD70/AD148, "NA")</f>
        <v>0.14959556665439622</v>
      </c>
      <c r="AF70" s="15">
        <f t="shared" si="26"/>
        <v>-9.7952295332999276E-2</v>
      </c>
      <c r="AG70" s="13">
        <f t="shared" si="27"/>
        <v>7071.7000000000007</v>
      </c>
      <c r="AH70" s="14">
        <f>IFERROR(AG70/AG148, "NA")</f>
        <v>0.26552807413436297</v>
      </c>
      <c r="AI70" s="15">
        <f t="shared" si="28"/>
        <v>-1186.8400000000011</v>
      </c>
      <c r="AJ70" s="16">
        <f>IFERROR(AI70/AI148, "NA")</f>
        <v>0.19677462475454274</v>
      </c>
      <c r="AK70" s="15">
        <f t="shared" si="29"/>
        <v>-0.16782951765487802</v>
      </c>
      <c r="AL70" s="16">
        <f>IFERROR(AK70/AK148, "NA")</f>
        <v>0.74106900144566457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423</v>
      </c>
      <c r="C72" s="8">
        <f>IFERROR(B72/B148, "NA")</f>
        <v>1.2282889760338461E-2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1159</v>
      </c>
      <c r="K72" s="8">
        <f>IFERROR(J72/J148, "NA")</f>
        <v>2.8621114233065265E-2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293</v>
      </c>
      <c r="S72" s="8">
        <f>IFERROR(R72/R148, "NA")</f>
        <v>1.1336903361604657E-2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73.25</v>
      </c>
      <c r="AC72" s="8">
        <f>IFERROR(AB72/AB148, "NA")</f>
        <v>2.9449796389334352E-3</v>
      </c>
      <c r="AD72" s="10">
        <f t="shared" si="25"/>
        <v>-73.25</v>
      </c>
      <c r="AE72" s="11">
        <f>IFERROR(AD72/AD148, "NA")</f>
        <v>1.7147669526367326E-2</v>
      </c>
      <c r="AF72" s="10">
        <f t="shared" si="26"/>
        <v>-1</v>
      </c>
      <c r="AG72" s="9">
        <f t="shared" si="27"/>
        <v>181.5</v>
      </c>
      <c r="AH72" s="8">
        <f>IFERROR(AG72/AG148, "NA")</f>
        <v>6.8149589851643697E-3</v>
      </c>
      <c r="AI72" s="10">
        <f t="shared" si="28"/>
        <v>-181.5</v>
      </c>
      <c r="AJ72" s="11">
        <f>IFERROR(AI72/AI148, "NA")</f>
        <v>3.009217282274736E-2</v>
      </c>
      <c r="AK72" s="10">
        <f t="shared" si="29"/>
        <v>-1</v>
      </c>
      <c r="AL72" s="11">
        <f>IFERROR(AK72/AK148, "NA")</f>
        <v>4.4156058588548603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644.23</v>
      </c>
      <c r="C74" s="8">
        <f>IFERROR(B74/B148, "NA")</f>
        <v>1.8706870142559923E-2</v>
      </c>
      <c r="D74" s="7">
        <v>576.63</v>
      </c>
      <c r="E74" s="8">
        <f>IFERROR(D74/D148, "NA")</f>
        <v>2.0197990253908383E-2</v>
      </c>
      <c r="F74" s="7">
        <v>689.01</v>
      </c>
      <c r="G74" s="8">
        <f>IFERROR(F74/F148, "NA")</f>
        <v>1.9746769271950907E-2</v>
      </c>
      <c r="H74" s="7">
        <v>847.37</v>
      </c>
      <c r="I74" s="8">
        <f>IFERROR(H74/H148, "NA")</f>
        <v>1.866056693663859E-2</v>
      </c>
      <c r="J74" s="7">
        <v>960.79</v>
      </c>
      <c r="K74" s="8">
        <f>IFERROR(J74/J148, "NA")</f>
        <v>2.3726385111291434E-2</v>
      </c>
      <c r="L74" s="7">
        <v>558.29</v>
      </c>
      <c r="M74" s="8">
        <f>IFERROR(L74/L148, "NA")</f>
        <v>2.4120074586499427E-2</v>
      </c>
      <c r="N74" s="7">
        <v>656.84</v>
      </c>
      <c r="O74" s="8">
        <f>IFERROR(N74/N148, "NA")</f>
        <v>2.5837412797158375E-2</v>
      </c>
      <c r="P74" s="7">
        <v>625.05999999999995</v>
      </c>
      <c r="Q74" s="8">
        <f>IFERROR(P74/P148, "NA")</f>
        <v>2.5505938232587743E-2</v>
      </c>
      <c r="R74" s="7">
        <v>599.94000000000005</v>
      </c>
      <c r="S74" s="8">
        <f>IFERROR(R74/R148, "NA")</f>
        <v>2.3213180214201698E-2</v>
      </c>
      <c r="T74" s="7">
        <v>539.61</v>
      </c>
      <c r="U74" s="8">
        <f>IFERROR(T74/T148, "NA")</f>
        <v>1.8954174670933736E-2</v>
      </c>
      <c r="V74" s="7">
        <v>589.16</v>
      </c>
      <c r="W74" s="8">
        <f>IFERROR(V74/V148, "NA")</f>
        <v>2.3972747661969444E-2</v>
      </c>
      <c r="X74" s="7">
        <v>482.91</v>
      </c>
      <c r="Y74" s="8">
        <f>IFERROR(X74/X148, "NA")</f>
        <v>2.3440958549826418E-2</v>
      </c>
      <c r="Z74" s="7">
        <v>1611.68</v>
      </c>
      <c r="AA74" s="8">
        <f>IFERROR(Z74/Z148, "NA")</f>
        <v>2.1883985061078897E-2</v>
      </c>
      <c r="AB74" s="9">
        <f t="shared" ref="AB74:AB85" si="30">IFERROR((R74+T74+V74+X74)/4, "NA")</f>
        <v>552.90499999999997</v>
      </c>
      <c r="AC74" s="8">
        <f>IFERROR(AB74/AB148, "NA")</f>
        <v>2.2229269177672231E-2</v>
      </c>
      <c r="AD74" s="10">
        <f t="shared" ref="AD74:AD85" si="31">IFERROR(X74-AB74, "NA")</f>
        <v>-69.994999999999948</v>
      </c>
      <c r="AE74" s="11">
        <f>IFERROR(AD74/AD148, "NA")</f>
        <v>1.6385680935127375E-2</v>
      </c>
      <c r="AF74" s="10">
        <f t="shared" ref="AF74:AF85" si="32">IFERROR((X74-AB74)/AB74, "NA")</f>
        <v>-0.12659498467186939</v>
      </c>
      <c r="AG74" s="9">
        <f t="shared" ref="AG74:AG85" si="33">IFERROR((J74+L74+N74+P74+R74+T74+V74+X74)/8, "NA")</f>
        <v>626.57500000000005</v>
      </c>
      <c r="AH74" s="8">
        <f>IFERROR(AG74/AG148, "NA")</f>
        <v>2.352662769217281E-2</v>
      </c>
      <c r="AI74" s="10">
        <f t="shared" ref="AI74:AI85" si="34">IFERROR(X74-AG74, "NA")</f>
        <v>-143.66500000000002</v>
      </c>
      <c r="AJ74" s="11">
        <f>IFERROR(AI74/AI148, "NA")</f>
        <v>2.3819239716694217E-2</v>
      </c>
      <c r="AK74" s="10">
        <f t="shared" ref="AK74:AK85" si="35">IFERROR((X74-AG74)/AG74, "NA")</f>
        <v>-0.22928619877907674</v>
      </c>
      <c r="AL74" s="11">
        <f>IFERROR(AK74/AK148, "NA")</f>
        <v>1.0124374826834512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644.23</v>
      </c>
      <c r="C81" s="14">
        <f>IFERROR(B81/B148, "NA")</f>
        <v>1.8706870142559923E-2</v>
      </c>
      <c r="D81" s="13">
        <f>IFERROR(D74+D75+D76+D77+D78+D79+D80, "NA")</f>
        <v>576.63</v>
      </c>
      <c r="E81" s="14">
        <f>IFERROR(D81/D148, "NA")</f>
        <v>2.0197990253908383E-2</v>
      </c>
      <c r="F81" s="13">
        <f>IFERROR(F74+F75+F76+F77+F78+F79+F80, "NA")</f>
        <v>689.01</v>
      </c>
      <c r="G81" s="14">
        <f>IFERROR(F81/F148, "NA")</f>
        <v>1.9746769271950907E-2</v>
      </c>
      <c r="H81" s="13">
        <f>IFERROR(H74+H75+H76+H77+H78+H79+H80, "NA")</f>
        <v>847.37</v>
      </c>
      <c r="I81" s="14">
        <f>IFERROR(H81/H148, "NA")</f>
        <v>1.866056693663859E-2</v>
      </c>
      <c r="J81" s="13">
        <f>IFERROR(J74+J75+J76+J77+J78+J79+J80, "NA")</f>
        <v>960.79</v>
      </c>
      <c r="K81" s="14">
        <f>IFERROR(J81/J148, "NA")</f>
        <v>2.3726385111291434E-2</v>
      </c>
      <c r="L81" s="13">
        <f>IFERROR(L74+L75+L76+L77+L78+L79+L80, "NA")</f>
        <v>558.29</v>
      </c>
      <c r="M81" s="14">
        <f>IFERROR(L81/L148, "NA")</f>
        <v>2.4120074586499427E-2</v>
      </c>
      <c r="N81" s="13">
        <f>IFERROR(N74+N75+N76+N77+N78+N79+N80, "NA")</f>
        <v>656.84</v>
      </c>
      <c r="O81" s="14">
        <f>IFERROR(N81/N148, "NA")</f>
        <v>2.5837412797158375E-2</v>
      </c>
      <c r="P81" s="13">
        <f>IFERROR(P74+P75+P76+P77+P78+P79+P80, "NA")</f>
        <v>625.05999999999995</v>
      </c>
      <c r="Q81" s="14">
        <f>IFERROR(P81/P148, "NA")</f>
        <v>2.5505938232587743E-2</v>
      </c>
      <c r="R81" s="13">
        <f>IFERROR(R74+R75+R76+R77+R78+R79+R80, "NA")</f>
        <v>599.94000000000005</v>
      </c>
      <c r="S81" s="14">
        <f>IFERROR(R81/R148, "NA")</f>
        <v>2.3213180214201698E-2</v>
      </c>
      <c r="T81" s="13">
        <f>IFERROR(T74+T75+T76+T77+T78+T79+T80, "NA")</f>
        <v>539.61</v>
      </c>
      <c r="U81" s="14">
        <f>IFERROR(T81/T148, "NA")</f>
        <v>1.8954174670933736E-2</v>
      </c>
      <c r="V81" s="13">
        <f>IFERROR(V74+V75+V76+V77+V78+V79+V80, "NA")</f>
        <v>589.16</v>
      </c>
      <c r="W81" s="14">
        <f>IFERROR(V81/V148, "NA")</f>
        <v>2.3972747661969444E-2</v>
      </c>
      <c r="X81" s="13">
        <f>IFERROR(X74+X75+X76+X77+X78+X79+X80, "NA")</f>
        <v>482.91</v>
      </c>
      <c r="Y81" s="14">
        <f>IFERROR(X81/X148, "NA")</f>
        <v>2.3440958549826418E-2</v>
      </c>
      <c r="Z81" s="13">
        <f>IFERROR(Z74+Z75+Z76+Z77+Z78+Z79+Z80, "NA")</f>
        <v>1611.68</v>
      </c>
      <c r="AA81" s="14">
        <f>IFERROR(Z81/Z148, "NA")</f>
        <v>2.1883985061078897E-2</v>
      </c>
      <c r="AB81" s="13">
        <f t="shared" si="30"/>
        <v>552.90499999999997</v>
      </c>
      <c r="AC81" s="14">
        <f>IFERROR(AB81/AB148, "NA")</f>
        <v>2.2229269177672231E-2</v>
      </c>
      <c r="AD81" s="15">
        <f t="shared" si="31"/>
        <v>-69.994999999999948</v>
      </c>
      <c r="AE81" s="16">
        <f>IFERROR(AD81/AD148, "NA")</f>
        <v>1.6385680935127375E-2</v>
      </c>
      <c r="AF81" s="15">
        <f t="shared" si="32"/>
        <v>-0.12659498467186939</v>
      </c>
      <c r="AG81" s="13">
        <f t="shared" si="33"/>
        <v>626.57500000000005</v>
      </c>
      <c r="AH81" s="14">
        <f>IFERROR(AG81/AG148, "NA")</f>
        <v>2.352662769217281E-2</v>
      </c>
      <c r="AI81" s="15">
        <f t="shared" si="34"/>
        <v>-143.66500000000002</v>
      </c>
      <c r="AJ81" s="16">
        <f>IFERROR(AI81/AI148, "NA")</f>
        <v>2.3819239716694217E-2</v>
      </c>
      <c r="AK81" s="15">
        <f t="shared" si="35"/>
        <v>-0.22928619877907674</v>
      </c>
      <c r="AL81" s="16">
        <f>IFERROR(AK81/AK148, "NA")</f>
        <v>1.0124374826834512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260</v>
      </c>
      <c r="E82" s="8">
        <f>IFERROR(D82/D148, "NA")</f>
        <v>9.1071873922899949E-3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308</v>
      </c>
      <c r="M82" s="8">
        <f>IFERROR(L82/L148, "NA")</f>
        <v>1.3306673901810572E-2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308</v>
      </c>
      <c r="W82" s="8">
        <f>IFERROR(V82/V148, "NA")</f>
        <v>1.2532429696324579E-2</v>
      </c>
      <c r="X82" s="7">
        <v>0</v>
      </c>
      <c r="Y82" s="8">
        <f>IFERROR(X82/X148, "NA")</f>
        <v>0</v>
      </c>
      <c r="Z82" s="7">
        <v>308</v>
      </c>
      <c r="AA82" s="8">
        <f>IFERROR(Z82/Z148, "NA")</f>
        <v>4.1821375203590664E-3</v>
      </c>
      <c r="AB82" s="9">
        <f t="shared" si="30"/>
        <v>77</v>
      </c>
      <c r="AC82" s="8">
        <f>IFERROR(AB82/AB148, "NA")</f>
        <v>3.0957465146467509E-3</v>
      </c>
      <c r="AD82" s="10">
        <f t="shared" si="31"/>
        <v>-77</v>
      </c>
      <c r="AE82" s="11">
        <f>IFERROR(AD82/AD148, "NA")</f>
        <v>1.8025536566966337E-2</v>
      </c>
      <c r="AF82" s="10">
        <f t="shared" si="32"/>
        <v>-1</v>
      </c>
      <c r="AG82" s="9">
        <f t="shared" si="33"/>
        <v>77</v>
      </c>
      <c r="AH82" s="8">
        <f>IFERROR(AG82/AG148, "NA")</f>
        <v>2.8911947209788237E-3</v>
      </c>
      <c r="AI82" s="10">
        <f t="shared" si="34"/>
        <v>-77</v>
      </c>
      <c r="AJ82" s="11">
        <f>IFERROR(AI82/AI148, "NA")</f>
        <v>1.2766376349044335E-2</v>
      </c>
      <c r="AK82" s="10">
        <f t="shared" si="35"/>
        <v>-1</v>
      </c>
      <c r="AL82" s="11">
        <f>IFERROR(AK82/AK148, "NA")</f>
        <v>4.4156058588548603</v>
      </c>
    </row>
    <row r="83" spans="1:38" ht="16.5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7.2</v>
      </c>
      <c r="I83" s="8">
        <f>IFERROR(H83/H148, "NA")</f>
        <v>1.5855657144316868E-4</v>
      </c>
      <c r="J83" s="7">
        <v>0</v>
      </c>
      <c r="K83" s="8">
        <f>IFERROR(J83/J148, "NA")</f>
        <v>0</v>
      </c>
      <c r="L83" s="7">
        <v>-6.64</v>
      </c>
      <c r="M83" s="8">
        <f>IFERROR(L83/L148, "NA")</f>
        <v>-2.8687115164942274E-4</v>
      </c>
      <c r="N83" s="7">
        <v>-1.66</v>
      </c>
      <c r="O83" s="8">
        <f>IFERROR(N83/N148, "NA")</f>
        <v>-6.5297645154501703E-5</v>
      </c>
      <c r="P83" s="7">
        <v>5.54</v>
      </c>
      <c r="Q83" s="8">
        <f>IFERROR(P83/P148, "NA")</f>
        <v>2.2606293445195041E-4</v>
      </c>
      <c r="R83" s="7">
        <v>-1.66</v>
      </c>
      <c r="S83" s="8">
        <f>IFERROR(R83/R148, "NA")</f>
        <v>-6.4229554881446168E-5</v>
      </c>
      <c r="T83" s="7">
        <v>-1.66</v>
      </c>
      <c r="U83" s="8">
        <f>IFERROR(T83/T148, "NA")</f>
        <v>-5.8308648753266248E-5</v>
      </c>
      <c r="V83" s="7">
        <v>-1.66</v>
      </c>
      <c r="W83" s="8">
        <f>IFERROR(V83/V148, "NA")</f>
        <v>-6.7544913298372736E-5</v>
      </c>
      <c r="X83" s="7">
        <v>-1.66</v>
      </c>
      <c r="Y83" s="8">
        <f>IFERROR(X83/X148, "NA")</f>
        <v>-8.0578143324246446E-5</v>
      </c>
      <c r="Z83" s="7">
        <v>-4.9800000000000004</v>
      </c>
      <c r="AA83" s="8">
        <f>IFERROR(Z83/Z148, "NA")</f>
        <v>-6.762027549151997E-5</v>
      </c>
      <c r="AB83" s="9">
        <f t="shared" si="30"/>
        <v>-1.66</v>
      </c>
      <c r="AC83" s="8">
        <f>IFERROR(AB83/AB148, "NA")</f>
        <v>-6.6739470315761121E-5</v>
      </c>
      <c r="AD83" s="10">
        <f t="shared" si="31"/>
        <v>0</v>
      </c>
      <c r="AE83" s="11">
        <f>IFERROR(AD83/AD148, "NA")</f>
        <v>0</v>
      </c>
      <c r="AF83" s="10">
        <f t="shared" si="32"/>
        <v>0</v>
      </c>
      <c r="AG83" s="9">
        <f t="shared" si="33"/>
        <v>-1.1749999999999998</v>
      </c>
      <c r="AH83" s="8">
        <f>IFERROR(AG83/AG148, "NA")</f>
        <v>-4.4118880482469053E-5</v>
      </c>
      <c r="AI83" s="10">
        <f t="shared" si="34"/>
        <v>-0.4850000000000001</v>
      </c>
      <c r="AJ83" s="11">
        <f>IFERROR(AI83/AI148, "NA")</f>
        <v>8.0411591289435112E-5</v>
      </c>
      <c r="AK83" s="10">
        <f t="shared" si="35"/>
        <v>0.41276595744680866</v>
      </c>
      <c r="AL83" s="11">
        <f>IFERROR(AK83/AK148, "NA")</f>
        <v>-1.8226117800379642</v>
      </c>
    </row>
    <row r="84" spans="1:38" ht="16.5" customHeight="1">
      <c r="A84" s="27" t="s">
        <v>96</v>
      </c>
      <c r="B84" s="13">
        <f>IFERROR(B63+B65+B66+B67+B68+B69+B71+B72+B74+B75+B76+B77+B78+B79+B80+B82+B83, "NA")</f>
        <v>8447.1</v>
      </c>
      <c r="C84" s="14">
        <f>IFERROR(B84/B148, "NA")</f>
        <v>0.24528321062542557</v>
      </c>
      <c r="D84" s="13">
        <f>IFERROR(D63+D65+D66+D67+D68+D69+D71+D72+D74+D75+D76+D77+D78+D79+D80+D82+D83, "NA")</f>
        <v>7592.53</v>
      </c>
      <c r="E84" s="14">
        <f>IFERROR(D84/D148, "NA")</f>
        <v>0.26594843650609057</v>
      </c>
      <c r="F84" s="13">
        <f>IFERROR(F63+F65+F66+F67+F68+F69+F71+F72+F74+F75+F76+F77+F78+F79+F80+F82+F83, "NA")</f>
        <v>8499.77</v>
      </c>
      <c r="G84" s="14">
        <f>IFERROR(F84/F148, "NA")</f>
        <v>0.24360023374791395</v>
      </c>
      <c r="H84" s="13">
        <f>IFERROR(H63+H65+H66+H67+H68+H69+H71+H72+H74+H75+H76+H77+H78+H79+H80+H82+H83, "NA")</f>
        <v>10704.400000000001</v>
      </c>
      <c r="I84" s="14">
        <f>IFERROR(H84/H148, "NA")</f>
        <v>0.23572957824392432</v>
      </c>
      <c r="J84" s="13">
        <f>IFERROR(J63+J65+J66+J67+J68+J69+J71+J72+J74+J75+J76+J77+J78+J79+J80+J82+J83, "NA")</f>
        <v>11554.82</v>
      </c>
      <c r="K84" s="14">
        <f>IFERROR(J84/J148, "NA")</f>
        <v>0.28534238409189572</v>
      </c>
      <c r="L84" s="13">
        <f>IFERROR(L63+L65+L66+L67+L68+L69+L71+L72+L74+L75+L76+L77+L78+L79+L80+L82+L83, "NA")</f>
        <v>7242.0499999999993</v>
      </c>
      <c r="M84" s="14">
        <f>IFERROR(L84/L148, "NA")</f>
        <v>0.3128818108136599</v>
      </c>
      <c r="N84" s="13">
        <f>IFERROR(N63+N65+N66+N67+N68+N69+N71+N72+N74+N75+N76+N77+N78+N79+N80+N82+N83, "NA")</f>
        <v>8051.06</v>
      </c>
      <c r="O84" s="14">
        <f>IFERROR(N84/N148, "NA")</f>
        <v>0.31669593915518224</v>
      </c>
      <c r="P84" s="13">
        <f>IFERROR(P63+P65+P66+P67+P68+P69+P71+P72+P74+P75+P76+P77+P78+P79+P80+P82+P83, "NA")</f>
        <v>7895.329999999999</v>
      </c>
      <c r="Q84" s="14">
        <f>IFERROR(P84/P148, "NA")</f>
        <v>0.32217355022861321</v>
      </c>
      <c r="R84" s="13">
        <f>IFERROR(R63+R65+R66+R67+R68+R69+R71+R72+R74+R75+R76+R77+R78+R79+R80+R82+R83, "NA")</f>
        <v>7715.33</v>
      </c>
      <c r="S84" s="14">
        <f>IFERROR(R84/R148, "NA")</f>
        <v>0.29852542871293258</v>
      </c>
      <c r="T84" s="13">
        <f>IFERROR(T63+T65+T66+T67+T68+T69+T71+T72+T74+T75+T76+T77+T78+T79+T80+T82+T83, "NA")</f>
        <v>6997.17</v>
      </c>
      <c r="U84" s="14">
        <f>IFERROR(T84/T148, "NA")</f>
        <v>0.24578043843186267</v>
      </c>
      <c r="V84" s="13">
        <f>IFERROR(V63+V65+V66+V67+V68+V69+V71+V72+V74+V75+V76+V77+V78+V79+V80+V82+V83, "NA")</f>
        <v>7822.93</v>
      </c>
      <c r="W84" s="14">
        <f>IFERROR(V84/V148, "NA")</f>
        <v>0.31831272806580663</v>
      </c>
      <c r="X84" s="13">
        <f>IFERROR(X63+X65+X66+X67+X68+X69+X71+X72+X74+X75+X76+X77+X78+X79+X80+X82+X83, "NA")</f>
        <v>6366.11</v>
      </c>
      <c r="Y84" s="14">
        <f>IFERROR(X84/X148, "NA")</f>
        <v>0.30901766505898709</v>
      </c>
      <c r="Z84" s="13">
        <f>IFERROR(Z63+Z65+Z66+Z67+Z68+Z69+Z71+Z72+Z74+Z75+Z76+Z77+Z78+Z79+Z80+Z82+Z83, "NA")</f>
        <v>21186.210000000003</v>
      </c>
      <c r="AA84" s="14">
        <f>IFERROR(Z84/Z148, "NA")</f>
        <v>0.28767416803638463</v>
      </c>
      <c r="AB84" s="13">
        <f t="shared" si="30"/>
        <v>7225.3850000000002</v>
      </c>
      <c r="AC84" s="14">
        <f>IFERROR(AB84/AB148, "NA")</f>
        <v>0.29049299260689498</v>
      </c>
      <c r="AD84" s="15">
        <f t="shared" si="31"/>
        <v>-859.27500000000055</v>
      </c>
      <c r="AE84" s="16">
        <f>IFERROR(AD84/AD148, "NA")</f>
        <v>0.20115445368285725</v>
      </c>
      <c r="AF84" s="15">
        <f t="shared" si="32"/>
        <v>-0.11892445869666468</v>
      </c>
      <c r="AG84" s="13">
        <f t="shared" si="33"/>
        <v>7955.6</v>
      </c>
      <c r="AH84" s="14">
        <f>IFERROR(AG84/AG148, "NA")</f>
        <v>0.2987167366521965</v>
      </c>
      <c r="AI84" s="15">
        <f t="shared" si="34"/>
        <v>-1589.4900000000007</v>
      </c>
      <c r="AJ84" s="16">
        <f>IFERROR(AI84/AI148, "NA")</f>
        <v>0.26353282523431804</v>
      </c>
      <c r="AK84" s="15">
        <f t="shared" si="35"/>
        <v>-0.19979511287646445</v>
      </c>
      <c r="AL84" s="16">
        <f>IFERROR(AK84/AK148, "NA")</f>
        <v>0.88221647098788447</v>
      </c>
    </row>
    <row r="85" spans="1:38" ht="16.5" customHeight="1">
      <c r="A85" s="12" t="s">
        <v>96</v>
      </c>
      <c r="B85" s="28">
        <f>IFERROR(B63+B65+B66+B67+B68+B69+B71+B72+B74+B75+B76+B77+B78+B79+B80+B82+B83, "NA")</f>
        <v>8447.1</v>
      </c>
      <c r="C85" s="29">
        <f>IFERROR(B85/B148, "NA")</f>
        <v>0.24528321062542557</v>
      </c>
      <c r="D85" s="28">
        <f>IFERROR(D63+D65+D66+D67+D68+D69+D71+D72+D74+D75+D76+D77+D78+D79+D80+D82+D83, "NA")</f>
        <v>7592.53</v>
      </c>
      <c r="E85" s="29">
        <f>IFERROR(D85/D148, "NA")</f>
        <v>0.26594843650609057</v>
      </c>
      <c r="F85" s="28">
        <f>IFERROR(F63+F65+F66+F67+F68+F69+F71+F72+F74+F75+F76+F77+F78+F79+F80+F82+F83, "NA")</f>
        <v>8499.77</v>
      </c>
      <c r="G85" s="29">
        <f>IFERROR(F85/F148, "NA")</f>
        <v>0.24360023374791395</v>
      </c>
      <c r="H85" s="28">
        <f>IFERROR(H63+H65+H66+H67+H68+H69+H71+H72+H74+H75+H76+H77+H78+H79+H80+H82+H83, "NA")</f>
        <v>10704.400000000001</v>
      </c>
      <c r="I85" s="29">
        <f>IFERROR(H85/H148, "NA")</f>
        <v>0.23572957824392432</v>
      </c>
      <c r="J85" s="28">
        <f>IFERROR(J63+J65+J66+J67+J68+J69+J71+J72+J74+J75+J76+J77+J78+J79+J80+J82+J83, "NA")</f>
        <v>11554.82</v>
      </c>
      <c r="K85" s="29">
        <f>IFERROR(J85/J148, "NA")</f>
        <v>0.28534238409189572</v>
      </c>
      <c r="L85" s="28">
        <f>IFERROR(L63+L65+L66+L67+L68+L69+L71+L72+L74+L75+L76+L77+L78+L79+L80+L82+L83, "NA")</f>
        <v>7242.0499999999993</v>
      </c>
      <c r="M85" s="29">
        <f>IFERROR(L85/L148, "NA")</f>
        <v>0.3128818108136599</v>
      </c>
      <c r="N85" s="28">
        <f>IFERROR(N63+N65+N66+N67+N68+N69+N71+N72+N74+N75+N76+N77+N78+N79+N80+N82+N83, "NA")</f>
        <v>8051.06</v>
      </c>
      <c r="O85" s="29">
        <f>IFERROR(N85/N148, "NA")</f>
        <v>0.31669593915518224</v>
      </c>
      <c r="P85" s="28">
        <f>IFERROR(P63+P65+P66+P67+P68+P69+P71+P72+P74+P75+P76+P77+P78+P79+P80+P82+P83, "NA")</f>
        <v>7895.329999999999</v>
      </c>
      <c r="Q85" s="29">
        <f>IFERROR(P85/P148, "NA")</f>
        <v>0.32217355022861321</v>
      </c>
      <c r="R85" s="28">
        <f>IFERROR(R63+R65+R66+R67+R68+R69+R71+R72+R74+R75+R76+R77+R78+R79+R80+R82+R83, "NA")</f>
        <v>7715.33</v>
      </c>
      <c r="S85" s="29">
        <f>IFERROR(R85/R148, "NA")</f>
        <v>0.29852542871293258</v>
      </c>
      <c r="T85" s="28">
        <f>IFERROR(T63+T65+T66+T67+T68+T69+T71+T72+T74+T75+T76+T77+T78+T79+T80+T82+T83, "NA")</f>
        <v>6997.17</v>
      </c>
      <c r="U85" s="29">
        <f>IFERROR(T85/T148, "NA")</f>
        <v>0.24578043843186267</v>
      </c>
      <c r="V85" s="28">
        <f>IFERROR(V63+V65+V66+V67+V68+V69+V71+V72+V74+V75+V76+V77+V78+V79+V80+V82+V83, "NA")</f>
        <v>7822.93</v>
      </c>
      <c r="W85" s="29">
        <f>IFERROR(V85/V148, "NA")</f>
        <v>0.31831272806580663</v>
      </c>
      <c r="X85" s="28">
        <f>IFERROR(X63+X65+X66+X67+X68+X69+X71+X72+X74+X75+X76+X77+X78+X79+X80+X82+X83, "NA")</f>
        <v>6366.11</v>
      </c>
      <c r="Y85" s="29">
        <f>IFERROR(X85/X148, "NA")</f>
        <v>0.30901766505898709</v>
      </c>
      <c r="Z85" s="28">
        <f>IFERROR(Z63+Z65+Z66+Z67+Z68+Z69+Z71+Z72+Z74+Z75+Z76+Z77+Z78+Z79+Z80+Z82+Z83, "NA")</f>
        <v>21186.210000000003</v>
      </c>
      <c r="AA85" s="29">
        <f>IFERROR(Z85/Z148, "NA")</f>
        <v>0.28767416803638463</v>
      </c>
      <c r="AB85" s="28">
        <f t="shared" si="30"/>
        <v>7225.3850000000002</v>
      </c>
      <c r="AC85" s="29">
        <f>IFERROR(AB85/AB148, "NA")</f>
        <v>0.29049299260689498</v>
      </c>
      <c r="AD85" s="30">
        <f t="shared" si="31"/>
        <v>-859.27500000000055</v>
      </c>
      <c r="AE85" s="31">
        <f>IFERROR(AD85/AD148, "NA")</f>
        <v>0.20115445368285725</v>
      </c>
      <c r="AF85" s="30">
        <f t="shared" si="32"/>
        <v>-0.11892445869666468</v>
      </c>
      <c r="AG85" s="28">
        <f t="shared" si="33"/>
        <v>7955.6</v>
      </c>
      <c r="AH85" s="29">
        <f>IFERROR(AG85/AG148, "NA")</f>
        <v>0.2987167366521965</v>
      </c>
      <c r="AI85" s="30">
        <f t="shared" si="34"/>
        <v>-1589.4900000000007</v>
      </c>
      <c r="AJ85" s="31">
        <f>IFERROR(AI85/AI148, "NA")</f>
        <v>0.26353282523431804</v>
      </c>
      <c r="AK85" s="30">
        <f t="shared" si="35"/>
        <v>-0.19979511287646445</v>
      </c>
      <c r="AL85" s="31">
        <f>IFERROR(AK85/AK148, "NA")</f>
        <v>0.88221647098788447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17310.489999999998</v>
      </c>
      <c r="C87" s="34">
        <f>IFERROR(B87/B148, "NA")</f>
        <v>0.50265446895376198</v>
      </c>
      <c r="D87" s="33">
        <f>IFERROR(D59-D85, "NA")</f>
        <v>13596.520000000004</v>
      </c>
      <c r="E87" s="34">
        <f>IFERROR(D87/D148, "NA")</f>
        <v>0.47625405970391843</v>
      </c>
      <c r="F87" s="33">
        <f>IFERROR(F59-F85, "NA")</f>
        <v>18477.399999999991</v>
      </c>
      <c r="G87" s="34">
        <f>IFERROR(F87/F148, "NA")</f>
        <v>0.5295553831519797</v>
      </c>
      <c r="H87" s="33">
        <f>IFERROR(H59-H85, "NA")</f>
        <v>23472.279999999992</v>
      </c>
      <c r="I87" s="34">
        <f>IFERROR(H87/H148, "NA")</f>
        <v>0.51690058899361924</v>
      </c>
      <c r="J87" s="33">
        <f>IFERROR(J59-J85, "NA")</f>
        <v>19050.689999999995</v>
      </c>
      <c r="K87" s="34">
        <f>IFERROR(J87/J148, "NA")</f>
        <v>0.47045036644410176</v>
      </c>
      <c r="L87" s="33">
        <f>IFERROR(L59-L85, "NA")</f>
        <v>10482.869999999999</v>
      </c>
      <c r="M87" s="34">
        <f>IFERROR(L87/L148, "NA")</f>
        <v>0.45289653456192525</v>
      </c>
      <c r="N87" s="33">
        <f>IFERROR(N59-N85, "NA")</f>
        <v>10752.890000000007</v>
      </c>
      <c r="O87" s="34">
        <f>IFERROR(N87/N148, "NA")</f>
        <v>0.42297493711168088</v>
      </c>
      <c r="P87" s="33">
        <f>IFERROR(P59-P85, "NA")</f>
        <v>10472.700000000004</v>
      </c>
      <c r="Q87" s="34">
        <f>IFERROR(P87/P148, "NA")</f>
        <v>0.42734463784024224</v>
      </c>
      <c r="R87" s="33">
        <f>IFERROR(R59-R85, "NA")</f>
        <v>12268.389999999994</v>
      </c>
      <c r="S87" s="34">
        <f>IFERROR(R87/R148, "NA")</f>
        <v>0.4746947161517982</v>
      </c>
      <c r="T87" s="33">
        <f>IFERROR(T59-T85, "NA")</f>
        <v>15408.9</v>
      </c>
      <c r="U87" s="34">
        <f>IFERROR(T87/T148, "NA")</f>
        <v>0.54124827576759293</v>
      </c>
      <c r="V87" s="33">
        <f>IFERROR(V59-V85, "NA")</f>
        <v>11019.630000000005</v>
      </c>
      <c r="W87" s="34">
        <f>IFERROR(V87/V148, "NA")</f>
        <v>0.44838551381334185</v>
      </c>
      <c r="X87" s="33">
        <f>IFERROR(X59-X85, "NA")</f>
        <v>8523.82</v>
      </c>
      <c r="Y87" s="34">
        <f>IFERROR(X87/X148, "NA")</f>
        <v>0.41375517447595084</v>
      </c>
      <c r="Z87" s="33">
        <f>IFERROR(Z59-Z85, "NA")</f>
        <v>34952.350000000006</v>
      </c>
      <c r="AA87" s="34">
        <f>IFERROR(Z87/Z148, "NA")</f>
        <v>0.47459589077831893</v>
      </c>
      <c r="AB87" s="33">
        <f>IFERROR((R87+T87+V87+X87)/4, "NA")</f>
        <v>11805.184999999999</v>
      </c>
      <c r="AC87" s="34">
        <f>IFERROR(AB87/AB148, "NA")</f>
        <v>0.47462156257805327</v>
      </c>
      <c r="AD87" s="15">
        <f>IFERROR(X87-AB87, "NA")</f>
        <v>-3281.3649999999998</v>
      </c>
      <c r="AE87" s="16">
        <f>IFERROR(AD87/AD148, "NA")</f>
        <v>0.76816058178004532</v>
      </c>
      <c r="AF87" s="15">
        <f>IFERROR((X87-AB87)/AB87, "NA")</f>
        <v>-0.27795964230971393</v>
      </c>
      <c r="AG87" s="33">
        <f>IFERROR((J87+L87+N87+P87+R87+T87+V87+X87)/8, "NA")</f>
        <v>12247.486249999998</v>
      </c>
      <c r="AH87" s="34">
        <f>IFERROR(AG87/AG148, "NA")</f>
        <v>0.45986841027611325</v>
      </c>
      <c r="AI87" s="15">
        <f>IFERROR(X87-AG87, "NA")</f>
        <v>-3723.6662499999984</v>
      </c>
      <c r="AJ87" s="16">
        <f>IFERROR(AI87/AI148, "NA")</f>
        <v>0.61737304864590381</v>
      </c>
      <c r="AK87" s="15">
        <f>IFERROR((X87-AG87)/AG87, "NA")</f>
        <v>-0.30403514435462209</v>
      </c>
      <c r="AL87" s="16">
        <f>IFERROR(AK87/AK148, "NA")</f>
        <v>1.3424993647100525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919.49000000000012</v>
      </c>
      <c r="C90" s="8">
        <f>IFERROR(B90/B148, "NA")</f>
        <v>2.669975013175795E-2</v>
      </c>
      <c r="D90" s="7">
        <v>881.83</v>
      </c>
      <c r="E90" s="8">
        <f>IFERROR(D90/D148, "NA")</f>
        <v>3.088842714670418E-2</v>
      </c>
      <c r="F90" s="7">
        <v>995.46</v>
      </c>
      <c r="G90" s="8">
        <f>IFERROR(F90/F148, "NA")</f>
        <v>2.8529511820519663E-2</v>
      </c>
      <c r="H90" s="7">
        <v>329.59000000000003</v>
      </c>
      <c r="I90" s="8">
        <f>IFERROR(H90/H148, "NA")</f>
        <v>7.2581472752713851E-3</v>
      </c>
      <c r="J90" s="7">
        <v>885.85</v>
      </c>
      <c r="K90" s="8">
        <f>IFERROR(J90/J148, "NA")</f>
        <v>2.1875767077964507E-2</v>
      </c>
      <c r="L90" s="7">
        <v>544.99</v>
      </c>
      <c r="M90" s="8">
        <f>IFERROR(L90/L148, "NA")</f>
        <v>2.3545468213466703E-2</v>
      </c>
      <c r="N90" s="7">
        <v>797.51</v>
      </c>
      <c r="O90" s="8">
        <f>IFERROR(N90/N148, "NA")</f>
        <v>3.1370798185040155E-2</v>
      </c>
      <c r="P90" s="7">
        <v>548.75</v>
      </c>
      <c r="Q90" s="8">
        <f>IFERROR(P90/P148, "NA")</f>
        <v>2.2392064130055556E-2</v>
      </c>
      <c r="R90" s="7">
        <v>396.12</v>
      </c>
      <c r="S90" s="8">
        <f>IFERROR(R90/R148, "NA")</f>
        <v>1.5326874264842446E-2</v>
      </c>
      <c r="T90" s="7">
        <v>559.89</v>
      </c>
      <c r="U90" s="8">
        <f>IFERROR(T90/T148, "NA")</f>
        <v>1.9666523705100147E-2</v>
      </c>
      <c r="V90" s="7">
        <v>622.83000000000004</v>
      </c>
      <c r="W90" s="8">
        <f>IFERROR(V90/V148, "NA")</f>
        <v>2.5342770090135837E-2</v>
      </c>
      <c r="X90" s="7">
        <v>470.16999999999996</v>
      </c>
      <c r="Y90" s="8">
        <f>IFERROR(X90/X148, "NA")</f>
        <v>2.2822545570337922E-2</v>
      </c>
      <c r="Z90" s="7">
        <v>1652.89</v>
      </c>
      <c r="AA90" s="8">
        <f>IFERROR(Z90/Z148, "NA")</f>
        <v>2.2443549629955512E-2</v>
      </c>
      <c r="AB90" s="9">
        <f t="shared" ref="AB90:AB99" si="36">IFERROR((R90+T90+V90+X90)/4, "NA")</f>
        <v>512.25250000000005</v>
      </c>
      <c r="AC90" s="8">
        <f>IFERROR(AB90/AB148, "NA")</f>
        <v>2.0594855733689413E-2</v>
      </c>
      <c r="AD90" s="10">
        <f t="shared" ref="AD90:AD99" si="37">IFERROR(X90-AB90, "NA")</f>
        <v>-42.082500000000095</v>
      </c>
      <c r="AE90" s="11">
        <f>IFERROR(AD90/AD148, "NA")</f>
        <v>9.8514239296021121E-3</v>
      </c>
      <c r="AF90" s="10">
        <f t="shared" ref="AF90:AF99" si="38">IFERROR((X90-AB90)/AB90, "NA")</f>
        <v>-8.2151868463306854E-2</v>
      </c>
      <c r="AG90" s="9">
        <f t="shared" ref="AG90:AG99" si="39">IFERROR((J90+L90+N90+P90+R90+T90+V90+X90)/8, "NA")</f>
        <v>603.26375000000007</v>
      </c>
      <c r="AH90" s="8">
        <f>IFERROR(AG90/AG148, "NA")</f>
        <v>2.2651337264388168E-2</v>
      </c>
      <c r="AI90" s="10">
        <f t="shared" ref="AI90:AI99" si="40">IFERROR(X90-AG90, "NA")</f>
        <v>-133.09375000000011</v>
      </c>
      <c r="AJ90" s="11">
        <f>IFERROR(AI90/AI148, "NA")</f>
        <v>2.206655717150157E-2</v>
      </c>
      <c r="AK90" s="10">
        <f t="shared" ref="AK90:AK99" si="41">IFERROR((X90-AG90)/AG90, "NA")</f>
        <v>-0.22062282044959622</v>
      </c>
      <c r="AL90" s="11">
        <f>IFERROR(AK90/AK148, "NA")</f>
        <v>0.97418341857432089</v>
      </c>
    </row>
    <row r="91" spans="1:38" ht="16.5" hidden="1" customHeight="1">
      <c r="A91" s="6" t="s">
        <v>100</v>
      </c>
      <c r="B91" s="7">
        <v>2682.9900000000002</v>
      </c>
      <c r="C91" s="8">
        <f>IFERROR(B91/B148, "NA")</f>
        <v>7.7907495030946794E-2</v>
      </c>
      <c r="D91" s="7">
        <v>2161.8200000000002</v>
      </c>
      <c r="E91" s="8">
        <f>IFERROR(D91/D148, "NA")</f>
        <v>7.5723460955385999E-2</v>
      </c>
      <c r="F91" s="7">
        <v>3074.11</v>
      </c>
      <c r="G91" s="8">
        <f>IFERROR(F91/F148, "NA")</f>
        <v>8.8102844496592225E-2</v>
      </c>
      <c r="H91" s="7">
        <v>3228.94</v>
      </c>
      <c r="I91" s="8">
        <f>IFERROR(H91/H148, "NA")</f>
        <v>7.110689663829238E-2</v>
      </c>
      <c r="J91" s="7">
        <v>770.46</v>
      </c>
      <c r="K91" s="8">
        <f>IFERROR(J91/J148, "NA")</f>
        <v>1.9026249932707046E-2</v>
      </c>
      <c r="L91" s="7">
        <v>725.99</v>
      </c>
      <c r="M91" s="8">
        <f>IFERROR(L91/L148, "NA")</f>
        <v>3.136529930511512E-2</v>
      </c>
      <c r="N91" s="7">
        <v>330.69</v>
      </c>
      <c r="O91" s="8">
        <f>IFERROR(N91/N148, "NA")</f>
        <v>1.3007998961531427E-2</v>
      </c>
      <c r="P91" s="7">
        <v>1771.0700000000002</v>
      </c>
      <c r="Q91" s="8">
        <f>IFERROR(P91/P148, "NA")</f>
        <v>7.2269545364587698E-2</v>
      </c>
      <c r="R91" s="7">
        <v>1499.21</v>
      </c>
      <c r="S91" s="8">
        <f>IFERROR(R91/R148, "NA")</f>
        <v>5.8008187333622244E-2</v>
      </c>
      <c r="T91" s="7">
        <v>1259.99</v>
      </c>
      <c r="U91" s="8">
        <f>IFERROR(T91/T148, "NA")</f>
        <v>4.4258020688330089E-2</v>
      </c>
      <c r="V91" s="7">
        <v>615.48</v>
      </c>
      <c r="W91" s="8">
        <f>IFERROR(V91/V148, "NA")</f>
        <v>2.504370074510991E-2</v>
      </c>
      <c r="X91" s="7">
        <v>325.45999999999998</v>
      </c>
      <c r="Y91" s="8">
        <f>IFERROR(X91/X148, "NA")</f>
        <v>1.5798170196571835E-2</v>
      </c>
      <c r="Z91" s="7">
        <v>2200.9299999999998</v>
      </c>
      <c r="AA91" s="8">
        <f>IFERROR(Z91/Z148, "NA")</f>
        <v>2.9885038742480125E-2</v>
      </c>
      <c r="AB91" s="9">
        <f t="shared" si="36"/>
        <v>925.03499999999997</v>
      </c>
      <c r="AC91" s="8">
        <f>IFERROR(AB91/AB148, "NA")</f>
        <v>3.7190569833457886E-2</v>
      </c>
      <c r="AD91" s="10">
        <f t="shared" si="37"/>
        <v>-599.57500000000005</v>
      </c>
      <c r="AE91" s="11">
        <f>IFERROR(AD91/AD148, "NA")</f>
        <v>0.14035923489790703</v>
      </c>
      <c r="AF91" s="10">
        <f t="shared" si="38"/>
        <v>-0.64816466403973916</v>
      </c>
      <c r="AG91" s="9">
        <f t="shared" si="39"/>
        <v>912.29374999999993</v>
      </c>
      <c r="AH91" s="8">
        <f>IFERROR(AG91/AG148, "NA")</f>
        <v>3.4254790571194474E-2</v>
      </c>
      <c r="AI91" s="10">
        <f t="shared" si="40"/>
        <v>-586.83375000000001</v>
      </c>
      <c r="AJ91" s="11">
        <f>IFERROR(AI91/AI148, "NA")</f>
        <v>9.7295331257415532E-2</v>
      </c>
      <c r="AK91" s="10">
        <f t="shared" si="41"/>
        <v>-0.64325087177238693</v>
      </c>
      <c r="AL91" s="11">
        <f>IFERROR(AK91/AK148, "NA")</f>
        <v>2.8403423181116478</v>
      </c>
    </row>
    <row r="92" spans="1:38" ht="16.5" hidden="1" customHeight="1">
      <c r="A92" s="6" t="s">
        <v>101</v>
      </c>
      <c r="B92" s="7">
        <v>315.09000000000003</v>
      </c>
      <c r="C92" s="8">
        <f>IFERROR(B92/B148, "NA")</f>
        <v>9.1494461810521181E-3</v>
      </c>
      <c r="D92" s="7">
        <v>461.26</v>
      </c>
      <c r="E92" s="8">
        <f>IFERROR(D92/D148, "NA")</f>
        <v>1.6156850986798782E-2</v>
      </c>
      <c r="F92" s="7">
        <v>347.34</v>
      </c>
      <c r="G92" s="8">
        <f>IFERROR(F92/F148, "NA")</f>
        <v>9.9546346771736665E-3</v>
      </c>
      <c r="H92" s="7">
        <v>523.06000000000006</v>
      </c>
      <c r="I92" s="8">
        <f>IFERROR(H92/H148, "NA")</f>
        <v>1.151869448042553E-2</v>
      </c>
      <c r="J92" s="7">
        <v>513.18999999999994</v>
      </c>
      <c r="K92" s="8">
        <f>IFERROR(J92/J148, "NA")</f>
        <v>1.2673054023526109E-2</v>
      </c>
      <c r="L92" s="7">
        <v>401.33</v>
      </c>
      <c r="M92" s="8">
        <f>IFERROR(L92/L148, "NA")</f>
        <v>1.7338855314979341E-2</v>
      </c>
      <c r="N92" s="7">
        <v>380.75</v>
      </c>
      <c r="O92" s="8">
        <f>IFERROR(N92/N148, "NA")</f>
        <v>1.4977155658178629E-2</v>
      </c>
      <c r="P92" s="7">
        <v>341.36</v>
      </c>
      <c r="Q92" s="8">
        <f>IFERROR(P92/P148, "NA")</f>
        <v>1.392939409828841E-2</v>
      </c>
      <c r="R92" s="7">
        <v>276.73</v>
      </c>
      <c r="S92" s="8">
        <f>IFERROR(R92/R148, "NA")</f>
        <v>1.0707376338760602E-2</v>
      </c>
      <c r="T92" s="7">
        <v>498.69</v>
      </c>
      <c r="U92" s="8">
        <f>IFERROR(T92/T148, "NA")</f>
        <v>1.7516831353473702E-2</v>
      </c>
      <c r="V92" s="7">
        <v>140.03</v>
      </c>
      <c r="W92" s="8">
        <f>IFERROR(V92/V148, "NA")</f>
        <v>5.6977796440789959E-3</v>
      </c>
      <c r="X92" s="7">
        <v>193.37</v>
      </c>
      <c r="Y92" s="8">
        <f>IFERROR(X92/X148, "NA")</f>
        <v>9.3863828762708046E-3</v>
      </c>
      <c r="Z92" s="7">
        <v>832.08999999999992</v>
      </c>
      <c r="AA92" s="8">
        <f>IFERROR(Z92/Z148, "NA")</f>
        <v>1.1298424705570048E-2</v>
      </c>
      <c r="AB92" s="9">
        <f t="shared" si="36"/>
        <v>277.20500000000004</v>
      </c>
      <c r="AC92" s="8">
        <f>IFERROR(AB92/AB148, "NA")</f>
        <v>1.1144888475229256E-2</v>
      </c>
      <c r="AD92" s="10">
        <f t="shared" si="37"/>
        <v>-83.835000000000036</v>
      </c>
      <c r="AE92" s="11">
        <f>IFERROR(AD92/AD148, "NA")</f>
        <v>1.9625595559631472E-2</v>
      </c>
      <c r="AF92" s="10">
        <f t="shared" si="38"/>
        <v>-0.3024296098555222</v>
      </c>
      <c r="AG92" s="9">
        <f t="shared" si="39"/>
        <v>343.18125000000003</v>
      </c>
      <c r="AH92" s="8">
        <f>IFERROR(AG92/AG148, "NA")</f>
        <v>1.288576387453135E-2</v>
      </c>
      <c r="AI92" s="10">
        <f t="shared" si="40"/>
        <v>-149.81125000000003</v>
      </c>
      <c r="AJ92" s="11">
        <f>IFERROR(AI92/AI148, "NA")</f>
        <v>2.4838270114555437E-2</v>
      </c>
      <c r="AK92" s="10">
        <f t="shared" si="41"/>
        <v>-0.43653681545830381</v>
      </c>
      <c r="AL92" s="11">
        <f>IFERROR(AK92/AK148, "NA")</f>
        <v>1.927574519943529</v>
      </c>
    </row>
    <row r="93" spans="1:38" ht="16.5" hidden="1" customHeight="1">
      <c r="A93" s="6" t="s">
        <v>102</v>
      </c>
      <c r="B93" s="7">
        <v>3200.38</v>
      </c>
      <c r="C93" s="8">
        <f>IFERROR(B93/B148, "NA")</f>
        <v>9.2931240499271886E-2</v>
      </c>
      <c r="D93" s="7">
        <v>2893.3500000000004</v>
      </c>
      <c r="E93" s="8">
        <f>IFERROR(D93/D148, "NA")</f>
        <v>0.10134723323647023</v>
      </c>
      <c r="F93" s="7">
        <v>3331.5899999999997</v>
      </c>
      <c r="G93" s="8">
        <f>IFERROR(F93/F148, "NA")</f>
        <v>9.5482125134234513E-2</v>
      </c>
      <c r="H93" s="7">
        <v>5248.54</v>
      </c>
      <c r="I93" s="8">
        <f>IFERROR(H93/H148, "NA")</f>
        <v>0.11558201492810119</v>
      </c>
      <c r="J93" s="7">
        <v>3413.8999999999996</v>
      </c>
      <c r="K93" s="8">
        <f>IFERROR(J93/J148, "NA")</f>
        <v>8.4305109473909831E-2</v>
      </c>
      <c r="L93" s="7">
        <v>2166.89</v>
      </c>
      <c r="M93" s="8">
        <f>IFERROR(L93/L148, "NA")</f>
        <v>9.3617203282773731E-2</v>
      </c>
      <c r="N93" s="7">
        <v>1797.3700000000003</v>
      </c>
      <c r="O93" s="8">
        <f>IFERROR(N93/N148, "NA")</f>
        <v>7.0701221970690814E-2</v>
      </c>
      <c r="P93" s="7">
        <v>3280.2299999999996</v>
      </c>
      <c r="Q93" s="8">
        <f>IFERROR(P93/P148, "NA")</f>
        <v>0.13385170026666446</v>
      </c>
      <c r="R93" s="7">
        <v>2470.8999999999996</v>
      </c>
      <c r="S93" s="8">
        <f>IFERROR(R93/R148, "NA")</f>
        <v>9.5605305516003214E-2</v>
      </c>
      <c r="T93" s="7">
        <v>3291.93</v>
      </c>
      <c r="U93" s="8">
        <f>IFERROR(T93/T148, "NA")</f>
        <v>0.11563131933152998</v>
      </c>
      <c r="V93" s="7">
        <v>3366.4300000000003</v>
      </c>
      <c r="W93" s="8">
        <f>IFERROR(V93/V148, "NA")</f>
        <v>0.1369790496837596</v>
      </c>
      <c r="X93" s="7">
        <v>1125.97</v>
      </c>
      <c r="Y93" s="8">
        <f>IFERROR(X93/X148, "NA")</f>
        <v>5.4655766288434805E-2</v>
      </c>
      <c r="Z93" s="7">
        <v>7784.329999999999</v>
      </c>
      <c r="AA93" s="8">
        <f>IFERROR(Z93/Z148, "NA")</f>
        <v>0.10569850183070352</v>
      </c>
      <c r="AB93" s="9">
        <f t="shared" si="36"/>
        <v>2563.8074999999999</v>
      </c>
      <c r="AC93" s="8">
        <f>IFERROR(AB93/AB148, "NA")</f>
        <v>0.10307659912143116</v>
      </c>
      <c r="AD93" s="10">
        <f t="shared" si="37"/>
        <v>-1437.8374999999999</v>
      </c>
      <c r="AE93" s="11">
        <f>IFERROR(AD93/AD148, "NA")</f>
        <v>0.33659470692994098</v>
      </c>
      <c r="AF93" s="10">
        <f t="shared" si="38"/>
        <v>-0.56082116149515904</v>
      </c>
      <c r="AG93" s="9">
        <f t="shared" si="39"/>
        <v>2614.2024999999999</v>
      </c>
      <c r="AH93" s="8">
        <f>IFERROR(AG93/AG148, "NA")</f>
        <v>9.8158032046358992E-2</v>
      </c>
      <c r="AI93" s="10">
        <f t="shared" si="40"/>
        <v>-1488.2324999999998</v>
      </c>
      <c r="AJ93" s="11">
        <f>IFERROR(AI93/AI148, "NA")</f>
        <v>0.246744625842586</v>
      </c>
      <c r="AK93" s="10">
        <f t="shared" si="41"/>
        <v>-0.56928738305467919</v>
      </c>
      <c r="AL93" s="11">
        <f>IFERROR(AK93/AK148, "NA")</f>
        <v>2.5137487039883921</v>
      </c>
    </row>
    <row r="94" spans="1:38" ht="16.5" hidden="1" customHeight="1">
      <c r="A94" s="6" t="s">
        <v>103</v>
      </c>
      <c r="B94" s="7">
        <v>967.79</v>
      </c>
      <c r="C94" s="8">
        <f>IFERROR(B94/B148, "NA")</f>
        <v>2.810226449446326E-2</v>
      </c>
      <c r="D94" s="7">
        <v>678.52</v>
      </c>
      <c r="E94" s="8">
        <f>IFERROR(D94/D148, "NA")</f>
        <v>2.3766956882371567E-2</v>
      </c>
      <c r="F94" s="7">
        <v>903.7</v>
      </c>
      <c r="G94" s="8">
        <f>IFERROR(F94/F148, "NA")</f>
        <v>2.58997044905909E-2</v>
      </c>
      <c r="H94" s="7">
        <v>1148.0899999999999</v>
      </c>
      <c r="I94" s="8">
        <f>IFERROR(H94/H148, "NA")</f>
        <v>2.5282946403914933E-2</v>
      </c>
      <c r="J94" s="7">
        <v>919.74</v>
      </c>
      <c r="K94" s="8">
        <f>IFERROR(J94/J148, "NA")</f>
        <v>2.2712669201656124E-2</v>
      </c>
      <c r="L94" s="7">
        <v>687</v>
      </c>
      <c r="M94" s="8">
        <f>IFERROR(L94/L148, "NA")</f>
        <v>2.9680795358908645E-2</v>
      </c>
      <c r="N94" s="7">
        <v>611.67999999999995</v>
      </c>
      <c r="O94" s="8">
        <f>IFERROR(N94/N148, "NA")</f>
        <v>2.4061002161509398E-2</v>
      </c>
      <c r="P94" s="7">
        <v>674.1</v>
      </c>
      <c r="Q94" s="8">
        <f>IFERROR(P94/P148, "NA")</f>
        <v>2.7507044063909705E-2</v>
      </c>
      <c r="R94" s="7">
        <v>713.69</v>
      </c>
      <c r="S94" s="8">
        <f>IFERROR(R94/R148, "NA")</f>
        <v>2.7614452423698387E-2</v>
      </c>
      <c r="T94" s="7">
        <v>754.3</v>
      </c>
      <c r="U94" s="8">
        <f>IFERROR(T94/T148, "NA")</f>
        <v>2.6495309490716105E-2</v>
      </c>
      <c r="V94" s="7">
        <v>586.76</v>
      </c>
      <c r="W94" s="8">
        <f>IFERROR(V94/V148, "NA")</f>
        <v>2.3875092365634447E-2</v>
      </c>
      <c r="X94" s="7">
        <v>400.82</v>
      </c>
      <c r="Y94" s="8">
        <f>IFERROR(X94/X148, "NA")</f>
        <v>1.9456223739291845E-2</v>
      </c>
      <c r="Z94" s="7">
        <v>1741.88</v>
      </c>
      <c r="AA94" s="8">
        <f>IFERROR(Z94/Z148, "NA")</f>
        <v>2.3651888649230682E-2</v>
      </c>
      <c r="AB94" s="9">
        <f t="shared" si="36"/>
        <v>613.89250000000004</v>
      </c>
      <c r="AC94" s="8">
        <f>IFERROR(AB94/AB148, "NA")</f>
        <v>2.4681241133023127E-2</v>
      </c>
      <c r="AD94" s="10">
        <f t="shared" si="37"/>
        <v>-213.07250000000005</v>
      </c>
      <c r="AE94" s="11">
        <f>IFERROR(AD94/AD148, "NA")</f>
        <v>4.9879820002142021E-2</v>
      </c>
      <c r="AF94" s="10">
        <f t="shared" si="38"/>
        <v>-0.3470843836665215</v>
      </c>
      <c r="AG94" s="9">
        <f t="shared" si="39"/>
        <v>668.51125000000002</v>
      </c>
      <c r="AH94" s="8">
        <f>IFERROR(AG94/AG148, "NA")</f>
        <v>2.5101249310583825E-2</v>
      </c>
      <c r="AI94" s="10">
        <f t="shared" si="40"/>
        <v>-267.69125000000003</v>
      </c>
      <c r="AJ94" s="11">
        <f>IFERROR(AI94/AI148, "NA")</f>
        <v>4.4382431725274216E-2</v>
      </c>
      <c r="AK94" s="10">
        <f t="shared" si="41"/>
        <v>-0.40042893818166864</v>
      </c>
      <c r="AL94" s="11">
        <f>IFERROR(AK94/AK148, "NA")</f>
        <v>1.7681363654900066</v>
      </c>
    </row>
    <row r="95" spans="1:38" ht="16.5" hidden="1" customHeight="1">
      <c r="A95" s="6" t="s">
        <v>104</v>
      </c>
      <c r="B95" s="7">
        <v>1521.4099999999999</v>
      </c>
      <c r="C95" s="8">
        <f>IFERROR(B95/B148, "NA")</f>
        <v>4.4178040922639564E-2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0</v>
      </c>
      <c r="I95" s="8">
        <f>IFERROR(H95/H148, "NA")</f>
        <v>0</v>
      </c>
      <c r="J95" s="7">
        <v>1377.92</v>
      </c>
      <c r="K95" s="8">
        <f>IFERROR(J95/J148, "NA")</f>
        <v>3.4027269822282387E-2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1524.04</v>
      </c>
      <c r="S95" s="8">
        <f>IFERROR(R95/R148, "NA")</f>
        <v>5.8968922181638087E-2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381.01</v>
      </c>
      <c r="AC95" s="8">
        <f>IFERROR(AB95/AB148, "NA")</f>
        <v>1.5318316617474787E-2</v>
      </c>
      <c r="AD95" s="10">
        <f t="shared" si="37"/>
        <v>-381.01</v>
      </c>
      <c r="AE95" s="11">
        <f>IFERROR(AD95/AD148, "NA")</f>
        <v>8.9193632303634335E-2</v>
      </c>
      <c r="AF95" s="10">
        <f t="shared" si="38"/>
        <v>-1</v>
      </c>
      <c r="AG95" s="9">
        <f t="shared" si="39"/>
        <v>362.745</v>
      </c>
      <c r="AH95" s="8">
        <f>IFERROR(AG95/AG148, "NA")</f>
        <v>1.3620343234564458E-2</v>
      </c>
      <c r="AI95" s="10">
        <f t="shared" si="40"/>
        <v>-362.745</v>
      </c>
      <c r="AJ95" s="11">
        <f>IFERROR(AI95/AI148, "NA")</f>
        <v>6.0142067386156982E-2</v>
      </c>
      <c r="AK95" s="10">
        <f t="shared" si="41"/>
        <v>-1</v>
      </c>
      <c r="AL95" s="11">
        <f>IFERROR(AK95/AK148, "NA")</f>
        <v>4.4156058588548603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505.48</v>
      </c>
      <c r="C97" s="8">
        <f>IFERROR(B97/B148, "NA")</f>
        <v>1.4677908075782236E-2</v>
      </c>
      <c r="D97" s="7">
        <v>600.36</v>
      </c>
      <c r="E97" s="8">
        <f>IFERROR(D97/D148, "NA")</f>
        <v>2.1029196241673927E-2</v>
      </c>
      <c r="F97" s="7">
        <v>409.58</v>
      </c>
      <c r="G97" s="8">
        <f>IFERROR(F97/F148, "NA")</f>
        <v>1.1738409832086114E-2</v>
      </c>
      <c r="H97" s="7">
        <v>650.42000000000007</v>
      </c>
      <c r="I97" s="8">
        <f>IFERROR(H97/H148, "NA")</f>
        <v>1.4323384055286915E-2</v>
      </c>
      <c r="J97" s="7">
        <v>584.99</v>
      </c>
      <c r="K97" s="8">
        <f>IFERROR(J97/J148, "NA")</f>
        <v>1.4446130815531363E-2</v>
      </c>
      <c r="L97" s="7">
        <v>31.62</v>
      </c>
      <c r="M97" s="8">
        <f>IFERROR(L97/L148, "NA")</f>
        <v>1.3660942492702932E-3</v>
      </c>
      <c r="N97" s="7">
        <v>0</v>
      </c>
      <c r="O97" s="8">
        <f>IFERROR(N97/N148, "NA")</f>
        <v>0</v>
      </c>
      <c r="P97" s="7">
        <v>661.26</v>
      </c>
      <c r="Q97" s="8">
        <f>IFERROR(P97/P148, "NA")</f>
        <v>2.6983100367454282E-2</v>
      </c>
      <c r="R97" s="7">
        <v>700.49</v>
      </c>
      <c r="S97" s="8">
        <f>IFERROR(R97/R148, "NA")</f>
        <v>2.7103711384882066E-2</v>
      </c>
      <c r="T97" s="7">
        <v>200</v>
      </c>
      <c r="U97" s="8">
        <f>IFERROR(T97/T148, "NA")</f>
        <v>7.0251384040079827E-3</v>
      </c>
      <c r="V97" s="7">
        <v>2343.3599999999997</v>
      </c>
      <c r="W97" s="8">
        <f>IFERROR(V97/V148, "NA")</f>
        <v>9.5350631341490785E-2</v>
      </c>
      <c r="X97" s="7">
        <v>177.07</v>
      </c>
      <c r="Y97" s="8">
        <f>IFERROR(X97/X148, "NA")</f>
        <v>8.5951637580869399E-3</v>
      </c>
      <c r="Z97" s="7">
        <v>2720.4300000000003</v>
      </c>
      <c r="AA97" s="8">
        <f>IFERROR(Z97/Z148, "NA")</f>
        <v>3.6939001215942908E-2</v>
      </c>
      <c r="AB97" s="9">
        <f t="shared" si="36"/>
        <v>855.2299999999999</v>
      </c>
      <c r="AC97" s="8">
        <f>IFERROR(AB97/AB148, "NA")</f>
        <v>3.4384094697679744E-2</v>
      </c>
      <c r="AD97" s="10">
        <f t="shared" si="37"/>
        <v>-678.15999999999985</v>
      </c>
      <c r="AE97" s="11">
        <f>IFERROR(AD97/AD148, "NA")</f>
        <v>0.15875581660069985</v>
      </c>
      <c r="AF97" s="10">
        <f t="shared" si="38"/>
        <v>-0.79295628076657731</v>
      </c>
      <c r="AG97" s="9">
        <f t="shared" si="39"/>
        <v>587.34874999999988</v>
      </c>
      <c r="AH97" s="8">
        <f>IFERROR(AG97/AG148, "NA")</f>
        <v>2.2053761108746888E-2</v>
      </c>
      <c r="AI97" s="10">
        <f t="shared" si="40"/>
        <v>-410.27874999999989</v>
      </c>
      <c r="AJ97" s="11">
        <f>IFERROR(AI97/AI148, "NA")</f>
        <v>6.8023025071629509E-2</v>
      </c>
      <c r="AK97" s="10">
        <f t="shared" si="41"/>
        <v>-0.69852664196527181</v>
      </c>
      <c r="AL97" s="11">
        <f>IFERROR(AK97/AK148, "NA")</f>
        <v>3.0844183328280654</v>
      </c>
    </row>
    <row r="98" spans="1:38" ht="16.5" hidden="1" customHeight="1">
      <c r="A98" s="6" t="s">
        <v>107</v>
      </c>
      <c r="B98" s="7">
        <v>1004.4499999999999</v>
      </c>
      <c r="C98" s="8">
        <f>IFERROR(B98/B148, "NA")</f>
        <v>2.9166781607025925E-2</v>
      </c>
      <c r="D98" s="7">
        <v>576.43000000000006</v>
      </c>
      <c r="E98" s="8">
        <f>IFERROR(D98/D148, "NA")</f>
        <v>2.0190984725145085E-2</v>
      </c>
      <c r="F98" s="7">
        <v>591.63</v>
      </c>
      <c r="G98" s="8">
        <f>IFERROR(F98/F148, "NA")</f>
        <v>1.695589484095197E-2</v>
      </c>
      <c r="H98" s="7">
        <v>1951.44</v>
      </c>
      <c r="I98" s="8">
        <f>IFERROR(H98/H148, "NA")</f>
        <v>4.2974116080146819E-2</v>
      </c>
      <c r="J98" s="7">
        <v>1270.0700000000002</v>
      </c>
      <c r="K98" s="8">
        <f>IFERROR(J98/J148, "NA")</f>
        <v>3.1363950434848319E-2</v>
      </c>
      <c r="L98" s="7">
        <v>226.58</v>
      </c>
      <c r="M98" s="8">
        <f>IFERROR(L98/L148, "NA")</f>
        <v>9.7890460151696095E-3</v>
      </c>
      <c r="N98" s="7">
        <v>369.12</v>
      </c>
      <c r="O98" s="8">
        <f>IFERROR(N98/N148, "NA")</f>
        <v>1.4519678782788958E-2</v>
      </c>
      <c r="P98" s="7">
        <v>2109.83</v>
      </c>
      <c r="Q98" s="8">
        <f>IFERROR(P98/P148, "NA")</f>
        <v>8.6092844944902255E-2</v>
      </c>
      <c r="R98" s="7">
        <v>1068.45</v>
      </c>
      <c r="S98" s="8">
        <f>IFERROR(R98/R148, "NA")</f>
        <v>4.1341004766916364E-2</v>
      </c>
      <c r="T98" s="7">
        <v>417.2</v>
      </c>
      <c r="U98" s="8">
        <f>IFERROR(T98/T148, "NA")</f>
        <v>1.4654438710760651E-2</v>
      </c>
      <c r="V98" s="7">
        <v>629.34</v>
      </c>
      <c r="W98" s="8">
        <f>IFERROR(V98/V148, "NA")</f>
        <v>2.5607660081444515E-2</v>
      </c>
      <c r="X98" s="7">
        <v>518.96</v>
      </c>
      <c r="Y98" s="8">
        <f>IFERROR(X98/X148, "NA")</f>
        <v>2.5190863409368037E-2</v>
      </c>
      <c r="Z98" s="7">
        <v>1565.5</v>
      </c>
      <c r="AA98" s="8">
        <f>IFERROR(Z98/Z148, "NA")</f>
        <v>2.1256936000396489E-2</v>
      </c>
      <c r="AB98" s="9">
        <f t="shared" si="36"/>
        <v>658.48750000000007</v>
      </c>
      <c r="AC98" s="8">
        <f>IFERROR(AB98/AB148, "NA")</f>
        <v>2.6474160819005877E-2</v>
      </c>
      <c r="AD98" s="10">
        <f t="shared" si="37"/>
        <v>-139.52750000000003</v>
      </c>
      <c r="AE98" s="11">
        <f>IFERROR(AD98/AD148, "NA")</f>
        <v>3.2663091601914232E-2</v>
      </c>
      <c r="AF98" s="10">
        <f t="shared" si="38"/>
        <v>-0.21189088631143344</v>
      </c>
      <c r="AG98" s="9">
        <f t="shared" si="39"/>
        <v>826.19375000000002</v>
      </c>
      <c r="AH98" s="8">
        <f>IFERROR(AG98/AG148, "NA")</f>
        <v>3.10219092013727E-2</v>
      </c>
      <c r="AI98" s="10">
        <f t="shared" si="40"/>
        <v>-307.23374999999999</v>
      </c>
      <c r="AJ98" s="11">
        <f>IFERROR(AI98/AI148, "NA")</f>
        <v>5.0938463371794807E-2</v>
      </c>
      <c r="AK98" s="10">
        <f t="shared" si="41"/>
        <v>-0.3718664659470009</v>
      </c>
      <c r="AL98" s="11">
        <f>IFERROR(AK98/AK148, "NA")</f>
        <v>1.6420157457472284</v>
      </c>
    </row>
    <row r="99" spans="1:38" ht="16.5" hidden="1" customHeight="1">
      <c r="A99" s="12" t="s">
        <v>108</v>
      </c>
      <c r="B99" s="13">
        <f>IFERROR(B90+B91+B92+B93+B94+B95+B96+B97+B98, "NA")</f>
        <v>11117.080000000002</v>
      </c>
      <c r="C99" s="14">
        <f>IFERROR(B99/B148, "NA")</f>
        <v>0.32281292694293978</v>
      </c>
      <c r="D99" s="13">
        <f>IFERROR(D90+D91+D92+D93+D94+D95+D96+D97+D98, "NA")</f>
        <v>8253.57</v>
      </c>
      <c r="E99" s="14">
        <f>IFERROR(D99/D148, "NA")</f>
        <v>0.28910311017454976</v>
      </c>
      <c r="F99" s="13">
        <f>IFERROR(F90+F91+F92+F93+F94+F95+F96+F97+F98, "NA")</f>
        <v>9653.41</v>
      </c>
      <c r="G99" s="14">
        <f>IFERROR(F99/F148, "NA")</f>
        <v>0.27666312529214904</v>
      </c>
      <c r="H99" s="13">
        <f>IFERROR(H90+H91+H92+H93+H94+H95+H96+H97+H98, "NA")</f>
        <v>13080.080000000002</v>
      </c>
      <c r="I99" s="14">
        <f>IFERROR(H99/H148, "NA")</f>
        <v>0.2880461998614392</v>
      </c>
      <c r="J99" s="13">
        <f>IFERROR(J90+J91+J92+J93+J94+J95+J96+J97+J98, "NA")</f>
        <v>9736.119999999999</v>
      </c>
      <c r="K99" s="14">
        <f>IFERROR(J99/J148, "NA")</f>
        <v>0.24043020078242566</v>
      </c>
      <c r="L99" s="13">
        <f>IFERROR(L90+L91+L92+L93+L94+L95+L96+L97+L98, "NA")</f>
        <v>4784.3999999999996</v>
      </c>
      <c r="M99" s="14">
        <f>IFERROR(L99/L148, "NA")</f>
        <v>0.20670276173968344</v>
      </c>
      <c r="N99" s="13">
        <f>IFERROR(N90+N91+N92+N93+N94+N95+N96+N97+N98, "NA")</f>
        <v>4287.1200000000008</v>
      </c>
      <c r="O99" s="14">
        <f>IFERROR(N99/N148, "NA")</f>
        <v>0.16863785571973941</v>
      </c>
      <c r="P99" s="13">
        <f>IFERROR(P90+P91+P92+P93+P94+P95+P96+P97+P98, "NA")</f>
        <v>9386.6</v>
      </c>
      <c r="Q99" s="14">
        <f>IFERROR(P99/P148, "NA")</f>
        <v>0.38302569323586239</v>
      </c>
      <c r="R99" s="13">
        <f>IFERROR(R90+R91+R92+R93+R94+R95+R96+R97+R98, "NA")</f>
        <v>8649.6299999999992</v>
      </c>
      <c r="S99" s="14">
        <f>IFERROR(R99/R148, "NA")</f>
        <v>0.3346758342103634</v>
      </c>
      <c r="T99" s="13">
        <f>IFERROR(T90+T91+T92+T93+T94+T95+T96+T97+T98, "NA")</f>
        <v>6982</v>
      </c>
      <c r="U99" s="14">
        <f>IFERROR(T99/T148, "NA")</f>
        <v>0.24524758168391866</v>
      </c>
      <c r="V99" s="13">
        <f>IFERROR(V90+V91+V92+V93+V94+V95+V96+V97+V98, "NA")</f>
        <v>8304.23</v>
      </c>
      <c r="W99" s="14">
        <f>IFERROR(V99/V148, "NA")</f>
        <v>0.33789668395165406</v>
      </c>
      <c r="X99" s="13">
        <f>IFERROR(X90+X91+X92+X93+X94+X95+X96+X97+X98, "NA")</f>
        <v>3211.82</v>
      </c>
      <c r="Y99" s="14">
        <f>IFERROR(X99/X148, "NA")</f>
        <v>0.1559051158383622</v>
      </c>
      <c r="Z99" s="13">
        <f>IFERROR(Z90+Z91+Z92+Z93+Z94+Z95+Z96+Z97+Z98, "NA")</f>
        <v>18498.05</v>
      </c>
      <c r="AA99" s="14">
        <f>IFERROR(Z99/Z148, "NA")</f>
        <v>0.25117334077427927</v>
      </c>
      <c r="AB99" s="13">
        <f t="shared" si="36"/>
        <v>6786.92</v>
      </c>
      <c r="AC99" s="14">
        <f>IFERROR(AB99/AB148, "NA")</f>
        <v>0.27286472643099124</v>
      </c>
      <c r="AD99" s="15">
        <f t="shared" si="37"/>
        <v>-3575.1</v>
      </c>
      <c r="AE99" s="16">
        <f>IFERROR(AD99/AD148, "NA")</f>
        <v>0.83692332182547202</v>
      </c>
      <c r="AF99" s="15">
        <f t="shared" si="38"/>
        <v>-0.52676324459401314</v>
      </c>
      <c r="AG99" s="13">
        <f t="shared" si="39"/>
        <v>6917.7399999999989</v>
      </c>
      <c r="AH99" s="14">
        <f>IFERROR(AG99/AG148, "NA")</f>
        <v>0.25974718661174084</v>
      </c>
      <c r="AI99" s="15">
        <f t="shared" si="40"/>
        <v>-3705.9199999999987</v>
      </c>
      <c r="AJ99" s="16">
        <f>IFERROR(AI99/AI148, "NA")</f>
        <v>0.61443077194091389</v>
      </c>
      <c r="AK99" s="15">
        <f t="shared" si="41"/>
        <v>-0.53571253039287392</v>
      </c>
      <c r="AL99" s="16">
        <f>IFERROR(AK99/AK148, "NA")</f>
        <v>2.3654953878647365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6193.4099999999962</v>
      </c>
      <c r="C101" s="34">
        <f>IFERROR(B101/B148, "NA")</f>
        <v>0.17984154201082217</v>
      </c>
      <c r="D101" s="33">
        <f>IFERROR(D87-D99, "NA")</f>
        <v>5342.9500000000044</v>
      </c>
      <c r="E101" s="34">
        <f>IFERROR(D101/D148, "NA")</f>
        <v>0.18715094952936873</v>
      </c>
      <c r="F101" s="33">
        <f>IFERROR(F87-F99, "NA")</f>
        <v>8823.9899999999907</v>
      </c>
      <c r="G101" s="34">
        <f>IFERROR(F101/F148, "NA")</f>
        <v>0.25289225785983066</v>
      </c>
      <c r="H101" s="33">
        <f>IFERROR(H87-H99, "NA")</f>
        <v>10392.19999999999</v>
      </c>
      <c r="I101" s="34">
        <f>IFERROR(H101/H148, "NA")</f>
        <v>0.22885438913218001</v>
      </c>
      <c r="J101" s="33">
        <f>IFERROR(J87-J99, "NA")</f>
        <v>9314.5699999999961</v>
      </c>
      <c r="K101" s="34">
        <f>IFERROR(J101/J148, "NA")</f>
        <v>0.2300201656616761</v>
      </c>
      <c r="L101" s="33">
        <f>IFERROR(L87-L99, "NA")</f>
        <v>5698.4699999999993</v>
      </c>
      <c r="M101" s="34">
        <f>IFERROR(L101/L148, "NA")</f>
        <v>0.24619377282224184</v>
      </c>
      <c r="N101" s="33">
        <f>IFERROR(N87-N99, "NA")</f>
        <v>6465.7700000000059</v>
      </c>
      <c r="O101" s="34">
        <f>IFERROR(N101/N148, "NA")</f>
        <v>0.2543370813919415</v>
      </c>
      <c r="P101" s="33">
        <f>IFERROR(P87-P99, "NA")</f>
        <v>1086.100000000004</v>
      </c>
      <c r="Q101" s="34">
        <f>IFERROR(P101/P148, "NA")</f>
        <v>4.4318944604379823E-2</v>
      </c>
      <c r="R101" s="33">
        <f>IFERROR(R87-R99, "NA")</f>
        <v>3618.7599999999948</v>
      </c>
      <c r="S101" s="34">
        <f>IFERROR(R101/R148, "NA")</f>
        <v>0.14001888194143483</v>
      </c>
      <c r="T101" s="33">
        <f>IFERROR(T87-T99, "NA")</f>
        <v>8426.9</v>
      </c>
      <c r="U101" s="34">
        <f>IFERROR(T101/T148, "NA")</f>
        <v>0.2960006940836743</v>
      </c>
      <c r="V101" s="33">
        <f>IFERROR(V87-V99, "NA")</f>
        <v>2715.4000000000051</v>
      </c>
      <c r="W101" s="34">
        <f>IFERROR(V101/V148, "NA")</f>
        <v>0.11048882986168775</v>
      </c>
      <c r="X101" s="33">
        <f>IFERROR(X87-X99, "NA")</f>
        <v>5312</v>
      </c>
      <c r="Y101" s="34">
        <f>IFERROR(X101/X148, "NA")</f>
        <v>0.25785005863758864</v>
      </c>
      <c r="Z101" s="33">
        <f>IFERROR(Z87-Z99, "NA")</f>
        <v>16454.300000000007</v>
      </c>
      <c r="AA101" s="34">
        <f>IFERROR(Z101/Z148, "NA")</f>
        <v>0.22342255000403966</v>
      </c>
      <c r="AB101" s="33">
        <f>IFERROR((R101+T101+V101+X101)/4, "NA")</f>
        <v>5018.2649999999994</v>
      </c>
      <c r="AC101" s="34">
        <f>IFERROR(AB101/AB148, "NA")</f>
        <v>0.20175683614706202</v>
      </c>
      <c r="AD101" s="15">
        <f>IFERROR(X101-AB101, "NA")</f>
        <v>293.73500000000058</v>
      </c>
      <c r="AE101" s="16">
        <f>IFERROR(AD101/AD148, "NA")</f>
        <v>-6.8762740045426846E-2</v>
      </c>
      <c r="AF101" s="15">
        <f>IFERROR((X101-AB101)/AB101, "NA")</f>
        <v>5.8533178299671425E-2</v>
      </c>
      <c r="AG101" s="33">
        <f>IFERROR((J101+L101+N101+P101+R101+T101+V101+X101)/8, "NA")</f>
        <v>5329.7462500000001</v>
      </c>
      <c r="AH101" s="34">
        <f>IFERROR(AG101/AG148, "NA")</f>
        <v>0.20012122366437249</v>
      </c>
      <c r="AI101" s="15">
        <f>IFERROR(X101-AG101, "NA")</f>
        <v>-17.746250000000146</v>
      </c>
      <c r="AJ101" s="16">
        <f>IFERROR(AI101/AI148, "NA")</f>
        <v>2.9422767049899984E-3</v>
      </c>
      <c r="AK101" s="15">
        <f>IFERROR((X101-AG101)/AG101, "NA")</f>
        <v>-3.3296613323758415E-3</v>
      </c>
      <c r="AL101" s="16">
        <f>IFERROR(AK101/AK148, "NA")</f>
        <v>1.4702472087241245E-2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15169.11</v>
      </c>
      <c r="C104" s="34">
        <f>IFERROR(B104/B148, "NA")</f>
        <v>0.44047400920200419</v>
      </c>
      <c r="D104" s="39">
        <v>0</v>
      </c>
      <c r="E104" s="34">
        <f>IFERROR(D104/D148, "NA")</f>
        <v>0</v>
      </c>
      <c r="F104" s="39">
        <v>0</v>
      </c>
      <c r="G104" s="34">
        <f>IFERROR(F104/F148, "NA")</f>
        <v>0</v>
      </c>
      <c r="H104" s="39">
        <v>2588.61</v>
      </c>
      <c r="I104" s="34">
        <f>IFERROR(H104/H148, "NA")</f>
        <v>5.7005712000486236E-2</v>
      </c>
      <c r="J104" s="39">
        <v>12842.849999999999</v>
      </c>
      <c r="K104" s="34">
        <f>IFERROR(J104/J148, "NA")</f>
        <v>0.31714985067137375</v>
      </c>
      <c r="L104" s="39">
        <v>0</v>
      </c>
      <c r="M104" s="34">
        <f>IFERROR(L104/L148, "NA")</f>
        <v>0</v>
      </c>
      <c r="N104" s="39">
        <v>0</v>
      </c>
      <c r="O104" s="34">
        <f>IFERROR(N104/N148, "NA")</f>
        <v>0</v>
      </c>
      <c r="P104" s="39">
        <v>2799.69</v>
      </c>
      <c r="Q104" s="34">
        <f>IFERROR(P104/P148, "NA")</f>
        <v>0.11424298501006877</v>
      </c>
      <c r="R104" s="39">
        <v>12842.849999999999</v>
      </c>
      <c r="S104" s="34">
        <f>IFERROR(R104/R148, "NA")</f>
        <v>0.49692201139107284</v>
      </c>
      <c r="T104" s="39">
        <v>0</v>
      </c>
      <c r="U104" s="34">
        <f>IFERROR(T104/T148, "NA")</f>
        <v>0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0</v>
      </c>
      <c r="AA104" s="34">
        <f>IFERROR(Z104/Z148, "NA")</f>
        <v>0</v>
      </c>
      <c r="AB104" s="33">
        <f>IFERROR((R104+T104+V104+X104)/4, "NA")</f>
        <v>3210.7124999999996</v>
      </c>
      <c r="AC104" s="34">
        <f>IFERROR(AB104/AB148, "NA")</f>
        <v>0.12908509131698384</v>
      </c>
      <c r="AD104" s="15">
        <f>IFERROR(X104-AB104, "NA")</f>
        <v>-3210.7124999999996</v>
      </c>
      <c r="AE104" s="16">
        <f>IFERROR(AD104/AD148, "NA")</f>
        <v>0.75162098149046619</v>
      </c>
      <c r="AF104" s="15">
        <f>IFERROR((X104-AB104)/AB104, "NA")</f>
        <v>-1</v>
      </c>
      <c r="AG104" s="33">
        <f>IFERROR((J104+L104+N104+P104+R104+T104+V104+X104)/8, "NA")</f>
        <v>3560.6737499999999</v>
      </c>
      <c r="AH104" s="34">
        <f>IFERROR(AG104/AG148, "NA")</f>
        <v>0.13369611881984247</v>
      </c>
      <c r="AI104" s="15">
        <f>IFERROR(X104-AG104, "NA")</f>
        <v>-3560.6737499999999</v>
      </c>
      <c r="AJ104" s="16">
        <f>IFERROR(AI104/AI148, "NA")</f>
        <v>0.59034936556705198</v>
      </c>
      <c r="AK104" s="15">
        <f>IFERROR((X104-AG104)/AG104, "NA")</f>
        <v>-1</v>
      </c>
      <c r="AL104" s="16">
        <f>IFERROR(AK104/AK148, "NA")</f>
        <v>4.4156058588548603</v>
      </c>
    </row>
    <row r="105" spans="1:38" ht="16.5" hidden="1" customHeight="1">
      <c r="A105" s="12" t="s">
        <v>112</v>
      </c>
      <c r="B105" s="13">
        <f>IFERROR(B104, "NA")</f>
        <v>15169.11</v>
      </c>
      <c r="C105" s="14">
        <f>IFERROR(B105/B148, "NA")</f>
        <v>0.44047400920200419</v>
      </c>
      <c r="D105" s="13">
        <f>IFERROR(D104, "NA")</f>
        <v>0</v>
      </c>
      <c r="E105" s="14">
        <f>IFERROR(D105/D148, "NA")</f>
        <v>0</v>
      </c>
      <c r="F105" s="13">
        <f>IFERROR(F104, "NA")</f>
        <v>0</v>
      </c>
      <c r="G105" s="14">
        <f>IFERROR(F105/F148, "NA")</f>
        <v>0</v>
      </c>
      <c r="H105" s="13">
        <f>IFERROR(H104, "NA")</f>
        <v>2588.61</v>
      </c>
      <c r="I105" s="14">
        <f>IFERROR(H105/H148, "NA")</f>
        <v>5.7005712000486236E-2</v>
      </c>
      <c r="J105" s="13">
        <f>IFERROR(J104, "NA")</f>
        <v>12842.849999999999</v>
      </c>
      <c r="K105" s="14">
        <f>IFERROR(J105/J148, "NA")</f>
        <v>0.31714985067137375</v>
      </c>
      <c r="L105" s="13">
        <f>IFERROR(L104, "NA")</f>
        <v>0</v>
      </c>
      <c r="M105" s="14">
        <f>IFERROR(L105/L148, "NA")</f>
        <v>0</v>
      </c>
      <c r="N105" s="13">
        <f>IFERROR(N104, "NA")</f>
        <v>0</v>
      </c>
      <c r="O105" s="14">
        <f>IFERROR(N105/N148, "NA")</f>
        <v>0</v>
      </c>
      <c r="P105" s="13">
        <f>IFERROR(P104, "NA")</f>
        <v>2799.69</v>
      </c>
      <c r="Q105" s="14">
        <f>IFERROR(P105/P148, "NA")</f>
        <v>0.11424298501006877</v>
      </c>
      <c r="R105" s="13">
        <f>IFERROR(R104, "NA")</f>
        <v>12842.849999999999</v>
      </c>
      <c r="S105" s="14">
        <f>IFERROR(R105/R148, "NA")</f>
        <v>0.49692201139107284</v>
      </c>
      <c r="T105" s="13">
        <f>IFERROR(T104, "NA")</f>
        <v>0</v>
      </c>
      <c r="U105" s="14">
        <f>IFERROR(T105/T148, "NA")</f>
        <v>0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0</v>
      </c>
      <c r="AA105" s="14">
        <f>IFERROR(Z105/Z148, "NA")</f>
        <v>0</v>
      </c>
      <c r="AB105" s="13">
        <f>IFERROR((R105+T105+V105+X105)/4, "NA")</f>
        <v>3210.7124999999996</v>
      </c>
      <c r="AC105" s="14">
        <f>IFERROR(AB105/AB148, "NA")</f>
        <v>0.12908509131698384</v>
      </c>
      <c r="AD105" s="15">
        <f>IFERROR(X105-AB105, "NA")</f>
        <v>-3210.7124999999996</v>
      </c>
      <c r="AE105" s="16">
        <f>IFERROR(AD105/AD148, "NA")</f>
        <v>0.75162098149046619</v>
      </c>
      <c r="AF105" s="15">
        <f>IFERROR((X105-AB105)/AB105, "NA")</f>
        <v>-1</v>
      </c>
      <c r="AG105" s="13">
        <f>IFERROR((J105+L105+N105+P105+R105+T105+V105+X105)/8, "NA")</f>
        <v>3560.6737499999999</v>
      </c>
      <c r="AH105" s="14">
        <f>IFERROR(AG105/AG148, "NA")</f>
        <v>0.13369611881984247</v>
      </c>
      <c r="AI105" s="15">
        <f>IFERROR(X105-AG105, "NA")</f>
        <v>-3560.6737499999999</v>
      </c>
      <c r="AJ105" s="16">
        <f>IFERROR(AI105/AI148, "NA")</f>
        <v>0.59034936556705198</v>
      </c>
      <c r="AK105" s="15">
        <f>IFERROR((X105-AG105)/AG105, "NA")</f>
        <v>-1</v>
      </c>
      <c r="AL105" s="16">
        <f>IFERROR(AK105/AK148, "NA")</f>
        <v>4.4156058588548603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-8975.7000000000044</v>
      </c>
      <c r="C107" s="34">
        <f>IFERROR(B107/B148, "NA")</f>
        <v>-0.26063246719118199</v>
      </c>
      <c r="D107" s="33">
        <f>IFERROR(D87-D99-D105, "NA")</f>
        <v>5342.9500000000044</v>
      </c>
      <c r="E107" s="34">
        <f>IFERROR(D107/D148, "NA")</f>
        <v>0.18715094952936873</v>
      </c>
      <c r="F107" s="33">
        <f>IFERROR(F87-F99-F105, "NA")</f>
        <v>8823.9899999999907</v>
      </c>
      <c r="G107" s="34">
        <f>IFERROR(F107/F148, "NA")</f>
        <v>0.25289225785983066</v>
      </c>
      <c r="H107" s="33">
        <f>IFERROR(H87-H99-H105, "NA")</f>
        <v>7803.5899999999892</v>
      </c>
      <c r="I107" s="34">
        <f>IFERROR(H107/H148, "NA")</f>
        <v>0.17184867713169374</v>
      </c>
      <c r="J107" s="33">
        <f>IFERROR(J87-J99-J105, "NA")</f>
        <v>-3528.2800000000025</v>
      </c>
      <c r="K107" s="34">
        <f>IFERROR(J107/J148, "NA")</f>
        <v>-8.7129685009697658E-2</v>
      </c>
      <c r="L107" s="33">
        <f>IFERROR(L87-L99-L105, "NA")</f>
        <v>5698.4699999999993</v>
      </c>
      <c r="M107" s="34">
        <f>IFERROR(L107/L148, "NA")</f>
        <v>0.24619377282224184</v>
      </c>
      <c r="N107" s="33">
        <f>IFERROR(N87-N99-N105, "NA")</f>
        <v>6465.7700000000059</v>
      </c>
      <c r="O107" s="34">
        <f>IFERROR(N107/N148, "NA")</f>
        <v>0.2543370813919415</v>
      </c>
      <c r="P107" s="33">
        <f>IFERROR(P87-P99-P105, "NA")</f>
        <v>-1713.5899999999961</v>
      </c>
      <c r="Q107" s="34">
        <f>IFERROR(P107/P148, "NA")</f>
        <v>-6.9924040405688948E-2</v>
      </c>
      <c r="R107" s="33">
        <f>IFERROR(R87-R99-R105, "NA")</f>
        <v>-9224.0900000000038</v>
      </c>
      <c r="S107" s="34">
        <f>IFERROR(R107/R148, "NA")</f>
        <v>-0.35690312944963798</v>
      </c>
      <c r="T107" s="33">
        <f>IFERROR(T87-T99-T105, "NA")</f>
        <v>8426.9</v>
      </c>
      <c r="U107" s="34">
        <f>IFERROR(T107/T148, "NA")</f>
        <v>0.2960006940836743</v>
      </c>
      <c r="V107" s="33">
        <f>IFERROR(V87-V99-V105, "NA")</f>
        <v>2715.4000000000051</v>
      </c>
      <c r="W107" s="34">
        <f>IFERROR(V107/V148, "NA")</f>
        <v>0.11048882986168775</v>
      </c>
      <c r="X107" s="33">
        <f>IFERROR(X87-X99-X105, "NA")</f>
        <v>5312</v>
      </c>
      <c r="Y107" s="34">
        <f>IFERROR(X107/X148, "NA")</f>
        <v>0.25785005863758864</v>
      </c>
      <c r="Z107" s="33">
        <f>IFERROR(Z87-Z99-Z105, "NA")</f>
        <v>16454.300000000007</v>
      </c>
      <c r="AA107" s="34">
        <f>IFERROR(Z107/Z148, "NA")</f>
        <v>0.22342255000403966</v>
      </c>
      <c r="AB107" s="33">
        <f>IFERROR((R107+T107+V107+X107)/4, "NA")</f>
        <v>1807.5525000000002</v>
      </c>
      <c r="AC107" s="34">
        <f>IFERROR(AB107/AB148, "NA")</f>
        <v>7.2671744830078211E-2</v>
      </c>
      <c r="AD107" s="15">
        <f>IFERROR(X107-AB107, "NA")</f>
        <v>3504.4474999999998</v>
      </c>
      <c r="AE107" s="16">
        <f>IFERROR(AD107/AD148, "NA")</f>
        <v>-0.8203837215358929</v>
      </c>
      <c r="AF107" s="15">
        <f>IFERROR((X107-AB107)/AB107, "NA")</f>
        <v>1.9387804780220765</v>
      </c>
      <c r="AG107" s="33">
        <f>IFERROR((J107+L107+N107+P107+R107+T107+V107+X107)/8, "NA")</f>
        <v>1769.0725000000009</v>
      </c>
      <c r="AH107" s="34">
        <f>IFERROR(AG107/AG148, "NA")</f>
        <v>6.6425104844530028E-2</v>
      </c>
      <c r="AI107" s="15">
        <f>IFERROR(X107-AG107, "NA")</f>
        <v>3542.9274999999989</v>
      </c>
      <c r="AJ107" s="16">
        <f>IFERROR(AI107/AI148, "NA")</f>
        <v>-0.58740708886206183</v>
      </c>
      <c r="AK107" s="15">
        <f>IFERROR((X107-AG107)/AG107, "NA")</f>
        <v>2.0027033940101364</v>
      </c>
      <c r="AL107" s="16">
        <f>IFERROR(AK107/AK148, "NA")</f>
        <v>-8.843148840139671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-2024.8999999999999</v>
      </c>
      <c r="C128" s="8">
        <f>IFERROR(B128/B148, "NA")</f>
        <v>-5.8798164245175769E-2</v>
      </c>
      <c r="D128" s="7">
        <v>395.29</v>
      </c>
      <c r="E128" s="8">
        <f>IFERROR(D128/D148, "NA")</f>
        <v>1.3846077324224278E-2</v>
      </c>
      <c r="F128" s="7">
        <v>517.84</v>
      </c>
      <c r="G128" s="8">
        <f>IFERROR(F128/F148, "NA")</f>
        <v>1.4841100999676433E-2</v>
      </c>
      <c r="H128" s="7">
        <v>495.83000000000004</v>
      </c>
      <c r="I128" s="8">
        <f>IFERROR(H128/H148, "NA")</f>
        <v>1.0919042335925879E-2</v>
      </c>
      <c r="J128" s="7">
        <v>-1408.96</v>
      </c>
      <c r="K128" s="8">
        <f>IFERROR(J128/J148, "NA")</f>
        <v>-3.4793792156876301E-2</v>
      </c>
      <c r="L128" s="7">
        <v>320.27000000000004</v>
      </c>
      <c r="M128" s="8">
        <f>IFERROR(L128/L148, "NA")</f>
        <v>1.3836780683548287E-2</v>
      </c>
      <c r="N128" s="7">
        <v>238.57999999999998</v>
      </c>
      <c r="O128" s="8">
        <f>IFERROR(N128/N148, "NA")</f>
        <v>9.3847663740729004E-3</v>
      </c>
      <c r="P128" s="7">
        <v>346.92999999999995</v>
      </c>
      <c r="Q128" s="8">
        <f>IFERROR(P128/P148, "NA")</f>
        <v>1.415668120025544E-2</v>
      </c>
      <c r="R128" s="7">
        <v>-905.78000000000009</v>
      </c>
      <c r="S128" s="8">
        <f>IFERROR(R128/R148, "NA")</f>
        <v>-3.5046895313564051E-2</v>
      </c>
      <c r="T128" s="7">
        <v>460.27</v>
      </c>
      <c r="U128" s="8">
        <f>IFERROR(T128/T148, "NA")</f>
        <v>1.616730226606377E-2</v>
      </c>
      <c r="V128" s="7">
        <v>527.48</v>
      </c>
      <c r="W128" s="8">
        <f>IFERROR(V128/V148, "NA")</f>
        <v>2.146300654616003E-2</v>
      </c>
      <c r="X128" s="7">
        <v>419.96000000000004</v>
      </c>
      <c r="Y128" s="8">
        <f>IFERROR(X128/X148, "NA")</f>
        <v>2.0385299440030449E-2</v>
      </c>
      <c r="Z128" s="7">
        <v>1407.71</v>
      </c>
      <c r="AA128" s="8">
        <f>IFERROR(Z128/Z148, "NA")</f>
        <v>1.9114405223326823E-2</v>
      </c>
      <c r="AB128" s="9">
        <f t="shared" si="42"/>
        <v>125.48249999999999</v>
      </c>
      <c r="AC128" s="8">
        <f>IFERROR(AB128/AB148, "NA")</f>
        <v>5.0449611951189728E-3</v>
      </c>
      <c r="AD128" s="10">
        <f t="shared" si="43"/>
        <v>294.47750000000008</v>
      </c>
      <c r="AE128" s="11">
        <f>IFERROR(AD128/AD148, "NA")</f>
        <v>-6.893655771946533E-2</v>
      </c>
      <c r="AF128" s="10">
        <f t="shared" si="44"/>
        <v>2.3467615006076552</v>
      </c>
      <c r="AG128" s="9">
        <f t="shared" si="45"/>
        <v>-0.15625000000002842</v>
      </c>
      <c r="AH128" s="8">
        <f>IFERROR(AG128/AG148, "NA")</f>
        <v>-5.8668724045847187E-6</v>
      </c>
      <c r="AI128" s="10">
        <f t="shared" si="46"/>
        <v>420.11625000000004</v>
      </c>
      <c r="AJ128" s="11">
        <f>IFERROR(AI128/AI148, "NA")</f>
        <v>-6.9654053998041532E-2</v>
      </c>
      <c r="AK128" s="10">
        <f t="shared" si="47"/>
        <v>-2688.7439999995113</v>
      </c>
      <c r="AL128" s="11">
        <f>IFERROR(AK128/AK148, "NA")</f>
        <v>11872.433759358693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-2024.8999999999999</v>
      </c>
      <c r="C135" s="14">
        <f>IFERROR(B135/B148, "NA")</f>
        <v>-5.8798164245175769E-2</v>
      </c>
      <c r="D135" s="13">
        <f>IFERROR(D110+D111+D112+D113+D114+D115+D116+D117+D118+D119+D120+D121+D122+D123+D124+D125+D126+D127+D128+D129+D130+D131+D132+D133+D134, "NA")</f>
        <v>395.29</v>
      </c>
      <c r="E135" s="14">
        <f>IFERROR(D135/D148, "NA")</f>
        <v>1.3846077324224278E-2</v>
      </c>
      <c r="F135" s="13">
        <f>IFERROR(F110+F111+F112+F113+F114+F115+F116+F117+F118+F119+F120+F121+F122+F123+F124+F125+F126+F127+F128+F129+F130+F131+F132+F133+F134, "NA")</f>
        <v>517.84</v>
      </c>
      <c r="G135" s="14">
        <f>IFERROR(F135/F148, "NA")</f>
        <v>1.4841100999676433E-2</v>
      </c>
      <c r="H135" s="13">
        <f>IFERROR(H110+H111+H112+H113+H114+H115+H116+H117+H118+H119+H120+H121+H122+H123+H124+H125+H126+H127+H128+H129+H130+H131+H132+H133+H134, "NA")</f>
        <v>495.83000000000004</v>
      </c>
      <c r="I135" s="14">
        <f>IFERROR(H135/H148, "NA")</f>
        <v>1.0919042335925879E-2</v>
      </c>
      <c r="J135" s="13">
        <f>IFERROR(J110+J111+J112+J113+J114+J115+J116+J117+J118+J119+J120+J121+J122+J123+J124+J125+J126+J127+J128+J129+J130+J131+J132+J133+J134, "NA")</f>
        <v>-1408.96</v>
      </c>
      <c r="K135" s="14">
        <f>IFERROR(J135/J148, "NA")</f>
        <v>-3.4793792156876301E-2</v>
      </c>
      <c r="L135" s="13">
        <f>IFERROR(L110+L111+L112+L113+L114+L115+L116+L117+L118+L119+L120+L121+L122+L123+L124+L125+L126+L127+L128+L129+L130+L131+L132+L133+L134, "NA")</f>
        <v>320.27000000000004</v>
      </c>
      <c r="M135" s="14">
        <f>IFERROR(L135/L148, "NA")</f>
        <v>1.3836780683548287E-2</v>
      </c>
      <c r="N135" s="13">
        <f>IFERROR(N110+N111+N112+N113+N114+N115+N116+N117+N118+N119+N120+N121+N122+N123+N124+N125+N126+N127+N128+N129+N130+N131+N132+N133+N134, "NA")</f>
        <v>238.57999999999998</v>
      </c>
      <c r="O135" s="14">
        <f>IFERROR(N135/N148, "NA")</f>
        <v>9.3847663740729004E-3</v>
      </c>
      <c r="P135" s="13">
        <f>IFERROR(P110+P111+P112+P113+P114+P115+P116+P117+P118+P119+P120+P121+P122+P123+P124+P125+P126+P127+P128+P129+P130+P131+P132+P133+P134, "NA")</f>
        <v>346.92999999999995</v>
      </c>
      <c r="Q135" s="14">
        <f>IFERROR(P135/P148, "NA")</f>
        <v>1.415668120025544E-2</v>
      </c>
      <c r="R135" s="13">
        <f>IFERROR(R110+R111+R112+R113+R114+R115+R116+R117+R118+R119+R120+R121+R122+R123+R124+R125+R126+R127+R128+R129+R130+R131+R132+R133+R134, "NA")</f>
        <v>-905.78000000000009</v>
      </c>
      <c r="S135" s="14">
        <f>IFERROR(R135/R148, "NA")</f>
        <v>-3.5046895313564051E-2</v>
      </c>
      <c r="T135" s="13">
        <f>IFERROR(T110+T111+T112+T113+T114+T115+T116+T117+T118+T119+T120+T121+T122+T123+T124+T125+T126+T127+T128+T129+T130+T131+T132+T133+T134, "NA")</f>
        <v>460.27</v>
      </c>
      <c r="U135" s="14">
        <f>IFERROR(T135/T148, "NA")</f>
        <v>1.616730226606377E-2</v>
      </c>
      <c r="V135" s="13">
        <f>IFERROR(V110+V111+V112+V113+V114+V115+V116+V117+V118+V119+V120+V121+V122+V123+V124+V125+V126+V127+V128+V129+V130+V131+V132+V133+V134, "NA")</f>
        <v>527.48</v>
      </c>
      <c r="W135" s="14">
        <f>IFERROR(V135/V148, "NA")</f>
        <v>2.146300654616003E-2</v>
      </c>
      <c r="X135" s="13">
        <f>IFERROR(X110+X111+X112+X113+X114+X115+X116+X117+X118+X119+X120+X121+X122+X123+X124+X125+X126+X127+X128+X129+X130+X131+X132+X133+X134, "NA")</f>
        <v>419.96000000000004</v>
      </c>
      <c r="Y135" s="14">
        <f>IFERROR(X135/X148, "NA")</f>
        <v>2.0385299440030449E-2</v>
      </c>
      <c r="Z135" s="13">
        <f>IFERROR(Z110+Z111+Z112+Z113+Z114+Z115+Z116+Z117+Z118+Z119+Z120+Z121+Z122+Z123+Z124+Z125+Z126+Z127+Z128+Z129+Z130+Z131+Z132+Z133+Z134, "NA")</f>
        <v>1407.71</v>
      </c>
      <c r="AA135" s="14">
        <f>IFERROR(Z135/Z148, "NA")</f>
        <v>1.9114405223326823E-2</v>
      </c>
      <c r="AB135" s="13">
        <f t="shared" si="42"/>
        <v>125.48249999999999</v>
      </c>
      <c r="AC135" s="14">
        <f>IFERROR(AB135/AB148, "NA")</f>
        <v>5.0449611951189728E-3</v>
      </c>
      <c r="AD135" s="15">
        <f t="shared" si="43"/>
        <v>294.47750000000008</v>
      </c>
      <c r="AE135" s="16">
        <f>IFERROR(AD135/AD148, "NA")</f>
        <v>-6.893655771946533E-2</v>
      </c>
      <c r="AF135" s="15">
        <f t="shared" si="44"/>
        <v>2.3467615006076552</v>
      </c>
      <c r="AG135" s="13">
        <f t="shared" si="45"/>
        <v>-0.15625000000002842</v>
      </c>
      <c r="AH135" s="14">
        <f>IFERROR(AG135/AG148, "NA")</f>
        <v>-5.8668724045847187E-6</v>
      </c>
      <c r="AI135" s="15">
        <f t="shared" si="46"/>
        <v>420.11625000000004</v>
      </c>
      <c r="AJ135" s="16">
        <f>IFERROR(AI135/AI148, "NA")</f>
        <v>-6.9654053998041532E-2</v>
      </c>
      <c r="AK135" s="15">
        <f t="shared" si="47"/>
        <v>-2688.7439999995113</v>
      </c>
      <c r="AL135" s="16">
        <f>IFERROR(AK135/AK148, "NA")</f>
        <v>11872.433759358693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-6950.8000000000047</v>
      </c>
      <c r="C137" s="34">
        <f>IFERROR(B137/B148, "NA")</f>
        <v>-0.20183430294600624</v>
      </c>
      <c r="D137" s="33">
        <f>IFERROR(D107-D135, "NA")</f>
        <v>4947.6600000000044</v>
      </c>
      <c r="E137" s="34">
        <f>IFERROR(D137/D148, "NA")</f>
        <v>0.17330487220514446</v>
      </c>
      <c r="F137" s="33">
        <f>IFERROR(F107-F135, "NA")</f>
        <v>8306.1499999999905</v>
      </c>
      <c r="G137" s="34">
        <f>IFERROR(F137/F148, "NA")</f>
        <v>0.23805115686015421</v>
      </c>
      <c r="H137" s="33">
        <f>IFERROR(H107-H135, "NA")</f>
        <v>7307.7599999999893</v>
      </c>
      <c r="I137" s="34">
        <f>IFERROR(H137/H148, "NA")</f>
        <v>0.16092963479576788</v>
      </c>
      <c r="J137" s="33">
        <f>IFERROR(J107-J135, "NA")</f>
        <v>-2119.3200000000024</v>
      </c>
      <c r="K137" s="34">
        <f>IFERROR(J137/J148, "NA")</f>
        <v>-5.233589285282135E-2</v>
      </c>
      <c r="L137" s="33">
        <f>IFERROR(L107-L135, "NA")</f>
        <v>5378.1999999999989</v>
      </c>
      <c r="M137" s="34">
        <f>IFERROR(L137/L148, "NA")</f>
        <v>0.23235699213869351</v>
      </c>
      <c r="N137" s="33">
        <f>IFERROR(N107-N135, "NA")</f>
        <v>6227.190000000006</v>
      </c>
      <c r="O137" s="34">
        <f>IFERROR(N137/N148, "NA")</f>
        <v>0.2449523150178686</v>
      </c>
      <c r="P137" s="33">
        <f>IFERROR(P107-P135, "NA")</f>
        <v>-2060.5199999999959</v>
      </c>
      <c r="Q137" s="34">
        <f>IFERROR(P137/P148, "NA")</f>
        <v>-8.4080721605944389E-2</v>
      </c>
      <c r="R137" s="33">
        <f>IFERROR(R107-R135, "NA")</f>
        <v>-8318.3100000000031</v>
      </c>
      <c r="S137" s="34">
        <f>IFERROR(R137/R148, "NA")</f>
        <v>-0.32185623413607395</v>
      </c>
      <c r="T137" s="33">
        <f>IFERROR(T107-T135, "NA")</f>
        <v>7966.6299999999992</v>
      </c>
      <c r="U137" s="34">
        <f>IFERROR(T137/T148, "NA")</f>
        <v>0.27983339181761052</v>
      </c>
      <c r="V137" s="33">
        <f>IFERROR(V107-V135, "NA")</f>
        <v>2187.9200000000051</v>
      </c>
      <c r="W137" s="34">
        <f>IFERROR(V137/V148, "NA")</f>
        <v>8.9025823315527719E-2</v>
      </c>
      <c r="X137" s="33">
        <f>IFERROR(X107-X135, "NA")</f>
        <v>4892.04</v>
      </c>
      <c r="Y137" s="34">
        <f>IFERROR(X137/X148, "NA")</f>
        <v>0.23746475919755819</v>
      </c>
      <c r="Z137" s="33">
        <f>IFERROR(Z107-Z135, "NA")</f>
        <v>15046.590000000007</v>
      </c>
      <c r="AA137" s="34">
        <f>IFERROR(Z137/Z148, "NA")</f>
        <v>0.20430814478071282</v>
      </c>
      <c r="AB137" s="33">
        <f>IFERROR((R137+T137+V137+X137)/4, "NA")</f>
        <v>1682.0700000000002</v>
      </c>
      <c r="AC137" s="34">
        <f>IFERROR(AB137/AB148, "NA")</f>
        <v>6.7626783634959234E-2</v>
      </c>
      <c r="AD137" s="15">
        <f>IFERROR(X137-AB137, "NA")</f>
        <v>3209.97</v>
      </c>
      <c r="AE137" s="16">
        <f>IFERROR(AD137/AD148, "NA")</f>
        <v>-0.75144716381642762</v>
      </c>
      <c r="AF137" s="15">
        <f>IFERROR((X137-AB137)/AB137, "NA")</f>
        <v>1.9083450748185269</v>
      </c>
      <c r="AG137" s="33">
        <f>IFERROR((J137+L137+N137+P137+R137+T137+V137+X137)/8, "NA")</f>
        <v>1769.2287500000011</v>
      </c>
      <c r="AH137" s="34">
        <f>IFERROR(AG137/AG148, "NA")</f>
        <v>6.6430971716934628E-2</v>
      </c>
      <c r="AI137" s="15">
        <f>IFERROR(X137-AG137, "NA")</f>
        <v>3122.8112499999988</v>
      </c>
      <c r="AJ137" s="16">
        <f>IFERROR(AI137/AI148, "NA")</f>
        <v>-0.51775303486402025</v>
      </c>
      <c r="AK137" s="15">
        <f>IFERROR((X137-AG137)/AG137, "NA")</f>
        <v>1.7650692427420687</v>
      </c>
      <c r="AL137" s="16">
        <f>IFERROR(AK137/AK148, "NA")</f>
        <v>-7.7938500895363898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3752.76</v>
      </c>
      <c r="C140" s="8">
        <f>IFERROR(B140/B148, "NA")</f>
        <v>0.10897101034753609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3445.4100000000003</v>
      </c>
      <c r="K140" s="8">
        <f>IFERROR(J140/J148, "NA")</f>
        <v>8.5083238300039166E-2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3305.3500000000004</v>
      </c>
      <c r="S140" s="8">
        <f>IFERROR(R140/R148, "NA")</f>
        <v>0.12789226459481212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826.33750000000009</v>
      </c>
      <c r="AC140" s="8">
        <f>IFERROR(AB140/AB148, "NA")</f>
        <v>3.3222486175933895E-2</v>
      </c>
      <c r="AD140" s="10">
        <f>IFERROR(X140-AB140, "NA")</f>
        <v>-826.33750000000009</v>
      </c>
      <c r="AE140" s="11">
        <f>IFERROR(AD140/AD148, "NA")</f>
        <v>0.19344385484292917</v>
      </c>
      <c r="AF140" s="10">
        <f>IFERROR((X140-AB140)/AB140, "NA")</f>
        <v>-1</v>
      </c>
      <c r="AG140" s="9">
        <f>IFERROR((J140+L140+N140+P140+R140+T140+V140+X140)/8, "NA")</f>
        <v>843.84500000000003</v>
      </c>
      <c r="AH140" s="8">
        <f>IFERROR(AG140/AG148, "NA")</f>
        <v>3.1684678043173709E-2</v>
      </c>
      <c r="AI140" s="10">
        <f>IFERROR(X140-AG140, "NA")</f>
        <v>-843.84500000000003</v>
      </c>
      <c r="AJ140" s="11">
        <f>IFERROR(AI140/AI148, "NA")</f>
        <v>0.13990705000336776</v>
      </c>
      <c r="AK140" s="10">
        <f>IFERROR((X140-AG140)/AG140, "NA")</f>
        <v>-1</v>
      </c>
      <c r="AL140" s="11">
        <f>IFERROR(AK140/AK148, "NA")</f>
        <v>4.4156058588548603</v>
      </c>
    </row>
    <row r="141" spans="1:38" ht="16.5" hidden="1" customHeight="1">
      <c r="A141" s="12" t="s">
        <v>144</v>
      </c>
      <c r="B141" s="13">
        <f>IFERROR(B140, "NA")</f>
        <v>3752.76</v>
      </c>
      <c r="C141" s="14">
        <f>IFERROR(B141/B148, "NA")</f>
        <v>0.10897101034753609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3445.4100000000003</v>
      </c>
      <c r="K141" s="14">
        <f>IFERROR(J141/J148, "NA")</f>
        <v>8.5083238300039166E-2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3305.3500000000004</v>
      </c>
      <c r="S141" s="14">
        <f>IFERROR(R141/R148, "NA")</f>
        <v>0.12789226459481212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826.33750000000009</v>
      </c>
      <c r="AC141" s="14">
        <f>IFERROR(AB141/AB148, "NA")</f>
        <v>3.3222486175933895E-2</v>
      </c>
      <c r="AD141" s="15">
        <f>IFERROR(X141-AB141, "NA")</f>
        <v>-826.33750000000009</v>
      </c>
      <c r="AE141" s="16">
        <f>IFERROR(AD141/AD148, "NA")</f>
        <v>0.19344385484292917</v>
      </c>
      <c r="AF141" s="15">
        <f>IFERROR((X141-AB141)/AB141, "NA")</f>
        <v>-1</v>
      </c>
      <c r="AG141" s="13">
        <f>IFERROR((J141+L141+N141+P141+R141+T141+V141+X141)/8, "NA")</f>
        <v>843.84500000000003</v>
      </c>
      <c r="AH141" s="14">
        <f>IFERROR(AG141/AG148, "NA")</f>
        <v>3.1684678043173709E-2</v>
      </c>
      <c r="AI141" s="15">
        <f>IFERROR(X141-AG141, "NA")</f>
        <v>-843.84500000000003</v>
      </c>
      <c r="AJ141" s="16">
        <f>IFERROR(AI141/AI148, "NA")</f>
        <v>0.13990705000336776</v>
      </c>
      <c r="AK141" s="15">
        <f>IFERROR((X141-AG141)/AG141, "NA")</f>
        <v>-1</v>
      </c>
      <c r="AL141" s="16">
        <f>IFERROR(AK141/AK148, "NA")</f>
        <v>4.4156058588548603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-10703.560000000005</v>
      </c>
      <c r="C147" s="34">
        <f>IFERROR(B147/B148, "NA")</f>
        <v>-0.31080531329354233</v>
      </c>
      <c r="D147" s="33">
        <f>IFERROR(D137-D141-D145, "NA")</f>
        <v>4947.6600000000044</v>
      </c>
      <c r="E147" s="34">
        <f>IFERROR(D147/D148, "NA")</f>
        <v>0.17330487220514446</v>
      </c>
      <c r="F147" s="33">
        <f>IFERROR(F137-F141-F145, "NA")</f>
        <v>8306.1499999999905</v>
      </c>
      <c r="G147" s="34">
        <f>IFERROR(F147/F148, "NA")</f>
        <v>0.23805115686015421</v>
      </c>
      <c r="H147" s="33">
        <f>IFERROR(H137-H141-H145, "NA")</f>
        <v>7307.7599999999893</v>
      </c>
      <c r="I147" s="34">
        <f>IFERROR(H147/H148, "NA")</f>
        <v>0.16092963479576788</v>
      </c>
      <c r="J147" s="33">
        <f>IFERROR(J137-J141-J145, "NA")</f>
        <v>-5564.7300000000032</v>
      </c>
      <c r="K147" s="34">
        <f>IFERROR(J147/J148, "NA")</f>
        <v>-0.13741913115286053</v>
      </c>
      <c r="L147" s="33">
        <f>IFERROR(L137-L141-L145, "NA")</f>
        <v>5378.1999999999989</v>
      </c>
      <c r="M147" s="34">
        <f>IFERROR(L147/L148, "NA")</f>
        <v>0.23235699213869351</v>
      </c>
      <c r="N147" s="33">
        <f>IFERROR(N137-N141-N145, "NA")</f>
        <v>6227.190000000006</v>
      </c>
      <c r="O147" s="34">
        <f>IFERROR(N147/N148, "NA")</f>
        <v>0.2449523150178686</v>
      </c>
      <c r="P147" s="33">
        <f>IFERROR(P137-P141-P145, "NA")</f>
        <v>-2060.5199999999959</v>
      </c>
      <c r="Q147" s="34">
        <f>IFERROR(P147/P148, "NA")</f>
        <v>-8.4080721605944389E-2</v>
      </c>
      <c r="R147" s="33">
        <f>IFERROR(R137-R141-R145, "NA")</f>
        <v>-11623.660000000003</v>
      </c>
      <c r="S147" s="34">
        <f>IFERROR(R147/R148, "NA")</f>
        <v>-0.44974849873088607</v>
      </c>
      <c r="T147" s="33">
        <f>IFERROR(T137-T141-T145, "NA")</f>
        <v>7966.6299999999992</v>
      </c>
      <c r="U147" s="34">
        <f>IFERROR(T147/T148, "NA")</f>
        <v>0.27983339181761052</v>
      </c>
      <c r="V147" s="33">
        <f>IFERROR(V137-V141-V145, "NA")</f>
        <v>2187.9200000000051</v>
      </c>
      <c r="W147" s="34">
        <f>IFERROR(V147/V148, "NA")</f>
        <v>8.9025823315527719E-2</v>
      </c>
      <c r="X147" s="33">
        <f>IFERROR(X137-X141-X145, "NA")</f>
        <v>4892.04</v>
      </c>
      <c r="Y147" s="34">
        <f>IFERROR(X147/X148, "NA")</f>
        <v>0.23746475919755819</v>
      </c>
      <c r="Z147" s="33">
        <f>IFERROR(Z137-Z141-Z145, "NA")</f>
        <v>15046.590000000007</v>
      </c>
      <c r="AA147" s="34">
        <f>IFERROR(Z147/Z148, "NA")</f>
        <v>0.20430814478071282</v>
      </c>
      <c r="AB147" s="33">
        <f>IFERROR((R147+T147+V147+X147)/4, "NA")</f>
        <v>855.73250000000019</v>
      </c>
      <c r="AC147" s="34">
        <f>IFERROR(AB147/AB148, "NA")</f>
        <v>3.4404297459025346E-2</v>
      </c>
      <c r="AD147" s="15">
        <f>IFERROR(X147-AB147, "NA")</f>
        <v>4036.3074999999999</v>
      </c>
      <c r="AE147" s="16">
        <f>IFERROR(AD147/AD148, "NA")</f>
        <v>-0.94489101865935676</v>
      </c>
      <c r="AF147" s="15">
        <f>IFERROR((X147-AB147)/AB147, "NA")</f>
        <v>4.7167864957799299</v>
      </c>
      <c r="AG147" s="33">
        <f>IFERROR((J147+L147+N147+P147+R147+T147+V147+X147)/8, "NA")</f>
        <v>925.38375000000087</v>
      </c>
      <c r="AH147" s="34">
        <f>IFERROR(AG147/AG148, "NA")</f>
        <v>3.4746293673760906E-2</v>
      </c>
      <c r="AI147" s="15">
        <f>IFERROR(X147-AG147, "NA")</f>
        <v>3966.6562499999991</v>
      </c>
      <c r="AJ147" s="16">
        <f>IFERROR(AI147/AI148, "NA")</f>
        <v>-0.65766008486738803</v>
      </c>
      <c r="AK147" s="15">
        <f>IFERROR((X147-AG147)/AG147, "NA")</f>
        <v>4.286498709319237</v>
      </c>
      <c r="AL147" s="16">
        <f>IFERROR(AK147/AK148, "NA")</f>
        <v>-18.927488814843819</v>
      </c>
    </row>
    <row r="148" spans="1:38" ht="15.6" hidden="1">
      <c r="A148" s="40" t="s">
        <v>25</v>
      </c>
      <c r="B148" s="7">
        <v>34438.15</v>
      </c>
      <c r="C148" s="41"/>
      <c r="D148" s="7">
        <v>28548.880000000001</v>
      </c>
      <c r="E148" s="41"/>
      <c r="F148" s="7">
        <v>34892.29</v>
      </c>
      <c r="G148" s="41"/>
      <c r="H148" s="7">
        <v>45409.66</v>
      </c>
      <c r="I148" s="41"/>
      <c r="J148" s="7">
        <v>40494.58</v>
      </c>
      <c r="K148" s="41"/>
      <c r="L148" s="7">
        <v>23146.28</v>
      </c>
      <c r="M148" s="41"/>
      <c r="N148" s="7">
        <v>25422.05</v>
      </c>
      <c r="O148" s="41"/>
      <c r="P148" s="7">
        <v>24506.45</v>
      </c>
      <c r="Q148" s="41"/>
      <c r="R148" s="7">
        <v>25844.799999999999</v>
      </c>
      <c r="S148" s="41"/>
      <c r="T148" s="7">
        <v>28469.19</v>
      </c>
      <c r="U148" s="41"/>
      <c r="V148" s="7">
        <v>24576.240000000002</v>
      </c>
      <c r="W148" s="41"/>
      <c r="X148" s="7">
        <v>20601.12</v>
      </c>
      <c r="Y148" s="41"/>
      <c r="Z148" s="7">
        <v>73646.55</v>
      </c>
      <c r="AA148" s="41"/>
      <c r="AB148" s="9">
        <f>IFERROR((R148+T148+V148+X148)/4, "NA")</f>
        <v>24872.837499999998</v>
      </c>
      <c r="AC148" s="41"/>
      <c r="AD148" s="10">
        <f>IFERROR(X148-AB148, "NA")</f>
        <v>-4271.7174999999988</v>
      </c>
      <c r="AE148" s="42"/>
      <c r="AF148" s="10">
        <f>IFERROR((X148-AB148)/AB148, "NA")</f>
        <v>-0.17174226704130557</v>
      </c>
      <c r="AG148" s="9">
        <f>IFERROR((J148+L148+N148+P148+R148+T148+V148+X148)/8, "NA")</f>
        <v>26632.588749999999</v>
      </c>
      <c r="AH148" s="41"/>
      <c r="AI148" s="10">
        <f>IFERROR(X148-AG148, "NA")</f>
        <v>-6031.46875</v>
      </c>
      <c r="AJ148" s="42"/>
      <c r="AK148" s="10">
        <f>IFERROR((X148-AG148)/AG148, "NA")</f>
        <v>-0.22646948843829537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154</v>
      </c>
      <c r="B3" s="148" t="s">
        <v>154</v>
      </c>
      <c r="C3" s="148" t="s">
        <v>154</v>
      </c>
      <c r="D3" s="148" t="s">
        <v>154</v>
      </c>
      <c r="E3" s="148" t="s">
        <v>154</v>
      </c>
      <c r="F3" s="148" t="s">
        <v>154</v>
      </c>
      <c r="G3" s="148" t="s">
        <v>154</v>
      </c>
      <c r="H3" s="148" t="s">
        <v>154</v>
      </c>
      <c r="I3" s="148" t="s">
        <v>154</v>
      </c>
      <c r="J3" s="148" t="s">
        <v>154</v>
      </c>
      <c r="K3" s="148" t="s">
        <v>154</v>
      </c>
      <c r="L3" s="148" t="s">
        <v>154</v>
      </c>
      <c r="M3" s="148" t="s">
        <v>154</v>
      </c>
      <c r="N3" s="148" t="s">
        <v>154</v>
      </c>
      <c r="O3" s="148" t="s">
        <v>154</v>
      </c>
      <c r="P3" s="148" t="s">
        <v>154</v>
      </c>
      <c r="Q3" s="148" t="s">
        <v>154</v>
      </c>
      <c r="R3" s="148" t="s">
        <v>154</v>
      </c>
      <c r="S3" s="148" t="s">
        <v>154</v>
      </c>
      <c r="T3" s="148" t="s">
        <v>154</v>
      </c>
      <c r="U3" s="148" t="s">
        <v>154</v>
      </c>
      <c r="V3" s="148" t="s">
        <v>154</v>
      </c>
      <c r="W3" s="148" t="s">
        <v>154</v>
      </c>
      <c r="X3" s="148" t="s">
        <v>154</v>
      </c>
      <c r="Y3" s="148" t="s">
        <v>154</v>
      </c>
      <c r="Z3" s="148" t="s">
        <v>154</v>
      </c>
      <c r="AA3" s="148" t="s">
        <v>154</v>
      </c>
      <c r="AB3" s="148" t="s">
        <v>154</v>
      </c>
      <c r="AC3" s="148" t="s">
        <v>154</v>
      </c>
      <c r="AD3" s="148" t="s">
        <v>154</v>
      </c>
      <c r="AE3" s="148" t="s">
        <v>154</v>
      </c>
      <c r="AF3" s="148" t="s">
        <v>154</v>
      </c>
      <c r="AG3" s="148" t="s">
        <v>154</v>
      </c>
      <c r="AH3" s="148" t="s">
        <v>154</v>
      </c>
      <c r="AI3" s="148" t="s">
        <v>154</v>
      </c>
      <c r="AJ3" s="148" t="s">
        <v>154</v>
      </c>
      <c r="AK3" s="148" t="s">
        <v>154</v>
      </c>
      <c r="AL3" s="148" t="s">
        <v>154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33375.4</v>
      </c>
      <c r="C7" s="8">
        <f>IFERROR(B7/B148, "NA")</f>
        <v>1</v>
      </c>
      <c r="D7" s="7">
        <v>27216.920000000002</v>
      </c>
      <c r="E7" s="8">
        <f>IFERROR(D7/D148, "NA")</f>
        <v>1.0000000000000002</v>
      </c>
      <c r="F7" s="7">
        <v>41263.460000000006</v>
      </c>
      <c r="G7" s="8">
        <f>IFERROR(F7/F148, "NA")</f>
        <v>1.0000000000000002</v>
      </c>
      <c r="H7" s="7">
        <v>32026.440000000002</v>
      </c>
      <c r="I7" s="8">
        <f>IFERROR(H7/H148, "NA")</f>
        <v>1.0000000000000002</v>
      </c>
      <c r="J7" s="7">
        <v>28859.779999999992</v>
      </c>
      <c r="K7" s="8">
        <f>IFERROR(J7/J148, "NA")</f>
        <v>0.99999999999999978</v>
      </c>
      <c r="L7" s="7">
        <v>25879.01</v>
      </c>
      <c r="M7" s="8">
        <f>IFERROR(L7/L148, "NA")</f>
        <v>1</v>
      </c>
      <c r="N7" s="7">
        <v>25696.730000000003</v>
      </c>
      <c r="O7" s="8">
        <f>IFERROR(N7/N148, "NA")</f>
        <v>1.0000000000000002</v>
      </c>
      <c r="P7" s="7">
        <v>25164.289999999997</v>
      </c>
      <c r="Q7" s="8">
        <f>IFERROR(P7/P148, "NA")</f>
        <v>0.99999999999999989</v>
      </c>
      <c r="R7" s="7">
        <v>28633.51999999999</v>
      </c>
      <c r="S7" s="8">
        <f>IFERROR(R7/R148, "NA")</f>
        <v>0.99999999999999967</v>
      </c>
      <c r="T7" s="7">
        <v>28061.539999999997</v>
      </c>
      <c r="U7" s="8">
        <f>IFERROR(T7/T148, "NA")</f>
        <v>0.99999999999999989</v>
      </c>
      <c r="V7" s="7">
        <v>25742.519999999997</v>
      </c>
      <c r="W7" s="8">
        <f>IFERROR(V7/V148, "NA")</f>
        <v>0.99999999999999989</v>
      </c>
      <c r="X7" s="7">
        <v>20662.48</v>
      </c>
      <c r="Y7" s="8">
        <f>IFERROR(X7/X148, "NA")</f>
        <v>1</v>
      </c>
      <c r="Z7" s="7">
        <v>74466.540000000008</v>
      </c>
      <c r="AA7" s="8">
        <f>IFERROR(Z7/Z148, "NA")</f>
        <v>1.0000000000000002</v>
      </c>
      <c r="AB7" s="9">
        <f>IFERROR((R7+T7+V7+X7)/4, "NA")</f>
        <v>25775.014999999996</v>
      </c>
      <c r="AC7" s="8">
        <f>IFERROR(AB7/AB148, "NA")</f>
        <v>0.99999999999999989</v>
      </c>
      <c r="AD7" s="10">
        <f>IFERROR(X7-AB7, "NA")</f>
        <v>-5112.5349999999962</v>
      </c>
      <c r="AE7" s="11">
        <f>IFERROR(AD7/AD148, "NA")</f>
        <v>0.99999999999999933</v>
      </c>
      <c r="AF7" s="10">
        <f>IFERROR((X7-AB7)/AB7, "NA")</f>
        <v>-0.19835235789387501</v>
      </c>
      <c r="AG7" s="9">
        <f>IFERROR((J7+L7+N7+P7+R7+T7+V7+X7)/8, "NA")</f>
        <v>26087.483749999996</v>
      </c>
      <c r="AH7" s="8">
        <f>IFERROR(AG7/AG148, "NA")</f>
        <v>0.99999999999999989</v>
      </c>
      <c r="AI7" s="10">
        <f>IFERROR(X7-AG7, "NA")</f>
        <v>-5425.0037499999962</v>
      </c>
      <c r="AJ7" s="11">
        <f>IFERROR(AI7/AI148, "NA")</f>
        <v>0.99999999999999933</v>
      </c>
      <c r="AK7" s="10">
        <f>IFERROR((X7-AG7)/AG7, "NA")</f>
        <v>-0.20795427424080321</v>
      </c>
      <c r="AL7" s="11">
        <f>IFERROR(AK7/AK148, "NA")</f>
        <v>0.99999999999999944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33375.4</v>
      </c>
      <c r="C9" s="14">
        <f>IFERROR(B9/B148, "NA")</f>
        <v>1</v>
      </c>
      <c r="D9" s="13">
        <f>IFERROR(D7+D8, "NA")</f>
        <v>27216.920000000002</v>
      </c>
      <c r="E9" s="14">
        <f>IFERROR(D9/D148, "NA")</f>
        <v>1.0000000000000002</v>
      </c>
      <c r="F9" s="13">
        <f>IFERROR(F7+F8, "NA")</f>
        <v>41263.460000000006</v>
      </c>
      <c r="G9" s="14">
        <f>IFERROR(F9/F148, "NA")</f>
        <v>1.0000000000000002</v>
      </c>
      <c r="H9" s="13">
        <f>IFERROR(H7+H8, "NA")</f>
        <v>32026.440000000002</v>
      </c>
      <c r="I9" s="14">
        <f>IFERROR(H9/H148, "NA")</f>
        <v>1.0000000000000002</v>
      </c>
      <c r="J9" s="13">
        <f>IFERROR(J7+J8, "NA")</f>
        <v>28859.779999999992</v>
      </c>
      <c r="K9" s="14">
        <f>IFERROR(J9/J148, "NA")</f>
        <v>0.99999999999999978</v>
      </c>
      <c r="L9" s="13">
        <f>IFERROR(L7+L8, "NA")</f>
        <v>25879.01</v>
      </c>
      <c r="M9" s="14">
        <f>IFERROR(L9/L148, "NA")</f>
        <v>1</v>
      </c>
      <c r="N9" s="13">
        <f>IFERROR(N7+N8, "NA")</f>
        <v>25696.730000000003</v>
      </c>
      <c r="O9" s="14">
        <f>IFERROR(N9/N148, "NA")</f>
        <v>1.0000000000000002</v>
      </c>
      <c r="P9" s="13">
        <f>IFERROR(P7+P8, "NA")</f>
        <v>25164.289999999997</v>
      </c>
      <c r="Q9" s="14">
        <f>IFERROR(P9/P148, "NA")</f>
        <v>0.99999999999999989</v>
      </c>
      <c r="R9" s="13">
        <f>IFERROR(R7+R8, "NA")</f>
        <v>28633.51999999999</v>
      </c>
      <c r="S9" s="14">
        <f>IFERROR(R9/R148, "NA")</f>
        <v>0.99999999999999967</v>
      </c>
      <c r="T9" s="13">
        <f>IFERROR(T7+T8, "NA")</f>
        <v>28061.539999999997</v>
      </c>
      <c r="U9" s="14">
        <f>IFERROR(T9/T148, "NA")</f>
        <v>0.99999999999999989</v>
      </c>
      <c r="V9" s="13">
        <f>IFERROR(V7+V8, "NA")</f>
        <v>25742.519999999997</v>
      </c>
      <c r="W9" s="14">
        <f>IFERROR(V9/V148, "NA")</f>
        <v>0.99999999999999989</v>
      </c>
      <c r="X9" s="13">
        <f>IFERROR(X7+X8, "NA")</f>
        <v>20662.48</v>
      </c>
      <c r="Y9" s="14">
        <f>IFERROR(X9/X148, "NA")</f>
        <v>1</v>
      </c>
      <c r="Z9" s="13">
        <f>IFERROR(Z7+Z8, "NA")</f>
        <v>74466.540000000008</v>
      </c>
      <c r="AA9" s="14">
        <f>IFERROR(Z9/Z148, "NA")</f>
        <v>1.0000000000000002</v>
      </c>
      <c r="AB9" s="13">
        <f>IFERROR((R9+T9+V9+X9)/4, "NA")</f>
        <v>25775.014999999996</v>
      </c>
      <c r="AC9" s="14">
        <f>IFERROR(AB9/AB148, "NA")</f>
        <v>0.99999999999999989</v>
      </c>
      <c r="AD9" s="15">
        <f>IFERROR(X9-AB9, "NA")</f>
        <v>-5112.5349999999962</v>
      </c>
      <c r="AE9" s="16">
        <f>IFERROR(AD9/AD148, "NA")</f>
        <v>0.99999999999999933</v>
      </c>
      <c r="AF9" s="15">
        <f>IFERROR((X9-AB9)/AB9, "NA")</f>
        <v>-0.19835235789387501</v>
      </c>
      <c r="AG9" s="13">
        <f>IFERROR((J9+L9+N9+P9+R9+T9+V9+X9)/8, "NA")</f>
        <v>26087.483749999996</v>
      </c>
      <c r="AH9" s="14">
        <f>IFERROR(AG9/AG148, "NA")</f>
        <v>0.99999999999999989</v>
      </c>
      <c r="AI9" s="15">
        <f>IFERROR(X9-AG9, "NA")</f>
        <v>-5425.0037499999962</v>
      </c>
      <c r="AJ9" s="16">
        <f>IFERROR(AI9/AI148, "NA")</f>
        <v>0.99999999999999933</v>
      </c>
      <c r="AK9" s="15">
        <f>IFERROR((X9-AG9)/AG9, "NA")</f>
        <v>-0.20795427424080321</v>
      </c>
      <c r="AL9" s="16">
        <f>IFERROR(AK9/AK148, "NA")</f>
        <v>0.99999999999999944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1520.71</v>
      </c>
      <c r="C16" s="8">
        <f>IFERROR(B16/B148, "NA")</f>
        <v>4.5563798486310272E-2</v>
      </c>
      <c r="D16" s="7">
        <v>1446.51</v>
      </c>
      <c r="E16" s="8">
        <f>IFERROR(D16/D148, "NA")</f>
        <v>5.3147453863258594E-2</v>
      </c>
      <c r="F16" s="7">
        <v>1797.44</v>
      </c>
      <c r="G16" s="8">
        <f>IFERROR(F16/F148, "NA")</f>
        <v>4.3560089241183361E-2</v>
      </c>
      <c r="H16" s="7">
        <v>1525.35</v>
      </c>
      <c r="I16" s="8">
        <f>IFERROR(H16/H148, "NA")</f>
        <v>4.7627835001330152E-2</v>
      </c>
      <c r="J16" s="7">
        <v>985.6</v>
      </c>
      <c r="K16" s="8">
        <f>IFERROR(J16/J148, "NA")</f>
        <v>3.4151334486957285E-2</v>
      </c>
      <c r="L16" s="7">
        <v>1373.17</v>
      </c>
      <c r="M16" s="8">
        <f>IFERROR(L16/L148, "NA")</f>
        <v>5.3061148784285028E-2</v>
      </c>
      <c r="N16" s="7">
        <v>1250.25</v>
      </c>
      <c r="O16" s="8">
        <f>IFERROR(N16/N148, "NA")</f>
        <v>4.8654050534834591E-2</v>
      </c>
      <c r="P16" s="7">
        <v>1005.87</v>
      </c>
      <c r="Q16" s="8">
        <f>IFERROR(P16/P148, "NA")</f>
        <v>3.9972119221325139E-2</v>
      </c>
      <c r="R16" s="7">
        <v>1408</v>
      </c>
      <c r="S16" s="8">
        <f>IFERROR(R16/R148, "NA")</f>
        <v>4.9173136938804589E-2</v>
      </c>
      <c r="T16" s="7">
        <v>950.71</v>
      </c>
      <c r="U16" s="8">
        <f>IFERROR(T16/T148, "NA")</f>
        <v>3.3879466344327501E-2</v>
      </c>
      <c r="V16" s="7">
        <v>896.3</v>
      </c>
      <c r="W16" s="8">
        <f>IFERROR(V16/V148, "NA")</f>
        <v>3.4817881077687809E-2</v>
      </c>
      <c r="X16" s="7">
        <v>864.22</v>
      </c>
      <c r="Y16" s="8">
        <f>IFERROR(X16/X148, "NA")</f>
        <v>4.1825569825112964E-2</v>
      </c>
      <c r="Z16" s="7">
        <v>2711.23</v>
      </c>
      <c r="AA16" s="8">
        <f>IFERROR(Z16/Z148, "NA")</f>
        <v>3.6408701142821999E-2</v>
      </c>
      <c r="AB16" s="9">
        <f t="shared" si="0"/>
        <v>1029.8075000000001</v>
      </c>
      <c r="AC16" s="8">
        <f>IFERROR(AB16/AB148, "NA")</f>
        <v>3.9953710987171112E-2</v>
      </c>
      <c r="AD16" s="10">
        <f t="shared" si="1"/>
        <v>-165.58750000000009</v>
      </c>
      <c r="AE16" s="11">
        <f>IFERROR(AD16/AD148, "NA")</f>
        <v>3.2388531325457937E-2</v>
      </c>
      <c r="AF16" s="10">
        <f t="shared" si="2"/>
        <v>-0.16079461452747243</v>
      </c>
      <c r="AG16" s="9">
        <f t="shared" si="3"/>
        <v>1091.7650000000001</v>
      </c>
      <c r="AH16" s="8">
        <f>IFERROR(AG16/AG148, "NA")</f>
        <v>4.1850145857781323E-2</v>
      </c>
      <c r="AI16" s="10">
        <f t="shared" si="4"/>
        <v>-227.54500000000007</v>
      </c>
      <c r="AJ16" s="11">
        <f>IFERROR(AI16/AI148, "NA")</f>
        <v>4.1943749808467892E-2</v>
      </c>
      <c r="AK16" s="10">
        <f t="shared" si="5"/>
        <v>-0.2084193942835684</v>
      </c>
      <c r="AL16" s="11">
        <f>IFERROR(AK16/AK148, "NA")</f>
        <v>1.0022366457456242</v>
      </c>
    </row>
    <row r="17" spans="1:38" ht="16.5" customHeight="1">
      <c r="A17" s="25" t="s">
        <v>32</v>
      </c>
      <c r="B17" s="7">
        <v>865.19</v>
      </c>
      <c r="C17" s="8">
        <f>IFERROR(B17/B148, "NA")</f>
        <v>2.5922985192686831E-2</v>
      </c>
      <c r="D17" s="7">
        <v>800.97</v>
      </c>
      <c r="E17" s="8">
        <f>IFERROR(D17/D148, "NA")</f>
        <v>2.942911982693119E-2</v>
      </c>
      <c r="F17" s="7">
        <v>916.43</v>
      </c>
      <c r="G17" s="8">
        <f>IFERROR(F17/F148, "NA")</f>
        <v>2.2209237906855119E-2</v>
      </c>
      <c r="H17" s="7">
        <v>952.09</v>
      </c>
      <c r="I17" s="8">
        <f>IFERROR(H17/H148, "NA")</f>
        <v>2.9728249533822682E-2</v>
      </c>
      <c r="J17" s="7">
        <v>664.03</v>
      </c>
      <c r="K17" s="8">
        <f>IFERROR(J17/J148, "NA")</f>
        <v>2.3008837905209256E-2</v>
      </c>
      <c r="L17" s="7">
        <v>878.91</v>
      </c>
      <c r="M17" s="8">
        <f>IFERROR(L17/L148, "NA")</f>
        <v>3.3962272899929327E-2</v>
      </c>
      <c r="N17" s="7">
        <v>782.46</v>
      </c>
      <c r="O17" s="8">
        <f>IFERROR(N17/N148, "NA")</f>
        <v>3.0449788747439852E-2</v>
      </c>
      <c r="P17" s="7">
        <v>900.14</v>
      </c>
      <c r="Q17" s="8">
        <f>IFERROR(P17/P148, "NA")</f>
        <v>3.5770530382538114E-2</v>
      </c>
      <c r="R17" s="7">
        <v>926.87</v>
      </c>
      <c r="S17" s="8">
        <f>IFERROR(R17/R148, "NA")</f>
        <v>3.2370103291526856E-2</v>
      </c>
      <c r="T17" s="7">
        <v>841.1</v>
      </c>
      <c r="U17" s="8">
        <f>IFERROR(T17/T148, "NA")</f>
        <v>2.9973408444440325E-2</v>
      </c>
      <c r="V17" s="7">
        <v>665.91</v>
      </c>
      <c r="W17" s="8">
        <f>IFERROR(V17/V148, "NA")</f>
        <v>2.5868096829681008E-2</v>
      </c>
      <c r="X17" s="7">
        <v>725.28</v>
      </c>
      <c r="Y17" s="8">
        <f>IFERROR(X17/X148, "NA")</f>
        <v>3.5101304393277091E-2</v>
      </c>
      <c r="Z17" s="7">
        <v>2232.29</v>
      </c>
      <c r="AA17" s="8">
        <f>IFERROR(Z17/Z148, "NA")</f>
        <v>2.9977087696031E-2</v>
      </c>
      <c r="AB17" s="9">
        <f t="shared" si="0"/>
        <v>789.79</v>
      </c>
      <c r="AC17" s="8">
        <f>IFERROR(AB17/AB148, "NA")</f>
        <v>3.0641689248289476E-2</v>
      </c>
      <c r="AD17" s="10">
        <f t="shared" si="1"/>
        <v>-64.509999999999991</v>
      </c>
      <c r="AE17" s="11">
        <f>IFERROR(AD17/AD148, "NA")</f>
        <v>1.2618006527094678E-2</v>
      </c>
      <c r="AF17" s="10">
        <f t="shared" si="2"/>
        <v>-8.1679940237278259E-2</v>
      </c>
      <c r="AG17" s="9">
        <f t="shared" si="3"/>
        <v>798.08749999999998</v>
      </c>
      <c r="AH17" s="8">
        <f>IFERROR(AG17/AG148, "NA")</f>
        <v>3.0592735874727665E-2</v>
      </c>
      <c r="AI17" s="10">
        <f t="shared" si="4"/>
        <v>-72.807500000000005</v>
      </c>
      <c r="AJ17" s="11">
        <f>IFERROR(AI17/AI148, "NA")</f>
        <v>1.3420728050187986E-2</v>
      </c>
      <c r="AK17" s="10">
        <f t="shared" si="5"/>
        <v>-9.1227465660093668E-2</v>
      </c>
      <c r="AL17" s="11">
        <f>IFERROR(AK17/AK148, "NA")</f>
        <v>0.43869002449286354</v>
      </c>
    </row>
    <row r="18" spans="1:38" ht="16.5" customHeight="1">
      <c r="A18" s="25" t="s">
        <v>33</v>
      </c>
      <c r="B18" s="7">
        <v>1469.81</v>
      </c>
      <c r="C18" s="8">
        <f>IFERROR(B18/B148, "NA")</f>
        <v>4.4038723131408157E-2</v>
      </c>
      <c r="D18" s="7">
        <v>939.71</v>
      </c>
      <c r="E18" s="8">
        <f>IFERROR(D18/D148, "NA")</f>
        <v>3.4526684136191754E-2</v>
      </c>
      <c r="F18" s="7">
        <v>1409.23</v>
      </c>
      <c r="G18" s="8">
        <f>IFERROR(F18/F148, "NA")</f>
        <v>3.4152007611576926E-2</v>
      </c>
      <c r="H18" s="7">
        <v>1012.97</v>
      </c>
      <c r="I18" s="8">
        <f>IFERROR(H18/H148, "NA")</f>
        <v>3.1629178890941363E-2</v>
      </c>
      <c r="J18" s="7">
        <v>1102.24</v>
      </c>
      <c r="K18" s="8">
        <f>IFERROR(J18/J148, "NA")</f>
        <v>3.8192945337767646E-2</v>
      </c>
      <c r="L18" s="7">
        <v>1133.23</v>
      </c>
      <c r="M18" s="8">
        <f>IFERROR(L18/L148, "NA")</f>
        <v>4.3789542181095806E-2</v>
      </c>
      <c r="N18" s="7">
        <v>739.44</v>
      </c>
      <c r="O18" s="8">
        <f>IFERROR(N18/N148, "NA")</f>
        <v>2.8775645772827908E-2</v>
      </c>
      <c r="P18" s="7">
        <v>861.57</v>
      </c>
      <c r="Q18" s="8">
        <f>IFERROR(P18/P148, "NA")</f>
        <v>3.4237802854759664E-2</v>
      </c>
      <c r="R18" s="7">
        <v>912.62</v>
      </c>
      <c r="S18" s="8">
        <f>IFERROR(R18/R148, "NA")</f>
        <v>3.1872434824639091E-2</v>
      </c>
      <c r="T18" s="7">
        <v>944.58</v>
      </c>
      <c r="U18" s="8">
        <f>IFERROR(T18/T148, "NA")</f>
        <v>3.3661017891391566E-2</v>
      </c>
      <c r="V18" s="7">
        <v>956.61</v>
      </c>
      <c r="W18" s="8">
        <f>IFERROR(V18/V148, "NA")</f>
        <v>3.7160697554085617E-2</v>
      </c>
      <c r="X18" s="7">
        <v>736.21</v>
      </c>
      <c r="Y18" s="8">
        <f>IFERROR(X18/X148, "NA")</f>
        <v>3.5630282521749566E-2</v>
      </c>
      <c r="Z18" s="7">
        <v>2637.4</v>
      </c>
      <c r="AA18" s="8">
        <f>IFERROR(Z18/Z148, "NA")</f>
        <v>3.541724914303794E-2</v>
      </c>
      <c r="AB18" s="9">
        <f t="shared" si="0"/>
        <v>887.505</v>
      </c>
      <c r="AC18" s="8">
        <f>IFERROR(AB18/AB148, "NA")</f>
        <v>3.443276366667488E-2</v>
      </c>
      <c r="AD18" s="10">
        <f t="shared" si="1"/>
        <v>-151.29499999999996</v>
      </c>
      <c r="AE18" s="11">
        <f>IFERROR(AD18/AD148, "NA")</f>
        <v>2.9592951441897213E-2</v>
      </c>
      <c r="AF18" s="10">
        <f t="shared" si="2"/>
        <v>-0.17047227902941386</v>
      </c>
      <c r="AG18" s="9">
        <f t="shared" si="3"/>
        <v>923.3125</v>
      </c>
      <c r="AH18" s="8">
        <f>IFERROR(AG18/AG148, "NA")</f>
        <v>3.5392930527460321E-2</v>
      </c>
      <c r="AI18" s="10">
        <f t="shared" si="4"/>
        <v>-187.10249999999996</v>
      </c>
      <c r="AJ18" s="11">
        <f>IFERROR(AI18/AI148, "NA")</f>
        <v>3.4488916251901203E-2</v>
      </c>
      <c r="AK18" s="10">
        <f t="shared" si="5"/>
        <v>-0.20264265890475863</v>
      </c>
      <c r="AL18" s="11">
        <f>IFERROR(AK18/AK148, "NA")</f>
        <v>0.97445777272221856</v>
      </c>
    </row>
    <row r="19" spans="1:38" ht="16.5" customHeight="1">
      <c r="A19" s="25" t="s">
        <v>34</v>
      </c>
      <c r="B19" s="7">
        <v>756.68</v>
      </c>
      <c r="C19" s="8">
        <f>IFERROR(B19/B148, "NA")</f>
        <v>2.2671788203287448E-2</v>
      </c>
      <c r="D19" s="7">
        <v>541.12</v>
      </c>
      <c r="E19" s="8">
        <f>IFERROR(D19/D148, "NA")</f>
        <v>1.9881750029026063E-2</v>
      </c>
      <c r="F19" s="7">
        <v>759.24</v>
      </c>
      <c r="G19" s="8">
        <f>IFERROR(F19/F148, "NA")</f>
        <v>1.8399814266665957E-2</v>
      </c>
      <c r="H19" s="7">
        <v>724.77</v>
      </c>
      <c r="I19" s="8">
        <f>IFERROR(H19/H148, "NA")</f>
        <v>2.2630364161611467E-2</v>
      </c>
      <c r="J19" s="7">
        <v>522.03</v>
      </c>
      <c r="K19" s="8">
        <f>IFERROR(J19/J148, "NA")</f>
        <v>1.8088495477096497E-2</v>
      </c>
      <c r="L19" s="7">
        <v>669.18</v>
      </c>
      <c r="M19" s="8">
        <f>IFERROR(L19/L148, "NA")</f>
        <v>2.5858021616746545E-2</v>
      </c>
      <c r="N19" s="7">
        <v>550.16</v>
      </c>
      <c r="O19" s="8">
        <f>IFERROR(N19/N148, "NA")</f>
        <v>2.1409728008194039E-2</v>
      </c>
      <c r="P19" s="7">
        <v>576.92999999999995</v>
      </c>
      <c r="Q19" s="8">
        <f>IFERROR(P19/P148, "NA")</f>
        <v>2.2926535976178941E-2</v>
      </c>
      <c r="R19" s="7">
        <v>685.73</v>
      </c>
      <c r="S19" s="8">
        <f>IFERROR(R19/R148, "NA")</f>
        <v>2.3948505108697778E-2</v>
      </c>
      <c r="T19" s="7">
        <v>706.48</v>
      </c>
      <c r="U19" s="8">
        <f>IFERROR(T19/T148, "NA")</f>
        <v>2.5176095110959699E-2</v>
      </c>
      <c r="V19" s="7">
        <v>473.67</v>
      </c>
      <c r="W19" s="8">
        <f>IFERROR(V19/V148, "NA")</f>
        <v>1.8400296474471032E-2</v>
      </c>
      <c r="X19" s="7">
        <v>494.15</v>
      </c>
      <c r="Y19" s="8">
        <f>IFERROR(X19/X148, "NA")</f>
        <v>2.3915328653675648E-2</v>
      </c>
      <c r="Z19" s="7">
        <v>1674.3</v>
      </c>
      <c r="AA19" s="8">
        <f>IFERROR(Z19/Z148, "NA")</f>
        <v>2.2483923652153036E-2</v>
      </c>
      <c r="AB19" s="9">
        <f t="shared" si="0"/>
        <v>590.00750000000005</v>
      </c>
      <c r="AC19" s="8">
        <f>IFERROR(AB19/AB148, "NA")</f>
        <v>2.2890675330353834E-2</v>
      </c>
      <c r="AD19" s="10">
        <f t="shared" si="1"/>
        <v>-95.857500000000073</v>
      </c>
      <c r="AE19" s="11">
        <f>IFERROR(AD19/AD148, "NA")</f>
        <v>1.8749504893365049E-2</v>
      </c>
      <c r="AF19" s="10">
        <f t="shared" si="2"/>
        <v>-0.16246827370838518</v>
      </c>
      <c r="AG19" s="9">
        <f t="shared" si="3"/>
        <v>584.79124999999988</v>
      </c>
      <c r="AH19" s="8">
        <f>IFERROR(AG19/AG148, "NA")</f>
        <v>2.2416544868954634E-2</v>
      </c>
      <c r="AI19" s="10">
        <f t="shared" si="4"/>
        <v>-90.6412499999999</v>
      </c>
      <c r="AJ19" s="11">
        <f>IFERROR(AI19/AI148, "NA")</f>
        <v>1.6708052966783647E-2</v>
      </c>
      <c r="AK19" s="10">
        <f t="shared" si="5"/>
        <v>-0.15499761667090592</v>
      </c>
      <c r="AL19" s="11">
        <f>IFERROR(AK19/AK148, "NA")</f>
        <v>0.74534470251582541</v>
      </c>
    </row>
    <row r="20" spans="1:38" ht="16.5" customHeight="1">
      <c r="A20" s="25" t="s">
        <v>35</v>
      </c>
      <c r="B20" s="7">
        <v>257.45</v>
      </c>
      <c r="C20" s="8">
        <f>IFERROR(B20/B148, "NA")</f>
        <v>7.7137652282819073E-3</v>
      </c>
      <c r="D20" s="7">
        <v>321.56</v>
      </c>
      <c r="E20" s="8">
        <f>IFERROR(D20/D148, "NA")</f>
        <v>1.1814709379312576E-2</v>
      </c>
      <c r="F20" s="7">
        <v>373.42</v>
      </c>
      <c r="G20" s="8">
        <f>IFERROR(F20/F148, "NA")</f>
        <v>9.049653131366105E-3</v>
      </c>
      <c r="H20" s="7">
        <v>317.22000000000003</v>
      </c>
      <c r="I20" s="8">
        <f>IFERROR(H20/H148, "NA")</f>
        <v>9.904941042463665E-3</v>
      </c>
      <c r="J20" s="7">
        <v>304.60000000000002</v>
      </c>
      <c r="K20" s="8">
        <f>IFERROR(J20/J148, "NA")</f>
        <v>1.0554481011289762E-2</v>
      </c>
      <c r="L20" s="7">
        <v>329.62</v>
      </c>
      <c r="M20" s="8">
        <f>IFERROR(L20/L148, "NA")</f>
        <v>1.2736963276415908E-2</v>
      </c>
      <c r="N20" s="7">
        <v>322.23</v>
      </c>
      <c r="O20" s="8">
        <f>IFERROR(N20/N148, "NA")</f>
        <v>1.2539727817508299E-2</v>
      </c>
      <c r="P20" s="7">
        <v>329.17</v>
      </c>
      <c r="Q20" s="8">
        <f>IFERROR(P20/P148, "NA")</f>
        <v>1.308083796522771E-2</v>
      </c>
      <c r="R20" s="7">
        <v>268.38</v>
      </c>
      <c r="S20" s="8">
        <f>IFERROR(R20/R148, "NA")</f>
        <v>9.3729307469008344E-3</v>
      </c>
      <c r="T20" s="7">
        <v>342.37</v>
      </c>
      <c r="U20" s="8">
        <f>IFERROR(T20/T148, "NA")</f>
        <v>1.220068463812036E-2</v>
      </c>
      <c r="V20" s="7">
        <v>247.43</v>
      </c>
      <c r="W20" s="8">
        <f>IFERROR(V20/V148, "NA")</f>
        <v>9.6117241047108046E-3</v>
      </c>
      <c r="X20" s="7">
        <v>319.86</v>
      </c>
      <c r="Y20" s="8">
        <f>IFERROR(X20/X148, "NA")</f>
        <v>1.5480232769735289E-2</v>
      </c>
      <c r="Z20" s="7">
        <v>909.66</v>
      </c>
      <c r="AA20" s="8">
        <f>IFERROR(Z20/Z148, "NA")</f>
        <v>1.2215687743783987E-2</v>
      </c>
      <c r="AB20" s="9">
        <f t="shared" si="0"/>
        <v>294.51</v>
      </c>
      <c r="AC20" s="8">
        <f>IFERROR(AB20/AB148, "NA")</f>
        <v>1.1426181517256148E-2</v>
      </c>
      <c r="AD20" s="10">
        <f t="shared" si="1"/>
        <v>25.350000000000023</v>
      </c>
      <c r="AE20" s="11">
        <f>IFERROR(AD20/AD148, "NA")</f>
        <v>-4.9584012627786455E-3</v>
      </c>
      <c r="AF20" s="10">
        <f t="shared" si="2"/>
        <v>8.6075175715595476E-2</v>
      </c>
      <c r="AG20" s="9">
        <f t="shared" si="3"/>
        <v>307.95749999999998</v>
      </c>
      <c r="AH20" s="8">
        <f>IFERROR(AG20/AG148, "NA")</f>
        <v>1.1804798920095158E-2</v>
      </c>
      <c r="AI20" s="10">
        <f t="shared" si="4"/>
        <v>11.902500000000032</v>
      </c>
      <c r="AJ20" s="11">
        <f>IFERROR(AI20/AI148, "NA")</f>
        <v>-2.1940076999946833E-3</v>
      </c>
      <c r="AK20" s="10">
        <f t="shared" si="5"/>
        <v>3.8649813691824464E-2</v>
      </c>
      <c r="AL20" s="11">
        <f>IFERROR(AK20/AK148, "NA")</f>
        <v>-0.18585726998363794</v>
      </c>
    </row>
    <row r="21" spans="1:38" ht="16.5" customHeight="1">
      <c r="A21" s="25" t="s">
        <v>36</v>
      </c>
      <c r="B21" s="7">
        <v>165.76</v>
      </c>
      <c r="C21" s="8">
        <f>IFERROR(B21/B148, "NA")</f>
        <v>4.9665322363177666E-3</v>
      </c>
      <c r="D21" s="7">
        <v>207.64</v>
      </c>
      <c r="E21" s="8">
        <f>IFERROR(D21/D148, "NA")</f>
        <v>7.6290777942544562E-3</v>
      </c>
      <c r="F21" s="7">
        <v>302.86</v>
      </c>
      <c r="G21" s="8">
        <f>IFERROR(F21/F148, "NA")</f>
        <v>7.3396656509173014E-3</v>
      </c>
      <c r="H21" s="7">
        <v>162.44999999999999</v>
      </c>
      <c r="I21" s="8">
        <f>IFERROR(H21/H148, "NA")</f>
        <v>5.0723714530868866E-3</v>
      </c>
      <c r="J21" s="7">
        <v>141.19</v>
      </c>
      <c r="K21" s="8">
        <f>IFERROR(J21/J148, "NA")</f>
        <v>4.892275686093241E-3</v>
      </c>
      <c r="L21" s="7">
        <v>209.26</v>
      </c>
      <c r="M21" s="8">
        <f>IFERROR(L21/L148, "NA")</f>
        <v>8.0860898465590463E-3</v>
      </c>
      <c r="N21" s="7">
        <v>150.63</v>
      </c>
      <c r="O21" s="8">
        <f>IFERROR(N21/N148, "NA")</f>
        <v>5.8618353385819907E-3</v>
      </c>
      <c r="P21" s="7">
        <v>131.27000000000001</v>
      </c>
      <c r="Q21" s="8">
        <f>IFERROR(P21/P148, "NA")</f>
        <v>5.2165191229317422E-3</v>
      </c>
      <c r="R21" s="7">
        <v>139</v>
      </c>
      <c r="S21" s="8">
        <f>IFERROR(R21/R148, "NA")</f>
        <v>4.8544503085893734E-3</v>
      </c>
      <c r="T21" s="7">
        <v>167.84</v>
      </c>
      <c r="U21" s="8">
        <f>IFERROR(T21/T148, "NA")</f>
        <v>5.9811400229638143E-3</v>
      </c>
      <c r="V21" s="7">
        <v>228.5</v>
      </c>
      <c r="W21" s="8">
        <f>IFERROR(V21/V148, "NA")</f>
        <v>8.8763648624920945E-3</v>
      </c>
      <c r="X21" s="7">
        <v>92.61</v>
      </c>
      <c r="Y21" s="8">
        <f>IFERROR(X21/X148, "NA")</f>
        <v>4.4820370062064185E-3</v>
      </c>
      <c r="Z21" s="7">
        <v>488.95</v>
      </c>
      <c r="AA21" s="8">
        <f>IFERROR(Z21/Z148, "NA")</f>
        <v>6.5660362358718428E-3</v>
      </c>
      <c r="AB21" s="9">
        <f t="shared" si="0"/>
        <v>156.98750000000001</v>
      </c>
      <c r="AC21" s="8">
        <f>IFERROR(AB21/AB148, "NA")</f>
        <v>6.0906851072637597E-3</v>
      </c>
      <c r="AD21" s="10">
        <f t="shared" si="1"/>
        <v>-64.377500000000012</v>
      </c>
      <c r="AE21" s="11">
        <f>IFERROR(AD21/AD148, "NA")</f>
        <v>1.2592089834103828E-2</v>
      </c>
      <c r="AF21" s="10">
        <f t="shared" si="2"/>
        <v>-0.41008042041563825</v>
      </c>
      <c r="AG21" s="9">
        <f t="shared" si="3"/>
        <v>157.53749999999999</v>
      </c>
      <c r="AH21" s="8">
        <f>IFERROR(AG21/AG148, "NA")</f>
        <v>6.0388154530235209E-3</v>
      </c>
      <c r="AI21" s="10">
        <f t="shared" si="4"/>
        <v>-64.927499999999995</v>
      </c>
      <c r="AJ21" s="11">
        <f>IFERROR(AI21/AI148, "NA")</f>
        <v>1.1968194492031457E-2</v>
      </c>
      <c r="AK21" s="10">
        <f t="shared" si="5"/>
        <v>-0.41213996667460129</v>
      </c>
      <c r="AL21" s="11">
        <f>IFERROR(AK21/AK148, "NA")</f>
        <v>1.9818778343423638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427.77</v>
      </c>
      <c r="C23" s="8">
        <f>IFERROR(B23/B148, "NA")</f>
        <v>1.2816925040598764E-2</v>
      </c>
      <c r="D23" s="7">
        <v>15.31</v>
      </c>
      <c r="E23" s="8">
        <f>IFERROR(D23/D148, "NA")</f>
        <v>5.625177279427651E-4</v>
      </c>
      <c r="F23" s="7">
        <v>228.72</v>
      </c>
      <c r="G23" s="8">
        <f>IFERROR(F23/F148, "NA")</f>
        <v>5.5429186015908509E-3</v>
      </c>
      <c r="H23" s="7">
        <v>248.42</v>
      </c>
      <c r="I23" s="8">
        <f>IFERROR(H23/H148, "NA")</f>
        <v>7.756716013393933E-3</v>
      </c>
      <c r="J23" s="7">
        <v>139.55000000000001</v>
      </c>
      <c r="K23" s="8">
        <f>IFERROR(J23/J148, "NA")</f>
        <v>4.8354491960784186E-3</v>
      </c>
      <c r="L23" s="7">
        <v>165.64</v>
      </c>
      <c r="M23" s="8">
        <f>IFERROR(L23/L148, "NA")</f>
        <v>6.4005539624583784E-3</v>
      </c>
      <c r="N23" s="7">
        <v>208.2</v>
      </c>
      <c r="O23" s="8">
        <f>IFERROR(N23/N148, "NA")</f>
        <v>8.1021982174385616E-3</v>
      </c>
      <c r="P23" s="7">
        <v>55.83</v>
      </c>
      <c r="Q23" s="8">
        <f>IFERROR(P23/P148, "NA")</f>
        <v>2.2186201160453961E-3</v>
      </c>
      <c r="R23" s="7">
        <v>266.02999999999997</v>
      </c>
      <c r="S23" s="8">
        <f>IFERROR(R23/R148, "NA")</f>
        <v>9.2908591049930284E-3</v>
      </c>
      <c r="T23" s="7">
        <v>60.71</v>
      </c>
      <c r="U23" s="8">
        <f>IFERROR(T23/T148, "NA")</f>
        <v>2.1634593112138537E-3</v>
      </c>
      <c r="V23" s="7">
        <v>249.34</v>
      </c>
      <c r="W23" s="8">
        <f>IFERROR(V23/V148, "NA")</f>
        <v>9.6859204149399511E-3</v>
      </c>
      <c r="X23" s="7">
        <v>-68.25</v>
      </c>
      <c r="Y23" s="8">
        <f>IFERROR(X23/X148, "NA")</f>
        <v>-3.3030884966373836E-3</v>
      </c>
      <c r="Z23" s="7">
        <v>241.8</v>
      </c>
      <c r="AA23" s="8">
        <f>IFERROR(Z23/Z148, "NA")</f>
        <v>3.2470959440307019E-3</v>
      </c>
      <c r="AB23" s="9">
        <f t="shared" si="0"/>
        <v>126.95749999999998</v>
      </c>
      <c r="AC23" s="8">
        <f>IFERROR(AB23/AB148, "NA")</f>
        <v>4.9256033410649807E-3</v>
      </c>
      <c r="AD23" s="10">
        <f t="shared" si="1"/>
        <v>-195.20749999999998</v>
      </c>
      <c r="AE23" s="11">
        <f>IFERROR(AD23/AD148, "NA")</f>
        <v>3.8182134694432407E-2</v>
      </c>
      <c r="AF23" s="10">
        <f t="shared" si="2"/>
        <v>-1.5375814741153537</v>
      </c>
      <c r="AG23" s="9">
        <f t="shared" si="3"/>
        <v>134.63124999999999</v>
      </c>
      <c r="AH23" s="8">
        <f>IFERROR(AG23/AG148, "NA")</f>
        <v>5.1607602822177131E-3</v>
      </c>
      <c r="AI23" s="10">
        <f t="shared" si="4"/>
        <v>-202.88124999999999</v>
      </c>
      <c r="AJ23" s="11">
        <f>IFERROR(AI23/AI148, "NA")</f>
        <v>3.739743958702333E-2</v>
      </c>
      <c r="AK23" s="10">
        <f t="shared" si="5"/>
        <v>-1.5069402534701268</v>
      </c>
      <c r="AL23" s="11">
        <f>IFERROR(AK23/AK148, "NA")</f>
        <v>7.2464981014294807</v>
      </c>
    </row>
    <row r="24" spans="1:38" ht="16.5" customHeight="1">
      <c r="A24" s="25" t="s">
        <v>39</v>
      </c>
      <c r="B24" s="7">
        <v>1716.16</v>
      </c>
      <c r="C24" s="8">
        <f>IFERROR(B24/B148, "NA")</f>
        <v>5.1419908076008075E-2</v>
      </c>
      <c r="D24" s="7">
        <v>1650.36</v>
      </c>
      <c r="E24" s="8">
        <f>IFERROR(D24/D148, "NA")</f>
        <v>6.0637280044913235E-2</v>
      </c>
      <c r="F24" s="7">
        <v>2114.33</v>
      </c>
      <c r="G24" s="8">
        <f>IFERROR(F24/F148, "NA")</f>
        <v>5.123976515784183E-2</v>
      </c>
      <c r="H24" s="7">
        <v>1887.25</v>
      </c>
      <c r="I24" s="8">
        <f>IFERROR(H24/H148, "NA")</f>
        <v>5.8927873344648989E-2</v>
      </c>
      <c r="J24" s="7">
        <v>1617.4</v>
      </c>
      <c r="K24" s="8">
        <f>IFERROR(J24/J148, "NA")</f>
        <v>5.6043393262180108E-2</v>
      </c>
      <c r="L24" s="7">
        <v>1722.85</v>
      </c>
      <c r="M24" s="8">
        <f>IFERROR(L24/L148, "NA")</f>
        <v>6.6573257632343744E-2</v>
      </c>
      <c r="N24" s="7">
        <v>1643.39</v>
      </c>
      <c r="O24" s="8">
        <f>IFERROR(N24/N148, "NA")</f>
        <v>6.395327343206704E-2</v>
      </c>
      <c r="P24" s="7">
        <v>1560.27</v>
      </c>
      <c r="Q24" s="8">
        <f>IFERROR(P24/P148, "NA")</f>
        <v>6.200333885835841E-2</v>
      </c>
      <c r="R24" s="7">
        <v>1770.26</v>
      </c>
      <c r="S24" s="8">
        <f>IFERROR(R24/R148, "NA")</f>
        <v>6.182474246966492E-2</v>
      </c>
      <c r="T24" s="7">
        <v>1812.67</v>
      </c>
      <c r="U24" s="8">
        <f>IFERROR(T24/T148, "NA")</f>
        <v>6.4596240976083283E-2</v>
      </c>
      <c r="V24" s="7">
        <v>1590.86</v>
      </c>
      <c r="W24" s="8">
        <f>IFERROR(V24/V148, "NA")</f>
        <v>6.1798922560806005E-2</v>
      </c>
      <c r="X24" s="7">
        <v>1533.11</v>
      </c>
      <c r="Y24" s="8">
        <f>IFERROR(X24/X148, "NA")</f>
        <v>7.4197772968201292E-2</v>
      </c>
      <c r="Z24" s="7">
        <v>4936.6400000000003</v>
      </c>
      <c r="AA24" s="8">
        <f>IFERROR(Z24/Z148, "NA")</f>
        <v>6.629339835045378E-2</v>
      </c>
      <c r="AB24" s="9">
        <f t="shared" si="0"/>
        <v>1676.7249999999999</v>
      </c>
      <c r="AC24" s="8">
        <f>IFERROR(AB24/AB148, "NA")</f>
        <v>6.5052338475845697E-2</v>
      </c>
      <c r="AD24" s="10">
        <f t="shared" si="1"/>
        <v>-143.61500000000001</v>
      </c>
      <c r="AE24" s="11">
        <f>IFERROR(AD24/AD148, "NA")</f>
        <v>2.8090761236842392E-2</v>
      </c>
      <c r="AF24" s="10">
        <f t="shared" si="2"/>
        <v>-8.565208963902847E-2</v>
      </c>
      <c r="AG24" s="9">
        <f t="shared" si="3"/>
        <v>1656.3512500000002</v>
      </c>
      <c r="AH24" s="8">
        <f>IFERROR(AG24/AG148, "NA")</f>
        <v>6.3492181379892584E-2</v>
      </c>
      <c r="AI24" s="10">
        <f t="shared" si="4"/>
        <v>-123.24125000000026</v>
      </c>
      <c r="AJ24" s="11">
        <f>IFERROR(AI24/AI148, "NA")</f>
        <v>2.2717265402811982E-2</v>
      </c>
      <c r="AK24" s="10">
        <f t="shared" si="5"/>
        <v>-7.4405262772615569E-2</v>
      </c>
      <c r="AL24" s="11">
        <f>IFERROR(AK24/AK148, "NA")</f>
        <v>0.3577962657620446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7179.5300000000007</v>
      </c>
      <c r="C27" s="14">
        <f>IFERROR(B27/B148, "NA")</f>
        <v>0.21511442559489924</v>
      </c>
      <c r="D27" s="13">
        <f>IFERROR(D15+D16+D17+D18+D19+D20+D21+D22+D23+D24+D25+D26, "NA")</f>
        <v>5923.18</v>
      </c>
      <c r="E27" s="14">
        <f>IFERROR(D27/D148, "NA")</f>
        <v>0.21762859280183064</v>
      </c>
      <c r="F27" s="13">
        <f>IFERROR(F15+F16+F17+F18+F19+F20+F21+F22+F23+F24+F25+F26, "NA")</f>
        <v>7901.67</v>
      </c>
      <c r="G27" s="14">
        <f>IFERROR(F27/F148, "NA")</f>
        <v>0.19149315156799745</v>
      </c>
      <c r="H27" s="13">
        <f>IFERROR(H15+H16+H17+H18+H19+H20+H21+H22+H23+H24+H25+H26, "NA")</f>
        <v>6830.52</v>
      </c>
      <c r="I27" s="14">
        <f>IFERROR(H27/H148, "NA")</f>
        <v>0.21327752944129916</v>
      </c>
      <c r="J27" s="13">
        <f>IFERROR(J15+J16+J17+J18+J19+J20+J21+J22+J23+J24+J25+J26, "NA")</f>
        <v>5476.6399999999994</v>
      </c>
      <c r="K27" s="14">
        <f>IFERROR(J27/J148, "NA")</f>
        <v>0.18976721236267219</v>
      </c>
      <c r="L27" s="13">
        <f>IFERROR(L15+L16+L17+L18+L19+L20+L21+L22+L23+L24+L25+L26, "NA")</f>
        <v>6481.8600000000006</v>
      </c>
      <c r="M27" s="14">
        <f>IFERROR(L27/L148, "NA")</f>
        <v>0.25046785019983381</v>
      </c>
      <c r="N27" s="13">
        <f>IFERROR(N15+N16+N17+N18+N19+N20+N21+N22+N23+N24+N25+N26, "NA")</f>
        <v>5646.76</v>
      </c>
      <c r="O27" s="14">
        <f>IFERROR(N27/N148, "NA")</f>
        <v>0.21974624786889227</v>
      </c>
      <c r="P27" s="13">
        <f>IFERROR(P15+P16+P17+P18+P19+P20+P21+P22+P23+P24+P25+P26, "NA")</f>
        <v>5421.0499999999993</v>
      </c>
      <c r="Q27" s="14">
        <f>IFERROR(P27/P148, "NA")</f>
        <v>0.21542630449736508</v>
      </c>
      <c r="R27" s="13">
        <f>IFERROR(R15+R16+R17+R18+R19+R20+R21+R22+R23+R24+R25+R26, "NA")</f>
        <v>6376.8899999999994</v>
      </c>
      <c r="S27" s="14">
        <f>IFERROR(R27/R148, "NA")</f>
        <v>0.22270716279381644</v>
      </c>
      <c r="T27" s="13">
        <f>IFERROR(T15+T16+T17+T18+T19+T20+T21+T22+T23+T24+T25+T26, "NA")</f>
        <v>5826.46</v>
      </c>
      <c r="U27" s="14">
        <f>IFERROR(T27/T148, "NA")</f>
        <v>0.2076315127395004</v>
      </c>
      <c r="V27" s="13">
        <f>IFERROR(V15+V16+V17+V18+V19+V20+V21+V22+V23+V24+V25+V26, "NA")</f>
        <v>5308.62</v>
      </c>
      <c r="W27" s="14">
        <f>IFERROR(V27/V148, "NA")</f>
        <v>0.20621990387887432</v>
      </c>
      <c r="X27" s="13">
        <f>IFERROR(X15+X16+X17+X18+X19+X20+X21+X22+X23+X24+X25+X26, "NA")</f>
        <v>4697.1900000000005</v>
      </c>
      <c r="Y27" s="14">
        <f>IFERROR(X27/X148, "NA")</f>
        <v>0.22732943964132091</v>
      </c>
      <c r="Z27" s="13">
        <f>IFERROR(Z15+Z16+Z17+Z18+Z19+Z20+Z21+Z22+Z23+Z24+Z25+Z26, "NA")</f>
        <v>15832.27</v>
      </c>
      <c r="AA27" s="14">
        <f>IFERROR(Z27/Z148, "NA")</f>
        <v>0.21260917990818429</v>
      </c>
      <c r="AB27" s="13">
        <f t="shared" si="0"/>
        <v>5552.2899999999991</v>
      </c>
      <c r="AC27" s="14">
        <f>IFERROR(AB27/AB148, "NA")</f>
        <v>0.21541364767391985</v>
      </c>
      <c r="AD27" s="15">
        <f t="shared" si="1"/>
        <v>-855.09999999999854</v>
      </c>
      <c r="AE27" s="16">
        <f>IFERROR(AD27/AD148, "NA")</f>
        <v>0.16725557869041455</v>
      </c>
      <c r="AF27" s="15">
        <f t="shared" si="2"/>
        <v>-0.15400852621170699</v>
      </c>
      <c r="AG27" s="13">
        <f t="shared" si="3"/>
        <v>5654.4337500000011</v>
      </c>
      <c r="AH27" s="14">
        <f>IFERROR(AG27/AG148, "NA")</f>
        <v>0.21674891316415296</v>
      </c>
      <c r="AI27" s="15">
        <f t="shared" si="4"/>
        <v>-957.24375000000055</v>
      </c>
      <c r="AJ27" s="16">
        <f>IFERROR(AI27/AI148, "NA")</f>
        <v>0.17645033885921288</v>
      </c>
      <c r="AK27" s="15">
        <f t="shared" si="5"/>
        <v>-0.16929082421383049</v>
      </c>
      <c r="AL27" s="16">
        <f>IFERROR(AK27/AK148, "NA")</f>
        <v>0.81407715629734068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301.58999999999997</v>
      </c>
      <c r="C30" s="8">
        <f>IFERROR(B30/B148, "NA")</f>
        <v>9.0362961942029151E-3</v>
      </c>
      <c r="D30" s="7">
        <v>472.94</v>
      </c>
      <c r="E30" s="8">
        <f>IFERROR(D30/D148, "NA")</f>
        <v>1.7376690676241105E-2</v>
      </c>
      <c r="F30" s="7">
        <v>319.44</v>
      </c>
      <c r="G30" s="8">
        <f>IFERROR(F30/F148, "NA")</f>
        <v>7.7414739335964558E-3</v>
      </c>
      <c r="H30" s="7">
        <v>405.43</v>
      </c>
      <c r="I30" s="8">
        <f>IFERROR(H30/H148, "NA")</f>
        <v>1.2659227813019494E-2</v>
      </c>
      <c r="J30" s="7">
        <v>314.38</v>
      </c>
      <c r="K30" s="8">
        <f>IFERROR(J30/J148, "NA")</f>
        <v>1.089336093345133E-2</v>
      </c>
      <c r="L30" s="7">
        <v>422.15</v>
      </c>
      <c r="M30" s="8">
        <f>IFERROR(L30/L148, "NA")</f>
        <v>1.6312447810020555E-2</v>
      </c>
      <c r="N30" s="7">
        <v>333.37</v>
      </c>
      <c r="O30" s="8">
        <f>IFERROR(N30/N148, "NA")</f>
        <v>1.2973246012235798E-2</v>
      </c>
      <c r="P30" s="7">
        <v>228.5</v>
      </c>
      <c r="Q30" s="8">
        <f>IFERROR(P30/P148, "NA")</f>
        <v>9.0803277183659856E-3</v>
      </c>
      <c r="R30" s="7">
        <v>313.14999999999998</v>
      </c>
      <c r="S30" s="8">
        <f>IFERROR(R30/R148, "NA")</f>
        <v>1.0936482835501886E-2</v>
      </c>
      <c r="T30" s="7">
        <v>295.60000000000002</v>
      </c>
      <c r="U30" s="8">
        <f>IFERROR(T30/T148, "NA")</f>
        <v>1.0533990650548759E-2</v>
      </c>
      <c r="V30" s="7">
        <v>254.86</v>
      </c>
      <c r="W30" s="8">
        <f>IFERROR(V30/V148, "NA")</f>
        <v>9.9003516361257562E-3</v>
      </c>
      <c r="X30" s="7">
        <v>340.59</v>
      </c>
      <c r="Y30" s="8">
        <f>IFERROR(X30/X148, "NA")</f>
        <v>1.648350052849416E-2</v>
      </c>
      <c r="Z30" s="7">
        <v>891.05</v>
      </c>
      <c r="AA30" s="8">
        <f>IFERROR(Z30/Z148, "NA")</f>
        <v>1.1965776844204122E-2</v>
      </c>
      <c r="AB30" s="9">
        <f t="shared" si="6"/>
        <v>301.05</v>
      </c>
      <c r="AC30" s="8">
        <f>IFERROR(AB30/AB148, "NA")</f>
        <v>1.1679915608196543E-2</v>
      </c>
      <c r="AD30" s="10">
        <f t="shared" si="7"/>
        <v>39.539999999999964</v>
      </c>
      <c r="AE30" s="11">
        <f>IFERROR(AD30/AD148, "NA")</f>
        <v>-7.7339323838369741E-3</v>
      </c>
      <c r="AF30" s="10">
        <f t="shared" si="8"/>
        <v>0.13134030891878412</v>
      </c>
      <c r="AG30" s="9">
        <f t="shared" si="9"/>
        <v>312.82500000000005</v>
      </c>
      <c r="AH30" s="8">
        <f>IFERROR(AG30/AG148, "NA")</f>
        <v>1.1991382649160253E-2</v>
      </c>
      <c r="AI30" s="10">
        <f t="shared" si="10"/>
        <v>27.76499999999993</v>
      </c>
      <c r="AJ30" s="11">
        <f>IFERROR(AI30/AI148, "NA")</f>
        <v>-5.1179688124639413E-3</v>
      </c>
      <c r="AK30" s="10">
        <f t="shared" si="11"/>
        <v>8.8755694078158476E-2</v>
      </c>
      <c r="AL30" s="11">
        <f>IFERROR(AK30/AK148, "NA")</f>
        <v>-0.42680389428006027</v>
      </c>
    </row>
    <row r="31" spans="1:38" ht="16.5" customHeight="1">
      <c r="A31" s="25" t="s">
        <v>46</v>
      </c>
      <c r="B31" s="7">
        <v>19.489999999999998</v>
      </c>
      <c r="C31" s="8">
        <f>IFERROR(B31/B148, "NA")</f>
        <v>5.8396303864522965E-4</v>
      </c>
      <c r="D31" s="7">
        <v>21.92</v>
      </c>
      <c r="E31" s="8">
        <f>IFERROR(D31/D148, "NA")</f>
        <v>8.0538135836090213E-4</v>
      </c>
      <c r="F31" s="7">
        <v>19.48</v>
      </c>
      <c r="G31" s="8">
        <f>IFERROR(F31/F148, "NA")</f>
        <v>4.720883803733376E-4</v>
      </c>
      <c r="H31" s="7">
        <v>29.22</v>
      </c>
      <c r="I31" s="8">
        <f>IFERROR(H31/H148, "NA")</f>
        <v>9.1237115333455733E-4</v>
      </c>
      <c r="J31" s="7">
        <v>-4.87</v>
      </c>
      <c r="K31" s="8">
        <f>IFERROR(J31/J148, "NA")</f>
        <v>-1.6874695510499387E-4</v>
      </c>
      <c r="L31" s="7">
        <v>7.31</v>
      </c>
      <c r="M31" s="8">
        <f>IFERROR(L31/L148, "NA")</f>
        <v>2.8246830153085456E-4</v>
      </c>
      <c r="N31" s="7">
        <v>24.35</v>
      </c>
      <c r="O31" s="8">
        <f>IFERROR(N31/N148, "NA")</f>
        <v>9.475913861413496E-4</v>
      </c>
      <c r="P31" s="7">
        <v>12.18</v>
      </c>
      <c r="Q31" s="8">
        <f>IFERROR(P31/P148, "NA")</f>
        <v>4.8401921929845822E-4</v>
      </c>
      <c r="R31" s="7">
        <v>14.61</v>
      </c>
      <c r="S31" s="8">
        <f>IFERROR(R31/R148, "NA")</f>
        <v>5.1024114394597659E-4</v>
      </c>
      <c r="T31" s="7">
        <v>-4.87</v>
      </c>
      <c r="U31" s="8">
        <f>IFERROR(T31/T148, "NA")</f>
        <v>-1.7354713960816121E-4</v>
      </c>
      <c r="V31" s="7">
        <v>17.05</v>
      </c>
      <c r="W31" s="8">
        <f>IFERROR(V31/V148, "NA")</f>
        <v>6.6232831906122634E-4</v>
      </c>
      <c r="X31" s="7">
        <v>12.18</v>
      </c>
      <c r="Y31" s="8">
        <f>IFERROR(X31/X148, "NA")</f>
        <v>5.8947425478451769E-4</v>
      </c>
      <c r="Z31" s="7">
        <v>24.36</v>
      </c>
      <c r="AA31" s="8">
        <f>IFERROR(Z31/Z148, "NA")</f>
        <v>3.2712678741351488E-4</v>
      </c>
      <c r="AB31" s="9">
        <f t="shared" si="6"/>
        <v>9.7424999999999997</v>
      </c>
      <c r="AC31" s="8">
        <f>IFERROR(AB31/AB148, "NA")</f>
        <v>3.7798232125180138E-4</v>
      </c>
      <c r="AD31" s="10">
        <f t="shared" si="7"/>
        <v>2.4375</v>
      </c>
      <c r="AE31" s="11">
        <f>IFERROR(AD31/AD148, "NA")</f>
        <v>-4.7676935219025395E-4</v>
      </c>
      <c r="AF31" s="10">
        <f t="shared" si="8"/>
        <v>0.2501924557351809</v>
      </c>
      <c r="AG31" s="9">
        <f t="shared" si="9"/>
        <v>9.7424999999999997</v>
      </c>
      <c r="AH31" s="8">
        <f>IFERROR(AG31/AG148, "NA")</f>
        <v>3.7345495231980738E-4</v>
      </c>
      <c r="AI31" s="10">
        <f t="shared" si="10"/>
        <v>2.4375</v>
      </c>
      <c r="AJ31" s="11">
        <f>IFERROR(AI31/AI148, "NA")</f>
        <v>-4.4930844517849415E-4</v>
      </c>
      <c r="AK31" s="10">
        <f t="shared" si="11"/>
        <v>0.2501924557351809</v>
      </c>
      <c r="AL31" s="11">
        <f>IFERROR(AK31/AK148, "NA")</f>
        <v>-1.2031128316481119</v>
      </c>
    </row>
    <row r="32" spans="1:38" ht="16.5" customHeight="1">
      <c r="A32" s="25" t="s">
        <v>47</v>
      </c>
      <c r="B32" s="7">
        <v>0</v>
      </c>
      <c r="C32" s="8">
        <f>IFERROR(B32/B148, "NA")</f>
        <v>0</v>
      </c>
      <c r="D32" s="7">
        <v>1.99</v>
      </c>
      <c r="E32" s="8">
        <f>IFERROR(D32/D148, "NA")</f>
        <v>7.3116282077472406E-5</v>
      </c>
      <c r="F32" s="7">
        <v>-1.99</v>
      </c>
      <c r="G32" s="8">
        <f>IFERROR(F32/F148, "NA")</f>
        <v>-4.8226687728077092E-5</v>
      </c>
      <c r="H32" s="7">
        <v>-29.9</v>
      </c>
      <c r="I32" s="8">
        <f>IFERROR(H32/H148, "NA")</f>
        <v>-9.3360361001722323E-4</v>
      </c>
      <c r="J32" s="7">
        <v>26.9</v>
      </c>
      <c r="K32" s="8">
        <f>IFERROR(J32/J148, "NA")</f>
        <v>9.3209303743826185E-4</v>
      </c>
      <c r="L32" s="7">
        <v>0</v>
      </c>
      <c r="M32" s="8">
        <f>IFERROR(L32/L148, "NA")</f>
        <v>0</v>
      </c>
      <c r="N32" s="7">
        <v>-26.9</v>
      </c>
      <c r="O32" s="8">
        <f>IFERROR(N32/N148, "NA")</f>
        <v>-1.0468258023491705E-3</v>
      </c>
      <c r="P32" s="7">
        <v>26.9</v>
      </c>
      <c r="Q32" s="8">
        <f>IFERROR(P32/P148, "NA")</f>
        <v>1.0689751230811599E-3</v>
      </c>
      <c r="R32" s="7">
        <v>3</v>
      </c>
      <c r="S32" s="8">
        <f>IFERROR(R32/R148, "NA")</f>
        <v>1.0477230881847568E-4</v>
      </c>
      <c r="T32" s="7">
        <v>-29.9</v>
      </c>
      <c r="U32" s="8">
        <f>IFERROR(T32/T148, "NA")</f>
        <v>-1.0655152924607843E-3</v>
      </c>
      <c r="V32" s="7">
        <v>1.99</v>
      </c>
      <c r="W32" s="8">
        <f>IFERROR(V32/V148, "NA")</f>
        <v>7.7304009086911457E-5</v>
      </c>
      <c r="X32" s="7">
        <v>27.91</v>
      </c>
      <c r="Y32" s="8">
        <f>IFERROR(X32/X148, "NA")</f>
        <v>1.3507575082952288E-3</v>
      </c>
      <c r="Z32" s="7">
        <v>0</v>
      </c>
      <c r="AA32" s="8">
        <f>IFERROR(Z32/Z148, "NA")</f>
        <v>0</v>
      </c>
      <c r="AB32" s="9">
        <f t="shared" si="6"/>
        <v>0.75</v>
      </c>
      <c r="AC32" s="8">
        <f>IFERROR(AB32/AB148, "NA")</f>
        <v>2.9097946208760693E-5</v>
      </c>
      <c r="AD32" s="10">
        <f t="shared" si="7"/>
        <v>27.16</v>
      </c>
      <c r="AE32" s="11">
        <f>IFERROR(AD32/AD148, "NA")</f>
        <v>-5.3124330689178654E-3</v>
      </c>
      <c r="AF32" s="10">
        <f t="shared" si="8"/>
        <v>36.213333333333331</v>
      </c>
      <c r="AG32" s="9">
        <f t="shared" si="9"/>
        <v>3.7374999999999998</v>
      </c>
      <c r="AH32" s="8">
        <f>IFERROR(AG32/AG148, "NA")</f>
        <v>1.4326793782861485E-4</v>
      </c>
      <c r="AI32" s="10">
        <f t="shared" si="10"/>
        <v>24.172499999999999</v>
      </c>
      <c r="AJ32" s="11">
        <f>IFERROR(AI32/AI148, "NA")</f>
        <v>-4.4557572886470354E-3</v>
      </c>
      <c r="AK32" s="10">
        <f t="shared" si="11"/>
        <v>6.4675585284280936</v>
      </c>
      <c r="AL32" s="11">
        <f>IFERROR(AK32/AK148, "NA")</f>
        <v>-31.100868457932734</v>
      </c>
    </row>
    <row r="33" spans="1:38" ht="16.5" customHeight="1">
      <c r="A33" s="25" t="s">
        <v>48</v>
      </c>
      <c r="B33" s="7">
        <v>-7.35</v>
      </c>
      <c r="C33" s="8">
        <f>IFERROR(B33/B148, "NA")</f>
        <v>-2.2022207973537394E-4</v>
      </c>
      <c r="D33" s="7">
        <v>21.03</v>
      </c>
      <c r="E33" s="8">
        <f>IFERROR(D33/D148, "NA")</f>
        <v>7.7268111160263555E-4</v>
      </c>
      <c r="F33" s="7">
        <v>-14.7</v>
      </c>
      <c r="G33" s="8">
        <f>IFERROR(F33/F148, "NA")</f>
        <v>-3.5624739176016746E-4</v>
      </c>
      <c r="H33" s="7">
        <v>14.7</v>
      </c>
      <c r="I33" s="8">
        <f>IFERROR(H33/H148, "NA")</f>
        <v>4.5899575475763152E-4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7.35</v>
      </c>
      <c r="O33" s="8">
        <f>IFERROR(N33/N148, "NA")</f>
        <v>2.8602861142254288E-4</v>
      </c>
      <c r="P33" s="7">
        <v>-7.01</v>
      </c>
      <c r="Q33" s="8">
        <f>IFERROR(P33/P148, "NA")</f>
        <v>-2.7856935363564794E-4</v>
      </c>
      <c r="R33" s="7">
        <v>7.01</v>
      </c>
      <c r="S33" s="8">
        <f>IFERROR(R33/R148, "NA")</f>
        <v>2.4481796160583818E-4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1.7524999999999999</v>
      </c>
      <c r="AC33" s="8">
        <f>IFERROR(AB33/AB148, "NA")</f>
        <v>6.7992200974470825E-5</v>
      </c>
      <c r="AD33" s="10">
        <f t="shared" si="7"/>
        <v>-1.7524999999999999</v>
      </c>
      <c r="AE33" s="11">
        <f>IFERROR(AD33/AD148, "NA")</f>
        <v>3.4278493936960825E-4</v>
      </c>
      <c r="AF33" s="10">
        <f t="shared" si="8"/>
        <v>-1</v>
      </c>
      <c r="AG33" s="9">
        <f t="shared" si="9"/>
        <v>0.91874999999999996</v>
      </c>
      <c r="AH33" s="8">
        <f>IFERROR(AG33/AG148, "NA")</f>
        <v>3.5218038228773216E-5</v>
      </c>
      <c r="AI33" s="10">
        <f t="shared" si="10"/>
        <v>-0.91874999999999996</v>
      </c>
      <c r="AJ33" s="11">
        <f>IFERROR(AI33/AI148, "NA")</f>
        <v>1.6935472164420162E-4</v>
      </c>
      <c r="AK33" s="10">
        <f t="shared" si="11"/>
        <v>-1</v>
      </c>
      <c r="AL33" s="11">
        <f>IFERROR(AK33/AK148, "NA")</f>
        <v>4.8087494409566078</v>
      </c>
    </row>
    <row r="34" spans="1:38" ht="16.5" customHeight="1">
      <c r="A34" s="26" t="s">
        <v>49</v>
      </c>
      <c r="B34" s="13">
        <f>IFERROR(B29+B30+B31+B32+B33, "NA")</f>
        <v>313.72999999999996</v>
      </c>
      <c r="C34" s="14">
        <f>IFERROR(B34/B148, "NA")</f>
        <v>9.4000371531127707E-3</v>
      </c>
      <c r="D34" s="13">
        <f>IFERROR(D29+D30+D31+D32+D33, "NA")</f>
        <v>517.88</v>
      </c>
      <c r="E34" s="14">
        <f>IFERROR(D34/D148, "NA")</f>
        <v>1.9027869428282114E-2</v>
      </c>
      <c r="F34" s="13">
        <f>IFERROR(F29+F30+F31+F32+F33, "NA")</f>
        <v>322.23</v>
      </c>
      <c r="G34" s="14">
        <f>IFERROR(F34/F148, "NA")</f>
        <v>7.8090882344815492E-3</v>
      </c>
      <c r="H34" s="13">
        <f>IFERROR(H29+H30+H31+H32+H33, "NA")</f>
        <v>419.45</v>
      </c>
      <c r="I34" s="14">
        <f>IFERROR(H34/H148, "NA")</f>
        <v>1.3096991111094459E-2</v>
      </c>
      <c r="J34" s="13">
        <f>IFERROR(J29+J30+J31+J32+J33, "NA")</f>
        <v>336.40999999999997</v>
      </c>
      <c r="K34" s="14">
        <f>IFERROR(J34/J148, "NA")</f>
        <v>1.1656707015784596E-2</v>
      </c>
      <c r="L34" s="13">
        <f>IFERROR(L29+L30+L31+L32+L33, "NA")</f>
        <v>429.46</v>
      </c>
      <c r="M34" s="14">
        <f>IFERROR(L34/L148, "NA")</f>
        <v>1.6594916111551408E-2</v>
      </c>
      <c r="N34" s="13">
        <f>IFERROR(N29+N30+N31+N32+N33, "NA")</f>
        <v>338.17000000000007</v>
      </c>
      <c r="O34" s="14">
        <f>IFERROR(N34/N148, "NA")</f>
        <v>1.3160040207450523E-2</v>
      </c>
      <c r="P34" s="13">
        <f>IFERROR(P29+P30+P31+P32+P33, "NA")</f>
        <v>260.57</v>
      </c>
      <c r="Q34" s="14">
        <f>IFERROR(P34/P148, "NA")</f>
        <v>1.0354752707109956E-2</v>
      </c>
      <c r="R34" s="13">
        <f>IFERROR(R29+R30+R31+R32+R33, "NA")</f>
        <v>337.77</v>
      </c>
      <c r="S34" s="14">
        <f>IFERROR(R34/R148, "NA")</f>
        <v>1.1796314249872177E-2</v>
      </c>
      <c r="T34" s="13">
        <f>IFERROR(T29+T30+T31+T32+T33, "NA")</f>
        <v>260.83000000000004</v>
      </c>
      <c r="U34" s="14">
        <f>IFERROR(T34/T148, "NA")</f>
        <v>9.2949282184798133E-3</v>
      </c>
      <c r="V34" s="13">
        <f>IFERROR(V29+V30+V31+V32+V33, "NA")</f>
        <v>273.90000000000003</v>
      </c>
      <c r="W34" s="14">
        <f>IFERROR(V34/V148, "NA")</f>
        <v>1.0639983964273896E-2</v>
      </c>
      <c r="X34" s="13">
        <f>IFERROR(X29+X30+X31+X32+X33, "NA")</f>
        <v>380.68</v>
      </c>
      <c r="Y34" s="14">
        <f>IFERROR(X34/X148, "NA")</f>
        <v>1.8423732291573906E-2</v>
      </c>
      <c r="Z34" s="13">
        <f>IFERROR(Z29+Z30+Z31+Z32+Z33, "NA")</f>
        <v>915.41</v>
      </c>
      <c r="AA34" s="14">
        <f>IFERROR(Z34/Z148, "NA")</f>
        <v>1.2292903631617638E-2</v>
      </c>
      <c r="AB34" s="13">
        <f t="shared" si="6"/>
        <v>313.29500000000002</v>
      </c>
      <c r="AC34" s="14">
        <f>IFERROR(AB34/AB148, "NA")</f>
        <v>1.2154988076631576E-2</v>
      </c>
      <c r="AD34" s="15">
        <f t="shared" si="7"/>
        <v>67.384999999999991</v>
      </c>
      <c r="AE34" s="16">
        <f>IFERROR(AD34/AD148, "NA")</f>
        <v>-1.3180349865575491E-2</v>
      </c>
      <c r="AF34" s="15">
        <f t="shared" si="8"/>
        <v>0.21508482420721681</v>
      </c>
      <c r="AG34" s="13">
        <f t="shared" si="9"/>
        <v>327.22375</v>
      </c>
      <c r="AH34" s="14">
        <f>IFERROR(AG34/AG148, "NA")</f>
        <v>1.2543323577537447E-2</v>
      </c>
      <c r="AI34" s="15">
        <f t="shared" si="10"/>
        <v>53.456250000000011</v>
      </c>
      <c r="AJ34" s="16">
        <f>IFERROR(AI34/AI148, "NA")</f>
        <v>-9.853679824645285E-3</v>
      </c>
      <c r="AK34" s="15">
        <f t="shared" si="11"/>
        <v>0.16336298939181526</v>
      </c>
      <c r="AL34" s="16">
        <f>IFERROR(AK34/AK148, "NA")</f>
        <v>-0.78557168391089183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7493.26</v>
      </c>
      <c r="C35" s="14">
        <f>IFERROR(B35/B148, "NA")</f>
        <v>0.22451446274801201</v>
      </c>
      <c r="D35" s="13">
        <f>IFERROR(D13+D15+D16+D17+D18+D19+D20+D21+D22+D23+D24+D25+D26+D29+D30+D31+D32+D33, "NA")</f>
        <v>6441.0599999999995</v>
      </c>
      <c r="E35" s="14">
        <f>IFERROR(D35/D148, "NA")</f>
        <v>0.23665646223011275</v>
      </c>
      <c r="F35" s="13">
        <f>IFERROR(F13+F15+F16+F17+F18+F19+F20+F21+F22+F23+F24+F25+F26+F29+F30+F31+F32+F33, "NA")</f>
        <v>8223.9</v>
      </c>
      <c r="G35" s="14">
        <f>IFERROR(F35/F148, "NA")</f>
        <v>0.19930223980247899</v>
      </c>
      <c r="H35" s="13">
        <f>IFERROR(H13+H15+H16+H17+H18+H19+H20+H21+H22+H23+H24+H25+H26+H29+H30+H31+H32+H33, "NA")</f>
        <v>7249.9700000000012</v>
      </c>
      <c r="I35" s="14">
        <f>IFERROR(H35/H148, "NA")</f>
        <v>0.22637452055239363</v>
      </c>
      <c r="J35" s="13">
        <f>IFERROR(J13+J15+J16+J17+J18+J19+J20+J21+J22+J23+J24+J25+J26+J29+J30+J31+J32+J33, "NA")</f>
        <v>5813.0499999999993</v>
      </c>
      <c r="K35" s="14">
        <f>IFERROR(J35/J148, "NA")</f>
        <v>0.20142391937845677</v>
      </c>
      <c r="L35" s="13">
        <f>IFERROR(L13+L15+L16+L17+L18+L19+L20+L21+L22+L23+L24+L25+L26+L29+L30+L31+L32+L33, "NA")</f>
        <v>6911.3200000000006</v>
      </c>
      <c r="M35" s="14">
        <f>IFERROR(L35/L148, "NA")</f>
        <v>0.2670627663113852</v>
      </c>
      <c r="N35" s="13">
        <f>IFERROR(N13+N15+N16+N17+N18+N19+N20+N21+N22+N23+N24+N25+N26+N29+N30+N31+N32+N33, "NA")</f>
        <v>5984.9300000000012</v>
      </c>
      <c r="O35" s="14">
        <f>IFERROR(N35/N148, "NA")</f>
        <v>0.23290628807634284</v>
      </c>
      <c r="P35" s="13">
        <f>IFERROR(P13+P15+P16+P17+P18+P19+P20+P21+P22+P23+P24+P25+P26+P29+P30+P31+P32+P33, "NA")</f>
        <v>5681.619999999999</v>
      </c>
      <c r="Q35" s="14">
        <f>IFERROR(P35/P148, "NA")</f>
        <v>0.22578105720447503</v>
      </c>
      <c r="R35" s="13">
        <f>IFERROR(R13+R15+R16+R17+R18+R19+R20+R21+R22+R23+R24+R25+R26+R29+R30+R31+R32+R33, "NA")</f>
        <v>6714.6599999999989</v>
      </c>
      <c r="S35" s="14">
        <f>IFERROR(R35/R148, "NA")</f>
        <v>0.23450347704368862</v>
      </c>
      <c r="T35" s="13">
        <f>IFERROR(T13+T15+T16+T17+T18+T19+T20+T21+T22+T23+T24+T25+T26+T29+T30+T31+T32+T33, "NA")</f>
        <v>6087.2900000000009</v>
      </c>
      <c r="U35" s="14">
        <f>IFERROR(T35/T148, "NA")</f>
        <v>0.21692644095798025</v>
      </c>
      <c r="V35" s="13">
        <f>IFERROR(V13+V15+V16+V17+V18+V19+V20+V21+V22+V23+V24+V25+V26+V29+V30+V31+V32+V33, "NA")</f>
        <v>5582.5199999999995</v>
      </c>
      <c r="W35" s="14">
        <f>IFERROR(V35/V148, "NA")</f>
        <v>0.21685988784314819</v>
      </c>
      <c r="X35" s="13">
        <f>IFERROR(X13+X15+X16+X17+X18+X19+X20+X21+X22+X23+X24+X25+X26+X29+X30+X31+X32+X33, "NA")</f>
        <v>5077.8700000000008</v>
      </c>
      <c r="Y35" s="14">
        <f>IFERROR(X35/X148, "NA")</f>
        <v>0.24575317193289484</v>
      </c>
      <c r="Z35" s="13">
        <f>IFERROR(Z13+Z15+Z16+Z17+Z18+Z19+Z20+Z21+Z22+Z23+Z24+Z25+Z26+Z29+Z30+Z31+Z32+Z33, "NA")</f>
        <v>16747.68</v>
      </c>
      <c r="AA35" s="14">
        <f>IFERROR(Z35/Z148, "NA")</f>
        <v>0.22490208353980193</v>
      </c>
      <c r="AB35" s="13">
        <f t="shared" si="6"/>
        <v>5865.5850000000009</v>
      </c>
      <c r="AC35" s="14">
        <f>IFERROR(AB35/AB148, "NA")</f>
        <v>0.2275686357505515</v>
      </c>
      <c r="AD35" s="15">
        <f t="shared" si="7"/>
        <v>-787.71500000000015</v>
      </c>
      <c r="AE35" s="16">
        <f>IFERROR(AD35/AD148, "NA")</f>
        <v>0.15407522882483937</v>
      </c>
      <c r="AF35" s="15">
        <f t="shared" si="8"/>
        <v>-0.13429436279586776</v>
      </c>
      <c r="AG35" s="13">
        <f t="shared" si="9"/>
        <v>5981.6574999999993</v>
      </c>
      <c r="AH35" s="14">
        <f>IFERROR(AG35/AG148, "NA")</f>
        <v>0.22929223674169033</v>
      </c>
      <c r="AI35" s="15">
        <f t="shared" si="10"/>
        <v>-903.78749999999854</v>
      </c>
      <c r="AJ35" s="16">
        <f>IFERROR(AI35/AI148, "NA")</f>
        <v>0.16659665903456722</v>
      </c>
      <c r="AK35" s="15">
        <f t="shared" si="11"/>
        <v>-0.15109315436398668</v>
      </c>
      <c r="AL35" s="16">
        <f>IFERROR(AK35/AK148, "NA")</f>
        <v>0.72656912158019138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1097.3499999999999</v>
      </c>
      <c r="C40" s="8">
        <f>IFERROR(B40/B148, "NA")</f>
        <v>3.2879006693552731E-2</v>
      </c>
      <c r="D40" s="7">
        <v>688.11</v>
      </c>
      <c r="E40" s="8">
        <f>IFERROR(D40/D148, "NA")</f>
        <v>2.5282434603180672E-2</v>
      </c>
      <c r="F40" s="7">
        <v>1006.73</v>
      </c>
      <c r="G40" s="8">
        <f>IFERROR(F40/F148, "NA")</f>
        <v>2.4397614741953292E-2</v>
      </c>
      <c r="H40" s="7">
        <v>854.98</v>
      </c>
      <c r="I40" s="8">
        <f>IFERROR(H40/H148, "NA")</f>
        <v>2.6696067374331958E-2</v>
      </c>
      <c r="J40" s="7">
        <v>814.85</v>
      </c>
      <c r="K40" s="8">
        <f>IFERROR(J40/J148, "NA")</f>
        <v>2.8234795968645639E-2</v>
      </c>
      <c r="L40" s="7">
        <v>538.86</v>
      </c>
      <c r="M40" s="8">
        <f>IFERROR(L40/L148, "NA")</f>
        <v>2.0822280295884583E-2</v>
      </c>
      <c r="N40" s="7">
        <v>1029.03</v>
      </c>
      <c r="O40" s="8">
        <f>IFERROR(N40/N148, "NA")</f>
        <v>4.0045173062876097E-2</v>
      </c>
      <c r="P40" s="7">
        <v>636.66</v>
      </c>
      <c r="Q40" s="8">
        <f>IFERROR(P40/P148, "NA")</f>
        <v>2.5300137615645025E-2</v>
      </c>
      <c r="R40" s="7">
        <v>845.14</v>
      </c>
      <c r="S40" s="8">
        <f>IFERROR(R40/R148, "NA")</f>
        <v>2.9515756358282179E-2</v>
      </c>
      <c r="T40" s="7">
        <v>745.4</v>
      </c>
      <c r="U40" s="8">
        <f>IFERROR(T40/T148, "NA")</f>
        <v>2.6563046789306644E-2</v>
      </c>
      <c r="V40" s="7">
        <v>628.85</v>
      </c>
      <c r="W40" s="8">
        <f>IFERROR(V40/V148, "NA")</f>
        <v>2.4428455333821243E-2</v>
      </c>
      <c r="X40" s="7">
        <v>504.33</v>
      </c>
      <c r="Y40" s="8">
        <f>IFERROR(X40/X148, "NA")</f>
        <v>2.4408009106360901E-2</v>
      </c>
      <c r="Z40" s="7">
        <v>1878.58</v>
      </c>
      <c r="AA40" s="8">
        <f>IFERROR(Z40/Z148, "NA")</f>
        <v>2.5227169142006598E-2</v>
      </c>
      <c r="AB40" s="9">
        <f t="shared" si="12"/>
        <v>680.93</v>
      </c>
      <c r="AC40" s="8">
        <f>IFERROR(AB40/AB148, "NA")</f>
        <v>2.6418219349241892E-2</v>
      </c>
      <c r="AD40" s="10">
        <f t="shared" si="13"/>
        <v>-176.59999999999997</v>
      </c>
      <c r="AE40" s="11">
        <f>IFERROR(AD40/AD148, "NA")</f>
        <v>3.4542550808943112E-2</v>
      </c>
      <c r="AF40" s="10">
        <f t="shared" si="14"/>
        <v>-0.259351181472398</v>
      </c>
      <c r="AG40" s="9">
        <f t="shared" si="15"/>
        <v>717.89</v>
      </c>
      <c r="AH40" s="8">
        <f>IFERROR(AG40/AG148, "NA")</f>
        <v>2.7518560505092791E-2</v>
      </c>
      <c r="AI40" s="10">
        <f t="shared" si="16"/>
        <v>-213.56</v>
      </c>
      <c r="AJ40" s="11">
        <f>IFERROR(AI40/AI148, "NA")</f>
        <v>3.9365871406079674E-2</v>
      </c>
      <c r="AK40" s="10">
        <f t="shared" si="17"/>
        <v>-0.29748290128014043</v>
      </c>
      <c r="AL40" s="11">
        <f>IFERROR(AK40/AK148, "NA")</f>
        <v>1.4305207352250249</v>
      </c>
    </row>
    <row r="41" spans="1:38" ht="16.5" customHeight="1">
      <c r="A41" s="25" t="s">
        <v>56</v>
      </c>
      <c r="B41" s="7">
        <v>173.71</v>
      </c>
      <c r="C41" s="8">
        <f>IFERROR(B41/B148, "NA")</f>
        <v>5.2047316286845998E-3</v>
      </c>
      <c r="D41" s="7">
        <v>137.46</v>
      </c>
      <c r="E41" s="8">
        <f>IFERROR(D41/D148, "NA")</f>
        <v>5.0505347408891241E-3</v>
      </c>
      <c r="F41" s="7">
        <v>560.49</v>
      </c>
      <c r="G41" s="8">
        <f>IFERROR(F41/F148, "NA")</f>
        <v>1.3583204122969815E-2</v>
      </c>
      <c r="H41" s="7">
        <v>429.82</v>
      </c>
      <c r="I41" s="8">
        <f>IFERROR(H41/H148, "NA")</f>
        <v>1.3420786075505115E-2</v>
      </c>
      <c r="J41" s="7">
        <v>261.86</v>
      </c>
      <c r="K41" s="8">
        <f>IFERROR(J41/J148, "NA")</f>
        <v>9.0735272410254007E-3</v>
      </c>
      <c r="L41" s="7">
        <v>341.4</v>
      </c>
      <c r="M41" s="8">
        <f>IFERROR(L41/L148, "NA")</f>
        <v>1.3192158432644834E-2</v>
      </c>
      <c r="N41" s="7">
        <v>102.98</v>
      </c>
      <c r="O41" s="8">
        <f>IFERROR(N41/N148, "NA")</f>
        <v>4.0075137965025123E-3</v>
      </c>
      <c r="P41" s="7">
        <v>240.27</v>
      </c>
      <c r="Q41" s="8">
        <f>IFERROR(P41/P148, "NA")</f>
        <v>9.5480540082791918E-3</v>
      </c>
      <c r="R41" s="7">
        <v>298.58</v>
      </c>
      <c r="S41" s="8">
        <f>IFERROR(R41/R148, "NA")</f>
        <v>1.0427638655673489E-2</v>
      </c>
      <c r="T41" s="7">
        <v>282.13</v>
      </c>
      <c r="U41" s="8">
        <f>IFERROR(T41/T148, "NA")</f>
        <v>1.0053974229497026E-2</v>
      </c>
      <c r="V41" s="7">
        <v>268.93</v>
      </c>
      <c r="W41" s="8">
        <f>IFERROR(V41/V148, "NA")</f>
        <v>1.0446918172735225E-2</v>
      </c>
      <c r="X41" s="7">
        <v>224.37</v>
      </c>
      <c r="Y41" s="8">
        <f>IFERROR(X41/X148, "NA")</f>
        <v>1.085881268850593E-2</v>
      </c>
      <c r="Z41" s="7">
        <v>775.43</v>
      </c>
      <c r="AA41" s="8">
        <f>IFERROR(Z41/Z148, "NA")</f>
        <v>1.0413133200495148E-2</v>
      </c>
      <c r="AB41" s="9">
        <f t="shared" si="12"/>
        <v>268.50250000000005</v>
      </c>
      <c r="AC41" s="8">
        <f>IFERROR(AB41/AB148, "NA")</f>
        <v>1.041716173589036E-2</v>
      </c>
      <c r="AD41" s="10">
        <f t="shared" si="13"/>
        <v>-44.13250000000005</v>
      </c>
      <c r="AE41" s="11">
        <f>IFERROR(AD41/AD148, "NA")</f>
        <v>8.6322147427841667E-3</v>
      </c>
      <c r="AF41" s="10">
        <f t="shared" si="14"/>
        <v>-0.16436532248303104</v>
      </c>
      <c r="AG41" s="9">
        <f t="shared" si="15"/>
        <v>252.565</v>
      </c>
      <c r="AH41" s="8">
        <f>IFERROR(AG41/AG148, "NA")</f>
        <v>9.6814626669388913E-3</v>
      </c>
      <c r="AI41" s="10">
        <f t="shared" si="16"/>
        <v>-28.194999999999993</v>
      </c>
      <c r="AJ41" s="11">
        <f>IFERROR(AI41/AI148, "NA")</f>
        <v>5.1972314304851849E-3</v>
      </c>
      <c r="AK41" s="10">
        <f t="shared" si="17"/>
        <v>-0.1116346287094411</v>
      </c>
      <c r="AL41" s="11">
        <f>IFERROR(AK41/AK148, "NA")</f>
        <v>0.53682295839792338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1271.06</v>
      </c>
      <c r="C44" s="14">
        <f>IFERROR(B44/B148, "NA")</f>
        <v>3.8083738322237333E-2</v>
      </c>
      <c r="D44" s="13">
        <f>IFERROR(D39+D40+D41+D42+D43, "NA")</f>
        <v>825.57</v>
      </c>
      <c r="E44" s="14">
        <f>IFERROR(D44/D148, "NA")</f>
        <v>3.0332969344069795E-2</v>
      </c>
      <c r="F44" s="13">
        <f>IFERROR(F39+F40+F41+F42+F43, "NA")</f>
        <v>1567.22</v>
      </c>
      <c r="G44" s="14">
        <f>IFERROR(F44/F148, "NA")</f>
        <v>3.7980818864923105E-2</v>
      </c>
      <c r="H44" s="13">
        <f>IFERROR(H39+H40+H41+H42+H43, "NA")</f>
        <v>1284.8</v>
      </c>
      <c r="I44" s="14">
        <f>IFERROR(H44/H148, "NA")</f>
        <v>4.0116853449837071E-2</v>
      </c>
      <c r="J44" s="13">
        <f>IFERROR(J39+J40+J41+J42+J43, "NA")</f>
        <v>1076.71</v>
      </c>
      <c r="K44" s="14">
        <f>IFERROR(J44/J148, "NA")</f>
        <v>3.7308323209671042E-2</v>
      </c>
      <c r="L44" s="13">
        <f>IFERROR(L39+L40+L41+L42+L43, "NA")</f>
        <v>880.26</v>
      </c>
      <c r="M44" s="14">
        <f>IFERROR(L44/L148, "NA")</f>
        <v>3.4014438728529418E-2</v>
      </c>
      <c r="N44" s="13">
        <f>IFERROR(N39+N40+N41+N42+N43, "NA")</f>
        <v>1132.01</v>
      </c>
      <c r="O44" s="14">
        <f>IFERROR(N44/N148, "NA")</f>
        <v>4.4052686859378604E-2</v>
      </c>
      <c r="P44" s="13">
        <f>IFERROR(P39+P40+P41+P42+P43, "NA")</f>
        <v>876.93</v>
      </c>
      <c r="Q44" s="14">
        <f>IFERROR(P44/P148, "NA")</f>
        <v>3.4848191623924218E-2</v>
      </c>
      <c r="R44" s="13">
        <f>IFERROR(R39+R40+R41+R42+R43, "NA")</f>
        <v>1143.72</v>
      </c>
      <c r="S44" s="14">
        <f>IFERROR(R44/R148, "NA")</f>
        <v>3.994339501395567E-2</v>
      </c>
      <c r="T44" s="13">
        <f>IFERROR(T39+T40+T41+T42+T43, "NA")</f>
        <v>1027.53</v>
      </c>
      <c r="U44" s="14">
        <f>IFERROR(T44/T148, "NA")</f>
        <v>3.6617021018803673E-2</v>
      </c>
      <c r="V44" s="13">
        <f>IFERROR(V39+V40+V41+V42+V43, "NA")</f>
        <v>897.78</v>
      </c>
      <c r="W44" s="14">
        <f>IFERROR(V44/V148, "NA")</f>
        <v>3.4875373506556465E-2</v>
      </c>
      <c r="X44" s="13">
        <f>IFERROR(X39+X40+X41+X42+X43, "NA")</f>
        <v>728.7</v>
      </c>
      <c r="Y44" s="14">
        <f>IFERROR(X44/X148, "NA")</f>
        <v>3.5266821794866836E-2</v>
      </c>
      <c r="Z44" s="13">
        <f>IFERROR(Z39+Z40+Z41+Z42+Z43, "NA")</f>
        <v>2654.0099999999998</v>
      </c>
      <c r="AA44" s="14">
        <f>IFERROR(Z44/Z148, "NA")</f>
        <v>3.5640302342501748E-2</v>
      </c>
      <c r="AB44" s="13">
        <f t="shared" si="12"/>
        <v>949.43249999999989</v>
      </c>
      <c r="AC44" s="14">
        <f>IFERROR(AB44/AB148, "NA")</f>
        <v>3.6835381085132249E-2</v>
      </c>
      <c r="AD44" s="15">
        <f t="shared" si="13"/>
        <v>-220.73249999999985</v>
      </c>
      <c r="AE44" s="16">
        <f>IFERROR(AD44/AD148, "NA")</f>
        <v>4.3174765551727244E-2</v>
      </c>
      <c r="AF44" s="15">
        <f t="shared" si="14"/>
        <v>-0.23248888151606339</v>
      </c>
      <c r="AG44" s="13">
        <f t="shared" si="15"/>
        <v>970.45499999999993</v>
      </c>
      <c r="AH44" s="14">
        <f>IFERROR(AG44/AG148, "NA")</f>
        <v>3.7200023172031679E-2</v>
      </c>
      <c r="AI44" s="15">
        <f t="shared" si="16"/>
        <v>-241.75499999999988</v>
      </c>
      <c r="AJ44" s="16">
        <f>IFERROR(AI44/AI148, "NA")</f>
        <v>4.4563102836564839E-2</v>
      </c>
      <c r="AK44" s="15">
        <f t="shared" si="17"/>
        <v>-0.24911510580088711</v>
      </c>
      <c r="AL44" s="16">
        <f>IFERROR(AK44/AK148, "NA")</f>
        <v>1.197932125753862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21.24</v>
      </c>
      <c r="C47" s="8">
        <f>IFERROR(B47/B148, "NA")</f>
        <v>6.3639686715365206E-4</v>
      </c>
      <c r="D47" s="7">
        <v>46.84</v>
      </c>
      <c r="E47" s="8">
        <f>IFERROR(D47/D148, "NA")</f>
        <v>1.7209882675923655E-3</v>
      </c>
      <c r="F47" s="7">
        <v>118.01</v>
      </c>
      <c r="G47" s="8">
        <f>IFERROR(F47/F148, "NA")</f>
        <v>2.8599152858243106E-3</v>
      </c>
      <c r="H47" s="7">
        <v>111.85</v>
      </c>
      <c r="I47" s="8">
        <f>IFERROR(H47/H148, "NA")</f>
        <v>3.492426882288509E-3</v>
      </c>
      <c r="J47" s="7">
        <v>105.15</v>
      </c>
      <c r="K47" s="8">
        <f>IFERROR(J47/J148, "NA")</f>
        <v>3.6434789177187078E-3</v>
      </c>
      <c r="L47" s="7">
        <v>93.55</v>
      </c>
      <c r="M47" s="8">
        <f>IFERROR(L47/L148, "NA")</f>
        <v>3.6148987152136037E-3</v>
      </c>
      <c r="N47" s="7">
        <v>135.35</v>
      </c>
      <c r="O47" s="8">
        <f>IFERROR(N47/N148, "NA")</f>
        <v>5.2672071504817923E-3</v>
      </c>
      <c r="P47" s="7">
        <v>114.13</v>
      </c>
      <c r="Q47" s="8">
        <f>IFERROR(P47/P148, "NA")</f>
        <v>4.535395196923895E-3</v>
      </c>
      <c r="R47" s="7">
        <v>113.14</v>
      </c>
      <c r="S47" s="8">
        <f>IFERROR(R47/R148, "NA")</f>
        <v>3.9513130065741133E-3</v>
      </c>
      <c r="T47" s="7">
        <v>138.27000000000001</v>
      </c>
      <c r="U47" s="8">
        <f>IFERROR(T47/T148, "NA")</f>
        <v>4.9273845982793531E-3</v>
      </c>
      <c r="V47" s="7">
        <v>62.77</v>
      </c>
      <c r="W47" s="8">
        <f>IFERROR(V47/V148, "NA")</f>
        <v>2.4383782162740865E-3</v>
      </c>
      <c r="X47" s="7">
        <v>53.26</v>
      </c>
      <c r="Y47" s="8">
        <f>IFERROR(X47/X148, "NA")</f>
        <v>2.5776189499033997E-3</v>
      </c>
      <c r="Z47" s="7">
        <v>254.3</v>
      </c>
      <c r="AA47" s="8">
        <f>IFERROR(Z47/Z148, "NA")</f>
        <v>3.4149565697560278E-3</v>
      </c>
      <c r="AB47" s="9">
        <f t="shared" si="18"/>
        <v>91.86</v>
      </c>
      <c r="AC47" s="8">
        <f>IFERROR(AB47/AB148, "NA")</f>
        <v>3.5639164516490097E-3</v>
      </c>
      <c r="AD47" s="10">
        <f t="shared" si="19"/>
        <v>-38.6</v>
      </c>
      <c r="AE47" s="11">
        <f>IFERROR(AD47/AD148, "NA")</f>
        <v>7.5500705618641245E-3</v>
      </c>
      <c r="AF47" s="10">
        <f t="shared" si="20"/>
        <v>-0.42020465926409756</v>
      </c>
      <c r="AG47" s="9">
        <f t="shared" si="21"/>
        <v>101.95249999999999</v>
      </c>
      <c r="AH47" s="8">
        <f>IFERROR(AG47/AG148, "NA")</f>
        <v>3.908100182333606E-3</v>
      </c>
      <c r="AI47" s="10">
        <f t="shared" si="22"/>
        <v>-48.692499999999988</v>
      </c>
      <c r="AJ47" s="11">
        <f>IFERROR(AI47/AI148, "NA")</f>
        <v>8.9755698325554127E-3</v>
      </c>
      <c r="AK47" s="10">
        <f t="shared" si="23"/>
        <v>-0.47759986268115051</v>
      </c>
      <c r="AL47" s="11">
        <f>IFERROR(AK47/AK148, "NA")</f>
        <v>2.2966580726689352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21.24</v>
      </c>
      <c r="C52" s="14">
        <f>IFERROR(B52/B148, "NA")</f>
        <v>6.3639686715365206E-4</v>
      </c>
      <c r="D52" s="13">
        <f>IFERROR(D46+D47+D48+D49+D50+D51, "NA")</f>
        <v>46.84</v>
      </c>
      <c r="E52" s="14">
        <f>IFERROR(D52/D148, "NA")</f>
        <v>1.7209882675923655E-3</v>
      </c>
      <c r="F52" s="13">
        <f>IFERROR(F46+F47+F48+F49+F50+F51, "NA")</f>
        <v>118.01</v>
      </c>
      <c r="G52" s="14">
        <f>IFERROR(F52/F148, "NA")</f>
        <v>2.8599152858243106E-3</v>
      </c>
      <c r="H52" s="13">
        <f>IFERROR(H46+H47+H48+H49+H50+H51, "NA")</f>
        <v>111.85</v>
      </c>
      <c r="I52" s="14">
        <f>IFERROR(H52/H148, "NA")</f>
        <v>3.492426882288509E-3</v>
      </c>
      <c r="J52" s="13">
        <f>IFERROR(J46+J47+J48+J49+J50+J51, "NA")</f>
        <v>105.15</v>
      </c>
      <c r="K52" s="14">
        <f>IFERROR(J52/J148, "NA")</f>
        <v>3.6434789177187078E-3</v>
      </c>
      <c r="L52" s="13">
        <f>IFERROR(L46+L47+L48+L49+L50+L51, "NA")</f>
        <v>93.55</v>
      </c>
      <c r="M52" s="14">
        <f>IFERROR(L52/L148, "NA")</f>
        <v>3.6148987152136037E-3</v>
      </c>
      <c r="N52" s="13">
        <f>IFERROR(N46+N47+N48+N49+N50+N51, "NA")</f>
        <v>135.35</v>
      </c>
      <c r="O52" s="14">
        <f>IFERROR(N52/N148, "NA")</f>
        <v>5.2672071504817923E-3</v>
      </c>
      <c r="P52" s="13">
        <f>IFERROR(P46+P47+P48+P49+P50+P51, "NA")</f>
        <v>114.13</v>
      </c>
      <c r="Q52" s="14">
        <f>IFERROR(P52/P148, "NA")</f>
        <v>4.535395196923895E-3</v>
      </c>
      <c r="R52" s="13">
        <f>IFERROR(R46+R47+R48+R49+R50+R51, "NA")</f>
        <v>113.14</v>
      </c>
      <c r="S52" s="14">
        <f>IFERROR(R52/R148, "NA")</f>
        <v>3.9513130065741133E-3</v>
      </c>
      <c r="T52" s="13">
        <f>IFERROR(T46+T47+T48+T49+T50+T51, "NA")</f>
        <v>138.27000000000001</v>
      </c>
      <c r="U52" s="14">
        <f>IFERROR(T52/T148, "NA")</f>
        <v>4.9273845982793531E-3</v>
      </c>
      <c r="V52" s="13">
        <f>IFERROR(V46+V47+V48+V49+V50+V51, "NA")</f>
        <v>62.77</v>
      </c>
      <c r="W52" s="14">
        <f>IFERROR(V52/V148, "NA")</f>
        <v>2.4383782162740865E-3</v>
      </c>
      <c r="X52" s="13">
        <f>IFERROR(X46+X47+X48+X49+X50+X51, "NA")</f>
        <v>53.26</v>
      </c>
      <c r="Y52" s="14">
        <f>IFERROR(X52/X148, "NA")</f>
        <v>2.5776189499033997E-3</v>
      </c>
      <c r="Z52" s="13">
        <f>IFERROR(Z46+Z47+Z48+Z49+Z50+Z51, "NA")</f>
        <v>254.3</v>
      </c>
      <c r="AA52" s="14">
        <f>IFERROR(Z52/Z148, "NA")</f>
        <v>3.4149565697560278E-3</v>
      </c>
      <c r="AB52" s="13">
        <f t="shared" si="18"/>
        <v>91.86</v>
      </c>
      <c r="AC52" s="14">
        <f>IFERROR(AB52/AB148, "NA")</f>
        <v>3.5639164516490097E-3</v>
      </c>
      <c r="AD52" s="15">
        <f t="shared" si="19"/>
        <v>-38.6</v>
      </c>
      <c r="AE52" s="16">
        <f>IFERROR(AD52/AD148, "NA")</f>
        <v>7.5500705618641245E-3</v>
      </c>
      <c r="AF52" s="15">
        <f t="shared" si="20"/>
        <v>-0.42020465926409756</v>
      </c>
      <c r="AG52" s="13">
        <f t="shared" si="21"/>
        <v>101.95249999999999</v>
      </c>
      <c r="AH52" s="14">
        <f>IFERROR(AG52/AG148, "NA")</f>
        <v>3.908100182333606E-3</v>
      </c>
      <c r="AI52" s="15">
        <f t="shared" si="22"/>
        <v>-48.692499999999988</v>
      </c>
      <c r="AJ52" s="16">
        <f>IFERROR(AI52/AI148, "NA")</f>
        <v>8.9755698325554127E-3</v>
      </c>
      <c r="AK52" s="15">
        <f t="shared" si="23"/>
        <v>-0.47759986268115051</v>
      </c>
      <c r="AL52" s="16">
        <f>IFERROR(AK52/AK148, "NA")</f>
        <v>2.2966580726689352</v>
      </c>
    </row>
    <row r="53" spans="1:38" ht="16.5" customHeight="1">
      <c r="A53" s="23" t="s">
        <v>68</v>
      </c>
      <c r="B53" s="7">
        <v>23.53</v>
      </c>
      <c r="C53" s="8">
        <f>IFERROR(B53/B148, "NA")</f>
        <v>7.0501027703038762E-4</v>
      </c>
      <c r="D53" s="7">
        <v>32.729999999999997</v>
      </c>
      <c r="E53" s="8">
        <f>IFERROR(D53/D148, "NA")</f>
        <v>1.2025607599978247E-3</v>
      </c>
      <c r="F53" s="7">
        <v>97.09</v>
      </c>
      <c r="G53" s="8">
        <f>IFERROR(F53/F148, "NA")</f>
        <v>2.3529292017683444E-3</v>
      </c>
      <c r="H53" s="7">
        <v>28.93</v>
      </c>
      <c r="I53" s="8">
        <f>IFERROR(H53/H148, "NA")</f>
        <v>9.0331613504342038E-4</v>
      </c>
      <c r="J53" s="7">
        <v>36.39</v>
      </c>
      <c r="K53" s="8">
        <f>IFERROR(J53/J148, "NA")</f>
        <v>1.260924372950868E-3</v>
      </c>
      <c r="L53" s="7">
        <v>19.510000000000002</v>
      </c>
      <c r="M53" s="8">
        <f>IFERROR(L53/L148, "NA")</f>
        <v>7.5389282665758867E-4</v>
      </c>
      <c r="N53" s="7">
        <v>27.95</v>
      </c>
      <c r="O53" s="8">
        <f>IFERROR(N53/N148, "NA")</f>
        <v>1.0876870325523908E-3</v>
      </c>
      <c r="P53" s="7">
        <v>27.83</v>
      </c>
      <c r="Q53" s="8">
        <f>IFERROR(P53/P148, "NA")</f>
        <v>1.1059322555891701E-3</v>
      </c>
      <c r="R53" s="7">
        <v>19.600000000000001</v>
      </c>
      <c r="S53" s="8">
        <f>IFERROR(R53/R148, "NA")</f>
        <v>6.8451241761404119E-4</v>
      </c>
      <c r="T53" s="7">
        <v>14.28</v>
      </c>
      <c r="U53" s="8">
        <f>IFERROR(T53/T148, "NA")</f>
        <v>5.0888155104816053E-4</v>
      </c>
      <c r="V53" s="7">
        <v>54.53</v>
      </c>
      <c r="W53" s="8">
        <f>IFERROR(V53/V148, "NA")</f>
        <v>2.1182852339242625E-3</v>
      </c>
      <c r="X53" s="7">
        <v>21.2</v>
      </c>
      <c r="Y53" s="8">
        <f>IFERROR(X53/X148, "NA")</f>
        <v>1.0260143022521981E-3</v>
      </c>
      <c r="Z53" s="7">
        <v>90.01</v>
      </c>
      <c r="AA53" s="8">
        <f>IFERROR(Z53/Z148, "NA")</f>
        <v>1.208730793722926E-3</v>
      </c>
      <c r="AB53" s="9">
        <f t="shared" si="18"/>
        <v>27.4025</v>
      </c>
      <c r="AC53" s="8">
        <f>IFERROR(AB53/AB148, "NA")</f>
        <v>1.0631419613140866E-3</v>
      </c>
      <c r="AD53" s="10">
        <f t="shared" si="19"/>
        <v>-6.2025000000000006</v>
      </c>
      <c r="AE53" s="11">
        <f>IFERROR(AD53/AD148, "NA")</f>
        <v>1.213194628496431E-3</v>
      </c>
      <c r="AF53" s="10">
        <f t="shared" si="20"/>
        <v>-0.22634796095246787</v>
      </c>
      <c r="AG53" s="9">
        <f t="shared" si="21"/>
        <v>27.661249999999999</v>
      </c>
      <c r="AH53" s="8">
        <f>IFERROR(AG53/AG148, "NA")</f>
        <v>1.0603264870265611E-3</v>
      </c>
      <c r="AI53" s="10">
        <f t="shared" si="22"/>
        <v>-6.4612499999999997</v>
      </c>
      <c r="AJ53" s="11">
        <f>IFERROR(AI53/AI148, "NA")</f>
        <v>1.1910130016039159E-3</v>
      </c>
      <c r="AK53" s="10">
        <f t="shared" si="23"/>
        <v>-0.23358488860770935</v>
      </c>
      <c r="AL53" s="11">
        <f>IFERROR(AK53/AK148, "NA")</f>
        <v>1.1232512025082337</v>
      </c>
    </row>
    <row r="54" spans="1:38" ht="16.5" customHeight="1">
      <c r="A54" s="23" t="s">
        <v>69</v>
      </c>
      <c r="B54" s="7">
        <v>34</v>
      </c>
      <c r="C54" s="8">
        <f>IFERROR(B54/B148, "NA")</f>
        <v>1.0187143824493489E-3</v>
      </c>
      <c r="D54" s="7">
        <v>36</v>
      </c>
      <c r="E54" s="8">
        <f>IFERROR(D54/D148, "NA")</f>
        <v>1.3227066104467369E-3</v>
      </c>
      <c r="F54" s="7">
        <v>39</v>
      </c>
      <c r="G54" s="8">
        <f>IFERROR(F54/F148, "NA")</f>
        <v>9.4514614140452601E-4</v>
      </c>
      <c r="H54" s="7">
        <v>33.25</v>
      </c>
      <c r="I54" s="8">
        <f>IFERROR(H54/H148, "NA")</f>
        <v>1.0382046833803571E-3</v>
      </c>
      <c r="J54" s="7">
        <v>29.56</v>
      </c>
      <c r="K54" s="8">
        <f>IFERROR(J54/J148, "NA")</f>
        <v>1.0242628322184022E-3</v>
      </c>
      <c r="L54" s="7">
        <v>31</v>
      </c>
      <c r="M54" s="8">
        <f>IFERROR(L54/L148, "NA")</f>
        <v>1.1978819900761275E-3</v>
      </c>
      <c r="N54" s="7">
        <v>34</v>
      </c>
      <c r="O54" s="8">
        <f>IFERROR(N54/N148, "NA")</f>
        <v>1.3231255494376133E-3</v>
      </c>
      <c r="P54" s="7">
        <v>31</v>
      </c>
      <c r="Q54" s="8">
        <f>IFERROR(P54/P148, "NA")</f>
        <v>1.2319044169336786E-3</v>
      </c>
      <c r="R54" s="7">
        <v>43</v>
      </c>
      <c r="S54" s="8">
        <f>IFERROR(R54/R148, "NA")</f>
        <v>1.5017364263981514E-3</v>
      </c>
      <c r="T54" s="7">
        <v>36</v>
      </c>
      <c r="U54" s="8">
        <f>IFERROR(T54/T148, "NA")</f>
        <v>1.2828946665079679E-3</v>
      </c>
      <c r="V54" s="7">
        <v>34.75</v>
      </c>
      <c r="W54" s="8">
        <f>IFERROR(V54/V148, "NA")</f>
        <v>1.3499066913417956E-3</v>
      </c>
      <c r="X54" s="7">
        <v>31.75</v>
      </c>
      <c r="Y54" s="8">
        <f>IFERROR(X54/X148, "NA")</f>
        <v>1.5366016083258158E-3</v>
      </c>
      <c r="Z54" s="7">
        <v>102.5</v>
      </c>
      <c r="AA54" s="8">
        <f>IFERROR(Z54/Z148, "NA")</f>
        <v>1.3764571309476713E-3</v>
      </c>
      <c r="AB54" s="9">
        <f t="shared" si="18"/>
        <v>36.375</v>
      </c>
      <c r="AC54" s="8">
        <f>IFERROR(AB54/AB148, "NA")</f>
        <v>1.4112503911248937E-3</v>
      </c>
      <c r="AD54" s="10">
        <f t="shared" si="19"/>
        <v>-4.625</v>
      </c>
      <c r="AE54" s="11">
        <f>IFERROR(AD54/AD148, "NA")</f>
        <v>9.0463928364304595E-4</v>
      </c>
      <c r="AF54" s="10">
        <f t="shared" si="20"/>
        <v>-0.12714776632302405</v>
      </c>
      <c r="AG54" s="9">
        <f t="shared" si="21"/>
        <v>33.8825</v>
      </c>
      <c r="AH54" s="8">
        <f>IFERROR(AG54/AG148, "NA")</f>
        <v>1.2988029173185399E-3</v>
      </c>
      <c r="AI54" s="10">
        <f t="shared" si="22"/>
        <v>-2.1325000000000003</v>
      </c>
      <c r="AJ54" s="11">
        <f>IFERROR(AI54/AI148, "NA")</f>
        <v>3.9308728588436466E-4</v>
      </c>
      <c r="AK54" s="10">
        <f t="shared" si="23"/>
        <v>-6.2938094886740945E-2</v>
      </c>
      <c r="AL54" s="11">
        <f>IFERROR(AK54/AK148, "NA")</f>
        <v>0.30265352860148942</v>
      </c>
    </row>
    <row r="55" spans="1:38" ht="16.5" customHeight="1">
      <c r="A55" s="23" t="s">
        <v>70</v>
      </c>
      <c r="B55" s="7">
        <v>-186.55</v>
      </c>
      <c r="C55" s="8">
        <f>IFERROR(B55/B148, "NA")</f>
        <v>-5.5894461189978251E-3</v>
      </c>
      <c r="D55" s="7">
        <v>-215.46</v>
      </c>
      <c r="E55" s="8">
        <f>IFERROR(D55/D148, "NA")</f>
        <v>-7.9163990635237203E-3</v>
      </c>
      <c r="F55" s="7">
        <v>-142.84</v>
      </c>
      <c r="G55" s="8">
        <f>IFERROR(F55/F148, "NA")</f>
        <v>-3.461658329185192E-3</v>
      </c>
      <c r="H55" s="7">
        <v>-126.81</v>
      </c>
      <c r="I55" s="8">
        <f>IFERROR(H55/H148, "NA")</f>
        <v>-3.95954092930716E-3</v>
      </c>
      <c r="J55" s="7">
        <v>-164.03</v>
      </c>
      <c r="K55" s="8">
        <f>IFERROR(J55/J148, "NA")</f>
        <v>-5.6836885104460258E-3</v>
      </c>
      <c r="L55" s="7">
        <v>-255.33</v>
      </c>
      <c r="M55" s="8">
        <f>IFERROR(L55/L148, "NA")</f>
        <v>-9.8662970492302462E-3</v>
      </c>
      <c r="N55" s="7">
        <v>-184.1</v>
      </c>
      <c r="O55" s="8">
        <f>IFERROR(N55/N148, "NA")</f>
        <v>-7.1643356956313121E-3</v>
      </c>
      <c r="P55" s="7">
        <v>-311.56</v>
      </c>
      <c r="Q55" s="8">
        <f>IFERROR(P55/P148, "NA")</f>
        <v>-1.2381036778705062E-2</v>
      </c>
      <c r="R55" s="7">
        <v>-369.55</v>
      </c>
      <c r="S55" s="8">
        <f>IFERROR(R55/R148, "NA")</f>
        <v>-1.290620224128923E-2</v>
      </c>
      <c r="T55" s="7">
        <v>-335.54</v>
      </c>
      <c r="U55" s="8">
        <f>IFERROR(T55/T148, "NA")</f>
        <v>-1.1957291011113431E-2</v>
      </c>
      <c r="V55" s="7">
        <v>-370.21</v>
      </c>
      <c r="W55" s="8">
        <f>IFERROR(V55/V148, "NA")</f>
        <v>-1.4381264926666075E-2</v>
      </c>
      <c r="X55" s="7">
        <v>-285.99</v>
      </c>
      <c r="Y55" s="8">
        <f>IFERROR(X55/X148, "NA")</f>
        <v>-1.3841029731184253E-2</v>
      </c>
      <c r="Z55" s="7">
        <v>-991.74</v>
      </c>
      <c r="AA55" s="8">
        <f>IFERROR(Z55/Z148, "NA")</f>
        <v>-1.3317927756546766E-2</v>
      </c>
      <c r="AB55" s="9">
        <f t="shared" si="18"/>
        <v>-340.32249999999999</v>
      </c>
      <c r="AC55" s="8">
        <f>IFERROR(AB55/AB148, "NA")</f>
        <v>-1.3203581064841281E-2</v>
      </c>
      <c r="AD55" s="10">
        <f t="shared" si="19"/>
        <v>54.332499999999982</v>
      </c>
      <c r="AE55" s="11">
        <f>IFERROR(AD55/AD148, "NA")</f>
        <v>-1.0627311108872601E-2</v>
      </c>
      <c r="AF55" s="10">
        <f t="shared" si="20"/>
        <v>-0.15965003783176246</v>
      </c>
      <c r="AG55" s="9">
        <f t="shared" si="21"/>
        <v>-284.53874999999999</v>
      </c>
      <c r="AH55" s="8">
        <f>IFERROR(AG55/AG148, "NA")</f>
        <v>-1.090709831299847E-2</v>
      </c>
      <c r="AI55" s="10">
        <f t="shared" si="22"/>
        <v>-1.4512500000000159</v>
      </c>
      <c r="AJ55" s="11">
        <f>IFERROR(AI55/AI148, "NA")</f>
        <v>2.675113358216602E-4</v>
      </c>
      <c r="AK55" s="10">
        <f t="shared" si="23"/>
        <v>5.1003597928226509E-3</v>
      </c>
      <c r="AL55" s="11">
        <f>IFERROR(AK55/AK148, "NA")</f>
        <v>-2.4526352302413481E-2</v>
      </c>
    </row>
    <row r="56" spans="1:38" ht="16.5" customHeight="1">
      <c r="A56" s="27" t="s">
        <v>71</v>
      </c>
      <c r="B56" s="13">
        <f>IFERROR(B37+B39+B40+B41+B42+B43+B46+B47+B48+B49+B50+B51+B53+B54+B55, "NA")</f>
        <v>1163.28</v>
      </c>
      <c r="C56" s="14">
        <f>IFERROR(B56/B148, "NA")</f>
        <v>3.4854413729872899E-2</v>
      </c>
      <c r="D56" s="13">
        <f>IFERROR(D37+D39+D40+D41+D42+D43+D46+D47+D48+D49+D50+D51+D53+D54+D55, "NA")</f>
        <v>725.68000000000006</v>
      </c>
      <c r="E56" s="14">
        <f>IFERROR(D56/D148, "NA")</f>
        <v>2.6662825918583002E-2</v>
      </c>
      <c r="F56" s="13">
        <f>IFERROR(F37+F39+F40+F41+F42+F43+F46+F47+F48+F49+F50+F51+F53+F54+F55, "NA")</f>
        <v>1678.48</v>
      </c>
      <c r="G56" s="14">
        <f>IFERROR(F56/F148, "NA")</f>
        <v>4.0677151164735095E-2</v>
      </c>
      <c r="H56" s="13">
        <f>IFERROR(H37+H39+H40+H41+H42+H43+H46+H47+H48+H49+H50+H51+H53+H54+H55, "NA")</f>
        <v>1332.02</v>
      </c>
      <c r="I56" s="14">
        <f>IFERROR(H56/H148, "NA")</f>
        <v>4.1591260221242203E-2</v>
      </c>
      <c r="J56" s="13">
        <f>IFERROR(J37+J39+J40+J41+J42+J43+J46+J47+J48+J49+J50+J51+J53+J54+J55, "NA")</f>
        <v>1083.7800000000002</v>
      </c>
      <c r="K56" s="14">
        <f>IFERROR(J56/J148, "NA")</f>
        <v>3.7553300822113E-2</v>
      </c>
      <c r="L56" s="13">
        <f>IFERROR(L37+L39+L40+L41+L42+L43+L46+L47+L48+L49+L50+L51+L53+L54+L55, "NA")</f>
        <v>768.9899999999999</v>
      </c>
      <c r="M56" s="14">
        <f>IFERROR(L56/L148, "NA")</f>
        <v>2.9714815211246488E-2</v>
      </c>
      <c r="N56" s="13">
        <f>IFERROR(N37+N39+N40+N41+N42+N43+N46+N47+N48+N49+N50+N51+N53+N54+N55, "NA")</f>
        <v>1145.21</v>
      </c>
      <c r="O56" s="14">
        <f>IFERROR(N56/N148, "NA")</f>
        <v>4.4566370896219093E-2</v>
      </c>
      <c r="P56" s="13">
        <f>IFERROR(P37+P39+P40+P41+P42+P43+P46+P47+P48+P49+P50+P51+P53+P54+P55, "NA")</f>
        <v>738.32999999999993</v>
      </c>
      <c r="Q56" s="14">
        <f>IFERROR(P56/P148, "NA")</f>
        <v>2.9340386714665899E-2</v>
      </c>
      <c r="R56" s="13">
        <f>IFERROR(R37+R39+R40+R41+R42+R43+R46+R47+R48+R49+R50+R51+R53+R54+R55, "NA")</f>
        <v>949.91000000000008</v>
      </c>
      <c r="S56" s="14">
        <f>IFERROR(R56/R148, "NA")</f>
        <v>3.3174754623252749E-2</v>
      </c>
      <c r="T56" s="13">
        <f>IFERROR(T37+T39+T40+T41+T42+T43+T46+T47+T48+T49+T50+T51+T53+T54+T55, "NA")</f>
        <v>880.54</v>
      </c>
      <c r="U56" s="14">
        <f>IFERROR(T56/T148, "NA")</f>
        <v>3.1378890823525719E-2</v>
      </c>
      <c r="V56" s="13">
        <f>IFERROR(V37+V39+V40+V41+V42+V43+V46+V47+V48+V49+V50+V51+V53+V54+V55, "NA")</f>
        <v>679.61999999999989</v>
      </c>
      <c r="W56" s="14">
        <f>IFERROR(V56/V148, "NA")</f>
        <v>2.640067872143053E-2</v>
      </c>
      <c r="X56" s="13">
        <f>IFERROR(X37+X39+X40+X41+X42+X43+X46+X47+X48+X49+X50+X51+X53+X54+X55, "NA")</f>
        <v>548.92000000000007</v>
      </c>
      <c r="Y56" s="14">
        <f>IFERROR(X56/X148, "NA")</f>
        <v>2.6566026924163995E-2</v>
      </c>
      <c r="Z56" s="13">
        <f>IFERROR(Z37+Z39+Z40+Z41+Z42+Z43+Z46+Z47+Z48+Z49+Z50+Z51+Z53+Z54+Z55, "NA")</f>
        <v>2109.08</v>
      </c>
      <c r="AA56" s="14">
        <f>IFERROR(Z56/Z148, "NA")</f>
        <v>2.8322519080381605E-2</v>
      </c>
      <c r="AB56" s="13">
        <f t="shared" si="18"/>
        <v>764.74749999999995</v>
      </c>
      <c r="AC56" s="14">
        <f>IFERROR(AB56/AB148, "NA")</f>
        <v>2.9670108824378955E-2</v>
      </c>
      <c r="AD56" s="15">
        <f t="shared" si="19"/>
        <v>-215.82749999999987</v>
      </c>
      <c r="AE56" s="16">
        <f>IFERROR(AD56/AD148, "NA")</f>
        <v>4.221535891685825E-2</v>
      </c>
      <c r="AF56" s="15">
        <f t="shared" si="20"/>
        <v>-0.28222060222491724</v>
      </c>
      <c r="AG56" s="13">
        <f t="shared" si="21"/>
        <v>849.41250000000002</v>
      </c>
      <c r="AH56" s="14">
        <f>IFERROR(AG56/AG148, "NA")</f>
        <v>3.256015444571192E-2</v>
      </c>
      <c r="AI56" s="15">
        <f t="shared" si="22"/>
        <v>-300.49249999999995</v>
      </c>
      <c r="AJ56" s="16">
        <f>IFERROR(AI56/AI148, "NA")</f>
        <v>5.5390284292430203E-2</v>
      </c>
      <c r="AK56" s="15">
        <f t="shared" si="23"/>
        <v>-0.35376510235015374</v>
      </c>
      <c r="AL56" s="16">
        <f>IFERROR(AK56/AK148, "NA")</f>
        <v>1.7011677381562589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8656.5400000000009</v>
      </c>
      <c r="C57" s="29">
        <f>IFERROR(B57/B148, "NA")</f>
        <v>0.25936887647788492</v>
      </c>
      <c r="D57" s="28">
        <f>IFERROR(D13+D15+D16+D17+D18+D19+D20+D21+D22+D23+D24+D25+D26+D29+D30+D31+D32+D33+D37+D39+D40+D41+D42+D43+D46+D47+D48+D49+D50+D51+D53+D54+D55, "NA")</f>
        <v>7166.7399999999989</v>
      </c>
      <c r="E57" s="29">
        <f>IFERROR(D57/D148, "NA")</f>
        <v>0.26331928814869571</v>
      </c>
      <c r="F57" s="28">
        <f>IFERROR(F13+F15+F16+F17+F18+F19+F20+F21+F22+F23+F24+F25+F26+F29+F30+F31+F32+F33+F37+F39+F40+F41+F42+F43+F46+F47+F48+F49+F50+F51+F53+F54+F55, "NA")</f>
        <v>9902.3799999999992</v>
      </c>
      <c r="G57" s="29">
        <f>IFERROR(F57/F148, "NA")</f>
        <v>0.23997939096721407</v>
      </c>
      <c r="H57" s="28">
        <f>IFERROR(H13+H15+H16+H17+H18+H19+H20+H21+H22+H23+H24+H25+H26+H29+H30+H31+H32+H33+H37+H39+H40+H41+H42+H43+H46+H47+H48+H49+H50+H51+H53+H54+H55, "NA")</f>
        <v>8581.9900000000016</v>
      </c>
      <c r="I57" s="29">
        <f>IFERROR(H57/H148, "NA")</f>
        <v>0.26796578077363586</v>
      </c>
      <c r="J57" s="28">
        <f>IFERROR(J13+J15+J16+J17+J18+J19+J20+J21+J22+J23+J24+J25+J26+J29+J30+J31+J32+J33+J37+J39+J40+J41+J42+J43+J46+J47+J48+J49+J50+J51+J53+J54+J55, "NA")</f>
        <v>6896.83</v>
      </c>
      <c r="K57" s="29">
        <f>IFERROR(J57/J148, "NA")</f>
        <v>0.2389772202005698</v>
      </c>
      <c r="L57" s="28">
        <f>IFERROR(L13+L15+L16+L17+L18+L19+L20+L21+L22+L23+L24+L25+L26+L29+L30+L31+L32+L33+L37+L39+L40+L41+L42+L43+L46+L47+L48+L49+L50+L51+L53+L54+L55, "NA")</f>
        <v>7680.31</v>
      </c>
      <c r="M57" s="29">
        <f>IFERROR(L57/L148, "NA")</f>
        <v>0.29677758152263167</v>
      </c>
      <c r="N57" s="28">
        <f>IFERROR(N13+N15+N16+N17+N18+N19+N20+N21+N22+N23+N24+N25+N26+N29+N30+N31+N32+N33+N37+N39+N40+N41+N42+N43+N46+N47+N48+N49+N50+N51+N53+N54+N55, "NA")</f>
        <v>7130.14</v>
      </c>
      <c r="O57" s="29">
        <f>IFERROR(N57/N148, "NA")</f>
        <v>0.2774726589725619</v>
      </c>
      <c r="P57" s="28">
        <f>IFERROR(P13+P15+P16+P17+P18+P19+P20+P21+P22+P23+P24+P25+P26+P29+P30+P31+P32+P33+P37+P39+P40+P41+P42+P43+P46+P47+P48+P49+P50+P51+P53+P54+P55, "NA")</f>
        <v>6419.9499999999989</v>
      </c>
      <c r="Q57" s="29">
        <f>IFERROR(P57/P148, "NA")</f>
        <v>0.25512144391914093</v>
      </c>
      <c r="R57" s="28">
        <f>IFERROR(R13+R15+R16+R17+R18+R19+R20+R21+R22+R23+R24+R25+R26+R29+R30+R31+R32+R33+R37+R39+R40+R41+R42+R43+R46+R47+R48+R49+R50+R51+R53+R54+R55, "NA")</f>
        <v>7664.57</v>
      </c>
      <c r="S57" s="29">
        <f>IFERROR(R57/R148, "NA")</f>
        <v>0.26767823166694138</v>
      </c>
      <c r="T57" s="28">
        <f>IFERROR(T13+T15+T16+T17+T18+T19+T20+T21+T22+T23+T24+T25+T26+T29+T30+T31+T32+T33+T37+T39+T40+T41+T42+T43+T46+T47+T48+T49+T50+T51+T53+T54+T55, "NA")</f>
        <v>6967.8300000000008</v>
      </c>
      <c r="U57" s="29">
        <f>IFERROR(T57/T148, "NA")</f>
        <v>0.24830533178150596</v>
      </c>
      <c r="V57" s="28">
        <f>IFERROR(V13+V15+V16+V17+V18+V19+V20+V21+V22+V23+V24+V25+V26+V29+V30+V31+V32+V33+V37+V39+V40+V41+V42+V43+V46+V47+V48+V49+V50+V51+V53+V54+V55, "NA")</f>
        <v>6262.14</v>
      </c>
      <c r="W57" s="29">
        <f>IFERROR(V57/V148, "NA")</f>
        <v>0.24326056656457876</v>
      </c>
      <c r="X57" s="28">
        <f>IFERROR(X13+X15+X16+X17+X18+X19+X20+X21+X22+X23+X24+X25+X26+X29+X30+X31+X32+X33+X37+X39+X40+X41+X42+X43+X46+X47+X48+X49+X50+X51+X53+X54+X55, "NA")</f>
        <v>5626.7900000000009</v>
      </c>
      <c r="Y57" s="29">
        <f>IFERROR(X57/X148, "NA")</f>
        <v>0.27231919885705885</v>
      </c>
      <c r="Z57" s="28">
        <f>IFERROR(Z13+Z15+Z16+Z17+Z18+Z19+Z20+Z21+Z22+Z23+Z24+Z25+Z26+Z29+Z30+Z31+Z32+Z33+Z37+Z39+Z40+Z41+Z42+Z43+Z46+Z47+Z48+Z49+Z50+Z51+Z53+Z54+Z55, "NA")</f>
        <v>18856.759999999998</v>
      </c>
      <c r="AA57" s="29">
        <f>IFERROR(Z57/Z148, "NA")</f>
        <v>0.25322460262018348</v>
      </c>
      <c r="AB57" s="28">
        <f t="shared" si="18"/>
        <v>6630.3325000000004</v>
      </c>
      <c r="AC57" s="29">
        <f>IFERROR(AB57/AB148, "NA")</f>
        <v>0.25723874457493046</v>
      </c>
      <c r="AD57" s="30">
        <f t="shared" si="19"/>
        <v>-1003.5424999999996</v>
      </c>
      <c r="AE57" s="31">
        <f>IFERROR(AD57/AD148, "NA")</f>
        <v>0.19629058774169753</v>
      </c>
      <c r="AF57" s="30">
        <f t="shared" si="20"/>
        <v>-0.15135628567647241</v>
      </c>
      <c r="AG57" s="28">
        <f t="shared" si="21"/>
        <v>6831.07</v>
      </c>
      <c r="AH57" s="29">
        <f>IFERROR(AG57/AG148, "NA")</f>
        <v>0.26185239118740228</v>
      </c>
      <c r="AI57" s="30">
        <f t="shared" si="22"/>
        <v>-1204.2799999999988</v>
      </c>
      <c r="AJ57" s="31">
        <f>IFERROR(AI57/AI148, "NA")</f>
        <v>0.2219869433269975</v>
      </c>
      <c r="AK57" s="30">
        <f t="shared" si="23"/>
        <v>-0.17629448973586845</v>
      </c>
      <c r="AL57" s="31">
        <f>IFERROR(AK57/AK148, "NA")</f>
        <v>0.84775602896108782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24718.86</v>
      </c>
      <c r="C59" s="34">
        <f>IFERROR(B59/B148, "NA")</f>
        <v>0.74063112352211513</v>
      </c>
      <c r="D59" s="33">
        <f>IFERROR(D9-D57, "NA")</f>
        <v>20050.180000000004</v>
      </c>
      <c r="E59" s="34">
        <f>IFERROR(D59/D148, "NA")</f>
        <v>0.73668071185130446</v>
      </c>
      <c r="F59" s="33">
        <f>IFERROR(F9-F57, "NA")</f>
        <v>31361.080000000009</v>
      </c>
      <c r="G59" s="34">
        <f>IFERROR(F59/F148, "NA")</f>
        <v>0.76002060903278612</v>
      </c>
      <c r="H59" s="33">
        <f>IFERROR(H9-H57, "NA")</f>
        <v>23444.45</v>
      </c>
      <c r="I59" s="34">
        <f>IFERROR(H59/H148, "NA")</f>
        <v>0.73203421922636425</v>
      </c>
      <c r="J59" s="33">
        <f>IFERROR(J9-J57, "NA")</f>
        <v>21962.94999999999</v>
      </c>
      <c r="K59" s="34">
        <f>IFERROR(J59/J148, "NA")</f>
        <v>0.76102277979942989</v>
      </c>
      <c r="L59" s="33">
        <f>IFERROR(L9-L57, "NA")</f>
        <v>18198.699999999997</v>
      </c>
      <c r="M59" s="34">
        <f>IFERROR(L59/L148, "NA")</f>
        <v>0.70322241847736822</v>
      </c>
      <c r="N59" s="33">
        <f>IFERROR(N9-N57, "NA")</f>
        <v>18566.590000000004</v>
      </c>
      <c r="O59" s="34">
        <f>IFERROR(N59/N148, "NA")</f>
        <v>0.72252734102743832</v>
      </c>
      <c r="P59" s="33">
        <f>IFERROR(P9-P57, "NA")</f>
        <v>18744.339999999997</v>
      </c>
      <c r="Q59" s="34">
        <f>IFERROR(P59/P148, "NA")</f>
        <v>0.74487855608085884</v>
      </c>
      <c r="R59" s="33">
        <f>IFERROR(R9-R57, "NA")</f>
        <v>20968.94999999999</v>
      </c>
      <c r="S59" s="34">
        <f>IFERROR(R59/R148, "NA")</f>
        <v>0.73232176833305818</v>
      </c>
      <c r="T59" s="33">
        <f>IFERROR(T9-T57, "NA")</f>
        <v>21093.709999999995</v>
      </c>
      <c r="U59" s="34">
        <f>IFERROR(T59/T148, "NA")</f>
        <v>0.75169466821849384</v>
      </c>
      <c r="V59" s="33">
        <f>IFERROR(V9-V57, "NA")</f>
        <v>19480.379999999997</v>
      </c>
      <c r="W59" s="34">
        <f>IFERROR(V59/V148, "NA")</f>
        <v>0.75673943343542116</v>
      </c>
      <c r="X59" s="33">
        <f>IFERROR(X9-X57, "NA")</f>
        <v>15035.689999999999</v>
      </c>
      <c r="Y59" s="34">
        <f>IFERROR(X59/X148, "NA")</f>
        <v>0.7276808011429412</v>
      </c>
      <c r="Z59" s="33">
        <f>IFERROR(Z9-Z57, "NA")</f>
        <v>55609.780000000013</v>
      </c>
      <c r="AA59" s="34">
        <f>IFERROR(Z59/Z148, "NA")</f>
        <v>0.74677539737981669</v>
      </c>
      <c r="AB59" s="33">
        <f>IFERROR((R59+T59+V59+X59)/4, "NA")</f>
        <v>19144.682499999995</v>
      </c>
      <c r="AC59" s="34">
        <f>IFERROR(AB59/AB148, "NA")</f>
        <v>0.74276125542506943</v>
      </c>
      <c r="AD59" s="15">
        <f>IFERROR(X59-AB59, "NA")</f>
        <v>-4108.9924999999967</v>
      </c>
      <c r="AE59" s="16">
        <f>IFERROR(AD59/AD148, "NA")</f>
        <v>0.80370941225830173</v>
      </c>
      <c r="AF59" s="15">
        <f>IFERROR((X59-AB59)/AB59, "NA")</f>
        <v>-0.21462839616170171</v>
      </c>
      <c r="AG59" s="33">
        <f>IFERROR((J59+L59+N59+P59+R59+T59+V59+X59)/8, "NA")</f>
        <v>19256.413749999996</v>
      </c>
      <c r="AH59" s="34">
        <f>IFERROR(AG59/AG148, "NA")</f>
        <v>0.73814760881259756</v>
      </c>
      <c r="AI59" s="15">
        <f>IFERROR(X59-AG59, "NA")</f>
        <v>-4220.7237499999974</v>
      </c>
      <c r="AJ59" s="16">
        <f>IFERROR(AI59/AI148, "NA")</f>
        <v>0.7780130566730018</v>
      </c>
      <c r="AK59" s="15">
        <f>IFERROR((X59-AG59)/AG59, "NA")</f>
        <v>-0.21918534805059423</v>
      </c>
      <c r="AL59" s="16">
        <f>IFERROR(AK59/AK148, "NA")</f>
        <v>1.0540074199041745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1461.54</v>
      </c>
      <c r="C66" s="8">
        <f>IFERROR(B66/B148, "NA")</f>
        <v>4.3790935838971215E-2</v>
      </c>
      <c r="D66" s="7">
        <v>1461.54</v>
      </c>
      <c r="E66" s="8">
        <f>IFERROR(D66/D148, "NA")</f>
        <v>5.3699683873120102E-2</v>
      </c>
      <c r="F66" s="7">
        <v>1461.54</v>
      </c>
      <c r="G66" s="8">
        <f>IFERROR(F66/F148, "NA")</f>
        <v>3.5419715166881305E-2</v>
      </c>
      <c r="H66" s="7">
        <v>1461.54</v>
      </c>
      <c r="I66" s="8">
        <f>IFERROR(H66/H148, "NA")</f>
        <v>4.5635418735269981E-2</v>
      </c>
      <c r="J66" s="7">
        <v>1461.54</v>
      </c>
      <c r="K66" s="8">
        <f>IFERROR(J66/J148, "NA")</f>
        <v>5.0642797692844507E-2</v>
      </c>
      <c r="L66" s="7">
        <v>1461.54</v>
      </c>
      <c r="M66" s="8">
        <f>IFERROR(L66/L148, "NA")</f>
        <v>5.6475885283092359E-2</v>
      </c>
      <c r="N66" s="7">
        <v>1461.54</v>
      </c>
      <c r="O66" s="8">
        <f>IFERROR(N66/N148, "NA")</f>
        <v>5.6876497515442624E-2</v>
      </c>
      <c r="P66" s="7">
        <v>1461.54</v>
      </c>
      <c r="Q66" s="8">
        <f>IFERROR(P66/P148, "NA")</f>
        <v>5.8079921984685437E-2</v>
      </c>
      <c r="R66" s="7">
        <v>1461.54</v>
      </c>
      <c r="S66" s="8">
        <f>IFERROR(R66/R148, "NA")</f>
        <v>5.1042973410184982E-2</v>
      </c>
      <c r="T66" s="7">
        <v>1461.54</v>
      </c>
      <c r="U66" s="8">
        <f>IFERROR(T66/T148, "NA")</f>
        <v>5.2083385302445981E-2</v>
      </c>
      <c r="V66" s="7">
        <v>1461.54</v>
      </c>
      <c r="W66" s="8">
        <f>IFERROR(V66/V148, "NA")</f>
        <v>5.6775327357228428E-2</v>
      </c>
      <c r="X66" s="7">
        <v>1461.54</v>
      </c>
      <c r="Y66" s="8">
        <f>IFERROR(X66/X148, "NA")</f>
        <v>7.0734006760079141E-2</v>
      </c>
      <c r="Z66" s="7">
        <v>4384.62</v>
      </c>
      <c r="AA66" s="8">
        <f>IFERROR(Z66/Z148, "NA")</f>
        <v>5.8880404541422231E-2</v>
      </c>
      <c r="AB66" s="9">
        <f t="shared" si="24"/>
        <v>1461.54</v>
      </c>
      <c r="AC66" s="8">
        <f>IFERROR(AB66/AB148, "NA")</f>
        <v>5.6703749735936136E-2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1461.54</v>
      </c>
      <c r="AH66" s="8">
        <f>IFERROR(AG66/AG148, "NA")</f>
        <v>5.6024567720142804E-2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5217.59</v>
      </c>
      <c r="C68" s="8">
        <f>IFERROR(B68/B148, "NA")</f>
        <v>0.15633041102129114</v>
      </c>
      <c r="D68" s="7">
        <v>4662.72</v>
      </c>
      <c r="E68" s="8">
        <f>IFERROR(D68/D148, "NA")</f>
        <v>0.17131696018506137</v>
      </c>
      <c r="F68" s="7">
        <v>5021.32</v>
      </c>
      <c r="G68" s="8">
        <f>IFERROR(F68/F148, "NA")</f>
        <v>0.12168926212198394</v>
      </c>
      <c r="H68" s="7">
        <v>4837.6099999999997</v>
      </c>
      <c r="I68" s="8">
        <f>IFERROR(H68/H148, "NA")</f>
        <v>0.15105050701857589</v>
      </c>
      <c r="J68" s="7">
        <v>4549.33</v>
      </c>
      <c r="K68" s="8">
        <f>IFERROR(J68/J148, "NA")</f>
        <v>0.15763564379215642</v>
      </c>
      <c r="L68" s="7">
        <v>4700.25</v>
      </c>
      <c r="M68" s="8">
        <f>IFERROR(L68/L148, "NA")</f>
        <v>0.18162402657597798</v>
      </c>
      <c r="N68" s="7">
        <v>4553.26</v>
      </c>
      <c r="O68" s="8">
        <f>IFERROR(N68/N148, "NA")</f>
        <v>0.17719219527153846</v>
      </c>
      <c r="P68" s="7">
        <v>4447.0200000000004</v>
      </c>
      <c r="Q68" s="8">
        <f>IFERROR(P68/P148, "NA")</f>
        <v>0.17671947032878735</v>
      </c>
      <c r="R68" s="7">
        <v>4779.2</v>
      </c>
      <c r="S68" s="8">
        <f>IFERROR(R68/R148, "NA")</f>
        <v>0.16690927276841966</v>
      </c>
      <c r="T68" s="7">
        <v>5852.11</v>
      </c>
      <c r="U68" s="8">
        <f>IFERROR(T68/T148, "NA")</f>
        <v>0.20854557518938729</v>
      </c>
      <c r="V68" s="7">
        <v>4749.5200000000004</v>
      </c>
      <c r="W68" s="8">
        <f>IFERROR(V68/V148, "NA")</f>
        <v>0.18450097348666722</v>
      </c>
      <c r="X68" s="7">
        <v>4878.03</v>
      </c>
      <c r="Y68" s="8">
        <f>IFERROR(X68/X148, "NA")</f>
        <v>0.23608153522713632</v>
      </c>
      <c r="Z68" s="7">
        <v>15479.66</v>
      </c>
      <c r="AA68" s="8">
        <f>IFERROR(Z68/Z148, "NA")</f>
        <v>0.20787403308922373</v>
      </c>
      <c r="AB68" s="9">
        <f t="shared" si="24"/>
        <v>5064.7150000000001</v>
      </c>
      <c r="AC68" s="8">
        <f>IFERROR(AB68/AB148, "NA")</f>
        <v>0.19649707284360457</v>
      </c>
      <c r="AD68" s="10">
        <f t="shared" si="25"/>
        <v>-186.6850000000004</v>
      </c>
      <c r="AE68" s="11">
        <f>IFERROR(AD68/AD148, "NA")</f>
        <v>3.6515153441492414E-2</v>
      </c>
      <c r="AF68" s="10">
        <f t="shared" si="26"/>
        <v>-3.6859922029176449E-2</v>
      </c>
      <c r="AG68" s="9">
        <f t="shared" si="27"/>
        <v>4813.59</v>
      </c>
      <c r="AH68" s="8">
        <f>IFERROR(AG68/AG148, "NA")</f>
        <v>0.18451722083008487</v>
      </c>
      <c r="AI68" s="10">
        <f t="shared" si="28"/>
        <v>64.4399999999996</v>
      </c>
      <c r="AJ68" s="11">
        <f>IFERROR(AI68/AI148, "NA")</f>
        <v>-1.1878332802995686E-2</v>
      </c>
      <c r="AK68" s="10">
        <f t="shared" si="29"/>
        <v>1.3387097779411956E-2</v>
      </c>
      <c r="AL68" s="11">
        <f>IFERROR(AK68/AK148, "NA")</f>
        <v>-6.4375198962778685E-2</v>
      </c>
    </row>
    <row r="69" spans="1:38" ht="16.5" customHeight="1">
      <c r="A69" s="25" t="s">
        <v>81</v>
      </c>
      <c r="B69" s="7">
        <v>416.73</v>
      </c>
      <c r="C69" s="8">
        <f>IFERROR(B69/B148, "NA")</f>
        <v>1.2486142488179917E-2</v>
      </c>
      <c r="D69" s="7">
        <v>0</v>
      </c>
      <c r="E69" s="8">
        <f>IFERROR(D69/D148, "NA")</f>
        <v>0</v>
      </c>
      <c r="F69" s="7">
        <v>411.69</v>
      </c>
      <c r="G69" s="8">
        <f>IFERROR(F69/F148, "NA")</f>
        <v>9.9771080757648529E-3</v>
      </c>
      <c r="H69" s="7">
        <v>54.34</v>
      </c>
      <c r="I69" s="8">
        <f>IFERROR(H69/H148, "NA")</f>
        <v>1.6967230825530408E-3</v>
      </c>
      <c r="J69" s="7">
        <v>31.51</v>
      </c>
      <c r="K69" s="8">
        <f>IFERROR(J69/J148, "NA")</f>
        <v>1.0918309148579789E-3</v>
      </c>
      <c r="L69" s="7">
        <v>31.69</v>
      </c>
      <c r="M69" s="8">
        <f>IFERROR(L69/L148, "NA")</f>
        <v>1.224544524693951E-3</v>
      </c>
      <c r="N69" s="7">
        <v>247.91</v>
      </c>
      <c r="O69" s="8">
        <f>IFERROR(N69/N148, "NA")</f>
        <v>9.6475310282670215E-3</v>
      </c>
      <c r="P69" s="7">
        <v>16.97</v>
      </c>
      <c r="Q69" s="8">
        <f>IFERROR(P69/P148, "NA")</f>
        <v>6.743683211407911E-4</v>
      </c>
      <c r="R69" s="7">
        <v>21.02</v>
      </c>
      <c r="S69" s="8">
        <f>IFERROR(R69/R148, "NA")</f>
        <v>7.3410464378811967E-4</v>
      </c>
      <c r="T69" s="7">
        <v>72.989999999999995</v>
      </c>
      <c r="U69" s="8">
        <f>IFERROR(T69/T148, "NA")</f>
        <v>2.6010689363449046E-3</v>
      </c>
      <c r="V69" s="7">
        <v>242.18</v>
      </c>
      <c r="W69" s="8">
        <f>IFERROR(V69/V148, "NA")</f>
        <v>9.4077813671699581E-3</v>
      </c>
      <c r="X69" s="7">
        <v>226.46</v>
      </c>
      <c r="Y69" s="8">
        <f>IFERROR(X69/X148, "NA")</f>
        <v>1.0959962211699661E-2</v>
      </c>
      <c r="Z69" s="7">
        <v>541.63</v>
      </c>
      <c r="AA69" s="8">
        <f>IFERROR(Z69/Z148, "NA")</f>
        <v>7.2734680569286562E-3</v>
      </c>
      <c r="AB69" s="9">
        <f t="shared" si="24"/>
        <v>140.66249999999999</v>
      </c>
      <c r="AC69" s="8">
        <f>IFERROR(AB69/AB148, "NA")</f>
        <v>5.4573198114530683E-3</v>
      </c>
      <c r="AD69" s="10">
        <f t="shared" si="25"/>
        <v>85.797500000000014</v>
      </c>
      <c r="AE69" s="11">
        <f>IFERROR(AD69/AD148, "NA")</f>
        <v>-1.6781792202889566E-2</v>
      </c>
      <c r="AF69" s="10">
        <f t="shared" si="26"/>
        <v>0.60995290144850278</v>
      </c>
      <c r="AG69" s="9">
        <f t="shared" si="27"/>
        <v>111.34125</v>
      </c>
      <c r="AH69" s="8">
        <f>IFERROR(AG69/AG148, "NA")</f>
        <v>4.2679949920428799E-3</v>
      </c>
      <c r="AI69" s="10">
        <f t="shared" si="28"/>
        <v>115.11875000000001</v>
      </c>
      <c r="AJ69" s="11">
        <f>IFERROR(AI69/AI148, "NA")</f>
        <v>-2.1220031414724831E-2</v>
      </c>
      <c r="AK69" s="10">
        <f t="shared" si="29"/>
        <v>1.0339272282285317</v>
      </c>
      <c r="AL69" s="11">
        <f>IFERROR(AK69/AK148, "NA")</f>
        <v>-4.9718969807337663</v>
      </c>
    </row>
    <row r="70" spans="1:38" ht="16.5" customHeight="1">
      <c r="A70" s="26" t="s">
        <v>82</v>
      </c>
      <c r="B70" s="13">
        <f>IFERROR(B65+B66+B67+B68+B69, "NA")</f>
        <v>7095.8600000000006</v>
      </c>
      <c r="C70" s="14">
        <f>IFERROR(B70/B148, "NA")</f>
        <v>0.21260748934844229</v>
      </c>
      <c r="D70" s="13">
        <f>IFERROR(D65+D66+D67+D68+D69, "NA")</f>
        <v>6124.26</v>
      </c>
      <c r="E70" s="14">
        <f>IFERROR(D70/D148, "NA")</f>
        <v>0.22501664405818148</v>
      </c>
      <c r="F70" s="13">
        <f>IFERROR(F65+F66+F67+F68+F69, "NA")</f>
        <v>6894.5499999999993</v>
      </c>
      <c r="G70" s="14">
        <f>IFERROR(F70/F148, "NA")</f>
        <v>0.1670860853646301</v>
      </c>
      <c r="H70" s="13">
        <f>IFERROR(H65+H66+H67+H68+H69, "NA")</f>
        <v>6353.49</v>
      </c>
      <c r="I70" s="14">
        <f>IFERROR(H70/H148, "NA")</f>
        <v>0.19838264883639892</v>
      </c>
      <c r="J70" s="13">
        <f>IFERROR(J65+J66+J67+J68+J69, "NA")</f>
        <v>6042.38</v>
      </c>
      <c r="K70" s="14">
        <f>IFERROR(J70/J148, "NA")</f>
        <v>0.20937027239985892</v>
      </c>
      <c r="L70" s="13">
        <f>IFERROR(L65+L66+L67+L68+L69, "NA")</f>
        <v>6193.48</v>
      </c>
      <c r="M70" s="14">
        <f>IFERROR(L70/L148, "NA")</f>
        <v>0.23932445638376429</v>
      </c>
      <c r="N70" s="13">
        <f>IFERROR(N65+N66+N67+N68+N69, "NA")</f>
        <v>6262.71</v>
      </c>
      <c r="O70" s="14">
        <f>IFERROR(N70/N148, "NA")</f>
        <v>0.2437162238152481</v>
      </c>
      <c r="P70" s="13">
        <f>IFERROR(P65+P66+P67+P68+P69, "NA")</f>
        <v>5925.5300000000007</v>
      </c>
      <c r="Q70" s="14">
        <f>IFERROR(P70/P148, "NA")</f>
        <v>0.23547376063461359</v>
      </c>
      <c r="R70" s="13">
        <f>IFERROR(R65+R66+R67+R68+R69, "NA")</f>
        <v>6261.76</v>
      </c>
      <c r="S70" s="14">
        <f>IFERROR(R70/R148, "NA")</f>
        <v>0.21868635082239277</v>
      </c>
      <c r="T70" s="13">
        <f>IFERROR(T65+T66+T67+T68+T69, "NA")</f>
        <v>7386.6399999999994</v>
      </c>
      <c r="U70" s="14">
        <f>IFERROR(T70/T148, "NA")</f>
        <v>0.26323002942817819</v>
      </c>
      <c r="V70" s="13">
        <f>IFERROR(V65+V66+V67+V68+V69, "NA")</f>
        <v>6453.2400000000007</v>
      </c>
      <c r="W70" s="14">
        <f>IFERROR(V70/V148, "NA")</f>
        <v>0.25068408221106558</v>
      </c>
      <c r="X70" s="13">
        <f>IFERROR(X65+X66+X67+X68+X69, "NA")</f>
        <v>6566.03</v>
      </c>
      <c r="Y70" s="14">
        <f>IFERROR(X70/X148, "NA")</f>
        <v>0.31777550419891515</v>
      </c>
      <c r="Z70" s="13">
        <f>IFERROR(Z65+Z66+Z67+Z68+Z69, "NA")</f>
        <v>20405.91</v>
      </c>
      <c r="AA70" s="14">
        <f>IFERROR(Z70/Z148, "NA")</f>
        <v>0.27402790568757462</v>
      </c>
      <c r="AB70" s="13">
        <f t="shared" si="24"/>
        <v>6666.9174999999996</v>
      </c>
      <c r="AC70" s="14">
        <f>IFERROR(AB70/AB148, "NA")</f>
        <v>0.25865814239099377</v>
      </c>
      <c r="AD70" s="15">
        <f t="shared" si="25"/>
        <v>-100.88749999999982</v>
      </c>
      <c r="AE70" s="16">
        <f>IFERROR(AD70/AD148, "NA")</f>
        <v>1.9733361238602733E-2</v>
      </c>
      <c r="AF70" s="15">
        <f t="shared" si="26"/>
        <v>-1.5132555637594108E-2</v>
      </c>
      <c r="AG70" s="13">
        <f t="shared" si="27"/>
        <v>6386.4712499999996</v>
      </c>
      <c r="AH70" s="14">
        <f>IFERROR(AG70/AG148, "NA")</f>
        <v>0.24480978354227054</v>
      </c>
      <c r="AI70" s="15">
        <f t="shared" si="28"/>
        <v>179.55875000000015</v>
      </c>
      <c r="AJ70" s="16">
        <f>IFERROR(AI70/AI148, "NA")</f>
        <v>-3.3098364217720617E-2</v>
      </c>
      <c r="AK70" s="15">
        <f t="shared" si="29"/>
        <v>2.8115487093126765E-2</v>
      </c>
      <c r="AL70" s="16">
        <f>IFERROR(AK70/AK148, "NA")</f>
        <v>-0.13520033284129604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525</v>
      </c>
      <c r="C72" s="8">
        <f>IFERROR(B72/B148, "NA")</f>
        <v>1.5730148552526711E-2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-875</v>
      </c>
      <c r="K72" s="8">
        <f>IFERROR(J72/J148, "NA")</f>
        <v>-3.0319011440835656E-2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350</v>
      </c>
      <c r="S72" s="8">
        <f>IFERROR(R72/R148, "NA")</f>
        <v>1.2223436028822164E-2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87.5</v>
      </c>
      <c r="AC72" s="8">
        <f>IFERROR(AB72/AB148, "NA")</f>
        <v>3.3947603910220812E-3</v>
      </c>
      <c r="AD72" s="10">
        <f t="shared" si="25"/>
        <v>-87.5</v>
      </c>
      <c r="AE72" s="11">
        <f>IFERROR(AD72/AD148, "NA")</f>
        <v>1.7114797258111682E-2</v>
      </c>
      <c r="AF72" s="10">
        <f t="shared" si="26"/>
        <v>-1</v>
      </c>
      <c r="AG72" s="9">
        <f t="shared" si="27"/>
        <v>-65.625</v>
      </c>
      <c r="AH72" s="8">
        <f>IFERROR(AG72/AG148, "NA")</f>
        <v>-2.5155741591980866E-3</v>
      </c>
      <c r="AI72" s="10">
        <f t="shared" si="28"/>
        <v>65.625</v>
      </c>
      <c r="AJ72" s="11">
        <f>IFERROR(AI72/AI148, "NA")</f>
        <v>-1.2096765831728688E-2</v>
      </c>
      <c r="AK72" s="10">
        <f t="shared" si="29"/>
        <v>-1</v>
      </c>
      <c r="AL72" s="11">
        <f>IFERROR(AK72/AK148, "NA")</f>
        <v>4.8087494409566078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630.77</v>
      </c>
      <c r="C74" s="8">
        <f>IFERROR(B74/B148, "NA")</f>
        <v>1.8899249147575757E-2</v>
      </c>
      <c r="D74" s="7">
        <v>534.32000000000005</v>
      </c>
      <c r="E74" s="8">
        <f>IFERROR(D74/D148, "NA")</f>
        <v>1.9631905447052792E-2</v>
      </c>
      <c r="F74" s="7">
        <v>592.94000000000005</v>
      </c>
      <c r="G74" s="8">
        <f>IFERROR(F74/F148, "NA")</f>
        <v>1.4369614181651273E-2</v>
      </c>
      <c r="H74" s="7">
        <v>559.88</v>
      </c>
      <c r="I74" s="8">
        <f>IFERROR(H74/H148, "NA")</f>
        <v>1.7481805658075018E-2</v>
      </c>
      <c r="J74" s="7">
        <v>536.89</v>
      </c>
      <c r="K74" s="8">
        <f>IFERROR(J74/J148, "NA")</f>
        <v>1.8603398917108861E-2</v>
      </c>
      <c r="L74" s="7">
        <v>566.77</v>
      </c>
      <c r="M74" s="8">
        <f>IFERROR(L74/L148, "NA")</f>
        <v>2.190076050049828E-2</v>
      </c>
      <c r="N74" s="7">
        <v>539.84</v>
      </c>
      <c r="O74" s="8">
        <f>IFERROR(N74/N148, "NA")</f>
        <v>2.1008120488482388E-2</v>
      </c>
      <c r="P74" s="7">
        <v>522.09</v>
      </c>
      <c r="Q74" s="8">
        <f>IFERROR(P74/P148, "NA")</f>
        <v>2.0747257323771105E-2</v>
      </c>
      <c r="R74" s="7">
        <v>557.29</v>
      </c>
      <c r="S74" s="8">
        <f>IFERROR(R74/R148, "NA")</f>
        <v>1.9462853327149438E-2</v>
      </c>
      <c r="T74" s="7">
        <v>652.52</v>
      </c>
      <c r="U74" s="8">
        <f>IFERROR(T74/T148, "NA")</f>
        <v>2.3253178549716088E-2</v>
      </c>
      <c r="V74" s="7">
        <v>564.16</v>
      </c>
      <c r="W74" s="8">
        <f>IFERROR(V74/V148, "NA")</f>
        <v>2.1915492344960787E-2</v>
      </c>
      <c r="X74" s="7">
        <v>577.20000000000005</v>
      </c>
      <c r="Y74" s="8">
        <f>IFERROR(X74/X148, "NA")</f>
        <v>2.7934691285847586E-2</v>
      </c>
      <c r="Z74" s="7">
        <v>1793.88</v>
      </c>
      <c r="AA74" s="8">
        <f>IFERROR(Z74/Z148, "NA")</f>
        <v>2.4089745542091794E-2</v>
      </c>
      <c r="AB74" s="9">
        <f t="shared" ref="AB74:AB85" si="30">IFERROR((R74+T74+V74+X74)/4, "NA")</f>
        <v>587.79250000000002</v>
      </c>
      <c r="AC74" s="8">
        <f>IFERROR(AB74/AB148, "NA")</f>
        <v>2.2804739395883962E-2</v>
      </c>
      <c r="AD74" s="10">
        <f t="shared" ref="AD74:AD85" si="31">IFERROR(X74-AB74, "NA")</f>
        <v>-10.592499999999973</v>
      </c>
      <c r="AE74" s="11">
        <f>IFERROR(AD74/AD148, "NA")</f>
        <v>2.0718684566462574E-3</v>
      </c>
      <c r="AF74" s="10">
        <f t="shared" ref="AF74:AF85" si="32">IFERROR((X74-AB74)/AB74, "NA")</f>
        <v>-1.8020815168618129E-2</v>
      </c>
      <c r="AG74" s="9">
        <f t="shared" ref="AG74:AG85" si="33">IFERROR((J74+L74+N74+P74+R74+T74+V74+X74)/8, "NA")</f>
        <v>564.59500000000003</v>
      </c>
      <c r="AH74" s="8">
        <f>IFERROR(AG74/AG148, "NA")</f>
        <v>2.1642370931999146E-2</v>
      </c>
      <c r="AI74" s="10">
        <f t="shared" ref="AI74:AI85" si="34">IFERROR(X74-AG74, "NA")</f>
        <v>12.605000000000018</v>
      </c>
      <c r="AJ74" s="11">
        <f>IFERROR(AI74/AI148, "NA")</f>
        <v>-2.3235006980409957E-3</v>
      </c>
      <c r="AK74" s="10">
        <f t="shared" ref="AK74:AK85" si="35">IFERROR((X74-AG74)/AG74, "NA")</f>
        <v>2.2325737918330871E-2</v>
      </c>
      <c r="AL74" s="11">
        <f>IFERROR(AK74/AK148, "NA")</f>
        <v>-0.10735887973371731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630.77</v>
      </c>
      <c r="C81" s="14">
        <f>IFERROR(B81/B148, "NA")</f>
        <v>1.8899249147575757E-2</v>
      </c>
      <c r="D81" s="13">
        <f>IFERROR(D74+D75+D76+D77+D78+D79+D80, "NA")</f>
        <v>534.32000000000005</v>
      </c>
      <c r="E81" s="14">
        <f>IFERROR(D81/D148, "NA")</f>
        <v>1.9631905447052792E-2</v>
      </c>
      <c r="F81" s="13">
        <f>IFERROR(F74+F75+F76+F77+F78+F79+F80, "NA")</f>
        <v>592.94000000000005</v>
      </c>
      <c r="G81" s="14">
        <f>IFERROR(F81/F148, "NA")</f>
        <v>1.4369614181651273E-2</v>
      </c>
      <c r="H81" s="13">
        <f>IFERROR(H74+H75+H76+H77+H78+H79+H80, "NA")</f>
        <v>559.88</v>
      </c>
      <c r="I81" s="14">
        <f>IFERROR(H81/H148, "NA")</f>
        <v>1.7481805658075018E-2</v>
      </c>
      <c r="J81" s="13">
        <f>IFERROR(J74+J75+J76+J77+J78+J79+J80, "NA")</f>
        <v>536.89</v>
      </c>
      <c r="K81" s="14">
        <f>IFERROR(J81/J148, "NA")</f>
        <v>1.8603398917108861E-2</v>
      </c>
      <c r="L81" s="13">
        <f>IFERROR(L74+L75+L76+L77+L78+L79+L80, "NA")</f>
        <v>566.77</v>
      </c>
      <c r="M81" s="14">
        <f>IFERROR(L81/L148, "NA")</f>
        <v>2.190076050049828E-2</v>
      </c>
      <c r="N81" s="13">
        <f>IFERROR(N74+N75+N76+N77+N78+N79+N80, "NA")</f>
        <v>539.84</v>
      </c>
      <c r="O81" s="14">
        <f>IFERROR(N81/N148, "NA")</f>
        <v>2.1008120488482388E-2</v>
      </c>
      <c r="P81" s="13">
        <f>IFERROR(P74+P75+P76+P77+P78+P79+P80, "NA")</f>
        <v>522.09</v>
      </c>
      <c r="Q81" s="14">
        <f>IFERROR(P81/P148, "NA")</f>
        <v>2.0747257323771105E-2</v>
      </c>
      <c r="R81" s="13">
        <f>IFERROR(R74+R75+R76+R77+R78+R79+R80, "NA")</f>
        <v>557.29</v>
      </c>
      <c r="S81" s="14">
        <f>IFERROR(R81/R148, "NA")</f>
        <v>1.9462853327149438E-2</v>
      </c>
      <c r="T81" s="13">
        <f>IFERROR(T74+T75+T76+T77+T78+T79+T80, "NA")</f>
        <v>652.52</v>
      </c>
      <c r="U81" s="14">
        <f>IFERROR(T81/T148, "NA")</f>
        <v>2.3253178549716088E-2</v>
      </c>
      <c r="V81" s="13">
        <f>IFERROR(V74+V75+V76+V77+V78+V79+V80, "NA")</f>
        <v>564.16</v>
      </c>
      <c r="W81" s="14">
        <f>IFERROR(V81/V148, "NA")</f>
        <v>2.1915492344960787E-2</v>
      </c>
      <c r="X81" s="13">
        <f>IFERROR(X74+X75+X76+X77+X78+X79+X80, "NA")</f>
        <v>577.20000000000005</v>
      </c>
      <c r="Y81" s="14">
        <f>IFERROR(X81/X148, "NA")</f>
        <v>2.7934691285847586E-2</v>
      </c>
      <c r="Z81" s="13">
        <f>IFERROR(Z74+Z75+Z76+Z77+Z78+Z79+Z80, "NA")</f>
        <v>1793.88</v>
      </c>
      <c r="AA81" s="14">
        <f>IFERROR(Z81/Z148, "NA")</f>
        <v>2.4089745542091794E-2</v>
      </c>
      <c r="AB81" s="13">
        <f t="shared" si="30"/>
        <v>587.79250000000002</v>
      </c>
      <c r="AC81" s="14">
        <f>IFERROR(AB81/AB148, "NA")</f>
        <v>2.2804739395883962E-2</v>
      </c>
      <c r="AD81" s="15">
        <f t="shared" si="31"/>
        <v>-10.592499999999973</v>
      </c>
      <c r="AE81" s="16">
        <f>IFERROR(AD81/AD148, "NA")</f>
        <v>2.0718684566462574E-3</v>
      </c>
      <c r="AF81" s="15">
        <f t="shared" si="32"/>
        <v>-1.8020815168618129E-2</v>
      </c>
      <c r="AG81" s="13">
        <f t="shared" si="33"/>
        <v>564.59500000000003</v>
      </c>
      <c r="AH81" s="14">
        <f>IFERROR(AG81/AG148, "NA")</f>
        <v>2.1642370931999146E-2</v>
      </c>
      <c r="AI81" s="15">
        <f t="shared" si="34"/>
        <v>12.605000000000018</v>
      </c>
      <c r="AJ81" s="16">
        <f>IFERROR(AI81/AI148, "NA")</f>
        <v>-2.3235006980409957E-3</v>
      </c>
      <c r="AK81" s="15">
        <f t="shared" si="35"/>
        <v>2.2325737918330871E-2</v>
      </c>
      <c r="AL81" s="16">
        <f>IFERROR(AK81/AK148, "NA")</f>
        <v>-0.10735887973371731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248</v>
      </c>
      <c r="E82" s="8">
        <f>IFERROR(D82/D148, "NA")</f>
        <v>9.1119788719664103E-3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248</v>
      </c>
      <c r="M82" s="8">
        <f>IFERROR(L82/L148, "NA")</f>
        <v>9.5830559206090196E-3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248</v>
      </c>
      <c r="W82" s="8">
        <f>IFERROR(V82/V148, "NA")</f>
        <v>9.6338664590723821E-3</v>
      </c>
      <c r="X82" s="7">
        <v>0</v>
      </c>
      <c r="Y82" s="8">
        <f>IFERROR(X82/X148, "NA")</f>
        <v>0</v>
      </c>
      <c r="Z82" s="7">
        <v>248</v>
      </c>
      <c r="AA82" s="8">
        <f>IFERROR(Z82/Z148, "NA")</f>
        <v>3.3303548143904633E-3</v>
      </c>
      <c r="AB82" s="9">
        <f t="shared" si="30"/>
        <v>62</v>
      </c>
      <c r="AC82" s="8">
        <f>IFERROR(AB82/AB148, "NA")</f>
        <v>2.4054302199242174E-3</v>
      </c>
      <c r="AD82" s="10">
        <f t="shared" si="31"/>
        <v>-62</v>
      </c>
      <c r="AE82" s="11">
        <f>IFERROR(AD82/AD148, "NA")</f>
        <v>1.2127056342890562E-2</v>
      </c>
      <c r="AF82" s="10">
        <f t="shared" si="32"/>
        <v>-1</v>
      </c>
      <c r="AG82" s="9">
        <f t="shared" si="33"/>
        <v>62</v>
      </c>
      <c r="AH82" s="8">
        <f>IFERROR(AG82/AG148, "NA")</f>
        <v>2.3766186342138113E-3</v>
      </c>
      <c r="AI82" s="10">
        <f t="shared" si="34"/>
        <v>-62</v>
      </c>
      <c r="AJ82" s="11">
        <f>IFERROR(AI82/AI148, "NA")</f>
        <v>1.1428563528642723E-2</v>
      </c>
      <c r="AK82" s="10">
        <f t="shared" si="35"/>
        <v>-1</v>
      </c>
      <c r="AL82" s="11">
        <f>IFERROR(AK82/AK148, "NA")</f>
        <v>4.8087494409566078</v>
      </c>
    </row>
    <row r="83" spans="1:38" ht="16.5" customHeight="1">
      <c r="A83" s="23" t="s">
        <v>95</v>
      </c>
      <c r="B83" s="7">
        <v>-159.66</v>
      </c>
      <c r="C83" s="8">
        <f>IFERROR(B83/B148, "NA")</f>
        <v>-4.7837628912312654E-3</v>
      </c>
      <c r="D83" s="7">
        <v>-159.66</v>
      </c>
      <c r="E83" s="8">
        <f>IFERROR(D83/D148, "NA")</f>
        <v>-5.8662038173312777E-3</v>
      </c>
      <c r="F83" s="7">
        <v>-159.66</v>
      </c>
      <c r="G83" s="8">
        <f>IFERROR(F83/F148, "NA")</f>
        <v>-3.8692828958114514E-3</v>
      </c>
      <c r="H83" s="7">
        <v>1330.66</v>
      </c>
      <c r="I83" s="8">
        <f>IFERROR(H83/H148, "NA")</f>
        <v>4.1548795307876869E-2</v>
      </c>
      <c r="J83" s="7">
        <v>-159.66</v>
      </c>
      <c r="K83" s="8">
        <f>IFERROR(J83/J148, "NA")</f>
        <v>-5.532266704735795E-3</v>
      </c>
      <c r="L83" s="7">
        <v>-159.66</v>
      </c>
      <c r="M83" s="8">
        <f>IFERROR(L83/L148, "NA")</f>
        <v>-6.1694786624372422E-3</v>
      </c>
      <c r="N83" s="7">
        <v>-159.66</v>
      </c>
      <c r="O83" s="8">
        <f>IFERROR(N83/N148, "NA")</f>
        <v>-6.2132419183296862E-3</v>
      </c>
      <c r="P83" s="7">
        <v>1214.48</v>
      </c>
      <c r="Q83" s="8">
        <f>IFERROR(P83/P148, "NA")</f>
        <v>4.8262041170245615E-2</v>
      </c>
      <c r="R83" s="7">
        <v>-159.66</v>
      </c>
      <c r="S83" s="8">
        <f>IFERROR(R83/R148, "NA")</f>
        <v>-5.5759822753192762E-3</v>
      </c>
      <c r="T83" s="7">
        <v>-159.66</v>
      </c>
      <c r="U83" s="8">
        <f>IFERROR(T83/T148, "NA")</f>
        <v>-5.6896378459628371E-3</v>
      </c>
      <c r="V83" s="7">
        <v>-159.66</v>
      </c>
      <c r="W83" s="8">
        <f>IFERROR(V83/V148, "NA")</f>
        <v>-6.2021899953850672E-3</v>
      </c>
      <c r="X83" s="7">
        <v>-159.66</v>
      </c>
      <c r="Y83" s="8">
        <f>IFERROR(X83/X148, "NA")</f>
        <v>-7.7270492215842437E-3</v>
      </c>
      <c r="Z83" s="7">
        <v>-478.98</v>
      </c>
      <c r="AA83" s="8">
        <f>IFERROR(Z83/Z148, "NA")</f>
        <v>-6.4321506007933233E-3</v>
      </c>
      <c r="AB83" s="9">
        <f t="shared" si="30"/>
        <v>-159.66</v>
      </c>
      <c r="AC83" s="8">
        <f>IFERROR(AB83/AB148, "NA")</f>
        <v>-6.1943707889209765E-3</v>
      </c>
      <c r="AD83" s="10">
        <f t="shared" si="31"/>
        <v>0</v>
      </c>
      <c r="AE83" s="11">
        <f>IFERROR(AD83/AD148, "NA")</f>
        <v>0</v>
      </c>
      <c r="AF83" s="10">
        <f t="shared" si="32"/>
        <v>0</v>
      </c>
      <c r="AG83" s="9">
        <f t="shared" si="33"/>
        <v>12.107500000000012</v>
      </c>
      <c r="AH83" s="8">
        <f>IFERROR(AG83/AG148, "NA")</f>
        <v>4.6411145344747988E-4</v>
      </c>
      <c r="AI83" s="10">
        <f t="shared" si="34"/>
        <v>-171.76750000000001</v>
      </c>
      <c r="AJ83" s="11">
        <f>IFERROR(AI83/AI148, "NA")</f>
        <v>3.1662190095260306E-2</v>
      </c>
      <c r="AK83" s="10">
        <f t="shared" si="35"/>
        <v>-14.186867644022287</v>
      </c>
      <c r="AL83" s="11">
        <f>IFERROR(AK83/AK148, "NA")</f>
        <v>68.221091852117553</v>
      </c>
    </row>
    <row r="84" spans="1:38" ht="16.5" customHeight="1">
      <c r="A84" s="27" t="s">
        <v>96</v>
      </c>
      <c r="B84" s="13">
        <f>IFERROR(B63+B65+B66+B67+B68+B69+B71+B72+B74+B75+B76+B77+B78+B79+B80+B82+B83, "NA")</f>
        <v>8091.9700000000012</v>
      </c>
      <c r="C84" s="14">
        <f>IFERROR(B84/B148, "NA")</f>
        <v>0.24245312415731349</v>
      </c>
      <c r="D84" s="13">
        <f>IFERROR(D63+D65+D66+D67+D68+D69+D71+D72+D74+D75+D76+D77+D78+D79+D80+D82+D83, "NA")</f>
        <v>6746.92</v>
      </c>
      <c r="E84" s="14">
        <f>IFERROR(D84/D148, "NA")</f>
        <v>0.2478943245598694</v>
      </c>
      <c r="F84" s="13">
        <f>IFERROR(F63+F65+F66+F67+F68+F69+F71+F72+F74+F75+F76+F77+F78+F79+F80+F82+F83, "NA")</f>
        <v>7327.83</v>
      </c>
      <c r="G84" s="14">
        <f>IFERROR(F84/F148, "NA")</f>
        <v>0.17758641665046992</v>
      </c>
      <c r="H84" s="13">
        <f>IFERROR(H63+H65+H66+H67+H68+H69+H71+H72+H74+H75+H76+H77+H78+H79+H80+H82+H83, "NA")</f>
        <v>8244.0300000000007</v>
      </c>
      <c r="I84" s="14">
        <f>IFERROR(H84/H148, "NA")</f>
        <v>0.25741324980235086</v>
      </c>
      <c r="J84" s="13">
        <f>IFERROR(J63+J65+J66+J67+J68+J69+J71+J72+J74+J75+J76+J77+J78+J79+J80+J82+J83, "NA")</f>
        <v>5544.6100000000006</v>
      </c>
      <c r="K84" s="14">
        <f>IFERROR(J84/J148, "NA")</f>
        <v>0.19212239317139634</v>
      </c>
      <c r="L84" s="13">
        <f>IFERROR(L63+L65+L66+L67+L68+L69+L71+L72+L74+L75+L76+L77+L78+L79+L80+L82+L83, "NA")</f>
        <v>6848.59</v>
      </c>
      <c r="M84" s="14">
        <f>IFERROR(L84/L148, "NA")</f>
        <v>0.26463879414243435</v>
      </c>
      <c r="N84" s="13">
        <f>IFERROR(N63+N65+N66+N67+N68+N69+N71+N72+N74+N75+N76+N77+N78+N79+N80+N82+N83, "NA")</f>
        <v>6642.89</v>
      </c>
      <c r="O84" s="14">
        <f>IFERROR(N84/N148, "NA")</f>
        <v>0.25851110238540081</v>
      </c>
      <c r="P84" s="13">
        <f>IFERROR(P63+P65+P66+P67+P68+P69+P71+P72+P74+P75+P76+P77+P78+P79+P80+P82+P83, "NA")</f>
        <v>7662.1</v>
      </c>
      <c r="Q84" s="14">
        <f>IFERROR(P84/P148, "NA")</f>
        <v>0.30448305912863027</v>
      </c>
      <c r="R84" s="13">
        <f>IFERROR(R63+R65+R66+R67+R68+R69+R71+R72+R74+R75+R76+R77+R78+R79+R80+R82+R83, "NA")</f>
        <v>7009.39</v>
      </c>
      <c r="S84" s="14">
        <f>IFERROR(R84/R148, "NA")</f>
        <v>0.24479665790304511</v>
      </c>
      <c r="T84" s="13">
        <f>IFERROR(T63+T65+T66+T67+T68+T69+T71+T72+T74+T75+T76+T77+T78+T79+T80+T82+T83, "NA")</f>
        <v>7879.5</v>
      </c>
      <c r="U84" s="14">
        <f>IFERROR(T84/T148, "NA")</f>
        <v>0.28079357013193146</v>
      </c>
      <c r="V84" s="13">
        <f>IFERROR(V63+V65+V66+V67+V68+V69+V71+V72+V74+V75+V76+V77+V78+V79+V80+V82+V83, "NA")</f>
        <v>7105.7400000000007</v>
      </c>
      <c r="W84" s="14">
        <f>IFERROR(V84/V148, "NA")</f>
        <v>0.27603125101971371</v>
      </c>
      <c r="X84" s="13">
        <f>IFERROR(X63+X65+X66+X67+X68+X69+X71+X72+X74+X75+X76+X77+X78+X79+X80+X82+X83, "NA")</f>
        <v>6983.57</v>
      </c>
      <c r="Y84" s="14">
        <f>IFERROR(X84/X148, "NA")</f>
        <v>0.33798314626317849</v>
      </c>
      <c r="Z84" s="13">
        <f>IFERROR(Z63+Z65+Z66+Z67+Z68+Z69+Z71+Z72+Z74+Z75+Z76+Z77+Z78+Z79+Z80+Z82+Z83, "NA")</f>
        <v>21968.81</v>
      </c>
      <c r="AA84" s="14">
        <f>IFERROR(Z84/Z148, "NA")</f>
        <v>0.29501585544326353</v>
      </c>
      <c r="AB84" s="13">
        <f t="shared" si="30"/>
        <v>7244.55</v>
      </c>
      <c r="AC84" s="14">
        <f>IFERROR(AB84/AB148, "NA")</f>
        <v>0.28106870160890307</v>
      </c>
      <c r="AD84" s="15">
        <f t="shared" si="31"/>
        <v>-260.98000000000047</v>
      </c>
      <c r="AE84" s="16">
        <f>IFERROR(AD84/AD148, "NA")</f>
        <v>5.1047083296251364E-2</v>
      </c>
      <c r="AF84" s="15">
        <f t="shared" si="32"/>
        <v>-3.6024321731508581E-2</v>
      </c>
      <c r="AG84" s="13">
        <f t="shared" si="33"/>
        <v>6959.5487499999999</v>
      </c>
      <c r="AH84" s="14">
        <f>IFERROR(AG84/AG148, "NA")</f>
        <v>0.26677731040273289</v>
      </c>
      <c r="AI84" s="15">
        <f t="shared" si="34"/>
        <v>24.021249999999782</v>
      </c>
      <c r="AJ84" s="16">
        <f>IFERROR(AI84/AI148, "NA")</f>
        <v>-4.4278771235872014E-3</v>
      </c>
      <c r="AK84" s="15">
        <f t="shared" si="35"/>
        <v>3.4515528036210366E-3</v>
      </c>
      <c r="AL84" s="16">
        <f>IFERROR(AK84/AK148, "NA")</f>
        <v>-1.659765261484487E-2</v>
      </c>
    </row>
    <row r="85" spans="1:38" ht="16.5" customHeight="1">
      <c r="A85" s="12" t="s">
        <v>96</v>
      </c>
      <c r="B85" s="28">
        <f>IFERROR(B63+B65+B66+B67+B68+B69+B71+B72+B74+B75+B76+B77+B78+B79+B80+B82+B83, "NA")</f>
        <v>8091.9700000000012</v>
      </c>
      <c r="C85" s="29">
        <f>IFERROR(B85/B148, "NA")</f>
        <v>0.24245312415731349</v>
      </c>
      <c r="D85" s="28">
        <f>IFERROR(D63+D65+D66+D67+D68+D69+D71+D72+D74+D75+D76+D77+D78+D79+D80+D82+D83, "NA")</f>
        <v>6746.92</v>
      </c>
      <c r="E85" s="29">
        <f>IFERROR(D85/D148, "NA")</f>
        <v>0.2478943245598694</v>
      </c>
      <c r="F85" s="28">
        <f>IFERROR(F63+F65+F66+F67+F68+F69+F71+F72+F74+F75+F76+F77+F78+F79+F80+F82+F83, "NA")</f>
        <v>7327.83</v>
      </c>
      <c r="G85" s="29">
        <f>IFERROR(F85/F148, "NA")</f>
        <v>0.17758641665046992</v>
      </c>
      <c r="H85" s="28">
        <f>IFERROR(H63+H65+H66+H67+H68+H69+H71+H72+H74+H75+H76+H77+H78+H79+H80+H82+H83, "NA")</f>
        <v>8244.0300000000007</v>
      </c>
      <c r="I85" s="29">
        <f>IFERROR(H85/H148, "NA")</f>
        <v>0.25741324980235086</v>
      </c>
      <c r="J85" s="28">
        <f>IFERROR(J63+J65+J66+J67+J68+J69+J71+J72+J74+J75+J76+J77+J78+J79+J80+J82+J83, "NA")</f>
        <v>5544.6100000000006</v>
      </c>
      <c r="K85" s="29">
        <f>IFERROR(J85/J148, "NA")</f>
        <v>0.19212239317139634</v>
      </c>
      <c r="L85" s="28">
        <f>IFERROR(L63+L65+L66+L67+L68+L69+L71+L72+L74+L75+L76+L77+L78+L79+L80+L82+L83, "NA")</f>
        <v>6848.59</v>
      </c>
      <c r="M85" s="29">
        <f>IFERROR(L85/L148, "NA")</f>
        <v>0.26463879414243435</v>
      </c>
      <c r="N85" s="28">
        <f>IFERROR(N63+N65+N66+N67+N68+N69+N71+N72+N74+N75+N76+N77+N78+N79+N80+N82+N83, "NA")</f>
        <v>6642.89</v>
      </c>
      <c r="O85" s="29">
        <f>IFERROR(N85/N148, "NA")</f>
        <v>0.25851110238540081</v>
      </c>
      <c r="P85" s="28">
        <f>IFERROR(P63+P65+P66+P67+P68+P69+P71+P72+P74+P75+P76+P77+P78+P79+P80+P82+P83, "NA")</f>
        <v>7662.1</v>
      </c>
      <c r="Q85" s="29">
        <f>IFERROR(P85/P148, "NA")</f>
        <v>0.30448305912863027</v>
      </c>
      <c r="R85" s="28">
        <f>IFERROR(R63+R65+R66+R67+R68+R69+R71+R72+R74+R75+R76+R77+R78+R79+R80+R82+R83, "NA")</f>
        <v>7009.39</v>
      </c>
      <c r="S85" s="29">
        <f>IFERROR(R85/R148, "NA")</f>
        <v>0.24479665790304511</v>
      </c>
      <c r="T85" s="28">
        <f>IFERROR(T63+T65+T66+T67+T68+T69+T71+T72+T74+T75+T76+T77+T78+T79+T80+T82+T83, "NA")</f>
        <v>7879.5</v>
      </c>
      <c r="U85" s="29">
        <f>IFERROR(T85/T148, "NA")</f>
        <v>0.28079357013193146</v>
      </c>
      <c r="V85" s="28">
        <f>IFERROR(V63+V65+V66+V67+V68+V69+V71+V72+V74+V75+V76+V77+V78+V79+V80+V82+V83, "NA")</f>
        <v>7105.7400000000007</v>
      </c>
      <c r="W85" s="29">
        <f>IFERROR(V85/V148, "NA")</f>
        <v>0.27603125101971371</v>
      </c>
      <c r="X85" s="28">
        <f>IFERROR(X63+X65+X66+X67+X68+X69+X71+X72+X74+X75+X76+X77+X78+X79+X80+X82+X83, "NA")</f>
        <v>6983.57</v>
      </c>
      <c r="Y85" s="29">
        <f>IFERROR(X85/X148, "NA")</f>
        <v>0.33798314626317849</v>
      </c>
      <c r="Z85" s="28">
        <f>IFERROR(Z63+Z65+Z66+Z67+Z68+Z69+Z71+Z72+Z74+Z75+Z76+Z77+Z78+Z79+Z80+Z82+Z83, "NA")</f>
        <v>21968.81</v>
      </c>
      <c r="AA85" s="29">
        <f>IFERROR(Z85/Z148, "NA")</f>
        <v>0.29501585544326353</v>
      </c>
      <c r="AB85" s="28">
        <f t="shared" si="30"/>
        <v>7244.55</v>
      </c>
      <c r="AC85" s="29">
        <f>IFERROR(AB85/AB148, "NA")</f>
        <v>0.28106870160890307</v>
      </c>
      <c r="AD85" s="30">
        <f t="shared" si="31"/>
        <v>-260.98000000000047</v>
      </c>
      <c r="AE85" s="31">
        <f>IFERROR(AD85/AD148, "NA")</f>
        <v>5.1047083296251364E-2</v>
      </c>
      <c r="AF85" s="30">
        <f t="shared" si="32"/>
        <v>-3.6024321731508581E-2</v>
      </c>
      <c r="AG85" s="28">
        <f t="shared" si="33"/>
        <v>6959.5487499999999</v>
      </c>
      <c r="AH85" s="29">
        <f>IFERROR(AG85/AG148, "NA")</f>
        <v>0.26677731040273289</v>
      </c>
      <c r="AI85" s="30">
        <f t="shared" si="34"/>
        <v>24.021249999999782</v>
      </c>
      <c r="AJ85" s="31">
        <f>IFERROR(AI85/AI148, "NA")</f>
        <v>-4.4278771235872014E-3</v>
      </c>
      <c r="AK85" s="30">
        <f t="shared" si="35"/>
        <v>3.4515528036210366E-3</v>
      </c>
      <c r="AL85" s="31">
        <f>IFERROR(AK85/AK148, "NA")</f>
        <v>-1.659765261484487E-2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16626.89</v>
      </c>
      <c r="C87" s="34">
        <f>IFERROR(B87/B148, "NA")</f>
        <v>0.49817799936480156</v>
      </c>
      <c r="D87" s="33">
        <f>IFERROR(D59-D85, "NA")</f>
        <v>13303.260000000004</v>
      </c>
      <c r="E87" s="34">
        <f>IFERROR(D87/D148, "NA")</f>
        <v>0.48878638729143509</v>
      </c>
      <c r="F87" s="33">
        <f>IFERROR(F59-F85, "NA")</f>
        <v>24033.250000000007</v>
      </c>
      <c r="G87" s="34">
        <f>IFERROR(F87/F148, "NA")</f>
        <v>0.5824341923823162</v>
      </c>
      <c r="H87" s="33">
        <f>IFERROR(H59-H85, "NA")</f>
        <v>15200.42</v>
      </c>
      <c r="I87" s="34">
        <f>IFERROR(H87/H148, "NA")</f>
        <v>0.47462096942401344</v>
      </c>
      <c r="J87" s="33">
        <f>IFERROR(J59-J85, "NA")</f>
        <v>16418.339999999989</v>
      </c>
      <c r="K87" s="34">
        <f>IFERROR(J87/J148, "NA")</f>
        <v>0.56890038662803355</v>
      </c>
      <c r="L87" s="33">
        <f>IFERROR(L59-L85, "NA")</f>
        <v>11350.109999999997</v>
      </c>
      <c r="M87" s="34">
        <f>IFERROR(L87/L148, "NA")</f>
        <v>0.43858362433493392</v>
      </c>
      <c r="N87" s="33">
        <f>IFERROR(N59-N85, "NA")</f>
        <v>11923.700000000004</v>
      </c>
      <c r="O87" s="34">
        <f>IFERROR(N87/N148, "NA")</f>
        <v>0.4640162386420375</v>
      </c>
      <c r="P87" s="33">
        <f>IFERROR(P59-P85, "NA")</f>
        <v>11082.239999999996</v>
      </c>
      <c r="Q87" s="34">
        <f>IFERROR(P87/P148, "NA")</f>
        <v>0.44039549695222857</v>
      </c>
      <c r="R87" s="33">
        <f>IFERROR(R59-R85, "NA")</f>
        <v>13959.55999999999</v>
      </c>
      <c r="S87" s="34">
        <f>IFERROR(R87/R148, "NA")</f>
        <v>0.48752511043001318</v>
      </c>
      <c r="T87" s="33">
        <f>IFERROR(T59-T85, "NA")</f>
        <v>13214.209999999995</v>
      </c>
      <c r="U87" s="34">
        <f>IFERROR(T87/T148, "NA")</f>
        <v>0.47090109808656244</v>
      </c>
      <c r="V87" s="33">
        <f>IFERROR(V59-V85, "NA")</f>
        <v>12374.639999999996</v>
      </c>
      <c r="W87" s="34">
        <f>IFERROR(V87/V148, "NA")</f>
        <v>0.4807081824157074</v>
      </c>
      <c r="X87" s="33">
        <f>IFERROR(X59-X85, "NA")</f>
        <v>8052.119999999999</v>
      </c>
      <c r="Y87" s="34">
        <f>IFERROR(X87/X148, "NA")</f>
        <v>0.38969765487976271</v>
      </c>
      <c r="Z87" s="33">
        <f>IFERROR(Z59-Z85, "NA")</f>
        <v>33640.970000000016</v>
      </c>
      <c r="AA87" s="34">
        <f>IFERROR(Z87/Z148, "NA")</f>
        <v>0.45175954193655321</v>
      </c>
      <c r="AB87" s="33">
        <f>IFERROR((R87+T87+V87+X87)/4, "NA")</f>
        <v>11900.132499999996</v>
      </c>
      <c r="AC87" s="34">
        <f>IFERROR(AB87/AB148, "NA")</f>
        <v>0.46169255381616642</v>
      </c>
      <c r="AD87" s="15">
        <f>IFERROR(X87-AB87, "NA")</f>
        <v>-3848.0124999999971</v>
      </c>
      <c r="AE87" s="16">
        <f>IFERROR(AD87/AD148, "NA")</f>
        <v>0.75266232896205054</v>
      </c>
      <c r="AF87" s="15">
        <f>IFERROR((X87-AB87)/AB87, "NA")</f>
        <v>-0.32335879453443045</v>
      </c>
      <c r="AG87" s="33">
        <f>IFERROR((J87+L87+N87+P87+R87+T87+V87+X87)/8, "NA")</f>
        <v>12296.864999999996</v>
      </c>
      <c r="AH87" s="34">
        <f>IFERROR(AG87/AG148, "NA")</f>
        <v>0.47137029840986472</v>
      </c>
      <c r="AI87" s="15">
        <f>IFERROR(X87-AG87, "NA")</f>
        <v>-4244.7449999999972</v>
      </c>
      <c r="AJ87" s="16">
        <f>IFERROR(AI87/AI148, "NA")</f>
        <v>0.78244093379658908</v>
      </c>
      <c r="AK87" s="15">
        <f>IFERROR((X87-AG87)/AG87, "NA")</f>
        <v>-0.34518920066211983</v>
      </c>
      <c r="AL87" s="16">
        <f>IFERROR(AK87/AK148, "NA")</f>
        <v>1.659928375708227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748.79</v>
      </c>
      <c r="C90" s="8">
        <f>IFERROR(B90/B148, "NA")</f>
        <v>2.2435386542183761E-2</v>
      </c>
      <c r="D90" s="7">
        <v>604.50999999999988</v>
      </c>
      <c r="E90" s="8">
        <f>IFERROR(D90/D148, "NA")</f>
        <v>2.2210815918921021E-2</v>
      </c>
      <c r="F90" s="7">
        <v>932.04</v>
      </c>
      <c r="G90" s="8">
        <f>IFERROR(F90/F148, "NA")</f>
        <v>2.2587538708581392E-2</v>
      </c>
      <c r="H90" s="7">
        <v>804.93999999999994</v>
      </c>
      <c r="I90" s="8">
        <f>IFERROR(H90/H148, "NA")</f>
        <v>2.5133608356095776E-2</v>
      </c>
      <c r="J90" s="7">
        <v>606.45000000000005</v>
      </c>
      <c r="K90" s="8">
        <f>IFERROR(J90/J148, "NA")</f>
        <v>2.1013673700908325E-2</v>
      </c>
      <c r="L90" s="7">
        <v>807.9</v>
      </c>
      <c r="M90" s="8">
        <f>IFERROR(L90/L148, "NA")</f>
        <v>3.1218350315564622E-2</v>
      </c>
      <c r="N90" s="7">
        <v>327.81000000000006</v>
      </c>
      <c r="O90" s="8">
        <f>IFERROR(N90/N148, "NA")</f>
        <v>1.2756876069445415E-2</v>
      </c>
      <c r="P90" s="7">
        <v>568.85</v>
      </c>
      <c r="Q90" s="8">
        <f>IFERROR(P90/P148, "NA")</f>
        <v>2.2605446050733002E-2</v>
      </c>
      <c r="R90" s="7">
        <v>535.33000000000004</v>
      </c>
      <c r="S90" s="8">
        <f>IFERROR(R90/R148, "NA")</f>
        <v>1.8695920026598197E-2</v>
      </c>
      <c r="T90" s="7">
        <v>547.77</v>
      </c>
      <c r="U90" s="8">
        <f>IFERROR(T90/T148, "NA")</f>
        <v>1.9520311429807487E-2</v>
      </c>
      <c r="V90" s="7">
        <v>924.3</v>
      </c>
      <c r="W90" s="8">
        <f>IFERROR(V90/V148, "NA")</f>
        <v>3.5905575677905657E-2</v>
      </c>
      <c r="X90" s="7">
        <v>593.41999999999996</v>
      </c>
      <c r="Y90" s="8">
        <f>IFERROR(X90/X148, "NA")</f>
        <v>2.8719689020872616E-2</v>
      </c>
      <c r="Z90" s="7">
        <v>2065.4899999999998</v>
      </c>
      <c r="AA90" s="8">
        <f>IFERROR(Z90/Z148, "NA")</f>
        <v>2.7737155506352248E-2</v>
      </c>
      <c r="AB90" s="9">
        <f t="shared" ref="AB90:AB99" si="36">IFERROR((R90+T90+V90+X90)/4, "NA")</f>
        <v>650.20499999999993</v>
      </c>
      <c r="AC90" s="8">
        <f>IFERROR(AB90/AB148, "NA")</f>
        <v>2.5226173486222993E-2</v>
      </c>
      <c r="AD90" s="10">
        <f t="shared" ref="AD90:AD99" si="37">IFERROR(X90-AB90, "NA")</f>
        <v>-56.784999999999968</v>
      </c>
      <c r="AE90" s="11">
        <f>IFERROR(AD90/AD148, "NA")</f>
        <v>1.1107014426307101E-2</v>
      </c>
      <c r="AF90" s="10">
        <f t="shared" ref="AF90:AF99" si="38">IFERROR((X90-AB90)/AB90, "NA")</f>
        <v>-8.7333994663221559E-2</v>
      </c>
      <c r="AG90" s="9">
        <f t="shared" ref="AG90:AG99" si="39">IFERROR((J90+L90+N90+P90+R90+T90+V90+X90)/8, "NA")</f>
        <v>613.97874999999999</v>
      </c>
      <c r="AH90" s="8">
        <f>IFERROR(AG90/AG148, "NA")</f>
        <v>2.3535376423569405E-2</v>
      </c>
      <c r="AI90" s="10">
        <f t="shared" ref="AI90:AI99" si="40">IFERROR(X90-AG90, "NA")</f>
        <v>-20.558750000000032</v>
      </c>
      <c r="AJ90" s="11">
        <f>IFERROR(AI90/AI148, "NA")</f>
        <v>3.7896287168465151E-3</v>
      </c>
      <c r="AK90" s="10">
        <f t="shared" ref="AK90:AK99" si="41">IFERROR((X90-AG90)/AG90, "NA")</f>
        <v>-3.3484465056811873E-2</v>
      </c>
      <c r="AL90" s="11">
        <f>IFERROR(AK90/AK148, "NA")</f>
        <v>0.16101840262267517</v>
      </c>
    </row>
    <row r="91" spans="1:38" ht="16.5" hidden="1" customHeight="1">
      <c r="A91" s="6" t="s">
        <v>100</v>
      </c>
      <c r="B91" s="7">
        <v>2082.83</v>
      </c>
      <c r="C91" s="8">
        <f>IFERROR(B91/B148, "NA")</f>
        <v>6.2406143446969917E-2</v>
      </c>
      <c r="D91" s="7">
        <v>1819.76</v>
      </c>
      <c r="E91" s="8">
        <f>IFERROR(D91/D148, "NA")</f>
        <v>6.6861349484070937E-2</v>
      </c>
      <c r="F91" s="7">
        <v>1842.5900000000001</v>
      </c>
      <c r="G91" s="8">
        <f>IFERROR(F91/F148, "NA")</f>
        <v>4.465427765873245E-2</v>
      </c>
      <c r="H91" s="7">
        <v>1975.75</v>
      </c>
      <c r="I91" s="8">
        <f>IFERROR(H91/H148, "NA")</f>
        <v>6.1691215133495951E-2</v>
      </c>
      <c r="J91" s="7">
        <v>1229.8600000000001</v>
      </c>
      <c r="K91" s="8">
        <f>IFERROR(J91/J148, "NA")</f>
        <v>4.2615016469287018E-2</v>
      </c>
      <c r="L91" s="7">
        <v>1082.6399999999999</v>
      </c>
      <c r="M91" s="8">
        <f>IFERROR(L91/L148, "NA")</f>
        <v>4.1834676056000594E-2</v>
      </c>
      <c r="N91" s="7">
        <v>1519.56</v>
      </c>
      <c r="O91" s="8">
        <f>IFERROR(N91/N148, "NA")</f>
        <v>5.9134372350100578E-2</v>
      </c>
      <c r="P91" s="7">
        <v>1691.7400000000002</v>
      </c>
      <c r="Q91" s="8">
        <f>IFERROR(P91/P148, "NA")</f>
        <v>6.7227805751721992E-2</v>
      </c>
      <c r="R91" s="7">
        <v>1378.79</v>
      </c>
      <c r="S91" s="8">
        <f>IFERROR(R91/R148, "NA")</f>
        <v>4.8153003891942027E-2</v>
      </c>
      <c r="T91" s="7">
        <v>1062.1199999999999</v>
      </c>
      <c r="U91" s="8">
        <f>IFERROR(T91/T148, "NA")</f>
        <v>3.7849668977540073E-2</v>
      </c>
      <c r="V91" s="7">
        <v>492.55</v>
      </c>
      <c r="W91" s="8">
        <f>IFERROR(V91/V148, "NA")</f>
        <v>1.9133713404903639E-2</v>
      </c>
      <c r="X91" s="7">
        <v>221.31</v>
      </c>
      <c r="Y91" s="8">
        <f>IFERROR(X91/X148, "NA")</f>
        <v>1.0710718171294056E-2</v>
      </c>
      <c r="Z91" s="7">
        <v>1775.98</v>
      </c>
      <c r="AA91" s="8">
        <f>IFERROR(Z91/Z148, "NA")</f>
        <v>2.3849369126053125E-2</v>
      </c>
      <c r="AB91" s="9">
        <f t="shared" si="36"/>
        <v>788.6925</v>
      </c>
      <c r="AC91" s="8">
        <f>IFERROR(AB91/AB148, "NA")</f>
        <v>3.0599109253670657E-2</v>
      </c>
      <c r="AD91" s="10">
        <f t="shared" si="37"/>
        <v>-567.38249999999994</v>
      </c>
      <c r="AE91" s="11">
        <f>IFERROR(AD91/AD148, "NA")</f>
        <v>0.11097870234629199</v>
      </c>
      <c r="AF91" s="10">
        <f t="shared" si="38"/>
        <v>-0.71939634268108288</v>
      </c>
      <c r="AG91" s="9">
        <f t="shared" si="39"/>
        <v>1084.82125</v>
      </c>
      <c r="AH91" s="8">
        <f>IFERROR(AG91/AG148, "NA")</f>
        <v>4.1583974153889029E-2</v>
      </c>
      <c r="AI91" s="10">
        <f t="shared" si="40"/>
        <v>-863.51125000000002</v>
      </c>
      <c r="AJ91" s="11">
        <f>IFERROR(AI91/AI148, "NA")</f>
        <v>0.15917247061810788</v>
      </c>
      <c r="AK91" s="10">
        <f t="shared" si="41"/>
        <v>-0.79599404049284617</v>
      </c>
      <c r="AL91" s="11">
        <f>IFERROR(AK91/AK148, "NA")</f>
        <v>3.8277358972247653</v>
      </c>
    </row>
    <row r="92" spans="1:38" ht="16.5" hidden="1" customHeight="1">
      <c r="A92" s="6" t="s">
        <v>101</v>
      </c>
      <c r="B92" s="7">
        <v>328.07</v>
      </c>
      <c r="C92" s="8">
        <f>IFERROR(B92/B148, "NA")</f>
        <v>9.829694925004644E-3</v>
      </c>
      <c r="D92" s="7">
        <v>282.31</v>
      </c>
      <c r="E92" s="8">
        <f>IFERROR(D92/D148, "NA")</f>
        <v>1.037259175542273E-2</v>
      </c>
      <c r="F92" s="7">
        <v>593.71</v>
      </c>
      <c r="G92" s="8">
        <f>IFERROR(F92/F148, "NA")</f>
        <v>1.43882747593149E-2</v>
      </c>
      <c r="H92" s="7">
        <v>388.66</v>
      </c>
      <c r="I92" s="8">
        <f>IFERROR(H92/H148, "NA")</f>
        <v>1.2135597962183747E-2</v>
      </c>
      <c r="J92" s="7">
        <v>387.35</v>
      </c>
      <c r="K92" s="8">
        <f>IFERROR(J92/J148, "NA")</f>
        <v>1.3421793236123077E-2</v>
      </c>
      <c r="L92" s="7">
        <v>334.09</v>
      </c>
      <c r="M92" s="8">
        <f>IFERROR(L92/L148, "NA")</f>
        <v>1.290969013111398E-2</v>
      </c>
      <c r="N92" s="7">
        <v>187.85999999999999</v>
      </c>
      <c r="O92" s="8">
        <f>IFERROR(N92/N148, "NA")</f>
        <v>7.3106578152161766E-3</v>
      </c>
      <c r="P92" s="7">
        <v>306.83</v>
      </c>
      <c r="Q92" s="8">
        <f>IFERROR(P92/P148, "NA")</f>
        <v>1.2193072007992276E-2</v>
      </c>
      <c r="R92" s="7">
        <v>210.22</v>
      </c>
      <c r="S92" s="8">
        <f>IFERROR(R92/R148, "NA")</f>
        <v>7.341744919939986E-3</v>
      </c>
      <c r="T92" s="7">
        <v>237.22</v>
      </c>
      <c r="U92" s="8">
        <f>IFERROR(T92/T148, "NA")</f>
        <v>8.4535631330283374E-3</v>
      </c>
      <c r="V92" s="7">
        <v>349.69</v>
      </c>
      <c r="W92" s="8">
        <f>IFERROR(V92/V148, "NA")</f>
        <v>1.358414016964928E-2</v>
      </c>
      <c r="X92" s="7">
        <v>111.56</v>
      </c>
      <c r="Y92" s="8">
        <f>IFERROR(X92/X148, "NA")</f>
        <v>5.3991582810969455E-3</v>
      </c>
      <c r="Z92" s="7">
        <v>698.47</v>
      </c>
      <c r="AA92" s="8">
        <f>IFERROR(Z92/Z148, "NA")</f>
        <v>9.3796489000294633E-3</v>
      </c>
      <c r="AB92" s="9">
        <f t="shared" si="36"/>
        <v>227.17250000000001</v>
      </c>
      <c r="AC92" s="8">
        <f>IFERROR(AB92/AB148, "NA")</f>
        <v>8.8136709134795863E-3</v>
      </c>
      <c r="AD92" s="10">
        <f t="shared" si="37"/>
        <v>-115.61250000000001</v>
      </c>
      <c r="AE92" s="11">
        <f>IFERROR(AD92/AD148, "NA")</f>
        <v>2.261353712003928E-2</v>
      </c>
      <c r="AF92" s="10">
        <f t="shared" si="38"/>
        <v>-0.50891943347016033</v>
      </c>
      <c r="AG92" s="9">
        <f t="shared" si="39"/>
        <v>265.60250000000002</v>
      </c>
      <c r="AH92" s="8">
        <f>IFERROR(AG92/AG148, "NA")</f>
        <v>1.018122339989958E-2</v>
      </c>
      <c r="AI92" s="10">
        <f t="shared" si="40"/>
        <v>-154.04250000000002</v>
      </c>
      <c r="AJ92" s="11">
        <f>IFERROR(AI92/AI148, "NA")</f>
        <v>2.8394911247757205E-2</v>
      </c>
      <c r="AK92" s="10">
        <f t="shared" si="41"/>
        <v>-0.5799738330776254</v>
      </c>
      <c r="AL92" s="11">
        <f>IFERROR(AK92/AK148, "NA")</f>
        <v>2.7889488455814919</v>
      </c>
    </row>
    <row r="93" spans="1:38" ht="16.5" hidden="1" customHeight="1">
      <c r="A93" s="6" t="s">
        <v>102</v>
      </c>
      <c r="B93" s="7">
        <v>2270.0699999999997</v>
      </c>
      <c r="C93" s="8">
        <f>IFERROR(B93/B148, "NA")</f>
        <v>6.8016263475493915E-2</v>
      </c>
      <c r="D93" s="7">
        <v>1419.15</v>
      </c>
      <c r="E93" s="8">
        <f>IFERROR(D93/D148, "NA")</f>
        <v>5.2142196839319074E-2</v>
      </c>
      <c r="F93" s="7">
        <v>4185.07</v>
      </c>
      <c r="G93" s="8">
        <f>IFERROR(F93/F148, "NA")</f>
        <v>0.10142314774379074</v>
      </c>
      <c r="H93" s="7">
        <v>2236.6999999999998</v>
      </c>
      <c r="I93" s="8">
        <f>IFERROR(H93/H148, "NA")</f>
        <v>6.983917038546901E-2</v>
      </c>
      <c r="J93" s="7">
        <v>2198.42</v>
      </c>
      <c r="K93" s="8">
        <f>IFERROR(J93/J148, "NA")</f>
        <v>7.6175909864870772E-2</v>
      </c>
      <c r="L93" s="7">
        <v>1160.69</v>
      </c>
      <c r="M93" s="8">
        <f>IFERROR(L93/L148, "NA")</f>
        <v>4.4850633776176138E-2</v>
      </c>
      <c r="N93" s="7">
        <v>1401.12</v>
      </c>
      <c r="O93" s="8">
        <f>IFERROR(N93/N148, "NA")</f>
        <v>5.4525225583177309E-2</v>
      </c>
      <c r="P93" s="7">
        <v>1238.4000000000001</v>
      </c>
      <c r="Q93" s="8">
        <f>IFERROR(P93/P148, "NA")</f>
        <v>4.9212594513892503E-2</v>
      </c>
      <c r="R93" s="7">
        <v>1526.92</v>
      </c>
      <c r="S93" s="8">
        <f>IFERROR(R93/R148, "NA")</f>
        <v>5.3326311260368971E-2</v>
      </c>
      <c r="T93" s="7">
        <v>1847.32</v>
      </c>
      <c r="U93" s="8">
        <f>IFERROR(T93/T148, "NA")</f>
        <v>6.5831027092597194E-2</v>
      </c>
      <c r="V93" s="7">
        <v>2255.71</v>
      </c>
      <c r="W93" s="8">
        <f>IFERROR(V93/V148, "NA")</f>
        <v>8.7625842380621627E-2</v>
      </c>
      <c r="X93" s="7">
        <v>839.46</v>
      </c>
      <c r="Y93" s="8">
        <f>IFERROR(X93/X148, "NA")</f>
        <v>4.0627262555124076E-2</v>
      </c>
      <c r="Z93" s="7">
        <v>4942.49</v>
      </c>
      <c r="AA93" s="8">
        <f>IFERROR(Z93/Z148, "NA")</f>
        <v>6.6371957123293232E-2</v>
      </c>
      <c r="AB93" s="9">
        <f t="shared" si="36"/>
        <v>1617.3525</v>
      </c>
      <c r="AC93" s="8">
        <f>IFERROR(AB93/AB148, "NA")</f>
        <v>6.2748848060806175E-2</v>
      </c>
      <c r="AD93" s="10">
        <f t="shared" si="37"/>
        <v>-777.89249999999993</v>
      </c>
      <c r="AE93" s="11">
        <f>IFERROR(AD93/AD148, "NA")</f>
        <v>0.15215397058406446</v>
      </c>
      <c r="AF93" s="10">
        <f t="shared" si="38"/>
        <v>-0.48096657964172929</v>
      </c>
      <c r="AG93" s="9">
        <f t="shared" si="39"/>
        <v>1558.5049999999997</v>
      </c>
      <c r="AH93" s="8">
        <f>IFERROR(AG93/AG148, "NA")</f>
        <v>5.9741484266377348E-2</v>
      </c>
      <c r="AI93" s="10">
        <f t="shared" si="40"/>
        <v>-719.04499999999962</v>
      </c>
      <c r="AJ93" s="11">
        <f>IFERROR(AI93/AI148, "NA")</f>
        <v>0.13254276552343391</v>
      </c>
      <c r="AK93" s="10">
        <f t="shared" si="41"/>
        <v>-0.46136842679362577</v>
      </c>
      <c r="AL93" s="11">
        <f>IFERROR(AK93/AK148, "NA")</f>
        <v>2.2186051644188773</v>
      </c>
    </row>
    <row r="94" spans="1:38" ht="16.5" hidden="1" customHeight="1">
      <c r="A94" s="6" t="s">
        <v>103</v>
      </c>
      <c r="B94" s="7">
        <v>914.66</v>
      </c>
      <c r="C94" s="8">
        <f>IFERROR(B94/B148, "NA")</f>
        <v>2.7405214619150631E-2</v>
      </c>
      <c r="D94" s="7">
        <v>773.61</v>
      </c>
      <c r="E94" s="8">
        <f>IFERROR(D94/D148, "NA")</f>
        <v>2.8423862802991671E-2</v>
      </c>
      <c r="F94" s="7">
        <v>1353.57</v>
      </c>
      <c r="G94" s="8">
        <f>IFERROR(F94/F148, "NA")</f>
        <v>3.2803114426177539E-2</v>
      </c>
      <c r="H94" s="7">
        <v>954.09</v>
      </c>
      <c r="I94" s="8">
        <f>IFERROR(H94/H148, "NA")</f>
        <v>2.9790697935830522E-2</v>
      </c>
      <c r="J94" s="7">
        <v>908.04</v>
      </c>
      <c r="K94" s="8">
        <f>IFERROR(J94/J148, "NA")</f>
        <v>3.1463857312841612E-2</v>
      </c>
      <c r="L94" s="7">
        <v>790.1</v>
      </c>
      <c r="M94" s="8">
        <f>IFERROR(L94/L148, "NA")</f>
        <v>3.0530534205133814E-2</v>
      </c>
      <c r="N94" s="7">
        <v>718.73</v>
      </c>
      <c r="O94" s="8">
        <f>IFERROR(N94/N148, "NA")</f>
        <v>2.7969706651391053E-2</v>
      </c>
      <c r="P94" s="7">
        <v>650.54</v>
      </c>
      <c r="Q94" s="8">
        <f>IFERROR(P94/P148, "NA")</f>
        <v>2.5851712883614038E-2</v>
      </c>
      <c r="R94" s="7">
        <v>744.94</v>
      </c>
      <c r="S94" s="8">
        <f>IFERROR(R94/R148, "NA")</f>
        <v>2.6016361243745095E-2</v>
      </c>
      <c r="T94" s="7">
        <v>770.65</v>
      </c>
      <c r="U94" s="8">
        <f>IFERROR(T94/T148, "NA")</f>
        <v>2.7462854854010149E-2</v>
      </c>
      <c r="V94" s="7">
        <v>697.05</v>
      </c>
      <c r="W94" s="8">
        <f>IFERROR(V94/V148, "NA")</f>
        <v>2.7077768610066145E-2</v>
      </c>
      <c r="X94" s="7">
        <v>444.23</v>
      </c>
      <c r="Y94" s="8">
        <f>IFERROR(X94/X148, "NA")</f>
        <v>2.1499355353278019E-2</v>
      </c>
      <c r="Z94" s="7">
        <v>1911.93</v>
      </c>
      <c r="AA94" s="8">
        <f>IFERROR(Z94/Z148, "NA")</f>
        <v>2.5675021291441769E-2</v>
      </c>
      <c r="AB94" s="9">
        <f t="shared" si="36"/>
        <v>664.21750000000009</v>
      </c>
      <c r="AC94" s="8">
        <f>IFERROR(AB94/AB148, "NA")</f>
        <v>2.5769820114556679E-2</v>
      </c>
      <c r="AD94" s="10">
        <f t="shared" si="37"/>
        <v>-219.98750000000007</v>
      </c>
      <c r="AE94" s="11">
        <f>IFERROR(AD94/AD148, "NA")</f>
        <v>4.3029045277929653E-2</v>
      </c>
      <c r="AF94" s="10">
        <f t="shared" si="38"/>
        <v>-0.33119798861065847</v>
      </c>
      <c r="AG94" s="9">
        <f t="shared" si="39"/>
        <v>715.53500000000008</v>
      </c>
      <c r="AH94" s="8">
        <f>IFERROR(AG94/AG148, "NA")</f>
        <v>2.7428287329551288E-2</v>
      </c>
      <c r="AI94" s="10">
        <f t="shared" si="40"/>
        <v>-271.30500000000006</v>
      </c>
      <c r="AJ94" s="11">
        <f>IFERROR(AI94/AI148, "NA")</f>
        <v>5.0010103679651849E-2</v>
      </c>
      <c r="AK94" s="10">
        <f t="shared" si="41"/>
        <v>-0.37916384243957324</v>
      </c>
      <c r="AL94" s="11">
        <f>IFERROR(AK94/AK148, "NA")</f>
        <v>1.823303915362257</v>
      </c>
    </row>
    <row r="95" spans="1:38" ht="16.5" hidden="1" customHeight="1">
      <c r="A95" s="6" t="s">
        <v>104</v>
      </c>
      <c r="B95" s="7">
        <v>1204.99</v>
      </c>
      <c r="C95" s="8">
        <f>IFERROR(B95/B148, "NA")</f>
        <v>3.61041365796365E-2</v>
      </c>
      <c r="D95" s="7">
        <v>0</v>
      </c>
      <c r="E95" s="8">
        <f>IFERROR(D95/D148, "NA")</f>
        <v>0</v>
      </c>
      <c r="F95" s="7">
        <v>-1346</v>
      </c>
      <c r="G95" s="8">
        <f>IFERROR(F95/F148, "NA")</f>
        <v>-3.2619659136679281E-2</v>
      </c>
      <c r="H95" s="7">
        <v>0</v>
      </c>
      <c r="I95" s="8">
        <f>IFERROR(H95/H148, "NA")</f>
        <v>0</v>
      </c>
      <c r="J95" s="7">
        <v>1204.99</v>
      </c>
      <c r="K95" s="8">
        <f>IFERROR(J95/J148, "NA")</f>
        <v>4.1753263538391497E-2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1204.99</v>
      </c>
      <c r="S95" s="8">
        <f>IFERROR(R95/R148, "NA")</f>
        <v>4.2083194801058342E-2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301.2475</v>
      </c>
      <c r="AC95" s="8">
        <f>IFERROR(AB95/AB148, "NA")</f>
        <v>1.168757806736485E-2</v>
      </c>
      <c r="AD95" s="10">
        <f t="shared" si="37"/>
        <v>-301.2475</v>
      </c>
      <c r="AE95" s="11">
        <f>IFERROR(AD95/AD148, "NA")</f>
        <v>5.892331299443427E-2</v>
      </c>
      <c r="AF95" s="10">
        <f t="shared" si="38"/>
        <v>-1</v>
      </c>
      <c r="AG95" s="9">
        <f t="shared" si="39"/>
        <v>301.2475</v>
      </c>
      <c r="AH95" s="8">
        <f>IFERROR(AG95/AG148, "NA")</f>
        <v>1.1547587451779438E-2</v>
      </c>
      <c r="AI95" s="10">
        <f t="shared" si="40"/>
        <v>-301.2475</v>
      </c>
      <c r="AJ95" s="11">
        <f>IFERROR(AI95/AI148, "NA")</f>
        <v>5.5529454703141912E-2</v>
      </c>
      <c r="AK95" s="10">
        <f t="shared" si="41"/>
        <v>-1</v>
      </c>
      <c r="AL95" s="11">
        <f>IFERROR(AK95/AK148, "NA")</f>
        <v>4.8087494409566078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437.49</v>
      </c>
      <c r="C97" s="8">
        <f>IFERROR(B97/B148, "NA")</f>
        <v>1.3108157505228401E-2</v>
      </c>
      <c r="D97" s="7">
        <v>1407.54</v>
      </c>
      <c r="E97" s="8">
        <f>IFERROR(D97/D148, "NA")</f>
        <v>5.1715623957450003E-2</v>
      </c>
      <c r="F97" s="7">
        <v>386.99</v>
      </c>
      <c r="G97" s="8">
        <f>IFERROR(F97/F148, "NA")</f>
        <v>9.378515519541988E-3</v>
      </c>
      <c r="H97" s="7">
        <v>1815.2800000000002</v>
      </c>
      <c r="I97" s="8">
        <f>IFERROR(H97/H148, "NA")</f>
        <v>5.6680667598396836E-2</v>
      </c>
      <c r="J97" s="7">
        <v>331.01</v>
      </c>
      <c r="K97" s="8">
        <f>IFERROR(J97/J148, "NA")</f>
        <v>1.1469595402321155E-2</v>
      </c>
      <c r="L97" s="7">
        <v>381.01</v>
      </c>
      <c r="M97" s="8">
        <f>IFERROR(L97/L148, "NA")</f>
        <v>1.4722742485125976E-2</v>
      </c>
      <c r="N97" s="7">
        <v>683.54</v>
      </c>
      <c r="O97" s="8">
        <f>IFERROR(N97/N148, "NA")</f>
        <v>2.6600271707723121E-2</v>
      </c>
      <c r="P97" s="7">
        <v>538.83999999999992</v>
      </c>
      <c r="Q97" s="8">
        <f>IFERROR(P97/P148, "NA")</f>
        <v>2.1412883097436879E-2</v>
      </c>
      <c r="R97" s="7">
        <v>1023.8900000000001</v>
      </c>
      <c r="S97" s="8">
        <f>IFERROR(R97/R148, "NA")</f>
        <v>3.5758439758716364E-2</v>
      </c>
      <c r="T97" s="7">
        <v>2428.29</v>
      </c>
      <c r="U97" s="8">
        <f>IFERROR(T97/T148, "NA")</f>
        <v>8.65344524926287E-2</v>
      </c>
      <c r="V97" s="7">
        <v>0</v>
      </c>
      <c r="W97" s="8">
        <f>IFERROR(V97/V148, "NA")</f>
        <v>0</v>
      </c>
      <c r="X97" s="7">
        <v>0</v>
      </c>
      <c r="Y97" s="8">
        <f>IFERROR(X97/X148, "NA")</f>
        <v>0</v>
      </c>
      <c r="Z97" s="7">
        <v>2428.29</v>
      </c>
      <c r="AA97" s="8">
        <f>IFERROR(Z97/Z148, "NA")</f>
        <v>3.2609142307404103E-2</v>
      </c>
      <c r="AB97" s="9">
        <f t="shared" si="36"/>
        <v>863.04500000000007</v>
      </c>
      <c r="AC97" s="8">
        <f>IFERROR(AB97/AB148, "NA")</f>
        <v>3.3483782647653164E-2</v>
      </c>
      <c r="AD97" s="10">
        <f t="shared" si="37"/>
        <v>-863.04500000000007</v>
      </c>
      <c r="AE97" s="11">
        <f>IFERROR(AD97/AD148, "NA")</f>
        <v>0.16880960228145139</v>
      </c>
      <c r="AF97" s="10">
        <f t="shared" si="38"/>
        <v>-1</v>
      </c>
      <c r="AG97" s="9">
        <f t="shared" si="39"/>
        <v>673.32249999999999</v>
      </c>
      <c r="AH97" s="8">
        <f>IFERROR(AG97/AG148, "NA")</f>
        <v>2.5810174198958532E-2</v>
      </c>
      <c r="AI97" s="10">
        <f t="shared" si="40"/>
        <v>-673.32249999999999</v>
      </c>
      <c r="AJ97" s="11">
        <f>IFERROR(AI97/AI148, "NA")</f>
        <v>0.1241146607502345</v>
      </c>
      <c r="AK97" s="10">
        <f t="shared" si="41"/>
        <v>-1</v>
      </c>
      <c r="AL97" s="11">
        <f>IFERROR(AK97/AK148, "NA")</f>
        <v>4.8087494409566078</v>
      </c>
    </row>
    <row r="98" spans="1:38" ht="16.5" hidden="1" customHeight="1">
      <c r="A98" s="6" t="s">
        <v>107</v>
      </c>
      <c r="B98" s="7">
        <v>1256.95</v>
      </c>
      <c r="C98" s="8">
        <f>IFERROR(B98/B148, "NA")</f>
        <v>3.766097185352086E-2</v>
      </c>
      <c r="D98" s="7">
        <v>408.23</v>
      </c>
      <c r="E98" s="8">
        <f>IFERROR(D98/D148, "NA")</f>
        <v>1.4999125543963095E-2</v>
      </c>
      <c r="F98" s="7">
        <v>244.34</v>
      </c>
      <c r="G98" s="8">
        <f>IFERROR(F98/F148, "NA")</f>
        <v>5.9214617484815869E-3</v>
      </c>
      <c r="H98" s="7">
        <v>2294.29</v>
      </c>
      <c r="I98" s="8">
        <f>IFERROR(H98/H148, "NA")</f>
        <v>7.1637372121284792E-2</v>
      </c>
      <c r="J98" s="7">
        <v>1322.25</v>
      </c>
      <c r="K98" s="8">
        <f>IFERROR(J98/J148, "NA")</f>
        <v>4.5816357574451363E-2</v>
      </c>
      <c r="L98" s="7">
        <v>299.10000000000002</v>
      </c>
      <c r="M98" s="8">
        <f>IFERROR(L98/L148, "NA")</f>
        <v>1.1557629136508702E-2</v>
      </c>
      <c r="N98" s="7">
        <v>204.31</v>
      </c>
      <c r="O98" s="8">
        <f>IFERROR(N98/N148, "NA")</f>
        <v>7.9508170883999633E-3</v>
      </c>
      <c r="P98" s="7">
        <v>2483.29</v>
      </c>
      <c r="Q98" s="8">
        <f>IFERROR(P98/P148, "NA")</f>
        <v>9.8683094178297889E-2</v>
      </c>
      <c r="R98" s="7">
        <v>1510.3500000000001</v>
      </c>
      <c r="S98" s="8">
        <f>IFERROR(R98/R148, "NA")</f>
        <v>5.2747618874661589E-2</v>
      </c>
      <c r="T98" s="7">
        <v>662.74</v>
      </c>
      <c r="U98" s="8">
        <f>IFERROR(T98/T148, "NA")</f>
        <v>2.3617378091152517E-2</v>
      </c>
      <c r="V98" s="7">
        <v>415.83</v>
      </c>
      <c r="W98" s="8">
        <f>IFERROR(V98/V148, "NA")</f>
        <v>1.6153430200306729E-2</v>
      </c>
      <c r="X98" s="7">
        <v>497.22</v>
      </c>
      <c r="Y98" s="8">
        <f>IFERROR(X98/X148, "NA")</f>
        <v>2.4063907139898019E-2</v>
      </c>
      <c r="Z98" s="7">
        <v>1575.79</v>
      </c>
      <c r="AA98" s="8">
        <f>IFERROR(Z98/Z148, "NA")</f>
        <v>2.1161047632936889E-2</v>
      </c>
      <c r="AB98" s="9">
        <f t="shared" si="36"/>
        <v>771.53500000000008</v>
      </c>
      <c r="AC98" s="8">
        <f>IFERROR(AB98/AB148, "NA")</f>
        <v>2.9933445237568246E-2</v>
      </c>
      <c r="AD98" s="10">
        <f t="shared" si="37"/>
        <v>-274.31500000000005</v>
      </c>
      <c r="AE98" s="11">
        <f>IFERROR(AD98/AD148, "NA")</f>
        <v>5.3655378398387507E-2</v>
      </c>
      <c r="AF98" s="10">
        <f t="shared" si="38"/>
        <v>-0.35554446655044819</v>
      </c>
      <c r="AG98" s="9">
        <f t="shared" si="39"/>
        <v>924.38625000000002</v>
      </c>
      <c r="AH98" s="8">
        <f>IFERROR(AG98/AG148, "NA")</f>
        <v>3.5434090112274629E-2</v>
      </c>
      <c r="AI98" s="10">
        <f t="shared" si="40"/>
        <v>-427.16624999999999</v>
      </c>
      <c r="AJ98" s="11">
        <f>IFERROR(AI98/AI148, "NA")</f>
        <v>7.8740268151888379E-2</v>
      </c>
      <c r="AK98" s="10">
        <f t="shared" si="41"/>
        <v>-0.46210796623164829</v>
      </c>
      <c r="AL98" s="11">
        <f>IFERROR(AK98/AK148, "NA")</f>
        <v>2.2221614242780334</v>
      </c>
    </row>
    <row r="99" spans="1:38" ht="16.5" hidden="1" customHeight="1">
      <c r="A99" s="12" t="s">
        <v>108</v>
      </c>
      <c r="B99" s="13">
        <f>IFERROR(B90+B91+B92+B93+B94+B95+B96+B97+B98, "NA")</f>
        <v>9243.85</v>
      </c>
      <c r="C99" s="14">
        <f>IFERROR(B99/B148, "NA")</f>
        <v>0.27696596894718867</v>
      </c>
      <c r="D99" s="13">
        <f>IFERROR(D90+D91+D92+D93+D94+D95+D96+D97+D98, "NA")</f>
        <v>6715.1099999999988</v>
      </c>
      <c r="E99" s="14">
        <f>IFERROR(D99/D148, "NA")</f>
        <v>0.24672556630213849</v>
      </c>
      <c r="F99" s="13">
        <f>IFERROR(F90+F91+F92+F93+F94+F95+F96+F97+F98, "NA")</f>
        <v>8192.31</v>
      </c>
      <c r="G99" s="14">
        <f>IFERROR(F99/F148, "NA")</f>
        <v>0.19853667142794132</v>
      </c>
      <c r="H99" s="13">
        <f>IFERROR(H90+H91+H92+H93+H94+H95+H96+H97+H98, "NA")</f>
        <v>10469.709999999999</v>
      </c>
      <c r="I99" s="14">
        <f>IFERROR(H99/H148, "NA")</f>
        <v>0.32690832949275661</v>
      </c>
      <c r="J99" s="13">
        <f>IFERROR(J90+J91+J92+J93+J94+J95+J96+J97+J98, "NA")</f>
        <v>8188.37</v>
      </c>
      <c r="K99" s="14">
        <f>IFERROR(J99/J148, "NA")</f>
        <v>0.28372946709919478</v>
      </c>
      <c r="L99" s="13">
        <f>IFERROR(L90+L91+L92+L93+L94+L95+L96+L97+L98, "NA")</f>
        <v>4855.5300000000007</v>
      </c>
      <c r="M99" s="14">
        <f>IFERROR(L99/L148, "NA")</f>
        <v>0.18762425610562386</v>
      </c>
      <c r="N99" s="13">
        <f>IFERROR(N90+N91+N92+N93+N94+N95+N96+N97+N98, "NA")</f>
        <v>5042.93</v>
      </c>
      <c r="O99" s="14">
        <f>IFERROR(N99/N148, "NA")</f>
        <v>0.19624792726545365</v>
      </c>
      <c r="P99" s="13">
        <f>IFERROR(P90+P91+P92+P93+P94+P95+P96+P97+P98, "NA")</f>
        <v>7478.4900000000007</v>
      </c>
      <c r="Q99" s="14">
        <f>IFERROR(P99/P148, "NA")</f>
        <v>0.29718660848368861</v>
      </c>
      <c r="R99" s="13">
        <f>IFERROR(R90+R91+R92+R93+R94+R95+R96+R97+R98, "NA")</f>
        <v>8135.43</v>
      </c>
      <c r="S99" s="14">
        <f>IFERROR(R99/R148, "NA")</f>
        <v>0.28412259477703056</v>
      </c>
      <c r="T99" s="13">
        <f>IFERROR(T90+T91+T92+T93+T94+T95+T96+T97+T98, "NA")</f>
        <v>7556.11</v>
      </c>
      <c r="U99" s="14">
        <f>IFERROR(T99/T148, "NA")</f>
        <v>0.26926925607076446</v>
      </c>
      <c r="V99" s="13">
        <f>IFERROR(V90+V91+V92+V93+V94+V95+V96+V97+V98, "NA")</f>
        <v>5135.13</v>
      </c>
      <c r="W99" s="14">
        <f>IFERROR(V99/V148, "NA")</f>
        <v>0.1994804704434531</v>
      </c>
      <c r="X99" s="13">
        <f>IFERROR(X90+X91+X92+X93+X94+X95+X96+X97+X98, "NA")</f>
        <v>2707.2</v>
      </c>
      <c r="Y99" s="14">
        <f>IFERROR(X99/X148, "NA")</f>
        <v>0.13102009052156371</v>
      </c>
      <c r="Z99" s="13">
        <f>IFERROR(Z90+Z91+Z92+Z93+Z94+Z95+Z96+Z97+Z98, "NA")</f>
        <v>15398.440000000002</v>
      </c>
      <c r="AA99" s="14">
        <f>IFERROR(Z99/Z148, "NA")</f>
        <v>0.20678334188751088</v>
      </c>
      <c r="AB99" s="13">
        <f t="shared" si="36"/>
        <v>5883.4675000000007</v>
      </c>
      <c r="AC99" s="14">
        <f>IFERROR(AB99/AB148, "NA")</f>
        <v>0.22826242778132236</v>
      </c>
      <c r="AD99" s="15">
        <f t="shared" si="37"/>
        <v>-3176.2675000000008</v>
      </c>
      <c r="AE99" s="16">
        <f>IFERROR(AD99/AD148, "NA")</f>
        <v>0.62127056342890585</v>
      </c>
      <c r="AF99" s="15">
        <f t="shared" si="38"/>
        <v>-0.53986318442313153</v>
      </c>
      <c r="AG99" s="13">
        <f t="shared" si="39"/>
        <v>6137.3987499999994</v>
      </c>
      <c r="AH99" s="14">
        <f>IFERROR(AG99/AG148, "NA")</f>
        <v>0.23526219733629924</v>
      </c>
      <c r="AI99" s="15">
        <f t="shared" si="40"/>
        <v>-3430.1987499999996</v>
      </c>
      <c r="AJ99" s="16">
        <f>IFERROR(AI99/AI148, "NA")</f>
        <v>0.63229426339106209</v>
      </c>
      <c r="AK99" s="15">
        <f t="shared" si="41"/>
        <v>-0.55890107352076479</v>
      </c>
      <c r="AL99" s="16">
        <f>IFERROR(AK99/AK148, "NA")</f>
        <v>2.6876152248430256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7383.0399999999991</v>
      </c>
      <c r="C101" s="34">
        <f>IFERROR(B101/B148, "NA")</f>
        <v>0.22121203041761295</v>
      </c>
      <c r="D101" s="33">
        <f>IFERROR(D87-D99, "NA")</f>
        <v>6588.1500000000051</v>
      </c>
      <c r="E101" s="34">
        <f>IFERROR(D101/D148, "NA")</f>
        <v>0.24206082098929657</v>
      </c>
      <c r="F101" s="33">
        <f>IFERROR(F87-F99, "NA")</f>
        <v>15840.940000000008</v>
      </c>
      <c r="G101" s="34">
        <f>IFERROR(F101/F148, "NA")</f>
        <v>0.38389752095437485</v>
      </c>
      <c r="H101" s="33">
        <f>IFERROR(H87-H99, "NA")</f>
        <v>4730.7100000000009</v>
      </c>
      <c r="I101" s="34">
        <f>IFERROR(H101/H148, "NA")</f>
        <v>0.14771263993125683</v>
      </c>
      <c r="J101" s="33">
        <f>IFERROR(J87-J99, "NA")</f>
        <v>8229.9699999999903</v>
      </c>
      <c r="K101" s="34">
        <f>IFERROR(J101/J148, "NA")</f>
        <v>0.28517091952883877</v>
      </c>
      <c r="L101" s="33">
        <f>IFERROR(L87-L99, "NA")</f>
        <v>6494.5799999999963</v>
      </c>
      <c r="M101" s="34">
        <f>IFERROR(L101/L148, "NA")</f>
        <v>0.25095936822931003</v>
      </c>
      <c r="N101" s="33">
        <f>IFERROR(N87-N99, "NA")</f>
        <v>6880.7700000000041</v>
      </c>
      <c r="O101" s="34">
        <f>IFERROR(N101/N148, "NA")</f>
        <v>0.26776831137658386</v>
      </c>
      <c r="P101" s="33">
        <f>IFERROR(P87-P99, "NA")</f>
        <v>3603.7499999999955</v>
      </c>
      <c r="Q101" s="34">
        <f>IFERROR(P101/P148, "NA")</f>
        <v>0.14320888846853996</v>
      </c>
      <c r="R101" s="33">
        <f>IFERROR(R87-R99, "NA")</f>
        <v>5824.1299999999901</v>
      </c>
      <c r="S101" s="34">
        <f>IFERROR(R101/R148, "NA")</f>
        <v>0.20340251565298259</v>
      </c>
      <c r="T101" s="33">
        <f>IFERROR(T87-T99, "NA")</f>
        <v>5658.0999999999958</v>
      </c>
      <c r="U101" s="34">
        <f>IFERROR(T101/T148, "NA")</f>
        <v>0.20163184201579798</v>
      </c>
      <c r="V101" s="33">
        <f>IFERROR(V87-V99, "NA")</f>
        <v>7239.5099999999957</v>
      </c>
      <c r="W101" s="34">
        <f>IFERROR(V101/V148, "NA")</f>
        <v>0.28122771197225427</v>
      </c>
      <c r="X101" s="33">
        <f>IFERROR(X87-X99, "NA")</f>
        <v>5344.9199999999992</v>
      </c>
      <c r="Y101" s="34">
        <f>IFERROR(X101/X148, "NA")</f>
        <v>0.258677564358199</v>
      </c>
      <c r="Z101" s="33">
        <f>IFERROR(Z87-Z99, "NA")</f>
        <v>18242.530000000013</v>
      </c>
      <c r="AA101" s="34">
        <f>IFERROR(Z101/Z148, "NA")</f>
        <v>0.24497620004904236</v>
      </c>
      <c r="AB101" s="33">
        <f>IFERROR((R101+T101+V101+X101)/4, "NA")</f>
        <v>6016.6649999999945</v>
      </c>
      <c r="AC101" s="34">
        <f>IFERROR(AB101/AB148, "NA")</f>
        <v>0.233430126034844</v>
      </c>
      <c r="AD101" s="15">
        <f>IFERROR(X101-AB101, "NA")</f>
        <v>-671.74499999999534</v>
      </c>
      <c r="AE101" s="16">
        <f>IFERROR(AD101/AD148, "NA")</f>
        <v>0.13139176553314458</v>
      </c>
      <c r="AF101" s="15">
        <f>IFERROR((X101-AB101)/AB101, "NA")</f>
        <v>-0.1116473993483094</v>
      </c>
      <c r="AG101" s="33">
        <f>IFERROR((J101+L101+N101+P101+R101+T101+V101+X101)/8, "NA")</f>
        <v>6159.4662499999959</v>
      </c>
      <c r="AH101" s="34">
        <f>IFERROR(AG101/AG148, "NA")</f>
        <v>0.23610810107356545</v>
      </c>
      <c r="AI101" s="15">
        <f>IFERROR(X101-AG101, "NA")</f>
        <v>-814.54624999999669</v>
      </c>
      <c r="AJ101" s="16">
        <f>IFERROR(AI101/AI148, "NA")</f>
        <v>0.15014667040552676</v>
      </c>
      <c r="AK101" s="15">
        <f>IFERROR((X101-AG101)/AG101, "NA")</f>
        <v>-0.13224299264566913</v>
      </c>
      <c r="AL101" s="16">
        <f>IFERROR(AK101/AK148, "NA")</f>
        <v>0.6359234169552902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25414.949999999997</v>
      </c>
      <c r="C104" s="34">
        <f>IFERROR(B104/B148, "NA")</f>
        <v>0.76148750277150223</v>
      </c>
      <c r="D104" s="39">
        <v>-5483</v>
      </c>
      <c r="E104" s="34">
        <f>IFERROR(D104/D148, "NA")</f>
        <v>-0.20145556514109605</v>
      </c>
      <c r="F104" s="39">
        <v>0</v>
      </c>
      <c r="G104" s="34">
        <f>IFERROR(F104/F148, "NA")</f>
        <v>0</v>
      </c>
      <c r="H104" s="39">
        <v>861.28</v>
      </c>
      <c r="I104" s="34">
        <f>IFERROR(H104/H148, "NA")</f>
        <v>2.6892779840656657E-2</v>
      </c>
      <c r="J104" s="39">
        <v>23042.880000000001</v>
      </c>
      <c r="K104" s="34">
        <f>IFERROR(J104/J148, "NA")</f>
        <v>0.79844267697120364</v>
      </c>
      <c r="L104" s="39">
        <v>-6233</v>
      </c>
      <c r="M104" s="34">
        <f>IFERROR(L104/L148, "NA")</f>
        <v>-0.24085156271433877</v>
      </c>
      <c r="N104" s="39">
        <v>0</v>
      </c>
      <c r="O104" s="34">
        <f>IFERROR(N104/N148, "NA")</f>
        <v>0</v>
      </c>
      <c r="P104" s="39">
        <v>827.97</v>
      </c>
      <c r="Q104" s="34">
        <f>IFERROR(P104/P148, "NA")</f>
        <v>3.2902577422212191E-2</v>
      </c>
      <c r="R104" s="39">
        <v>23792.880000000001</v>
      </c>
      <c r="S104" s="34">
        <f>IFERROR(R104/R148, "NA")</f>
        <v>0.830944990346978</v>
      </c>
      <c r="T104" s="39">
        <v>-6611</v>
      </c>
      <c r="U104" s="34">
        <f>IFERROR(T104/T148, "NA")</f>
        <v>-0.23558935111900486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-6611</v>
      </c>
      <c r="AA104" s="34">
        <f>IFERROR(Z104/Z148, "NA")</f>
        <v>-8.8778127733610296E-2</v>
      </c>
      <c r="AB104" s="33">
        <f>IFERROR((R104+T104+V104+X104)/4, "NA")</f>
        <v>4295.47</v>
      </c>
      <c r="AC104" s="34">
        <f>IFERROR(AB104/AB148, "NA")</f>
        <v>0.16665247333512706</v>
      </c>
      <c r="AD104" s="15">
        <f>IFERROR(X104-AB104, "NA")</f>
        <v>-4295.47</v>
      </c>
      <c r="AE104" s="16">
        <f>IFERROR(AD104/AD148, "NA")</f>
        <v>0.84018397918058274</v>
      </c>
      <c r="AF104" s="15">
        <f>IFERROR((X104-AB104)/AB104, "NA")</f>
        <v>-1</v>
      </c>
      <c r="AG104" s="33">
        <f>IFERROR((J104+L104+N104+P104+R104+T104+V104+X104)/8, "NA")</f>
        <v>4352.4662500000004</v>
      </c>
      <c r="AH104" s="34">
        <f>IFERROR(AG104/AG148, "NA")</f>
        <v>0.16684116765381793</v>
      </c>
      <c r="AI104" s="15">
        <f>IFERROR(X104-AG104, "NA")</f>
        <v>-4352.4662500000004</v>
      </c>
      <c r="AJ104" s="16">
        <f>IFERROR(AI104/AI148, "NA")</f>
        <v>0.80229737168384452</v>
      </c>
      <c r="AK104" s="15">
        <f>IFERROR((X104-AG104)/AG104, "NA")</f>
        <v>-1</v>
      </c>
      <c r="AL104" s="16">
        <f>IFERROR(AK104/AK148, "NA")</f>
        <v>4.8087494409566078</v>
      </c>
    </row>
    <row r="105" spans="1:38" ht="16.5" hidden="1" customHeight="1">
      <c r="A105" s="12" t="s">
        <v>112</v>
      </c>
      <c r="B105" s="13">
        <f>IFERROR(B104, "NA")</f>
        <v>25414.949999999997</v>
      </c>
      <c r="C105" s="14">
        <f>IFERROR(B105/B148, "NA")</f>
        <v>0.76148750277150223</v>
      </c>
      <c r="D105" s="13">
        <f>IFERROR(D104, "NA")</f>
        <v>-5483</v>
      </c>
      <c r="E105" s="14">
        <f>IFERROR(D105/D148, "NA")</f>
        <v>-0.20145556514109605</v>
      </c>
      <c r="F105" s="13">
        <f>IFERROR(F104, "NA")</f>
        <v>0</v>
      </c>
      <c r="G105" s="14">
        <f>IFERROR(F105/F148, "NA")</f>
        <v>0</v>
      </c>
      <c r="H105" s="13">
        <f>IFERROR(H104, "NA")</f>
        <v>861.28</v>
      </c>
      <c r="I105" s="14">
        <f>IFERROR(H105/H148, "NA")</f>
        <v>2.6892779840656657E-2</v>
      </c>
      <c r="J105" s="13">
        <f>IFERROR(J104, "NA")</f>
        <v>23042.880000000001</v>
      </c>
      <c r="K105" s="14">
        <f>IFERROR(J105/J148, "NA")</f>
        <v>0.79844267697120364</v>
      </c>
      <c r="L105" s="13">
        <f>IFERROR(L104, "NA")</f>
        <v>-6233</v>
      </c>
      <c r="M105" s="14">
        <f>IFERROR(L105/L148, "NA")</f>
        <v>-0.24085156271433877</v>
      </c>
      <c r="N105" s="13">
        <f>IFERROR(N104, "NA")</f>
        <v>0</v>
      </c>
      <c r="O105" s="14">
        <f>IFERROR(N105/N148, "NA")</f>
        <v>0</v>
      </c>
      <c r="P105" s="13">
        <f>IFERROR(P104, "NA")</f>
        <v>827.97</v>
      </c>
      <c r="Q105" s="14">
        <f>IFERROR(P105/P148, "NA")</f>
        <v>3.2902577422212191E-2</v>
      </c>
      <c r="R105" s="13">
        <f>IFERROR(R104, "NA")</f>
        <v>23792.880000000001</v>
      </c>
      <c r="S105" s="14">
        <f>IFERROR(R105/R148, "NA")</f>
        <v>0.830944990346978</v>
      </c>
      <c r="T105" s="13">
        <f>IFERROR(T104, "NA")</f>
        <v>-6611</v>
      </c>
      <c r="U105" s="14">
        <f>IFERROR(T105/T148, "NA")</f>
        <v>-0.23558935111900486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-6611</v>
      </c>
      <c r="AA105" s="14">
        <f>IFERROR(Z105/Z148, "NA")</f>
        <v>-8.8778127733610296E-2</v>
      </c>
      <c r="AB105" s="13">
        <f>IFERROR((R105+T105+V105+X105)/4, "NA")</f>
        <v>4295.47</v>
      </c>
      <c r="AC105" s="14">
        <f>IFERROR(AB105/AB148, "NA")</f>
        <v>0.16665247333512706</v>
      </c>
      <c r="AD105" s="15">
        <f>IFERROR(X105-AB105, "NA")</f>
        <v>-4295.47</v>
      </c>
      <c r="AE105" s="16">
        <f>IFERROR(AD105/AD148, "NA")</f>
        <v>0.84018397918058274</v>
      </c>
      <c r="AF105" s="15">
        <f>IFERROR((X105-AB105)/AB105, "NA")</f>
        <v>-1</v>
      </c>
      <c r="AG105" s="13">
        <f>IFERROR((J105+L105+N105+P105+R105+T105+V105+X105)/8, "NA")</f>
        <v>4352.4662500000004</v>
      </c>
      <c r="AH105" s="14">
        <f>IFERROR(AG105/AG148, "NA")</f>
        <v>0.16684116765381793</v>
      </c>
      <c r="AI105" s="15">
        <f>IFERROR(X105-AG105, "NA")</f>
        <v>-4352.4662500000004</v>
      </c>
      <c r="AJ105" s="16">
        <f>IFERROR(AI105/AI148, "NA")</f>
        <v>0.80229737168384452</v>
      </c>
      <c r="AK105" s="15">
        <f>IFERROR((X105-AG105)/AG105, "NA")</f>
        <v>-1</v>
      </c>
      <c r="AL105" s="16">
        <f>IFERROR(AK105/AK148, "NA")</f>
        <v>4.8087494409566078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-18031.909999999996</v>
      </c>
      <c r="C107" s="34">
        <f>IFERROR(B107/B148, "NA")</f>
        <v>-0.54027547235388929</v>
      </c>
      <c r="D107" s="33">
        <f>IFERROR(D87-D99-D105, "NA")</f>
        <v>12071.150000000005</v>
      </c>
      <c r="E107" s="34">
        <f>IFERROR(D107/D148, "NA")</f>
        <v>0.44351638613039263</v>
      </c>
      <c r="F107" s="33">
        <f>IFERROR(F87-F99-F105, "NA")</f>
        <v>15840.940000000008</v>
      </c>
      <c r="G107" s="34">
        <f>IFERROR(F107/F148, "NA")</f>
        <v>0.38389752095437485</v>
      </c>
      <c r="H107" s="33">
        <f>IFERROR(H87-H99-H105, "NA")</f>
        <v>3869.4300000000012</v>
      </c>
      <c r="I107" s="34">
        <f>IFERROR(H107/H148, "NA")</f>
        <v>0.12081986009060018</v>
      </c>
      <c r="J107" s="33">
        <f>IFERROR(J87-J99-J105, "NA")</f>
        <v>-14812.910000000011</v>
      </c>
      <c r="K107" s="34">
        <f>IFERROR(J107/J148, "NA")</f>
        <v>-0.51327175744236486</v>
      </c>
      <c r="L107" s="33">
        <f>IFERROR(L87-L99-L105, "NA")</f>
        <v>12727.579999999996</v>
      </c>
      <c r="M107" s="34">
        <f>IFERROR(L107/L148, "NA")</f>
        <v>0.49181093094364881</v>
      </c>
      <c r="N107" s="33">
        <f>IFERROR(N87-N99-N105, "NA")</f>
        <v>6880.7700000000041</v>
      </c>
      <c r="O107" s="34">
        <f>IFERROR(N107/N148, "NA")</f>
        <v>0.26776831137658386</v>
      </c>
      <c r="P107" s="33">
        <f>IFERROR(P87-P99-P105, "NA")</f>
        <v>2775.7799999999952</v>
      </c>
      <c r="Q107" s="34">
        <f>IFERROR(P107/P148, "NA")</f>
        <v>0.11030631104632775</v>
      </c>
      <c r="R107" s="33">
        <f>IFERROR(R87-R99-R105, "NA")</f>
        <v>-17968.750000000011</v>
      </c>
      <c r="S107" s="34">
        <f>IFERROR(R107/R148, "NA")</f>
        <v>-0.62754247469399538</v>
      </c>
      <c r="T107" s="33">
        <f>IFERROR(T87-T99-T105, "NA")</f>
        <v>12269.099999999995</v>
      </c>
      <c r="U107" s="34">
        <f>IFERROR(T107/T148, "NA")</f>
        <v>0.43722119313480279</v>
      </c>
      <c r="V107" s="33">
        <f>IFERROR(V87-V99-V105, "NA")</f>
        <v>7239.5099999999957</v>
      </c>
      <c r="W107" s="34">
        <f>IFERROR(V107/V148, "NA")</f>
        <v>0.28122771197225427</v>
      </c>
      <c r="X107" s="33">
        <f>IFERROR(X87-X99-X105, "NA")</f>
        <v>5344.9199999999992</v>
      </c>
      <c r="Y107" s="34">
        <f>IFERROR(X107/X148, "NA")</f>
        <v>0.258677564358199</v>
      </c>
      <c r="Z107" s="33">
        <f>IFERROR(Z87-Z99-Z105, "NA")</f>
        <v>24853.530000000013</v>
      </c>
      <c r="AA107" s="34">
        <f>IFERROR(Z107/Z148, "NA")</f>
        <v>0.33375432778265268</v>
      </c>
      <c r="AB107" s="33">
        <f>IFERROR((R107+T107+V107+X107)/4, "NA")</f>
        <v>1721.1949999999947</v>
      </c>
      <c r="AC107" s="34">
        <f>IFERROR(AB107/AB148, "NA")</f>
        <v>6.6777652699716944E-2</v>
      </c>
      <c r="AD107" s="15">
        <f>IFERROR(X107-AB107, "NA")</f>
        <v>3623.7250000000045</v>
      </c>
      <c r="AE107" s="16">
        <f>IFERROR(AD107/AD148, "NA")</f>
        <v>-0.70879221364743805</v>
      </c>
      <c r="AF107" s="15">
        <f>IFERROR((X107-AB107)/AB107, "NA")</f>
        <v>2.1053541289627353</v>
      </c>
      <c r="AG107" s="33">
        <f>IFERROR((J107+L107+N107+P107+R107+T107+V107+X107)/8, "NA")</f>
        <v>1806.9999999999955</v>
      </c>
      <c r="AH107" s="34">
        <f>IFERROR(AG107/AG148, "NA")</f>
        <v>6.9266933419747531E-2</v>
      </c>
      <c r="AI107" s="15">
        <f>IFERROR(X107-AG107, "NA")</f>
        <v>3537.9200000000037</v>
      </c>
      <c r="AJ107" s="16">
        <f>IFERROR(AI107/AI148, "NA")</f>
        <v>-0.65215070127831776</v>
      </c>
      <c r="AK107" s="15">
        <f>IFERROR((X107-AG107)/AG107, "NA")</f>
        <v>1.9578970669618221</v>
      </c>
      <c r="AL107" s="16">
        <f>IFERROR(AK107/AK148, "NA")</f>
        <v>-9.415036426203244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-1346.44</v>
      </c>
      <c r="C128" s="8">
        <f>IFERROR(B128/B148, "NA")</f>
        <v>-4.0342288032502983E-2</v>
      </c>
      <c r="D128" s="7">
        <v>300.64999999999998</v>
      </c>
      <c r="E128" s="8">
        <f>IFERROR(D128/D148, "NA")</f>
        <v>1.1046437289744762E-2</v>
      </c>
      <c r="F128" s="7">
        <v>245.37</v>
      </c>
      <c r="G128" s="8">
        <f>IFERROR(F128/F148, "NA")</f>
        <v>5.9464233004212445E-3</v>
      </c>
      <c r="H128" s="7">
        <v>251.6</v>
      </c>
      <c r="I128" s="8">
        <f>IFERROR(H128/H148, "NA")</f>
        <v>7.8560089725864014E-3</v>
      </c>
      <c r="J128" s="7">
        <v>-797.62</v>
      </c>
      <c r="K128" s="8">
        <f>IFERROR(J128/J148, "NA")</f>
        <v>-2.7637771320502099E-2</v>
      </c>
      <c r="L128" s="7">
        <v>359.13</v>
      </c>
      <c r="M128" s="8">
        <f>IFERROR(L128/L148, "NA")</f>
        <v>1.3877269648259343E-2</v>
      </c>
      <c r="N128" s="7">
        <v>451.77</v>
      </c>
      <c r="O128" s="8">
        <f>IFERROR(N128/N148, "NA")</f>
        <v>1.7580836160865605E-2</v>
      </c>
      <c r="P128" s="7">
        <v>455.64000000000004</v>
      </c>
      <c r="Q128" s="8">
        <f>IFERROR(P128/P148, "NA")</f>
        <v>1.8106610597795527E-2</v>
      </c>
      <c r="R128" s="7">
        <v>-1266.54</v>
      </c>
      <c r="S128" s="8">
        <f>IFERROR(R128/R148, "NA")</f>
        <v>-4.4232773336984062E-2</v>
      </c>
      <c r="T128" s="7">
        <v>467.43</v>
      </c>
      <c r="U128" s="8">
        <f>IFERROR(T128/T148, "NA")</f>
        <v>1.6657318165717205E-2</v>
      </c>
      <c r="V128" s="7">
        <v>455.22</v>
      </c>
      <c r="W128" s="8">
        <f>IFERROR(V128/V148, "NA")</f>
        <v>1.7683583425398913E-2</v>
      </c>
      <c r="X128" s="7">
        <v>404.53999999999996</v>
      </c>
      <c r="Y128" s="8">
        <f>IFERROR(X128/X148, "NA")</f>
        <v>1.9578482350618123E-2</v>
      </c>
      <c r="Z128" s="7">
        <v>1327.19</v>
      </c>
      <c r="AA128" s="8">
        <f>IFERROR(Z128/Z148, "NA")</f>
        <v>1.7822635508511611E-2</v>
      </c>
      <c r="AB128" s="9">
        <f t="shared" si="42"/>
        <v>15.162500000000023</v>
      </c>
      <c r="AC128" s="8">
        <f>IFERROR(AB128/AB148, "NA")</f>
        <v>5.8826347918711295E-4</v>
      </c>
      <c r="AD128" s="10">
        <f t="shared" si="43"/>
        <v>389.37749999999994</v>
      </c>
      <c r="AE128" s="11">
        <f>IFERROR(AD128/AD148, "NA")</f>
        <v>-7.6161336792804346E-2</v>
      </c>
      <c r="AF128" s="10">
        <f t="shared" si="44"/>
        <v>25.680296784830954</v>
      </c>
      <c r="AG128" s="9">
        <f t="shared" si="45"/>
        <v>66.19625000000002</v>
      </c>
      <c r="AH128" s="8">
        <f>IFERROR(AG128/AG148, "NA")</f>
        <v>2.5374716333076783E-3</v>
      </c>
      <c r="AI128" s="10">
        <f t="shared" si="46"/>
        <v>338.34374999999994</v>
      </c>
      <c r="AJ128" s="11">
        <f>IFERROR(AI128/AI148, "NA")</f>
        <v>-6.2367468409584043E-2</v>
      </c>
      <c r="AK128" s="10">
        <f t="shared" si="47"/>
        <v>5.1112223124421678</v>
      </c>
      <c r="AL128" s="11">
        <f>IFERROR(AK128/AK148, "NA")</f>
        <v>-24.578587437561215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-1346.44</v>
      </c>
      <c r="C135" s="14">
        <f>IFERROR(B135/B148, "NA")</f>
        <v>-4.0342288032502983E-2</v>
      </c>
      <c r="D135" s="13">
        <f>IFERROR(D110+D111+D112+D113+D114+D115+D116+D117+D118+D119+D120+D121+D122+D123+D124+D125+D126+D127+D128+D129+D130+D131+D132+D133+D134, "NA")</f>
        <v>300.64999999999998</v>
      </c>
      <c r="E135" s="14">
        <f>IFERROR(D135/D148, "NA")</f>
        <v>1.1046437289744762E-2</v>
      </c>
      <c r="F135" s="13">
        <f>IFERROR(F110+F111+F112+F113+F114+F115+F116+F117+F118+F119+F120+F121+F122+F123+F124+F125+F126+F127+F128+F129+F130+F131+F132+F133+F134, "NA")</f>
        <v>245.37</v>
      </c>
      <c r="G135" s="14">
        <f>IFERROR(F135/F148, "NA")</f>
        <v>5.9464233004212445E-3</v>
      </c>
      <c r="H135" s="13">
        <f>IFERROR(H110+H111+H112+H113+H114+H115+H116+H117+H118+H119+H120+H121+H122+H123+H124+H125+H126+H127+H128+H129+H130+H131+H132+H133+H134, "NA")</f>
        <v>251.6</v>
      </c>
      <c r="I135" s="14">
        <f>IFERROR(H135/H148, "NA")</f>
        <v>7.8560089725864014E-3</v>
      </c>
      <c r="J135" s="13">
        <f>IFERROR(J110+J111+J112+J113+J114+J115+J116+J117+J118+J119+J120+J121+J122+J123+J124+J125+J126+J127+J128+J129+J130+J131+J132+J133+J134, "NA")</f>
        <v>-797.62</v>
      </c>
      <c r="K135" s="14">
        <f>IFERROR(J135/J148, "NA")</f>
        <v>-2.7637771320502099E-2</v>
      </c>
      <c r="L135" s="13">
        <f>IFERROR(L110+L111+L112+L113+L114+L115+L116+L117+L118+L119+L120+L121+L122+L123+L124+L125+L126+L127+L128+L129+L130+L131+L132+L133+L134, "NA")</f>
        <v>359.13</v>
      </c>
      <c r="M135" s="14">
        <f>IFERROR(L135/L148, "NA")</f>
        <v>1.3877269648259343E-2</v>
      </c>
      <c r="N135" s="13">
        <f>IFERROR(N110+N111+N112+N113+N114+N115+N116+N117+N118+N119+N120+N121+N122+N123+N124+N125+N126+N127+N128+N129+N130+N131+N132+N133+N134, "NA")</f>
        <v>451.77</v>
      </c>
      <c r="O135" s="14">
        <f>IFERROR(N135/N148, "NA")</f>
        <v>1.7580836160865605E-2</v>
      </c>
      <c r="P135" s="13">
        <f>IFERROR(P110+P111+P112+P113+P114+P115+P116+P117+P118+P119+P120+P121+P122+P123+P124+P125+P126+P127+P128+P129+P130+P131+P132+P133+P134, "NA")</f>
        <v>455.64000000000004</v>
      </c>
      <c r="Q135" s="14">
        <f>IFERROR(P135/P148, "NA")</f>
        <v>1.8106610597795527E-2</v>
      </c>
      <c r="R135" s="13">
        <f>IFERROR(R110+R111+R112+R113+R114+R115+R116+R117+R118+R119+R120+R121+R122+R123+R124+R125+R126+R127+R128+R129+R130+R131+R132+R133+R134, "NA")</f>
        <v>-1266.54</v>
      </c>
      <c r="S135" s="14">
        <f>IFERROR(R135/R148, "NA")</f>
        <v>-4.4232773336984062E-2</v>
      </c>
      <c r="T135" s="13">
        <f>IFERROR(T110+T111+T112+T113+T114+T115+T116+T117+T118+T119+T120+T121+T122+T123+T124+T125+T126+T127+T128+T129+T130+T131+T132+T133+T134, "NA")</f>
        <v>467.43</v>
      </c>
      <c r="U135" s="14">
        <f>IFERROR(T135/T148, "NA")</f>
        <v>1.6657318165717205E-2</v>
      </c>
      <c r="V135" s="13">
        <f>IFERROR(V110+V111+V112+V113+V114+V115+V116+V117+V118+V119+V120+V121+V122+V123+V124+V125+V126+V127+V128+V129+V130+V131+V132+V133+V134, "NA")</f>
        <v>455.22</v>
      </c>
      <c r="W135" s="14">
        <f>IFERROR(V135/V148, "NA")</f>
        <v>1.7683583425398913E-2</v>
      </c>
      <c r="X135" s="13">
        <f>IFERROR(X110+X111+X112+X113+X114+X115+X116+X117+X118+X119+X120+X121+X122+X123+X124+X125+X126+X127+X128+X129+X130+X131+X132+X133+X134, "NA")</f>
        <v>404.53999999999996</v>
      </c>
      <c r="Y135" s="14">
        <f>IFERROR(X135/X148, "NA")</f>
        <v>1.9578482350618123E-2</v>
      </c>
      <c r="Z135" s="13">
        <f>IFERROR(Z110+Z111+Z112+Z113+Z114+Z115+Z116+Z117+Z118+Z119+Z120+Z121+Z122+Z123+Z124+Z125+Z126+Z127+Z128+Z129+Z130+Z131+Z132+Z133+Z134, "NA")</f>
        <v>1327.19</v>
      </c>
      <c r="AA135" s="14">
        <f>IFERROR(Z135/Z148, "NA")</f>
        <v>1.7822635508511611E-2</v>
      </c>
      <c r="AB135" s="13">
        <f t="shared" si="42"/>
        <v>15.162500000000023</v>
      </c>
      <c r="AC135" s="14">
        <f>IFERROR(AB135/AB148, "NA")</f>
        <v>5.8826347918711295E-4</v>
      </c>
      <c r="AD135" s="15">
        <f t="shared" si="43"/>
        <v>389.37749999999994</v>
      </c>
      <c r="AE135" s="16">
        <f>IFERROR(AD135/AD148, "NA")</f>
        <v>-7.6161336792804346E-2</v>
      </c>
      <c r="AF135" s="15">
        <f t="shared" si="44"/>
        <v>25.680296784830954</v>
      </c>
      <c r="AG135" s="13">
        <f t="shared" si="45"/>
        <v>66.19625000000002</v>
      </c>
      <c r="AH135" s="14">
        <f>IFERROR(AG135/AG148, "NA")</f>
        <v>2.5374716333076783E-3</v>
      </c>
      <c r="AI135" s="15">
        <f t="shared" si="46"/>
        <v>338.34374999999994</v>
      </c>
      <c r="AJ135" s="16">
        <f>IFERROR(AI135/AI148, "NA")</f>
        <v>-6.2367468409584043E-2</v>
      </c>
      <c r="AK135" s="15">
        <f t="shared" si="47"/>
        <v>5.1112223124421678</v>
      </c>
      <c r="AL135" s="16">
        <f>IFERROR(AK135/AK148, "NA")</f>
        <v>-24.578587437561215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-16685.469999999998</v>
      </c>
      <c r="C137" s="34">
        <f>IFERROR(B137/B148, "NA")</f>
        <v>-0.49993318432138634</v>
      </c>
      <c r="D137" s="33">
        <f>IFERROR(D107-D135, "NA")</f>
        <v>11770.500000000005</v>
      </c>
      <c r="E137" s="34">
        <f>IFERROR(D137/D148, "NA")</f>
        <v>0.43246994884064788</v>
      </c>
      <c r="F137" s="33">
        <f>IFERROR(F107-F135, "NA")</f>
        <v>15595.570000000007</v>
      </c>
      <c r="G137" s="34">
        <f>IFERROR(F137/F148, "NA")</f>
        <v>0.37795109765395357</v>
      </c>
      <c r="H137" s="33">
        <f>IFERROR(H107-H135, "NA")</f>
        <v>3617.8300000000013</v>
      </c>
      <c r="I137" s="34">
        <f>IFERROR(H137/H148, "NA")</f>
        <v>0.11296385111801378</v>
      </c>
      <c r="J137" s="33">
        <f>IFERROR(J107-J135, "NA")</f>
        <v>-14015.29000000001</v>
      </c>
      <c r="K137" s="34">
        <f>IFERROR(J137/J148, "NA")</f>
        <v>-0.4856339861218627</v>
      </c>
      <c r="L137" s="33">
        <f>IFERROR(L107-L135, "NA")</f>
        <v>12368.449999999997</v>
      </c>
      <c r="M137" s="34">
        <f>IFERROR(L137/L148, "NA")</f>
        <v>0.4779336612953895</v>
      </c>
      <c r="N137" s="33">
        <f>IFERROR(N107-N135, "NA")</f>
        <v>6429.0000000000036</v>
      </c>
      <c r="O137" s="34">
        <f>IFERROR(N137/N148, "NA")</f>
        <v>0.25018747521571827</v>
      </c>
      <c r="P137" s="33">
        <f>IFERROR(P107-P135, "NA")</f>
        <v>2320.1399999999953</v>
      </c>
      <c r="Q137" s="34">
        <f>IFERROR(P137/P148, "NA")</f>
        <v>9.2199700448532235E-2</v>
      </c>
      <c r="R137" s="33">
        <f>IFERROR(R107-R135, "NA")</f>
        <v>-16702.21000000001</v>
      </c>
      <c r="S137" s="34">
        <f>IFERROR(R137/R148, "NA")</f>
        <v>-0.58330970135701132</v>
      </c>
      <c r="T137" s="33">
        <f>IFERROR(T107-T135, "NA")</f>
        <v>11801.669999999995</v>
      </c>
      <c r="U137" s="34">
        <f>IFERROR(T137/T148, "NA")</f>
        <v>0.42056387496908559</v>
      </c>
      <c r="V137" s="33">
        <f>IFERROR(V107-V135, "NA")</f>
        <v>6784.2899999999954</v>
      </c>
      <c r="W137" s="34">
        <f>IFERROR(V137/V148, "NA")</f>
        <v>0.26354412854685538</v>
      </c>
      <c r="X137" s="33">
        <f>IFERROR(X107-X135, "NA")</f>
        <v>4940.3799999999992</v>
      </c>
      <c r="Y137" s="34">
        <f>IFERROR(X137/X148, "NA")</f>
        <v>0.23909908200758084</v>
      </c>
      <c r="Z137" s="33">
        <f>IFERROR(Z107-Z135, "NA")</f>
        <v>23526.340000000015</v>
      </c>
      <c r="AA137" s="34">
        <f>IFERROR(Z137/Z148, "NA")</f>
        <v>0.31593169227414108</v>
      </c>
      <c r="AB137" s="33">
        <f>IFERROR((R137+T137+V137+X137)/4, "NA")</f>
        <v>1706.0324999999948</v>
      </c>
      <c r="AC137" s="34">
        <f>IFERROR(AB137/AB148, "NA")</f>
        <v>6.6189389220529832E-2</v>
      </c>
      <c r="AD137" s="15">
        <f>IFERROR(X137-AB137, "NA")</f>
        <v>3234.3475000000044</v>
      </c>
      <c r="AE137" s="16">
        <f>IFERROR(AD137/AD148, "NA")</f>
        <v>-0.63263087685463371</v>
      </c>
      <c r="AF137" s="15">
        <f>IFERROR((X137-AB137)/AB137, "NA")</f>
        <v>1.895829944622986</v>
      </c>
      <c r="AG137" s="33">
        <f>IFERROR((J137+L137+N137+P137+R137+T137+V137+X137)/8, "NA")</f>
        <v>1740.8037499999957</v>
      </c>
      <c r="AH137" s="34">
        <f>IFERROR(AG137/AG148, "NA")</f>
        <v>6.6729461786439861E-2</v>
      </c>
      <c r="AI137" s="15">
        <f>IFERROR(X137-AG137, "NA")</f>
        <v>3199.5762500000037</v>
      </c>
      <c r="AJ137" s="16">
        <f>IFERROR(AI137/AI148, "NA")</f>
        <v>-0.58978323286873369</v>
      </c>
      <c r="AK137" s="15">
        <f>IFERROR((X137-AG137)/AG137, "NA")</f>
        <v>1.8379879121928659</v>
      </c>
      <c r="AL137" s="16">
        <f>IFERROR(AK137/AK148, "NA")</f>
        <v>-8.8384233452424468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8772.99</v>
      </c>
      <c r="C140" s="8">
        <f>IFERROR(B140/B148, "NA")</f>
        <v>0.26285797323777393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600.96</v>
      </c>
      <c r="I140" s="8">
        <f>IFERROR(H140/H148, "NA")</f>
        <v>1.8764495835316072E-2</v>
      </c>
      <c r="J140" s="7">
        <v>8270.2400000000016</v>
      </c>
      <c r="K140" s="8">
        <f>IFERROR(J140/J148, "NA")</f>
        <v>0.28656628706109338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8232.2100000000009</v>
      </c>
      <c r="S140" s="8">
        <f>IFERROR(R140/R148, "NA")</f>
        <v>0.28750254945951459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2058.0525000000002</v>
      </c>
      <c r="AC140" s="8">
        <f>IFERROR(AB140/AB148, "NA")</f>
        <v>7.984680125307396E-2</v>
      </c>
      <c r="AD140" s="10">
        <f>IFERROR(X140-AB140, "NA")</f>
        <v>-2058.0525000000002</v>
      </c>
      <c r="AE140" s="11">
        <f>IFERROR(AD140/AD148, "NA")</f>
        <v>0.40255030038914164</v>
      </c>
      <c r="AF140" s="10">
        <f>IFERROR((X140-AB140)/AB140, "NA")</f>
        <v>-1</v>
      </c>
      <c r="AG140" s="9">
        <f>IFERROR((J140+L140+N140+P140+R140+T140+V140+X140)/8, "NA")</f>
        <v>2062.8062500000005</v>
      </c>
      <c r="AH140" s="8">
        <f>IFERROR(AG140/AG148, "NA")</f>
        <v>7.9072641492301865E-2</v>
      </c>
      <c r="AI140" s="10">
        <f>IFERROR(X140-AG140, "NA")</f>
        <v>-2062.8062500000005</v>
      </c>
      <c r="AJ140" s="11">
        <f>IFERROR(AI140/AI148, "NA")</f>
        <v>0.38024052057106883</v>
      </c>
      <c r="AK140" s="10">
        <f>IFERROR((X140-AG140)/AG140, "NA")</f>
        <v>-1</v>
      </c>
      <c r="AL140" s="11">
        <f>IFERROR(AK140/AK148, "NA")</f>
        <v>4.8087494409566078</v>
      </c>
    </row>
    <row r="141" spans="1:38" ht="16.5" hidden="1" customHeight="1">
      <c r="A141" s="12" t="s">
        <v>144</v>
      </c>
      <c r="B141" s="13">
        <f>IFERROR(B140, "NA")</f>
        <v>8772.99</v>
      </c>
      <c r="C141" s="14">
        <f>IFERROR(B141/B148, "NA")</f>
        <v>0.26285797323777393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600.96</v>
      </c>
      <c r="I141" s="14">
        <f>IFERROR(H141/H148, "NA")</f>
        <v>1.8764495835316072E-2</v>
      </c>
      <c r="J141" s="13">
        <f>IFERROR(J140, "NA")</f>
        <v>8270.2400000000016</v>
      </c>
      <c r="K141" s="14">
        <f>IFERROR(J141/J148, "NA")</f>
        <v>0.28656628706109338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8232.2100000000009</v>
      </c>
      <c r="S141" s="14">
        <f>IFERROR(R141/R148, "NA")</f>
        <v>0.28750254945951459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2058.0525000000002</v>
      </c>
      <c r="AC141" s="14">
        <f>IFERROR(AB141/AB148, "NA")</f>
        <v>7.984680125307396E-2</v>
      </c>
      <c r="AD141" s="15">
        <f>IFERROR(X141-AB141, "NA")</f>
        <v>-2058.0525000000002</v>
      </c>
      <c r="AE141" s="16">
        <f>IFERROR(AD141/AD148, "NA")</f>
        <v>0.40255030038914164</v>
      </c>
      <c r="AF141" s="15">
        <f>IFERROR((X141-AB141)/AB141, "NA")</f>
        <v>-1</v>
      </c>
      <c r="AG141" s="13">
        <f>IFERROR((J141+L141+N141+P141+R141+T141+V141+X141)/8, "NA")</f>
        <v>2062.8062500000005</v>
      </c>
      <c r="AH141" s="14">
        <f>IFERROR(AG141/AG148, "NA")</f>
        <v>7.9072641492301865E-2</v>
      </c>
      <c r="AI141" s="15">
        <f>IFERROR(X141-AG141, "NA")</f>
        <v>-2062.8062500000005</v>
      </c>
      <c r="AJ141" s="16">
        <f>IFERROR(AI141/AI148, "NA")</f>
        <v>0.38024052057106883</v>
      </c>
      <c r="AK141" s="15">
        <f>IFERROR((X141-AG141)/AG141, "NA")</f>
        <v>-1</v>
      </c>
      <c r="AL141" s="16">
        <f>IFERROR(AK141/AK148, "NA")</f>
        <v>4.8087494409566078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-25458.46</v>
      </c>
      <c r="C147" s="34">
        <f>IFERROR(B147/B148, "NA")</f>
        <v>-0.76279115755916027</v>
      </c>
      <c r="D147" s="33">
        <f>IFERROR(D137-D141-D145, "NA")</f>
        <v>11770.500000000005</v>
      </c>
      <c r="E147" s="34">
        <f>IFERROR(D147/D148, "NA")</f>
        <v>0.43246994884064788</v>
      </c>
      <c r="F147" s="33">
        <f>IFERROR(F137-F141-F145, "NA")</f>
        <v>15595.570000000007</v>
      </c>
      <c r="G147" s="34">
        <f>IFERROR(F147/F148, "NA")</f>
        <v>0.37795109765395357</v>
      </c>
      <c r="H147" s="33">
        <f>IFERROR(H137-H141-H145, "NA")</f>
        <v>3016.8700000000013</v>
      </c>
      <c r="I147" s="34">
        <f>IFERROR(H147/H148, "NA")</f>
        <v>9.4199355282697711E-2</v>
      </c>
      <c r="J147" s="33">
        <f>IFERROR(J137-J141-J145, "NA")</f>
        <v>-22285.530000000013</v>
      </c>
      <c r="K147" s="34">
        <f>IFERROR(J147/J148, "NA")</f>
        <v>-0.77220027318295614</v>
      </c>
      <c r="L147" s="33">
        <f>IFERROR(L137-L141-L145, "NA")</f>
        <v>12368.449999999997</v>
      </c>
      <c r="M147" s="34">
        <f>IFERROR(L147/L148, "NA")</f>
        <v>0.4779336612953895</v>
      </c>
      <c r="N147" s="33">
        <f>IFERROR(N137-N141-N145, "NA")</f>
        <v>6429.0000000000036</v>
      </c>
      <c r="O147" s="34">
        <f>IFERROR(N147/N148, "NA")</f>
        <v>0.25018747521571827</v>
      </c>
      <c r="P147" s="33">
        <f>IFERROR(P137-P141-P145, "NA")</f>
        <v>2320.1399999999953</v>
      </c>
      <c r="Q147" s="34">
        <f>IFERROR(P147/P148, "NA")</f>
        <v>9.2199700448532235E-2</v>
      </c>
      <c r="R147" s="33">
        <f>IFERROR(R137-R141-R145, "NA")</f>
        <v>-24934.420000000013</v>
      </c>
      <c r="S147" s="34">
        <f>IFERROR(R147/R148, "NA")</f>
        <v>-0.87081225081652591</v>
      </c>
      <c r="T147" s="33">
        <f>IFERROR(T137-T141-T145, "NA")</f>
        <v>11801.669999999995</v>
      </c>
      <c r="U147" s="34">
        <f>IFERROR(T147/T148, "NA")</f>
        <v>0.42056387496908559</v>
      </c>
      <c r="V147" s="33">
        <f>IFERROR(V137-V141-V145, "NA")</f>
        <v>6784.2899999999954</v>
      </c>
      <c r="W147" s="34">
        <f>IFERROR(V147/V148, "NA")</f>
        <v>0.26354412854685538</v>
      </c>
      <c r="X147" s="33">
        <f>IFERROR(X137-X141-X145, "NA")</f>
        <v>4940.3799999999992</v>
      </c>
      <c r="Y147" s="34">
        <f>IFERROR(X147/X148, "NA")</f>
        <v>0.23909908200758084</v>
      </c>
      <c r="Z147" s="33">
        <f>IFERROR(Z137-Z141-Z145, "NA")</f>
        <v>23526.340000000015</v>
      </c>
      <c r="AA147" s="34">
        <f>IFERROR(Z147/Z148, "NA")</f>
        <v>0.31593169227414108</v>
      </c>
      <c r="AB147" s="33">
        <f>IFERROR((R147+T147+V147+X147)/4, "NA")</f>
        <v>-352.02000000000589</v>
      </c>
      <c r="AC147" s="34">
        <f>IFERROR(AB147/AB148, "NA")</f>
        <v>-1.3657412032544149E-2</v>
      </c>
      <c r="AD147" s="15">
        <f>IFERROR(X147-AB147, "NA")</f>
        <v>5292.4000000000051</v>
      </c>
      <c r="AE147" s="16">
        <f>IFERROR(AD147/AD148, "NA")</f>
        <v>-1.0351811772437753</v>
      </c>
      <c r="AF147" s="15">
        <f>IFERROR((X147-AB147)/AB147, "NA")</f>
        <v>-15.03437304698573</v>
      </c>
      <c r="AG147" s="33">
        <f>IFERROR((J147+L147+N147+P147+R147+T147+V147+X147)/8, "NA")</f>
        <v>-322.00250000000506</v>
      </c>
      <c r="AH147" s="34">
        <f>IFERROR(AG147/AG148, "NA")</f>
        <v>-1.2343179705862014E-2</v>
      </c>
      <c r="AI147" s="15">
        <f>IFERROR(X147-AG147, "NA")</f>
        <v>5262.3825000000043</v>
      </c>
      <c r="AJ147" s="16">
        <f>IFERROR(AI147/AI148, "NA")</f>
        <v>-0.97002375343980263</v>
      </c>
      <c r="AK147" s="15">
        <f>IFERROR((X147-AG147)/AG147, "NA")</f>
        <v>-16.342675910901068</v>
      </c>
      <c r="AL147" s="16">
        <f>IFERROR(AK147/AK148, "NA")</f>
        <v>78.58783365028053</v>
      </c>
    </row>
    <row r="148" spans="1:38" ht="15.6" hidden="1">
      <c r="A148" s="40" t="s">
        <v>25</v>
      </c>
      <c r="B148" s="7">
        <v>33375.4</v>
      </c>
      <c r="C148" s="41"/>
      <c r="D148" s="7">
        <v>27216.92</v>
      </c>
      <c r="E148" s="41"/>
      <c r="F148" s="7">
        <v>41263.46</v>
      </c>
      <c r="G148" s="41"/>
      <c r="H148" s="7">
        <v>32026.44</v>
      </c>
      <c r="I148" s="41"/>
      <c r="J148" s="7">
        <v>28859.78</v>
      </c>
      <c r="K148" s="41"/>
      <c r="L148" s="7">
        <v>25879.01</v>
      </c>
      <c r="M148" s="41"/>
      <c r="N148" s="7">
        <v>25696.73</v>
      </c>
      <c r="O148" s="41"/>
      <c r="P148" s="7">
        <v>25164.29</v>
      </c>
      <c r="Q148" s="41"/>
      <c r="R148" s="7">
        <v>28633.52</v>
      </c>
      <c r="S148" s="41"/>
      <c r="T148" s="7">
        <v>28061.54</v>
      </c>
      <c r="U148" s="41"/>
      <c r="V148" s="7">
        <v>25742.52</v>
      </c>
      <c r="W148" s="41"/>
      <c r="X148" s="7">
        <v>20662.48</v>
      </c>
      <c r="Y148" s="41"/>
      <c r="Z148" s="7">
        <v>74466.539999999994</v>
      </c>
      <c r="AA148" s="41"/>
      <c r="AB148" s="9">
        <f>IFERROR((R148+T148+V148+X148)/4, "NA")</f>
        <v>25775.014999999999</v>
      </c>
      <c r="AC148" s="41"/>
      <c r="AD148" s="10">
        <f>IFERROR(X148-AB148, "NA")</f>
        <v>-5112.5349999999999</v>
      </c>
      <c r="AE148" s="42"/>
      <c r="AF148" s="10">
        <f>IFERROR((X148-AB148)/AB148, "NA")</f>
        <v>-0.19835235789387512</v>
      </c>
      <c r="AG148" s="9">
        <f>IFERROR((J148+L148+N148+P148+R148+T148+V148+X148)/8, "NA")</f>
        <v>26087.483749999999</v>
      </c>
      <c r="AH148" s="41"/>
      <c r="AI148" s="10">
        <f>IFERROR(X148-AG148, "NA")</f>
        <v>-5425.0037499999999</v>
      </c>
      <c r="AJ148" s="42"/>
      <c r="AK148" s="10">
        <f>IFERROR((X148-AG148)/AG148, "NA")</f>
        <v>-0.20795427424080332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6" sqref="C16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146" t="s">
        <v>0</v>
      </c>
      <c r="B1" s="146" t="s">
        <v>0</v>
      </c>
      <c r="C1" s="146" t="s">
        <v>0</v>
      </c>
      <c r="D1" s="146" t="s">
        <v>0</v>
      </c>
      <c r="E1" s="146" t="s">
        <v>0</v>
      </c>
      <c r="F1" s="146" t="s">
        <v>0</v>
      </c>
      <c r="G1" s="146" t="s">
        <v>0</v>
      </c>
      <c r="H1" s="146" t="s">
        <v>0</v>
      </c>
      <c r="I1" s="146" t="s">
        <v>0</v>
      </c>
      <c r="J1" s="146" t="s">
        <v>0</v>
      </c>
      <c r="K1" s="146" t="s">
        <v>0</v>
      </c>
      <c r="L1" s="146" t="s">
        <v>0</v>
      </c>
      <c r="M1" s="146" t="s">
        <v>0</v>
      </c>
      <c r="N1" s="146" t="s">
        <v>0</v>
      </c>
      <c r="O1" s="146" t="s">
        <v>0</v>
      </c>
      <c r="P1" s="146" t="s">
        <v>0</v>
      </c>
      <c r="Q1" s="146" t="s">
        <v>0</v>
      </c>
      <c r="R1" s="146" t="s">
        <v>0</v>
      </c>
      <c r="S1" s="146" t="s">
        <v>0</v>
      </c>
      <c r="T1" s="146" t="s">
        <v>0</v>
      </c>
      <c r="U1" s="146" t="s">
        <v>0</v>
      </c>
      <c r="V1" s="146" t="s">
        <v>0</v>
      </c>
      <c r="W1" s="146" t="s">
        <v>0</v>
      </c>
      <c r="X1" s="146" t="s">
        <v>0</v>
      </c>
      <c r="Y1" s="146" t="s">
        <v>0</v>
      </c>
      <c r="Z1" s="146" t="s">
        <v>0</v>
      </c>
      <c r="AA1" s="146" t="s">
        <v>0</v>
      </c>
      <c r="AB1" s="146" t="s">
        <v>0</v>
      </c>
      <c r="AC1" s="146" t="s">
        <v>0</v>
      </c>
      <c r="AD1" s="146" t="s">
        <v>0</v>
      </c>
      <c r="AE1" s="146" t="s">
        <v>0</v>
      </c>
      <c r="AF1" s="146" t="s">
        <v>0</v>
      </c>
      <c r="AG1" s="146" t="s">
        <v>0</v>
      </c>
      <c r="AH1" s="146" t="s">
        <v>0</v>
      </c>
      <c r="AI1" s="146" t="s">
        <v>0</v>
      </c>
      <c r="AJ1" s="146" t="s">
        <v>0</v>
      </c>
      <c r="AK1" s="146" t="s">
        <v>0</v>
      </c>
      <c r="AL1" s="146" t="s">
        <v>0</v>
      </c>
    </row>
    <row r="2" spans="1:38" ht="23.4">
      <c r="A2" s="147" t="s">
        <v>1</v>
      </c>
      <c r="B2" s="147" t="s">
        <v>1</v>
      </c>
      <c r="C2" s="147" t="s">
        <v>1</v>
      </c>
      <c r="D2" s="147" t="s">
        <v>1</v>
      </c>
      <c r="E2" s="147" t="s">
        <v>1</v>
      </c>
      <c r="F2" s="147" t="s">
        <v>1</v>
      </c>
      <c r="G2" s="147" t="s">
        <v>1</v>
      </c>
      <c r="H2" s="147" t="s">
        <v>1</v>
      </c>
      <c r="I2" s="147" t="s">
        <v>1</v>
      </c>
      <c r="J2" s="147" t="s">
        <v>1</v>
      </c>
      <c r="K2" s="147" t="s">
        <v>1</v>
      </c>
      <c r="L2" s="147" t="s">
        <v>1</v>
      </c>
      <c r="M2" s="147" t="s">
        <v>1</v>
      </c>
      <c r="N2" s="147" t="s">
        <v>1</v>
      </c>
      <c r="O2" s="147" t="s">
        <v>1</v>
      </c>
      <c r="P2" s="147" t="s">
        <v>1</v>
      </c>
      <c r="Q2" s="147" t="s">
        <v>1</v>
      </c>
      <c r="R2" s="147" t="s">
        <v>1</v>
      </c>
      <c r="S2" s="147" t="s">
        <v>1</v>
      </c>
      <c r="T2" s="147" t="s">
        <v>1</v>
      </c>
      <c r="U2" s="147" t="s">
        <v>1</v>
      </c>
      <c r="V2" s="147" t="s">
        <v>1</v>
      </c>
      <c r="W2" s="147" t="s">
        <v>1</v>
      </c>
      <c r="X2" s="147" t="s">
        <v>1</v>
      </c>
      <c r="Y2" s="147" t="s">
        <v>1</v>
      </c>
      <c r="Z2" s="147" t="s">
        <v>1</v>
      </c>
      <c r="AA2" s="147" t="s">
        <v>1</v>
      </c>
      <c r="AB2" s="147" t="s">
        <v>1</v>
      </c>
      <c r="AC2" s="147" t="s">
        <v>1</v>
      </c>
      <c r="AD2" s="147" t="s">
        <v>1</v>
      </c>
      <c r="AE2" s="147" t="s">
        <v>1</v>
      </c>
      <c r="AF2" s="147" t="s">
        <v>1</v>
      </c>
      <c r="AG2" s="147" t="s">
        <v>1</v>
      </c>
      <c r="AH2" s="147" t="s">
        <v>1</v>
      </c>
      <c r="AI2" s="147" t="s">
        <v>1</v>
      </c>
      <c r="AJ2" s="147" t="s">
        <v>1</v>
      </c>
      <c r="AK2" s="147" t="s">
        <v>1</v>
      </c>
      <c r="AL2" s="147" t="s">
        <v>1</v>
      </c>
    </row>
    <row r="3" spans="1:38" ht="15.6">
      <c r="A3" s="148" t="s">
        <v>155</v>
      </c>
      <c r="B3" s="148" t="s">
        <v>155</v>
      </c>
      <c r="C3" s="148" t="s">
        <v>155</v>
      </c>
      <c r="D3" s="148" t="s">
        <v>155</v>
      </c>
      <c r="E3" s="148" t="s">
        <v>155</v>
      </c>
      <c r="F3" s="148" t="s">
        <v>155</v>
      </c>
      <c r="G3" s="148" t="s">
        <v>155</v>
      </c>
      <c r="H3" s="148" t="s">
        <v>155</v>
      </c>
      <c r="I3" s="148" t="s">
        <v>155</v>
      </c>
      <c r="J3" s="148" t="s">
        <v>155</v>
      </c>
      <c r="K3" s="148" t="s">
        <v>155</v>
      </c>
      <c r="L3" s="148" t="s">
        <v>155</v>
      </c>
      <c r="M3" s="148" t="s">
        <v>155</v>
      </c>
      <c r="N3" s="148" t="s">
        <v>155</v>
      </c>
      <c r="O3" s="148" t="s">
        <v>155</v>
      </c>
      <c r="P3" s="148" t="s">
        <v>155</v>
      </c>
      <c r="Q3" s="148" t="s">
        <v>155</v>
      </c>
      <c r="R3" s="148" t="s">
        <v>155</v>
      </c>
      <c r="S3" s="148" t="s">
        <v>155</v>
      </c>
      <c r="T3" s="148" t="s">
        <v>155</v>
      </c>
      <c r="U3" s="148" t="s">
        <v>155</v>
      </c>
      <c r="V3" s="148" t="s">
        <v>155</v>
      </c>
      <c r="W3" s="148" t="s">
        <v>155</v>
      </c>
      <c r="X3" s="148" t="s">
        <v>155</v>
      </c>
      <c r="Y3" s="148" t="s">
        <v>155</v>
      </c>
      <c r="Z3" s="148" t="s">
        <v>155</v>
      </c>
      <c r="AA3" s="148" t="s">
        <v>155</v>
      </c>
      <c r="AB3" s="148" t="s">
        <v>155</v>
      </c>
      <c r="AC3" s="148" t="s">
        <v>155</v>
      </c>
      <c r="AD3" s="148" t="s">
        <v>155</v>
      </c>
      <c r="AE3" s="148" t="s">
        <v>155</v>
      </c>
      <c r="AF3" s="148" t="s">
        <v>155</v>
      </c>
      <c r="AG3" s="148" t="s">
        <v>155</v>
      </c>
      <c r="AH3" s="148" t="s">
        <v>155</v>
      </c>
      <c r="AI3" s="148" t="s">
        <v>155</v>
      </c>
      <c r="AJ3" s="148" t="s">
        <v>155</v>
      </c>
      <c r="AK3" s="148" t="s">
        <v>155</v>
      </c>
      <c r="AL3" s="148" t="s">
        <v>155</v>
      </c>
    </row>
    <row r="5" spans="1:38" ht="13.5" customHeight="1">
      <c r="A5" s="149" t="s">
        <v>3</v>
      </c>
      <c r="B5" s="144" t="s">
        <v>4</v>
      </c>
      <c r="C5" s="145" t="s">
        <v>3</v>
      </c>
      <c r="D5" s="144" t="s">
        <v>5</v>
      </c>
      <c r="E5" s="145" t="s">
        <v>3</v>
      </c>
      <c r="F5" s="144" t="s">
        <v>6</v>
      </c>
      <c r="G5" s="145" t="s">
        <v>3</v>
      </c>
      <c r="H5" s="144" t="s">
        <v>7</v>
      </c>
      <c r="I5" s="145" t="s">
        <v>3</v>
      </c>
      <c r="J5" s="144" t="s">
        <v>8</v>
      </c>
      <c r="K5" s="145" t="s">
        <v>3</v>
      </c>
      <c r="L5" s="144" t="s">
        <v>9</v>
      </c>
      <c r="M5" s="145" t="s">
        <v>3</v>
      </c>
      <c r="N5" s="144" t="s">
        <v>10</v>
      </c>
      <c r="O5" s="145" t="s">
        <v>3</v>
      </c>
      <c r="P5" s="144" t="s">
        <v>11</v>
      </c>
      <c r="Q5" s="145" t="s">
        <v>3</v>
      </c>
      <c r="R5" s="144" t="s">
        <v>12</v>
      </c>
      <c r="S5" s="145" t="s">
        <v>3</v>
      </c>
      <c r="T5" s="144" t="s">
        <v>13</v>
      </c>
      <c r="U5" s="145" t="s">
        <v>3</v>
      </c>
      <c r="V5" s="144" t="s">
        <v>14</v>
      </c>
      <c r="W5" s="145" t="s">
        <v>3</v>
      </c>
      <c r="X5" s="144" t="s">
        <v>15</v>
      </c>
      <c r="Y5" s="145" t="s">
        <v>3</v>
      </c>
      <c r="Z5" s="144" t="s">
        <v>16</v>
      </c>
      <c r="AA5" s="145" t="s">
        <v>3</v>
      </c>
      <c r="AB5" s="144" t="s">
        <v>17</v>
      </c>
      <c r="AC5" s="145" t="s">
        <v>3</v>
      </c>
      <c r="AD5" s="142" t="s">
        <v>18</v>
      </c>
      <c r="AE5" s="143" t="s">
        <v>3</v>
      </c>
      <c r="AF5" s="142" t="s">
        <v>19</v>
      </c>
      <c r="AG5" s="144" t="s">
        <v>20</v>
      </c>
      <c r="AH5" s="145" t="s">
        <v>3</v>
      </c>
      <c r="AI5" s="142" t="s">
        <v>21</v>
      </c>
      <c r="AJ5" s="143" t="s">
        <v>3</v>
      </c>
      <c r="AK5" s="142" t="s">
        <v>22</v>
      </c>
      <c r="AL5" s="143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33828.819999999992</v>
      </c>
      <c r="C7" s="8">
        <f>IFERROR(B7/B148, "NA")</f>
        <v>0.99999999999999978</v>
      </c>
      <c r="D7" s="7">
        <v>24888.17</v>
      </c>
      <c r="E7" s="8">
        <f>IFERROR(D7/D148, "NA")</f>
        <v>1</v>
      </c>
      <c r="F7" s="7">
        <v>31639.470000000012</v>
      </c>
      <c r="G7" s="8">
        <f>IFERROR(F7/F148, "NA")</f>
        <v>1.0000000000000004</v>
      </c>
      <c r="H7" s="7">
        <v>30080.689999999991</v>
      </c>
      <c r="I7" s="8">
        <f>IFERROR(H7/H148, "NA")</f>
        <v>0.99999999999999978</v>
      </c>
      <c r="J7" s="7">
        <v>26696.989999999998</v>
      </c>
      <c r="K7" s="8">
        <f>IFERROR(J7/J148, "NA")</f>
        <v>0.99999999999999989</v>
      </c>
      <c r="L7" s="7">
        <v>22852.069999999996</v>
      </c>
      <c r="M7" s="8">
        <f>IFERROR(L7/L148, "NA")</f>
        <v>0.99999999999999989</v>
      </c>
      <c r="N7" s="7">
        <v>26960.43</v>
      </c>
      <c r="O7" s="8">
        <f>IFERROR(N7/N148, "NA")</f>
        <v>1</v>
      </c>
      <c r="P7" s="7">
        <v>24051.489999999998</v>
      </c>
      <c r="Q7" s="8">
        <f>IFERROR(P7/P148, "NA")</f>
        <v>0.99999999999999989</v>
      </c>
      <c r="R7" s="7">
        <v>25100.74</v>
      </c>
      <c r="S7" s="8">
        <f>IFERROR(R7/R148, "NA")</f>
        <v>1</v>
      </c>
      <c r="T7" s="7">
        <v>22601.940000000002</v>
      </c>
      <c r="U7" s="8">
        <f>IFERROR(T7/T148, "NA")</f>
        <v>1.0000000000000002</v>
      </c>
      <c r="V7" s="7">
        <v>27925.389999999996</v>
      </c>
      <c r="W7" s="8">
        <f>IFERROR(V7/V148, "NA")</f>
        <v>0.99999999999999989</v>
      </c>
      <c r="X7" s="7">
        <v>27687.49</v>
      </c>
      <c r="Y7" s="8">
        <f>IFERROR(X7/X148, "NA")</f>
        <v>1</v>
      </c>
      <c r="Z7" s="7">
        <v>78214.820000000007</v>
      </c>
      <c r="AA7" s="8">
        <f>IFERROR(Z7/Z148, "NA")</f>
        <v>1</v>
      </c>
      <c r="AB7" s="9">
        <f>IFERROR((R7+T7+V7+X7)/4, "NA")</f>
        <v>25828.890000000003</v>
      </c>
      <c r="AC7" s="8">
        <f>IFERROR(AB7/AB148, "NA")</f>
        <v>1</v>
      </c>
      <c r="AD7" s="10">
        <f>IFERROR(X7-AB7, "NA")</f>
        <v>1858.5999999999985</v>
      </c>
      <c r="AE7" s="11">
        <f>IFERROR(AD7/AD148, "NA")</f>
        <v>1</v>
      </c>
      <c r="AF7" s="10">
        <f>IFERROR((X7-AB7)/AB7, "NA")</f>
        <v>7.1958183259133404E-2</v>
      </c>
      <c r="AG7" s="9">
        <f>IFERROR((J7+L7+N7+P7+R7+T7+V7+X7)/8, "NA")</f>
        <v>25484.567499999994</v>
      </c>
      <c r="AH7" s="8">
        <f>IFERROR(AG7/AG148, "NA")</f>
        <v>0.99999999999999989</v>
      </c>
      <c r="AI7" s="10">
        <f>IFERROR(X7-AG7, "NA")</f>
        <v>2202.9225000000079</v>
      </c>
      <c r="AJ7" s="11">
        <f>IFERROR(AI7/AI148, "NA")</f>
        <v>1.0000000000000016</v>
      </c>
      <c r="AK7" s="10">
        <f>IFERROR((X7-AG7)/AG7, "NA")</f>
        <v>8.6441431662515306E-2</v>
      </c>
      <c r="AL7" s="11">
        <f>IFERROR(AK7/AK148, "NA")</f>
        <v>1.000000000000002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33828.819999999992</v>
      </c>
      <c r="C9" s="14">
        <f>IFERROR(B9/B148, "NA")</f>
        <v>0.99999999999999978</v>
      </c>
      <c r="D9" s="13">
        <f>IFERROR(D7+D8, "NA")</f>
        <v>24888.17</v>
      </c>
      <c r="E9" s="14">
        <f>IFERROR(D9/D148, "NA")</f>
        <v>1</v>
      </c>
      <c r="F9" s="13">
        <f>IFERROR(F7+F8, "NA")</f>
        <v>31639.470000000012</v>
      </c>
      <c r="G9" s="14">
        <f>IFERROR(F9/F148, "NA")</f>
        <v>1.0000000000000004</v>
      </c>
      <c r="H9" s="13">
        <f>IFERROR(H7+H8, "NA")</f>
        <v>30080.689999999991</v>
      </c>
      <c r="I9" s="14">
        <f>IFERROR(H9/H148, "NA")</f>
        <v>0.99999999999999978</v>
      </c>
      <c r="J9" s="13">
        <f>IFERROR(J7+J8, "NA")</f>
        <v>26696.989999999998</v>
      </c>
      <c r="K9" s="14">
        <f>IFERROR(J9/J148, "NA")</f>
        <v>0.99999999999999989</v>
      </c>
      <c r="L9" s="13">
        <f>IFERROR(L7+L8, "NA")</f>
        <v>22852.069999999996</v>
      </c>
      <c r="M9" s="14">
        <f>IFERROR(L9/L148, "NA")</f>
        <v>0.99999999999999989</v>
      </c>
      <c r="N9" s="13">
        <f>IFERROR(N7+N8, "NA")</f>
        <v>26960.43</v>
      </c>
      <c r="O9" s="14">
        <f>IFERROR(N9/N148, "NA")</f>
        <v>1</v>
      </c>
      <c r="P9" s="13">
        <f>IFERROR(P7+P8, "NA")</f>
        <v>24051.489999999998</v>
      </c>
      <c r="Q9" s="14">
        <f>IFERROR(P9/P148, "NA")</f>
        <v>0.99999999999999989</v>
      </c>
      <c r="R9" s="13">
        <f>IFERROR(R7+R8, "NA")</f>
        <v>25100.74</v>
      </c>
      <c r="S9" s="14">
        <f>IFERROR(R9/R148, "NA")</f>
        <v>1</v>
      </c>
      <c r="T9" s="13">
        <f>IFERROR(T7+T8, "NA")</f>
        <v>22601.940000000002</v>
      </c>
      <c r="U9" s="14">
        <f>IFERROR(T9/T148, "NA")</f>
        <v>1.0000000000000002</v>
      </c>
      <c r="V9" s="13">
        <f>IFERROR(V7+V8, "NA")</f>
        <v>27925.389999999996</v>
      </c>
      <c r="W9" s="14">
        <f>IFERROR(V9/V148, "NA")</f>
        <v>0.99999999999999989</v>
      </c>
      <c r="X9" s="13">
        <f>IFERROR(X7+X8, "NA")</f>
        <v>27687.49</v>
      </c>
      <c r="Y9" s="14">
        <f>IFERROR(X9/X148, "NA")</f>
        <v>1</v>
      </c>
      <c r="Z9" s="13">
        <f>IFERROR(Z7+Z8, "NA")</f>
        <v>78214.820000000007</v>
      </c>
      <c r="AA9" s="14">
        <f>IFERROR(Z9/Z148, "NA")</f>
        <v>1</v>
      </c>
      <c r="AB9" s="13">
        <f>IFERROR((R9+T9+V9+X9)/4, "NA")</f>
        <v>25828.890000000003</v>
      </c>
      <c r="AC9" s="14">
        <f>IFERROR(AB9/AB148, "NA")</f>
        <v>1</v>
      </c>
      <c r="AD9" s="15">
        <f>IFERROR(X9-AB9, "NA")</f>
        <v>1858.5999999999985</v>
      </c>
      <c r="AE9" s="16">
        <f>IFERROR(AD9/AD148, "NA")</f>
        <v>1</v>
      </c>
      <c r="AF9" s="15">
        <f>IFERROR((X9-AB9)/AB9, "NA")</f>
        <v>7.1958183259133404E-2</v>
      </c>
      <c r="AG9" s="13">
        <f>IFERROR((J9+L9+N9+P9+R9+T9+V9+X9)/8, "NA")</f>
        <v>25484.567499999994</v>
      </c>
      <c r="AH9" s="14">
        <f>IFERROR(AG9/AG148, "NA")</f>
        <v>0.99999999999999989</v>
      </c>
      <c r="AI9" s="15">
        <f>IFERROR(X9-AG9, "NA")</f>
        <v>2202.9225000000079</v>
      </c>
      <c r="AJ9" s="16">
        <f>IFERROR(AI9/AI148, "NA")</f>
        <v>1.0000000000000016</v>
      </c>
      <c r="AK9" s="15">
        <f>IFERROR((X9-AG9)/AG9, "NA")</f>
        <v>8.6441431662515306E-2</v>
      </c>
      <c r="AL9" s="16">
        <f>IFERROR(AK9/AK148, "NA")</f>
        <v>1.000000000000002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1648.44</v>
      </c>
      <c r="C16" s="8">
        <f>IFERROR(B16/B148, "NA")</f>
        <v>4.8728864914590581E-2</v>
      </c>
      <c r="D16" s="7">
        <v>1064.31</v>
      </c>
      <c r="E16" s="8">
        <f>IFERROR(D16/D148, "NA")</f>
        <v>4.2763690540525881E-2</v>
      </c>
      <c r="F16" s="7">
        <v>1557.6</v>
      </c>
      <c r="G16" s="8">
        <f>IFERROR(F16/F148, "NA")</f>
        <v>4.9229648916369328E-2</v>
      </c>
      <c r="H16" s="7">
        <v>1210.77</v>
      </c>
      <c r="I16" s="8">
        <f>IFERROR(H16/H148, "NA")</f>
        <v>4.0250738929193446E-2</v>
      </c>
      <c r="J16" s="7">
        <v>1128.83</v>
      </c>
      <c r="K16" s="8">
        <f>IFERROR(J16/J148, "NA")</f>
        <v>4.228304389371236E-2</v>
      </c>
      <c r="L16" s="7">
        <v>1390.83</v>
      </c>
      <c r="M16" s="8">
        <f>IFERROR(L16/L148, "NA")</f>
        <v>6.0862320131174111E-2</v>
      </c>
      <c r="N16" s="7">
        <v>937.83</v>
      </c>
      <c r="O16" s="8">
        <f>IFERROR(N16/N148, "NA")</f>
        <v>3.4785424416450335E-2</v>
      </c>
      <c r="P16" s="7">
        <v>1158.81</v>
      </c>
      <c r="Q16" s="8">
        <f>IFERROR(P16/P148, "NA")</f>
        <v>4.8180383003298334E-2</v>
      </c>
      <c r="R16" s="7">
        <v>1233.2</v>
      </c>
      <c r="S16" s="8">
        <f>IFERROR(R16/R148, "NA")</f>
        <v>4.9130025648646214E-2</v>
      </c>
      <c r="T16" s="7">
        <v>620.80999999999995</v>
      </c>
      <c r="U16" s="8">
        <f>IFERROR(T16/T148, "NA")</f>
        <v>2.7467111230274923E-2</v>
      </c>
      <c r="V16" s="7">
        <v>1466.34</v>
      </c>
      <c r="W16" s="8">
        <f>IFERROR(V16/V148, "NA")</f>
        <v>5.2509203989630937E-2</v>
      </c>
      <c r="X16" s="7">
        <v>982.39</v>
      </c>
      <c r="Y16" s="8">
        <f>IFERROR(X16/X148, "NA")</f>
        <v>3.548136721674662E-2</v>
      </c>
      <c r="Z16" s="7">
        <v>3069.54</v>
      </c>
      <c r="AA16" s="8">
        <f>IFERROR(Z16/Z148, "NA")</f>
        <v>3.9244992189459746E-2</v>
      </c>
      <c r="AB16" s="9">
        <f t="shared" si="0"/>
        <v>1075.6849999999999</v>
      </c>
      <c r="AC16" s="8">
        <f>IFERROR(AB16/AB148, "NA")</f>
        <v>4.1646582567040236E-2</v>
      </c>
      <c r="AD16" s="10">
        <f t="shared" si="1"/>
        <v>-93.294999999999959</v>
      </c>
      <c r="AE16" s="11">
        <f>IFERROR(AD16/AD148, "NA")</f>
        <v>-5.0196384375336293E-2</v>
      </c>
      <c r="AF16" s="10">
        <f t="shared" si="2"/>
        <v>-8.6730780851271477E-2</v>
      </c>
      <c r="AG16" s="9">
        <f t="shared" si="3"/>
        <v>1114.8799999999999</v>
      </c>
      <c r="AH16" s="8">
        <f>IFERROR(AG16/AG148, "NA")</f>
        <v>4.3747259983909867E-2</v>
      </c>
      <c r="AI16" s="10">
        <f t="shared" si="4"/>
        <v>-132.4899999999999</v>
      </c>
      <c r="AJ16" s="11">
        <f>IFERROR(AI16/AI148, "NA")</f>
        <v>-6.0142832986634635E-2</v>
      </c>
      <c r="AK16" s="10">
        <f t="shared" si="5"/>
        <v>-0.11883790183696892</v>
      </c>
      <c r="AL16" s="11">
        <f>IFERROR(AK16/AK148, "NA")</f>
        <v>-1.3747794263859043</v>
      </c>
    </row>
    <row r="17" spans="1:38" ht="16.5" customHeight="1">
      <c r="A17" s="25" t="s">
        <v>32</v>
      </c>
      <c r="B17" s="7">
        <v>808.58</v>
      </c>
      <c r="C17" s="8">
        <f>IFERROR(B17/B148, "NA")</f>
        <v>2.3902104773385533E-2</v>
      </c>
      <c r="D17" s="7">
        <v>591.70000000000005</v>
      </c>
      <c r="E17" s="8">
        <f>IFERROR(D17/D148, "NA")</f>
        <v>2.3774347410838163E-2</v>
      </c>
      <c r="F17" s="7">
        <v>1035.24</v>
      </c>
      <c r="G17" s="8">
        <f>IFERROR(F17/F148, "NA")</f>
        <v>3.2719890693491391E-2</v>
      </c>
      <c r="H17" s="7">
        <v>689.43</v>
      </c>
      <c r="I17" s="8">
        <f>IFERROR(H17/H148, "NA")</f>
        <v>2.2919354575975485E-2</v>
      </c>
      <c r="J17" s="7">
        <v>574.75</v>
      </c>
      <c r="K17" s="8">
        <f>IFERROR(J17/J148, "NA")</f>
        <v>2.1528644240418112E-2</v>
      </c>
      <c r="L17" s="7">
        <v>707.48</v>
      </c>
      <c r="M17" s="8">
        <f>IFERROR(L17/L148, "NA")</f>
        <v>3.0959120989914702E-2</v>
      </c>
      <c r="N17" s="7">
        <v>701.24</v>
      </c>
      <c r="O17" s="8">
        <f>IFERROR(N17/N148, "NA")</f>
        <v>2.6009970909217695E-2</v>
      </c>
      <c r="P17" s="7">
        <v>666.89</v>
      </c>
      <c r="Q17" s="8">
        <f>IFERROR(P17/P148, "NA")</f>
        <v>2.7727596086562618E-2</v>
      </c>
      <c r="R17" s="7">
        <v>785.74</v>
      </c>
      <c r="S17" s="8">
        <f>IFERROR(R17/R148, "NA")</f>
        <v>3.1303459579279332E-2</v>
      </c>
      <c r="T17" s="7">
        <v>625.59</v>
      </c>
      <c r="U17" s="8">
        <f>IFERROR(T17/T148, "NA")</f>
        <v>2.767859750092249E-2</v>
      </c>
      <c r="V17" s="7">
        <v>794.19</v>
      </c>
      <c r="W17" s="8">
        <f>IFERROR(V17/V148, "NA")</f>
        <v>2.8439710242184623E-2</v>
      </c>
      <c r="X17" s="7">
        <v>747.69</v>
      </c>
      <c r="Y17" s="8">
        <f>IFERROR(X17/X148, "NA")</f>
        <v>2.7004614719499675E-2</v>
      </c>
      <c r="Z17" s="7">
        <v>2167.4699999999998</v>
      </c>
      <c r="AA17" s="8">
        <f>IFERROR(Z17/Z148, "NA")</f>
        <v>2.7711755905082944E-2</v>
      </c>
      <c r="AB17" s="9">
        <f t="shared" si="0"/>
        <v>738.30250000000001</v>
      </c>
      <c r="AC17" s="8">
        <f>IFERROR(AB17/AB148, "NA")</f>
        <v>2.8584368124220588E-2</v>
      </c>
      <c r="AD17" s="10">
        <f t="shared" si="1"/>
        <v>9.3875000000000455</v>
      </c>
      <c r="AE17" s="11">
        <f>IFERROR(AD17/AD148, "NA")</f>
        <v>5.0508447218336663E-3</v>
      </c>
      <c r="AF17" s="10">
        <f t="shared" si="2"/>
        <v>1.2714977939259376E-2</v>
      </c>
      <c r="AG17" s="9">
        <f t="shared" si="3"/>
        <v>700.44625000000019</v>
      </c>
      <c r="AH17" s="8">
        <f>IFERROR(AG17/AG148, "NA")</f>
        <v>2.7485114275531661E-2</v>
      </c>
      <c r="AI17" s="10">
        <f t="shared" si="4"/>
        <v>47.243749999999864</v>
      </c>
      <c r="AJ17" s="11">
        <f>IFERROR(AI17/AI148, "NA")</f>
        <v>2.1445942832759562E-2</v>
      </c>
      <c r="AK17" s="10">
        <f t="shared" si="5"/>
        <v>6.7448073281854037E-2</v>
      </c>
      <c r="AL17" s="11">
        <f>IFERROR(AK17/AK148, "NA")</f>
        <v>0.78027482868614417</v>
      </c>
    </row>
    <row r="18" spans="1:38" ht="16.5" customHeight="1">
      <c r="A18" s="25" t="s">
        <v>33</v>
      </c>
      <c r="B18" s="7">
        <v>1385.16</v>
      </c>
      <c r="C18" s="8">
        <f>IFERROR(B18/B148, "NA")</f>
        <v>4.09461518314857E-2</v>
      </c>
      <c r="D18" s="7">
        <v>1064.04</v>
      </c>
      <c r="E18" s="8">
        <f>IFERROR(D18/D148, "NA")</f>
        <v>4.2752842012892069E-2</v>
      </c>
      <c r="F18" s="7">
        <v>1439.44</v>
      </c>
      <c r="G18" s="8">
        <f>IFERROR(F18/F148, "NA")</f>
        <v>4.549507308434686E-2</v>
      </c>
      <c r="H18" s="7">
        <v>741.82</v>
      </c>
      <c r="I18" s="8">
        <f>IFERROR(H18/H148, "NA")</f>
        <v>2.4661003454375552E-2</v>
      </c>
      <c r="J18" s="7">
        <v>864.7</v>
      </c>
      <c r="K18" s="8">
        <f>IFERROR(J18/J148, "NA")</f>
        <v>3.2389419181712994E-2</v>
      </c>
      <c r="L18" s="7">
        <v>1060.17</v>
      </c>
      <c r="M18" s="8">
        <f>IFERROR(L18/L148, "NA")</f>
        <v>4.6392733787354937E-2</v>
      </c>
      <c r="N18" s="7">
        <v>705.55</v>
      </c>
      <c r="O18" s="8">
        <f>IFERROR(N18/N148, "NA")</f>
        <v>2.6169834828302069E-2</v>
      </c>
      <c r="P18" s="7">
        <v>825.11</v>
      </c>
      <c r="Q18" s="8">
        <f>IFERROR(P18/P148, "NA")</f>
        <v>3.4305982706268924E-2</v>
      </c>
      <c r="R18" s="7">
        <v>822.02</v>
      </c>
      <c r="S18" s="8">
        <f>IFERROR(R18/R148, "NA")</f>
        <v>3.2748835293302109E-2</v>
      </c>
      <c r="T18" s="7">
        <v>658.77</v>
      </c>
      <c r="U18" s="8">
        <f>IFERROR(T18/T148, "NA")</f>
        <v>2.9146613078346373E-2</v>
      </c>
      <c r="V18" s="7">
        <v>907.63</v>
      </c>
      <c r="W18" s="8">
        <f>IFERROR(V18/V148, "NA")</f>
        <v>3.2501963267119995E-2</v>
      </c>
      <c r="X18" s="7">
        <v>1039.69</v>
      </c>
      <c r="Y18" s="8">
        <f>IFERROR(X18/X148, "NA")</f>
        <v>3.7550893923573428E-2</v>
      </c>
      <c r="Z18" s="7">
        <v>2606.09</v>
      </c>
      <c r="AA18" s="8">
        <f>IFERROR(Z18/Z148, "NA")</f>
        <v>3.3319644537953295E-2</v>
      </c>
      <c r="AB18" s="9">
        <f t="shared" si="0"/>
        <v>857.02750000000003</v>
      </c>
      <c r="AC18" s="8">
        <f>IFERROR(AB18/AB148, "NA")</f>
        <v>3.3180965190528898E-2</v>
      </c>
      <c r="AD18" s="10">
        <f t="shared" si="1"/>
        <v>182.66250000000002</v>
      </c>
      <c r="AE18" s="11">
        <f>IFERROR(AD18/AD148, "NA")</f>
        <v>9.8279619068115873E-2</v>
      </c>
      <c r="AF18" s="10">
        <f t="shared" si="2"/>
        <v>0.21313493440992268</v>
      </c>
      <c r="AG18" s="9">
        <f t="shared" si="3"/>
        <v>860.45499999999993</v>
      </c>
      <c r="AH18" s="8">
        <f>IFERROR(AG18/AG148, "NA")</f>
        <v>3.3763767032734614E-2</v>
      </c>
      <c r="AI18" s="10">
        <f t="shared" si="4"/>
        <v>179.23500000000013</v>
      </c>
      <c r="AJ18" s="11">
        <f>IFERROR(AI18/AI148, "NA")</f>
        <v>8.1362372030790817E-2</v>
      </c>
      <c r="AK18" s="10">
        <f t="shared" si="5"/>
        <v>0.20830258409794836</v>
      </c>
      <c r="AL18" s="11">
        <f>IFERROR(AK18/AK148, "NA")</f>
        <v>2.4097539812991973</v>
      </c>
    </row>
    <row r="19" spans="1:38" ht="16.5" customHeight="1">
      <c r="A19" s="25" t="s">
        <v>34</v>
      </c>
      <c r="B19" s="7">
        <v>517.1</v>
      </c>
      <c r="C19" s="8">
        <f>IFERROR(B19/B148, "NA")</f>
        <v>1.5285782950750278E-2</v>
      </c>
      <c r="D19" s="7">
        <v>448.49</v>
      </c>
      <c r="E19" s="8">
        <f>IFERROR(D19/D148, "NA")</f>
        <v>1.8020207994400555E-2</v>
      </c>
      <c r="F19" s="7">
        <v>675.3</v>
      </c>
      <c r="G19" s="8">
        <f>IFERROR(F19/F148, "NA")</f>
        <v>2.134359393504379E-2</v>
      </c>
      <c r="H19" s="7">
        <v>756.02</v>
      </c>
      <c r="I19" s="8">
        <f>IFERROR(H19/H148, "NA")</f>
        <v>2.5133067093873179E-2</v>
      </c>
      <c r="J19" s="7">
        <v>481.56</v>
      </c>
      <c r="K19" s="8">
        <f>IFERROR(J19/J148, "NA")</f>
        <v>1.80379885522675E-2</v>
      </c>
      <c r="L19" s="7">
        <v>496.13</v>
      </c>
      <c r="M19" s="8">
        <f>IFERROR(L19/L148, "NA")</f>
        <v>2.1710505875397721E-2</v>
      </c>
      <c r="N19" s="7">
        <v>487.62</v>
      </c>
      <c r="O19" s="8">
        <f>IFERROR(N19/N148, "NA")</f>
        <v>1.8086506780492746E-2</v>
      </c>
      <c r="P19" s="7">
        <v>547.07000000000005</v>
      </c>
      <c r="Q19" s="8">
        <f>IFERROR(P19/P148, "NA")</f>
        <v>2.274578414892383E-2</v>
      </c>
      <c r="R19" s="7">
        <v>522.16999999999996</v>
      </c>
      <c r="S19" s="8">
        <f>IFERROR(R19/R148, "NA")</f>
        <v>2.0802972342648062E-2</v>
      </c>
      <c r="T19" s="7">
        <v>634.34</v>
      </c>
      <c r="U19" s="8">
        <f>IFERROR(T19/T148, "NA")</f>
        <v>2.8065732410580687E-2</v>
      </c>
      <c r="V19" s="7">
        <v>536.92999999999995</v>
      </c>
      <c r="W19" s="8">
        <f>IFERROR(V19/V148, "NA")</f>
        <v>1.9227305330382135E-2</v>
      </c>
      <c r="X19" s="7">
        <v>559.58000000000004</v>
      </c>
      <c r="Y19" s="8">
        <f>IFERROR(X19/X148, "NA")</f>
        <v>2.0210571633615039E-2</v>
      </c>
      <c r="Z19" s="7">
        <v>1730.85</v>
      </c>
      <c r="AA19" s="8">
        <f>IFERROR(Z19/Z148, "NA")</f>
        <v>2.2129437873794247E-2</v>
      </c>
      <c r="AB19" s="9">
        <f t="shared" si="0"/>
        <v>563.255</v>
      </c>
      <c r="AC19" s="8">
        <f>IFERROR(AB19/AB148, "NA")</f>
        <v>2.1807170188111062E-2</v>
      </c>
      <c r="AD19" s="10">
        <f t="shared" si="1"/>
        <v>-3.6749999999999545</v>
      </c>
      <c r="AE19" s="11">
        <f>IFERROR(AD19/AD148, "NA")</f>
        <v>-1.9772947379747968E-3</v>
      </c>
      <c r="AF19" s="10">
        <f t="shared" si="2"/>
        <v>-6.5245759025662521E-3</v>
      </c>
      <c r="AG19" s="9">
        <f t="shared" si="3"/>
        <v>533.17500000000007</v>
      </c>
      <c r="AH19" s="8">
        <f>IFERROR(AG19/AG148, "NA")</f>
        <v>2.0921485130167509E-2</v>
      </c>
      <c r="AI19" s="10">
        <f t="shared" si="4"/>
        <v>26.404999999999973</v>
      </c>
      <c r="AJ19" s="11">
        <f>IFERROR(AI19/AI148, "NA")</f>
        <v>1.1986349951030924E-2</v>
      </c>
      <c r="AK19" s="10">
        <f t="shared" si="5"/>
        <v>4.952407746049603E-2</v>
      </c>
      <c r="AL19" s="11">
        <f>IFERROR(AK19/AK148, "NA")</f>
        <v>0.57292060656570409</v>
      </c>
    </row>
    <row r="20" spans="1:38" ht="16.5" customHeight="1">
      <c r="A20" s="25" t="s">
        <v>35</v>
      </c>
      <c r="B20" s="7">
        <v>523.4</v>
      </c>
      <c r="C20" s="8">
        <f>IFERROR(B20/B148, "NA")</f>
        <v>1.5472014690432596E-2</v>
      </c>
      <c r="D20" s="7">
        <v>323.89999999999998</v>
      </c>
      <c r="E20" s="8">
        <f>IFERROR(D20/D148, "NA")</f>
        <v>1.3014215187376171E-2</v>
      </c>
      <c r="F20" s="7">
        <v>678.43</v>
      </c>
      <c r="G20" s="8">
        <f>IFERROR(F20/F148, "NA")</f>
        <v>2.1442521003038291E-2</v>
      </c>
      <c r="H20" s="7">
        <v>219.33</v>
      </c>
      <c r="I20" s="8">
        <f>IFERROR(H20/H148, "NA")</f>
        <v>7.2913885951419342E-3</v>
      </c>
      <c r="J20" s="7">
        <v>374.18</v>
      </c>
      <c r="K20" s="8">
        <f>IFERROR(J20/J148, "NA")</f>
        <v>1.4015812269473075E-2</v>
      </c>
      <c r="L20" s="7">
        <v>255.21</v>
      </c>
      <c r="M20" s="8">
        <f>IFERROR(L20/L148, "NA")</f>
        <v>1.1167916079374866E-2</v>
      </c>
      <c r="N20" s="7">
        <v>360.39</v>
      </c>
      <c r="O20" s="8">
        <f>IFERROR(N20/N148, "NA")</f>
        <v>1.3367368398797793E-2</v>
      </c>
      <c r="P20" s="7">
        <v>336.44</v>
      </c>
      <c r="Q20" s="8">
        <f>IFERROR(P20/P148, "NA")</f>
        <v>1.398832255298944E-2</v>
      </c>
      <c r="R20" s="7">
        <v>357.1</v>
      </c>
      <c r="S20" s="8">
        <f>IFERROR(R20/R148, "NA")</f>
        <v>1.4226672201696046E-2</v>
      </c>
      <c r="T20" s="7">
        <v>341.56</v>
      </c>
      <c r="U20" s="8">
        <f>IFERROR(T20/T148, "NA")</f>
        <v>1.5111977113469021E-2</v>
      </c>
      <c r="V20" s="7">
        <v>395.96</v>
      </c>
      <c r="W20" s="8">
        <f>IFERROR(V20/V148, "NA")</f>
        <v>1.4179211105019482E-2</v>
      </c>
      <c r="X20" s="7">
        <v>424.62</v>
      </c>
      <c r="Y20" s="8">
        <f>IFERROR(X20/X148, "NA")</f>
        <v>1.5336168067239031E-2</v>
      </c>
      <c r="Z20" s="7">
        <v>1162.1400000000001</v>
      </c>
      <c r="AA20" s="8">
        <f>IFERROR(Z20/Z148, "NA")</f>
        <v>1.4858309461045873E-2</v>
      </c>
      <c r="AB20" s="9">
        <f t="shared" si="0"/>
        <v>379.81000000000006</v>
      </c>
      <c r="AC20" s="8">
        <f>IFERROR(AB20/AB148, "NA")</f>
        <v>1.4704851815157368E-2</v>
      </c>
      <c r="AD20" s="10">
        <f t="shared" si="1"/>
        <v>44.809999999999945</v>
      </c>
      <c r="AE20" s="11">
        <f>IFERROR(AD20/AD148, "NA")</f>
        <v>2.4109544818680717E-2</v>
      </c>
      <c r="AF20" s="10">
        <f t="shared" si="2"/>
        <v>0.11798004265290524</v>
      </c>
      <c r="AG20" s="9">
        <f t="shared" si="3"/>
        <v>355.6825</v>
      </c>
      <c r="AH20" s="8">
        <f>IFERROR(AG20/AG148, "NA")</f>
        <v>1.3956779921809544E-2</v>
      </c>
      <c r="AI20" s="10">
        <f t="shared" si="4"/>
        <v>68.9375</v>
      </c>
      <c r="AJ20" s="11">
        <f>IFERROR(AI20/AI148, "NA")</f>
        <v>3.1293656494951534E-2</v>
      </c>
      <c r="AK20" s="10">
        <f t="shared" si="5"/>
        <v>0.19381751983862011</v>
      </c>
      <c r="AL20" s="11">
        <f>IFERROR(AK20/AK148, "NA")</f>
        <v>2.2421831303688142</v>
      </c>
    </row>
    <row r="21" spans="1:38" ht="16.5" customHeight="1">
      <c r="A21" s="25" t="s">
        <v>36</v>
      </c>
      <c r="B21" s="7">
        <v>228.17</v>
      </c>
      <c r="C21" s="8">
        <f>IFERROR(B21/B148, "NA")</f>
        <v>6.7448406417959595E-3</v>
      </c>
      <c r="D21" s="7">
        <v>191.21</v>
      </c>
      <c r="E21" s="8">
        <f>IFERROR(D21/D148, "NA")</f>
        <v>7.6827665513374433E-3</v>
      </c>
      <c r="F21" s="7">
        <v>172.15</v>
      </c>
      <c r="G21" s="8">
        <f>IFERROR(F21/F148, "NA")</f>
        <v>5.4409887396975991E-3</v>
      </c>
      <c r="H21" s="7">
        <v>227.91</v>
      </c>
      <c r="I21" s="8">
        <f>IFERROR(H21/H148, "NA")</f>
        <v>7.5766214139369814E-3</v>
      </c>
      <c r="J21" s="7">
        <v>82.32</v>
      </c>
      <c r="K21" s="8">
        <f>IFERROR(J21/J148, "NA")</f>
        <v>3.0834936822465749E-3</v>
      </c>
      <c r="L21" s="7">
        <v>163.47999999999999</v>
      </c>
      <c r="M21" s="8">
        <f>IFERROR(L21/L148, "NA")</f>
        <v>7.1538377048556206E-3</v>
      </c>
      <c r="N21" s="7">
        <v>165.2</v>
      </c>
      <c r="O21" s="8">
        <f>IFERROR(N21/N148, "NA")</f>
        <v>6.1274987082921154E-3</v>
      </c>
      <c r="P21" s="7">
        <v>108.73</v>
      </c>
      <c r="Q21" s="8">
        <f>IFERROR(P21/P148, "NA")</f>
        <v>4.5207178432604385E-3</v>
      </c>
      <c r="R21" s="7">
        <v>149.22999999999999</v>
      </c>
      <c r="S21" s="8">
        <f>IFERROR(R21/R148, "NA")</f>
        <v>5.9452430486113149E-3</v>
      </c>
      <c r="T21" s="7">
        <v>147.18</v>
      </c>
      <c r="U21" s="8">
        <f>IFERROR(T21/T148, "NA")</f>
        <v>6.5118304003992586E-3</v>
      </c>
      <c r="V21" s="7">
        <v>84.57</v>
      </c>
      <c r="W21" s="8">
        <f>IFERROR(V21/V148, "NA")</f>
        <v>3.0284268187480996E-3</v>
      </c>
      <c r="X21" s="7">
        <v>220.59</v>
      </c>
      <c r="Y21" s="8">
        <f>IFERROR(X21/X148, "NA")</f>
        <v>7.9671360603651674E-3</v>
      </c>
      <c r="Z21" s="7">
        <v>452.34</v>
      </c>
      <c r="AA21" s="8">
        <f>IFERROR(Z21/Z148, "NA")</f>
        <v>5.78330295972042E-3</v>
      </c>
      <c r="AB21" s="9">
        <f t="shared" si="0"/>
        <v>150.39249999999998</v>
      </c>
      <c r="AC21" s="8">
        <f>IFERROR(AB21/AB148, "NA")</f>
        <v>5.8226466565152422E-3</v>
      </c>
      <c r="AD21" s="10">
        <f t="shared" si="1"/>
        <v>70.197500000000019</v>
      </c>
      <c r="AE21" s="11">
        <f>IFERROR(AD21/AD148, "NA")</f>
        <v>3.7769019692241515E-2</v>
      </c>
      <c r="AF21" s="10">
        <f t="shared" si="2"/>
        <v>0.4667619728377414</v>
      </c>
      <c r="AG21" s="9">
        <f t="shared" si="3"/>
        <v>140.16249999999999</v>
      </c>
      <c r="AH21" s="8">
        <f>IFERROR(AG21/AG148, "NA")</f>
        <v>5.4998971436340839E-3</v>
      </c>
      <c r="AI21" s="10">
        <f t="shared" si="4"/>
        <v>80.427500000000009</v>
      </c>
      <c r="AJ21" s="11">
        <f>IFERROR(AI21/AI148, "NA")</f>
        <v>3.6509455053457332E-2</v>
      </c>
      <c r="AK21" s="10">
        <f t="shared" si="5"/>
        <v>0.57381610630518154</v>
      </c>
      <c r="AL21" s="11">
        <f>IFERROR(AK21/AK148, "NA")</f>
        <v>6.638206879144203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183.04</v>
      </c>
      <c r="C23" s="8">
        <f>IFERROR(B23/B148, "NA")</f>
        <v>5.4107710526113528E-3</v>
      </c>
      <c r="D23" s="7">
        <v>233.65</v>
      </c>
      <c r="E23" s="8">
        <f>IFERROR(D23/D148, "NA")</f>
        <v>9.3879943764447141E-3</v>
      </c>
      <c r="F23" s="7">
        <v>183.79</v>
      </c>
      <c r="G23" s="8">
        <f>IFERROR(F23/F148, "NA")</f>
        <v>5.8088836507059058E-3</v>
      </c>
      <c r="H23" s="7">
        <v>88.56</v>
      </c>
      <c r="I23" s="8">
        <f>IFERROR(H23/H148, "NA")</f>
        <v>2.9440814023880438E-3</v>
      </c>
      <c r="J23" s="7">
        <v>76.66</v>
      </c>
      <c r="K23" s="8">
        <f>IFERROR(J23/J148, "NA")</f>
        <v>2.8714847628889995E-3</v>
      </c>
      <c r="L23" s="7">
        <v>165.99</v>
      </c>
      <c r="M23" s="8">
        <f>IFERROR(L23/L148, "NA")</f>
        <v>7.2636745817774937E-3</v>
      </c>
      <c r="N23" s="7">
        <v>121.4</v>
      </c>
      <c r="O23" s="8">
        <f>IFERROR(N23/N148, "NA")</f>
        <v>4.5028955398708406E-3</v>
      </c>
      <c r="P23" s="7">
        <v>226.67</v>
      </c>
      <c r="Q23" s="8">
        <f>IFERROR(P23/P148, "NA")</f>
        <v>9.4243641454230063E-3</v>
      </c>
      <c r="R23" s="7">
        <v>113.26</v>
      </c>
      <c r="S23" s="8">
        <f>IFERROR(R23/R148, "NA")</f>
        <v>4.512217568087634E-3</v>
      </c>
      <c r="T23" s="7">
        <v>92</v>
      </c>
      <c r="U23" s="8">
        <f>IFERROR(T23/T148, "NA")</f>
        <v>4.0704470501204768E-3</v>
      </c>
      <c r="V23" s="7">
        <v>48.15</v>
      </c>
      <c r="W23" s="8">
        <f>IFERROR(V23/V148, "NA")</f>
        <v>1.724237333838489E-3</v>
      </c>
      <c r="X23" s="7">
        <v>191.95</v>
      </c>
      <c r="Y23" s="8">
        <f>IFERROR(X23/X148, "NA")</f>
        <v>6.9327338808971121E-3</v>
      </c>
      <c r="Z23" s="7">
        <v>332.1</v>
      </c>
      <c r="AA23" s="8">
        <f>IFERROR(Z23/Z148, "NA")</f>
        <v>4.2459983926319842E-3</v>
      </c>
      <c r="AB23" s="9">
        <f t="shared" si="0"/>
        <v>111.34</v>
      </c>
      <c r="AC23" s="8">
        <f>IFERROR(AB23/AB148, "NA")</f>
        <v>4.3106769203012591E-3</v>
      </c>
      <c r="AD23" s="10">
        <f t="shared" si="1"/>
        <v>80.609999999999985</v>
      </c>
      <c r="AE23" s="11">
        <f>IFERROR(AD23/AD148, "NA")</f>
        <v>4.3371354783170155E-2</v>
      </c>
      <c r="AF23" s="10">
        <f t="shared" si="2"/>
        <v>0.72399856296030163</v>
      </c>
      <c r="AG23" s="9">
        <f t="shared" si="3"/>
        <v>129.51</v>
      </c>
      <c r="AH23" s="8">
        <f>IFERROR(AG23/AG148, "NA")</f>
        <v>5.0818990748028193E-3</v>
      </c>
      <c r="AI23" s="10">
        <f t="shared" si="4"/>
        <v>62.44</v>
      </c>
      <c r="AJ23" s="11">
        <f>IFERROR(AI23/AI148, "NA")</f>
        <v>2.8344165534647667E-2</v>
      </c>
      <c r="AK23" s="10">
        <f t="shared" si="5"/>
        <v>0.48212493243764964</v>
      </c>
      <c r="AL23" s="11">
        <f>IFERROR(AK23/AK148, "NA")</f>
        <v>5.5774750968952373</v>
      </c>
    </row>
    <row r="24" spans="1:38" ht="16.5" customHeight="1">
      <c r="A24" s="25" t="s">
        <v>39</v>
      </c>
      <c r="B24" s="7">
        <v>1939.95</v>
      </c>
      <c r="C24" s="8">
        <f>IFERROR(B24/B148, "NA")</f>
        <v>5.7346073555033843E-2</v>
      </c>
      <c r="D24" s="7">
        <v>2170.73</v>
      </c>
      <c r="E24" s="8">
        <f>IFERROR(D24/D148, "NA")</f>
        <v>8.7219349594606602E-2</v>
      </c>
      <c r="F24" s="7">
        <v>1835.14</v>
      </c>
      <c r="G24" s="8">
        <f>IFERROR(F24/F148, "NA")</f>
        <v>5.8001603693108639E-2</v>
      </c>
      <c r="H24" s="7">
        <v>1723.82</v>
      </c>
      <c r="I24" s="8">
        <f>IFERROR(H24/H148, "NA")</f>
        <v>5.730653119991596E-2</v>
      </c>
      <c r="J24" s="7">
        <v>1584.58</v>
      </c>
      <c r="K24" s="8">
        <f>IFERROR(J24/J148, "NA")</f>
        <v>5.9354256790746816E-2</v>
      </c>
      <c r="L24" s="7">
        <v>1387.28</v>
      </c>
      <c r="M24" s="8">
        <f>IFERROR(L24/L148, "NA")</f>
        <v>6.0706973153854336E-2</v>
      </c>
      <c r="N24" s="7">
        <v>2000.62</v>
      </c>
      <c r="O24" s="8">
        <f>IFERROR(N24/N148, "NA")</f>
        <v>7.4205789744451398E-2</v>
      </c>
      <c r="P24" s="7">
        <v>1487.37</v>
      </c>
      <c r="Q24" s="8">
        <f>IFERROR(P24/P148, "NA")</f>
        <v>6.1841075126738504E-2</v>
      </c>
      <c r="R24" s="7">
        <v>1514.4</v>
      </c>
      <c r="S24" s="8">
        <f>IFERROR(R24/R148, "NA")</f>
        <v>6.033288261620972E-2</v>
      </c>
      <c r="T24" s="7">
        <v>1316.19</v>
      </c>
      <c r="U24" s="8">
        <f>IFERROR(T24/T148, "NA")</f>
        <v>5.82334967706312E-2</v>
      </c>
      <c r="V24" s="7">
        <v>1725.76</v>
      </c>
      <c r="W24" s="8">
        <f>IFERROR(V24/V148, "NA")</f>
        <v>6.179895786594207E-2</v>
      </c>
      <c r="X24" s="7">
        <v>1641.1</v>
      </c>
      <c r="Y24" s="8">
        <f>IFERROR(X24/X148, "NA")</f>
        <v>5.9272256170566556E-2</v>
      </c>
      <c r="Z24" s="7">
        <v>4683.05</v>
      </c>
      <c r="AA24" s="8">
        <f>IFERROR(Z24/Z148, "NA")</f>
        <v>5.9874202868458938E-2</v>
      </c>
      <c r="AB24" s="9">
        <f t="shared" si="0"/>
        <v>1549.3625000000002</v>
      </c>
      <c r="AC24" s="8">
        <f>IFERROR(AB24/AB148, "NA")</f>
        <v>5.9985640110744212E-2</v>
      </c>
      <c r="AD24" s="10">
        <f t="shared" si="1"/>
        <v>91.737499999999727</v>
      </c>
      <c r="AE24" s="11">
        <f>IFERROR(AD24/AD148, "NA")</f>
        <v>4.9358388034003983E-2</v>
      </c>
      <c r="AF24" s="10">
        <f t="shared" si="2"/>
        <v>5.920983630364083E-2</v>
      </c>
      <c r="AG24" s="9">
        <f t="shared" si="3"/>
        <v>1582.1625000000001</v>
      </c>
      <c r="AH24" s="8">
        <f>IFERROR(AG24/AG148, "NA")</f>
        <v>6.2083160720698922E-2</v>
      </c>
      <c r="AI24" s="10">
        <f t="shared" si="4"/>
        <v>58.937499999999773</v>
      </c>
      <c r="AJ24" s="11">
        <f>IFERROR(AI24/AI148, "NA")</f>
        <v>2.6754232162048214E-2</v>
      </c>
      <c r="AK24" s="10">
        <f t="shared" si="5"/>
        <v>3.7251230515196618E-2</v>
      </c>
      <c r="AL24" s="11">
        <f>IFERROR(AK24/AK148, "NA")</f>
        <v>0.43094185043849076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7233.84</v>
      </c>
      <c r="C27" s="14">
        <f>IFERROR(B27/B148, "NA")</f>
        <v>0.21383660441008584</v>
      </c>
      <c r="D27" s="13">
        <f>IFERROR(D15+D16+D17+D18+D19+D20+D21+D22+D23+D24+D25+D26, "NA")</f>
        <v>6088.0300000000007</v>
      </c>
      <c r="E27" s="14">
        <f>IFERROR(D27/D148, "NA")</f>
        <v>0.24461541366842163</v>
      </c>
      <c r="F27" s="13">
        <f>IFERROR(F15+F16+F17+F18+F19+F20+F21+F22+F23+F24+F25+F26, "NA")</f>
        <v>7577.09</v>
      </c>
      <c r="G27" s="14">
        <f>IFERROR(F27/F148, "NA")</f>
        <v>0.23948220371580181</v>
      </c>
      <c r="H27" s="13">
        <f>IFERROR(H15+H16+H17+H18+H19+H20+H21+H22+H23+H24+H25+H26, "NA")</f>
        <v>5657.66</v>
      </c>
      <c r="I27" s="14">
        <f>IFERROR(H27/H148, "NA")</f>
        <v>0.18808278666480058</v>
      </c>
      <c r="J27" s="13">
        <f>IFERROR(J15+J16+J17+J18+J19+J20+J21+J22+J23+J24+J25+J26, "NA")</f>
        <v>5167.58</v>
      </c>
      <c r="K27" s="14">
        <f>IFERROR(J27/J148, "NA")</f>
        <v>0.19356414337346645</v>
      </c>
      <c r="L27" s="13">
        <f>IFERROR(L15+L16+L17+L18+L19+L20+L21+L22+L23+L24+L25+L26, "NA")</f>
        <v>5626.57</v>
      </c>
      <c r="M27" s="14">
        <f>IFERROR(L27/L148, "NA")</f>
        <v>0.24621708230370376</v>
      </c>
      <c r="N27" s="13">
        <f>IFERROR(N15+N16+N17+N18+N19+N20+N21+N22+N23+N24+N25+N26, "NA")</f>
        <v>5479.8499999999995</v>
      </c>
      <c r="O27" s="14">
        <f>IFERROR(N27/N148, "NA")</f>
        <v>0.20325528932587497</v>
      </c>
      <c r="P27" s="13">
        <f>IFERROR(P15+P16+P17+P18+P19+P20+P21+P22+P23+P24+P25+P26, "NA")</f>
        <v>5357.09</v>
      </c>
      <c r="Q27" s="14">
        <f>IFERROR(P27/P148, "NA")</f>
        <v>0.22273422561346509</v>
      </c>
      <c r="R27" s="13">
        <f>IFERROR(R15+R16+R17+R18+R19+R20+R21+R22+R23+R24+R25+R26, "NA")</f>
        <v>5497.1200000000008</v>
      </c>
      <c r="S27" s="14">
        <f>IFERROR(R27/R148, "NA")</f>
        <v>0.21900230829848047</v>
      </c>
      <c r="T27" s="13">
        <f>IFERROR(T15+T16+T17+T18+T19+T20+T21+T22+T23+T24+T25+T26, "NA")</f>
        <v>4436.4400000000005</v>
      </c>
      <c r="U27" s="14">
        <f>IFERROR(T27/T148, "NA")</f>
        <v>0.19628580555474445</v>
      </c>
      <c r="V27" s="13">
        <f>IFERROR(V15+V16+V17+V18+V19+V20+V21+V22+V23+V24+V25+V26, "NA")</f>
        <v>5959.5299999999988</v>
      </c>
      <c r="W27" s="14">
        <f>IFERROR(V27/V148, "NA")</f>
        <v>0.21340901595286579</v>
      </c>
      <c r="X27" s="13">
        <f>IFERROR(X15+X16+X17+X18+X19+X20+X21+X22+X23+X24+X25+X26, "NA")</f>
        <v>5807.6100000000006</v>
      </c>
      <c r="Y27" s="14">
        <f>IFERROR(X27/X148, "NA")</f>
        <v>0.20975574167250263</v>
      </c>
      <c r="Z27" s="13">
        <f>IFERROR(Z15+Z16+Z17+Z18+Z19+Z20+Z21+Z22+Z23+Z24+Z25+Z26, "NA")</f>
        <v>16203.580000000002</v>
      </c>
      <c r="AA27" s="14">
        <f>IFERROR(Z27/Z148, "NA")</f>
        <v>0.20716764418814745</v>
      </c>
      <c r="AB27" s="13">
        <f t="shared" si="0"/>
        <v>5425.1750000000002</v>
      </c>
      <c r="AC27" s="14">
        <f>IFERROR(AB27/AB148, "NA")</f>
        <v>0.21004290157261887</v>
      </c>
      <c r="AD27" s="15">
        <f t="shared" si="1"/>
        <v>382.4350000000004</v>
      </c>
      <c r="AE27" s="16">
        <f>IFERROR(AD27/AD148, "NA")</f>
        <v>0.20576509200473511</v>
      </c>
      <c r="AF27" s="15">
        <f t="shared" si="2"/>
        <v>7.0492656918901303E-2</v>
      </c>
      <c r="AG27" s="13">
        <f t="shared" si="3"/>
        <v>5416.4737500000001</v>
      </c>
      <c r="AH27" s="14">
        <f>IFERROR(AG27/AG148, "NA")</f>
        <v>0.21253936328328901</v>
      </c>
      <c r="AI27" s="15">
        <f t="shared" si="4"/>
        <v>391.13625000000047</v>
      </c>
      <c r="AJ27" s="16">
        <f>IFERROR(AI27/AI148, "NA")</f>
        <v>0.17755334107305171</v>
      </c>
      <c r="AK27" s="15">
        <f t="shared" si="5"/>
        <v>7.2212341101071609E-2</v>
      </c>
      <c r="AL27" s="16">
        <f>IFERROR(AK27/AK148, "NA")</f>
        <v>0.83539038759796591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296.76</v>
      </c>
      <c r="C30" s="8">
        <f>IFERROR(B30/B148, "NA")</f>
        <v>8.7724017568451985E-3</v>
      </c>
      <c r="D30" s="7">
        <v>312.8</v>
      </c>
      <c r="E30" s="8">
        <f>IFERROR(D30/D148, "NA")</f>
        <v>1.2568220162430586E-2</v>
      </c>
      <c r="F30" s="7">
        <v>341.14</v>
      </c>
      <c r="G30" s="8">
        <f>IFERROR(F30/F148, "NA")</f>
        <v>1.0782102228640365E-2</v>
      </c>
      <c r="H30" s="7">
        <v>289.75</v>
      </c>
      <c r="I30" s="8">
        <f>IFERROR(H30/H148, "NA")</f>
        <v>9.6324253200308907E-3</v>
      </c>
      <c r="J30" s="7">
        <v>291.43</v>
      </c>
      <c r="K30" s="8">
        <f>IFERROR(J30/J148, "NA")</f>
        <v>1.0916211902540324E-2</v>
      </c>
      <c r="L30" s="7">
        <v>209.55</v>
      </c>
      <c r="M30" s="8">
        <f>IFERROR(L30/L148, "NA")</f>
        <v>9.1698476330590618E-3</v>
      </c>
      <c r="N30" s="7">
        <v>282.5</v>
      </c>
      <c r="O30" s="8">
        <f>IFERROR(N30/N148, "NA")</f>
        <v>1.0478319522351832E-2</v>
      </c>
      <c r="P30" s="7">
        <v>223.03</v>
      </c>
      <c r="Q30" s="8">
        <f>IFERROR(P30/P148, "NA")</f>
        <v>9.273022170352023E-3</v>
      </c>
      <c r="R30" s="7">
        <v>262.33</v>
      </c>
      <c r="S30" s="8">
        <f>IFERROR(R30/R148, "NA")</f>
        <v>1.0451086302634902E-2</v>
      </c>
      <c r="T30" s="7">
        <v>235.09</v>
      </c>
      <c r="U30" s="8">
        <f>IFERROR(T30/T148, "NA")</f>
        <v>1.0401319532748074E-2</v>
      </c>
      <c r="V30" s="7">
        <v>238.79</v>
      </c>
      <c r="W30" s="8">
        <f>IFERROR(V30/V148, "NA")</f>
        <v>8.5509996458420102E-3</v>
      </c>
      <c r="X30" s="7">
        <v>154.09</v>
      </c>
      <c r="Y30" s="8">
        <f>IFERROR(X30/X148, "NA")</f>
        <v>5.5653293238209743E-3</v>
      </c>
      <c r="Z30" s="7">
        <v>627.97</v>
      </c>
      <c r="AA30" s="8">
        <f>IFERROR(Z30/Z148, "NA")</f>
        <v>8.0287853376124884E-3</v>
      </c>
      <c r="AB30" s="9">
        <f t="shared" si="6"/>
        <v>222.57499999999999</v>
      </c>
      <c r="AC30" s="8">
        <f>IFERROR(AB30/AB148, "NA")</f>
        <v>8.6172886252564463E-3</v>
      </c>
      <c r="AD30" s="10">
        <f t="shared" si="7"/>
        <v>-68.484999999999985</v>
      </c>
      <c r="AE30" s="11">
        <f>IFERROR(AD30/AD148, "NA")</f>
        <v>-3.6847627246314449E-2</v>
      </c>
      <c r="AF30" s="10">
        <f t="shared" si="8"/>
        <v>-0.30769403571829718</v>
      </c>
      <c r="AG30" s="9">
        <f t="shared" si="9"/>
        <v>237.10124999999996</v>
      </c>
      <c r="AH30" s="8">
        <f>IFERROR(AG30/AG148, "NA")</f>
        <v>9.3037188094324142E-3</v>
      </c>
      <c r="AI30" s="10">
        <f t="shared" si="10"/>
        <v>-83.011249999999961</v>
      </c>
      <c r="AJ30" s="11">
        <f>IFERROR(AI30/AI148, "NA")</f>
        <v>-3.7682328815471178E-2</v>
      </c>
      <c r="AK30" s="10">
        <f t="shared" si="11"/>
        <v>-0.35010886699247673</v>
      </c>
      <c r="AL30" s="11">
        <f>IFERROR(AK30/AK148, "NA")</f>
        <v>-4.0502437345019073</v>
      </c>
    </row>
    <row r="31" spans="1:38" ht="16.5" customHeight="1">
      <c r="A31" s="25" t="s">
        <v>46</v>
      </c>
      <c r="B31" s="7">
        <v>12.3</v>
      </c>
      <c r="C31" s="8">
        <f>IFERROR(B31/B148, "NA")</f>
        <v>3.6359530128452606E-4</v>
      </c>
      <c r="D31" s="7">
        <v>11.33</v>
      </c>
      <c r="E31" s="8">
        <f>IFERROR(D31/D148, "NA")</f>
        <v>4.5523636330031499E-4</v>
      </c>
      <c r="F31" s="7">
        <v>27.42</v>
      </c>
      <c r="G31" s="8">
        <f>IFERROR(F31/F148, "NA")</f>
        <v>8.6663904294224903E-4</v>
      </c>
      <c r="H31" s="7">
        <v>1.36</v>
      </c>
      <c r="I31" s="8">
        <f>IFERROR(H31/H148, "NA")</f>
        <v>4.5211728853294258E-5</v>
      </c>
      <c r="J31" s="7">
        <v>9.1199999999999992</v>
      </c>
      <c r="K31" s="8">
        <f>IFERROR(J31/J148, "NA")</f>
        <v>3.4161154497192373E-4</v>
      </c>
      <c r="L31" s="7">
        <v>2.79</v>
      </c>
      <c r="M31" s="8">
        <f>IFERROR(L31/L148, "NA")</f>
        <v>1.2208959625976991E-4</v>
      </c>
      <c r="N31" s="7">
        <v>8.42</v>
      </c>
      <c r="O31" s="8">
        <f>IFERROR(N31/N148, "NA")</f>
        <v>3.1230955886089352E-4</v>
      </c>
      <c r="P31" s="7">
        <v>8.42</v>
      </c>
      <c r="Q31" s="8">
        <f>IFERROR(P31/P148, "NA")</f>
        <v>3.5008226101584559E-4</v>
      </c>
      <c r="R31" s="7">
        <v>6.93</v>
      </c>
      <c r="S31" s="8">
        <f>IFERROR(R31/R148, "NA")</f>
        <v>2.7608747789905795E-4</v>
      </c>
      <c r="T31" s="7">
        <v>9.98</v>
      </c>
      <c r="U31" s="8">
        <f>IFERROR(T31/T148, "NA")</f>
        <v>4.4155501695872126E-4</v>
      </c>
      <c r="V31" s="7">
        <v>4.1900000000000004</v>
      </c>
      <c r="W31" s="8">
        <f>IFERROR(V31/V148, "NA")</f>
        <v>1.5004266726445004E-4</v>
      </c>
      <c r="X31" s="7">
        <v>5.58</v>
      </c>
      <c r="Y31" s="8">
        <f>IFERROR(X31/X148, "NA")</f>
        <v>2.0153506150250526E-4</v>
      </c>
      <c r="Z31" s="7">
        <v>19.75</v>
      </c>
      <c r="AA31" s="8">
        <f>IFERROR(Z31/Z148, "NA")</f>
        <v>2.5250969061873439E-4</v>
      </c>
      <c r="AB31" s="9">
        <f t="shared" si="6"/>
        <v>6.67</v>
      </c>
      <c r="AC31" s="8">
        <f>IFERROR(AB31/AB148, "NA")</f>
        <v>2.5823796531713127E-4</v>
      </c>
      <c r="AD31" s="10">
        <f t="shared" si="7"/>
        <v>-1.0899999999999999</v>
      </c>
      <c r="AE31" s="11">
        <f>IFERROR(AD31/AD148, "NA")</f>
        <v>-5.8646292908640953E-4</v>
      </c>
      <c r="AF31" s="10">
        <f t="shared" si="8"/>
        <v>-0.16341829085457268</v>
      </c>
      <c r="AG31" s="9">
        <f t="shared" si="9"/>
        <v>6.9287499999999991</v>
      </c>
      <c r="AH31" s="8">
        <f>IFERROR(AG31/AG148, "NA")</f>
        <v>2.7188022712176693E-4</v>
      </c>
      <c r="AI31" s="10">
        <f t="shared" si="10"/>
        <v>-1.348749999999999</v>
      </c>
      <c r="AJ31" s="11">
        <f>IFERROR(AI31/AI148, "NA")</f>
        <v>-6.1225485690032057E-4</v>
      </c>
      <c r="AK31" s="10">
        <f t="shared" si="11"/>
        <v>-0.19465993144506574</v>
      </c>
      <c r="AL31" s="11">
        <f>IFERROR(AK31/AK148, "NA")</f>
        <v>-2.2519285914312195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-15.19</v>
      </c>
      <c r="O33" s="8">
        <f>IFERROR(N33/N148, "NA")</f>
        <v>-5.6341831343194445E-4</v>
      </c>
      <c r="P33" s="7">
        <v>15.19</v>
      </c>
      <c r="Q33" s="8">
        <f>IFERROR(P33/P148, "NA")</f>
        <v>6.3156170366160261E-4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309.06</v>
      </c>
      <c r="C34" s="14">
        <f>IFERROR(B34/B148, "NA")</f>
        <v>9.1359970581297249E-3</v>
      </c>
      <c r="D34" s="13">
        <f>IFERROR(D29+D30+D31+D32+D33, "NA")</f>
        <v>324.13</v>
      </c>
      <c r="E34" s="14">
        <f>IFERROR(D34/D148, "NA")</f>
        <v>1.3023456525730901E-2</v>
      </c>
      <c r="F34" s="13">
        <f>IFERROR(F29+F30+F31+F32+F33, "NA")</f>
        <v>368.56</v>
      </c>
      <c r="G34" s="14">
        <f>IFERROR(F34/F148, "NA")</f>
        <v>1.1648741271582615E-2</v>
      </c>
      <c r="H34" s="13">
        <f>IFERROR(H29+H30+H31+H32+H33, "NA")</f>
        <v>291.11</v>
      </c>
      <c r="I34" s="14">
        <f>IFERROR(H34/H148, "NA")</f>
        <v>9.677637048884186E-3</v>
      </c>
      <c r="J34" s="13">
        <f>IFERROR(J29+J30+J31+J32+J33, "NA")</f>
        <v>300.55</v>
      </c>
      <c r="K34" s="14">
        <f>IFERROR(J34/J148, "NA")</f>
        <v>1.1257823447512248E-2</v>
      </c>
      <c r="L34" s="13">
        <f>IFERROR(L29+L30+L31+L32+L33, "NA")</f>
        <v>212.34</v>
      </c>
      <c r="M34" s="14">
        <f>IFERROR(L34/L148, "NA")</f>
        <v>9.2919372293188314E-3</v>
      </c>
      <c r="N34" s="13">
        <f>IFERROR(N29+N30+N31+N32+N33, "NA")</f>
        <v>275.73</v>
      </c>
      <c r="O34" s="14">
        <f>IFERROR(N34/N148, "NA")</f>
        <v>1.0227210767780782E-2</v>
      </c>
      <c r="P34" s="13">
        <f>IFERROR(P29+P30+P31+P32+P33, "NA")</f>
        <v>246.64</v>
      </c>
      <c r="Q34" s="14">
        <f>IFERROR(P34/P148, "NA")</f>
        <v>1.0254666135029471E-2</v>
      </c>
      <c r="R34" s="13">
        <f>IFERROR(R29+R30+R31+R32+R33, "NA")</f>
        <v>269.26</v>
      </c>
      <c r="S34" s="14">
        <f>IFERROR(R34/R148, "NA")</f>
        <v>1.072717378053396E-2</v>
      </c>
      <c r="T34" s="13">
        <f>IFERROR(T29+T30+T31+T32+T33, "NA")</f>
        <v>245.07</v>
      </c>
      <c r="U34" s="14">
        <f>IFERROR(T34/T148, "NA")</f>
        <v>1.0842874549706795E-2</v>
      </c>
      <c r="V34" s="13">
        <f>IFERROR(V29+V30+V31+V32+V33, "NA")</f>
        <v>242.98</v>
      </c>
      <c r="W34" s="14">
        <f>IFERROR(V34/V148, "NA")</f>
        <v>8.70104231310646E-3</v>
      </c>
      <c r="X34" s="13">
        <f>IFERROR(X29+X30+X31+X32+X33, "NA")</f>
        <v>159.67000000000002</v>
      </c>
      <c r="Y34" s="14">
        <f>IFERROR(X34/X148, "NA")</f>
        <v>5.7668643853234806E-3</v>
      </c>
      <c r="Z34" s="13">
        <f>IFERROR(Z29+Z30+Z31+Z32+Z33, "NA")</f>
        <v>647.72</v>
      </c>
      <c r="AA34" s="14">
        <f>IFERROR(Z34/Z148, "NA")</f>
        <v>8.2812950282312222E-3</v>
      </c>
      <c r="AB34" s="13">
        <f t="shared" si="6"/>
        <v>229.245</v>
      </c>
      <c r="AC34" s="14">
        <f>IFERROR(AB34/AB148, "NA")</f>
        <v>8.8755265905735778E-3</v>
      </c>
      <c r="AD34" s="15">
        <f t="shared" si="7"/>
        <v>-69.574999999999989</v>
      </c>
      <c r="AE34" s="16">
        <f>IFERROR(AD34/AD148, "NA")</f>
        <v>-3.7434090175400864E-2</v>
      </c>
      <c r="AF34" s="15">
        <f t="shared" si="8"/>
        <v>-0.3034962594604026</v>
      </c>
      <c r="AG34" s="13">
        <f t="shared" si="9"/>
        <v>244.03</v>
      </c>
      <c r="AH34" s="14">
        <f>IFERROR(AG34/AG148, "NA")</f>
        <v>9.5755990365541822E-3</v>
      </c>
      <c r="AI34" s="15">
        <f t="shared" si="10"/>
        <v>-84.359999999999985</v>
      </c>
      <c r="AJ34" s="16">
        <f>IFERROR(AI34/AI148, "NA")</f>
        <v>-3.8294583672371506E-2</v>
      </c>
      <c r="AK34" s="15">
        <f t="shared" si="11"/>
        <v>-0.3456952014096627</v>
      </c>
      <c r="AL34" s="16">
        <f>IFERROR(AK34/AK148, "NA")</f>
        <v>-3.9991841268817341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7542.9000000000005</v>
      </c>
      <c r="C35" s="14">
        <f>IFERROR(B35/B148, "NA")</f>
        <v>0.22297260146821557</v>
      </c>
      <c r="D35" s="13">
        <f>IFERROR(D13+D15+D16+D17+D18+D19+D20+D21+D22+D23+D24+D25+D26+D29+D30+D31+D32+D33, "NA")</f>
        <v>6412.1600000000008</v>
      </c>
      <c r="E35" s="14">
        <f>IFERROR(D35/D148, "NA")</f>
        <v>0.25763887019415255</v>
      </c>
      <c r="F35" s="13">
        <f>IFERROR(F13+F15+F16+F17+F18+F19+F20+F21+F22+F23+F24+F25+F26+F29+F30+F31+F32+F33, "NA")</f>
        <v>7945.6500000000005</v>
      </c>
      <c r="G35" s="14">
        <f>IFERROR(F35/F148, "NA")</f>
        <v>0.25113094498738442</v>
      </c>
      <c r="H35" s="13">
        <f>IFERROR(H13+H15+H16+H17+H18+H19+H20+H21+H22+H23+H24+H25+H26+H29+H30+H31+H32+H33, "NA")</f>
        <v>5948.7699999999995</v>
      </c>
      <c r="I35" s="14">
        <f>IFERROR(H35/H148, "NA")</f>
        <v>0.19776042371368474</v>
      </c>
      <c r="J35" s="13">
        <f>IFERROR(J13+J15+J16+J17+J18+J19+J20+J21+J22+J23+J24+J25+J26+J29+J30+J31+J32+J33, "NA")</f>
        <v>5468.13</v>
      </c>
      <c r="K35" s="14">
        <f>IFERROR(J35/J148, "NA")</f>
        <v>0.2048219668209787</v>
      </c>
      <c r="L35" s="13">
        <f>IFERROR(L13+L15+L16+L17+L18+L19+L20+L21+L22+L23+L24+L25+L26+L29+L30+L31+L32+L33, "NA")</f>
        <v>5838.91</v>
      </c>
      <c r="M35" s="14">
        <f>IFERROR(L35/L148, "NA")</f>
        <v>0.25550901953302263</v>
      </c>
      <c r="N35" s="13">
        <f>IFERROR(N13+N15+N16+N17+N18+N19+N20+N21+N22+N23+N24+N25+N26+N29+N30+N31+N32+N33, "NA")</f>
        <v>5755.58</v>
      </c>
      <c r="O35" s="14">
        <f>IFERROR(N35/N148, "NA")</f>
        <v>0.21348250009365577</v>
      </c>
      <c r="P35" s="13">
        <f>IFERROR(P13+P15+P16+P17+P18+P19+P20+P21+P22+P23+P24+P25+P26+P29+P30+P31+P32+P33, "NA")</f>
        <v>5603.73</v>
      </c>
      <c r="Q35" s="14">
        <f>IFERROR(P35/P148, "NA")</f>
        <v>0.23298889174849455</v>
      </c>
      <c r="R35" s="13">
        <f>IFERROR(R13+R15+R16+R17+R18+R19+R20+R21+R22+R23+R24+R25+R26+R29+R30+R31+R32+R33, "NA")</f>
        <v>5766.380000000001</v>
      </c>
      <c r="S35" s="14">
        <f>IFERROR(R35/R148, "NA")</f>
        <v>0.22972948207901442</v>
      </c>
      <c r="T35" s="13">
        <f>IFERROR(T13+T15+T16+T17+T18+T19+T20+T21+T22+T23+T24+T25+T26+T29+T30+T31+T32+T33, "NA")</f>
        <v>4681.51</v>
      </c>
      <c r="U35" s="14">
        <f>IFERROR(T35/T148, "NA")</f>
        <v>0.20712868010445123</v>
      </c>
      <c r="V35" s="13">
        <f>IFERROR(V13+V15+V16+V17+V18+V19+V20+V21+V22+V23+V24+V25+V26+V29+V30+V31+V32+V33, "NA")</f>
        <v>6202.5099999999984</v>
      </c>
      <c r="W35" s="14">
        <f>IFERROR(V35/V148, "NA")</f>
        <v>0.22211005826597224</v>
      </c>
      <c r="X35" s="13">
        <f>IFERROR(X13+X15+X16+X17+X18+X19+X20+X21+X22+X23+X24+X25+X26+X29+X30+X31+X32+X33, "NA")</f>
        <v>5967.2800000000007</v>
      </c>
      <c r="Y35" s="14">
        <f>IFERROR(X35/X148, "NA")</f>
        <v>0.21552260605782614</v>
      </c>
      <c r="Z35" s="13">
        <f>IFERROR(Z13+Z15+Z16+Z17+Z18+Z19+Z20+Z21+Z22+Z23+Z24+Z25+Z26+Z29+Z30+Z31+Z32+Z33, "NA")</f>
        <v>16851.300000000003</v>
      </c>
      <c r="AA35" s="14">
        <f>IFERROR(Z35/Z148, "NA")</f>
        <v>0.2154489392163787</v>
      </c>
      <c r="AB35" s="13">
        <f t="shared" si="6"/>
        <v>5654.42</v>
      </c>
      <c r="AC35" s="14">
        <f>IFERROR(AB35/AB148, "NA")</f>
        <v>0.21891842816319243</v>
      </c>
      <c r="AD35" s="15">
        <f t="shared" si="7"/>
        <v>312.86000000000058</v>
      </c>
      <c r="AE35" s="16">
        <f>IFERROR(AD35/AD148, "NA")</f>
        <v>0.16833100182933436</v>
      </c>
      <c r="AF35" s="15">
        <f t="shared" si="8"/>
        <v>5.533016648922446E-2</v>
      </c>
      <c r="AG35" s="13">
        <f t="shared" si="9"/>
        <v>5660.5037499999999</v>
      </c>
      <c r="AH35" s="14">
        <f>IFERROR(AG35/AG148, "NA")</f>
        <v>0.22211496231984321</v>
      </c>
      <c r="AI35" s="15">
        <f t="shared" si="10"/>
        <v>306.7762500000008</v>
      </c>
      <c r="AJ35" s="16">
        <f>IFERROR(AI35/AI148, "NA")</f>
        <v>0.13925875740068033</v>
      </c>
      <c r="AK35" s="15">
        <f t="shared" si="11"/>
        <v>5.4195927350105685E-2</v>
      </c>
      <c r="AL35" s="16">
        <f>IFERROR(AK35/AK148, "NA")</f>
        <v>0.62696702620217537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942.18</v>
      </c>
      <c r="C40" s="8">
        <f>IFERROR(B40/B148, "NA")</f>
        <v>2.7851400078394692E-2</v>
      </c>
      <c r="D40" s="7">
        <v>838.65</v>
      </c>
      <c r="E40" s="8">
        <f>IFERROR(D40/D148, "NA")</f>
        <v>3.3696732222578039E-2</v>
      </c>
      <c r="F40" s="7">
        <v>795.43</v>
      </c>
      <c r="G40" s="8">
        <f>IFERROR(F40/F148, "NA")</f>
        <v>2.5140433768327974E-2</v>
      </c>
      <c r="H40" s="7">
        <v>867.54</v>
      </c>
      <c r="I40" s="8">
        <f>IFERROR(H40/H148, "NA")</f>
        <v>2.8840428859843309E-2</v>
      </c>
      <c r="J40" s="7">
        <v>769.11</v>
      </c>
      <c r="K40" s="8">
        <f>IFERROR(J40/J148, "NA")</f>
        <v>2.8808865718569769E-2</v>
      </c>
      <c r="L40" s="7">
        <v>773.49</v>
      </c>
      <c r="M40" s="8">
        <f>IFERROR(L40/L148, "NA")</f>
        <v>3.3847699573824164E-2</v>
      </c>
      <c r="N40" s="7">
        <v>632.12</v>
      </c>
      <c r="O40" s="8">
        <f>IFERROR(N40/N148, "NA")</f>
        <v>2.3446213580421382E-2</v>
      </c>
      <c r="P40" s="7">
        <v>793.98</v>
      </c>
      <c r="Q40" s="8">
        <f>IFERROR(P40/P148, "NA")</f>
        <v>3.301167619968659E-2</v>
      </c>
      <c r="R40" s="7">
        <v>805.91</v>
      </c>
      <c r="S40" s="8">
        <f>IFERROR(R40/R148, "NA")</f>
        <v>3.2107021545978325E-2</v>
      </c>
      <c r="T40" s="7">
        <v>628.97</v>
      </c>
      <c r="U40" s="8">
        <f>IFERROR(T40/T148, "NA")</f>
        <v>2.7828142186024741E-2</v>
      </c>
      <c r="V40" s="7">
        <v>672.84</v>
      </c>
      <c r="W40" s="8">
        <f>IFERROR(V40/V148, "NA")</f>
        <v>2.4094202444442138E-2</v>
      </c>
      <c r="X40" s="7">
        <v>801.04</v>
      </c>
      <c r="Y40" s="8">
        <f>IFERROR(X40/X148, "NA")</f>
        <v>2.89314777179152E-2</v>
      </c>
      <c r="Z40" s="7">
        <v>2102.85</v>
      </c>
      <c r="AA40" s="8">
        <f>IFERROR(Z40/Z148, "NA")</f>
        <v>2.6885569767980028E-2</v>
      </c>
      <c r="AB40" s="9">
        <f t="shared" si="12"/>
        <v>727.19</v>
      </c>
      <c r="AC40" s="8">
        <f>IFERROR(AB40/AB148, "NA")</f>
        <v>2.8154132833427995E-2</v>
      </c>
      <c r="AD40" s="10">
        <f t="shared" si="13"/>
        <v>73.849999999999909</v>
      </c>
      <c r="AE40" s="11">
        <f>IFERROR(AD40/AD148, "NA")</f>
        <v>3.9734208544065411E-2</v>
      </c>
      <c r="AF40" s="10">
        <f t="shared" si="14"/>
        <v>0.10155530191559277</v>
      </c>
      <c r="AG40" s="9">
        <f t="shared" si="15"/>
        <v>734.6825</v>
      </c>
      <c r="AH40" s="8">
        <f>IFERROR(AG40/AG148, "NA")</f>
        <v>2.8828525341856402E-2</v>
      </c>
      <c r="AI40" s="10">
        <f t="shared" si="16"/>
        <v>66.357499999999959</v>
      </c>
      <c r="AJ40" s="11">
        <f>IFERROR(AI40/AI148, "NA")</f>
        <v>3.0122485017062484E-2</v>
      </c>
      <c r="AK40" s="10">
        <f t="shared" si="17"/>
        <v>9.0321329281696464E-2</v>
      </c>
      <c r="AL40" s="11">
        <f>IFERROR(AK40/AK148, "NA")</f>
        <v>1.0448846987441072</v>
      </c>
    </row>
    <row r="41" spans="1:38" ht="16.5" customHeight="1">
      <c r="A41" s="25" t="s">
        <v>56</v>
      </c>
      <c r="B41" s="7">
        <v>248.46</v>
      </c>
      <c r="C41" s="8">
        <f>IFERROR(B41/B148, "NA")</f>
        <v>7.3446250859474259E-3</v>
      </c>
      <c r="D41" s="7">
        <v>248.12</v>
      </c>
      <c r="E41" s="8">
        <f>IFERROR(D41/D148, "NA")</f>
        <v>9.9693950981530593E-3</v>
      </c>
      <c r="F41" s="7">
        <v>439.62</v>
      </c>
      <c r="G41" s="8">
        <f>IFERROR(F41/F148, "NA")</f>
        <v>1.3894670169885905E-2</v>
      </c>
      <c r="H41" s="7">
        <v>257.66000000000003</v>
      </c>
      <c r="I41" s="8">
        <f>IFERROR(H41/H148, "NA")</f>
        <v>8.5656279826027935E-3</v>
      </c>
      <c r="J41" s="7">
        <v>-0.57999999999999996</v>
      </c>
      <c r="K41" s="8">
        <f>IFERROR(J41/J148, "NA")</f>
        <v>-2.1725295623214448E-5</v>
      </c>
      <c r="L41" s="7">
        <v>139.15</v>
      </c>
      <c r="M41" s="8">
        <f>IFERROR(L41/L148, "NA")</f>
        <v>6.0891639138161225E-3</v>
      </c>
      <c r="N41" s="7">
        <v>118.1</v>
      </c>
      <c r="O41" s="8">
        <f>IFERROR(N41/N148, "NA")</f>
        <v>4.3804939312911554E-3</v>
      </c>
      <c r="P41" s="7">
        <v>140.34</v>
      </c>
      <c r="Q41" s="8">
        <f>IFERROR(P41/P148, "NA")</f>
        <v>5.8349815333686187E-3</v>
      </c>
      <c r="R41" s="7">
        <v>34.340000000000003</v>
      </c>
      <c r="S41" s="8">
        <f>IFERROR(R41/R148, "NA")</f>
        <v>1.3680871559961978E-3</v>
      </c>
      <c r="T41" s="7">
        <v>154.06</v>
      </c>
      <c r="U41" s="8">
        <f>IFERROR(T41/T148, "NA")</f>
        <v>6.8162290493647892E-3</v>
      </c>
      <c r="V41" s="7">
        <v>358.94</v>
      </c>
      <c r="W41" s="8">
        <f>IFERROR(V41/V148, "NA")</f>
        <v>1.2853535796635248E-2</v>
      </c>
      <c r="X41" s="7">
        <v>319.52</v>
      </c>
      <c r="Y41" s="8">
        <f>IFERROR(X41/X148, "NA")</f>
        <v>1.1540229901663169E-2</v>
      </c>
      <c r="Z41" s="7">
        <v>832.52</v>
      </c>
      <c r="AA41" s="8">
        <f>IFERROR(Z41/Z148, "NA")</f>
        <v>1.0644018614375127E-2</v>
      </c>
      <c r="AB41" s="9">
        <f t="shared" si="12"/>
        <v>216.715</v>
      </c>
      <c r="AC41" s="8">
        <f>IFERROR(AB41/AB148, "NA")</f>
        <v>8.3904108926090119E-3</v>
      </c>
      <c r="AD41" s="10">
        <f t="shared" si="13"/>
        <v>102.80499999999998</v>
      </c>
      <c r="AE41" s="11">
        <f>IFERROR(AD41/AD148, "NA")</f>
        <v>5.5313138921769103E-2</v>
      </c>
      <c r="AF41" s="10">
        <f t="shared" si="14"/>
        <v>0.47437879242322856</v>
      </c>
      <c r="AG41" s="9">
        <f t="shared" si="15"/>
        <v>157.98375000000001</v>
      </c>
      <c r="AH41" s="8">
        <f>IFERROR(AG41/AG148, "NA")</f>
        <v>6.1991929037053519E-3</v>
      </c>
      <c r="AI41" s="10">
        <f t="shared" si="16"/>
        <v>161.53624999999997</v>
      </c>
      <c r="AJ41" s="11">
        <f>IFERROR(AI41/AI148, "NA")</f>
        <v>7.3328158389593667E-2</v>
      </c>
      <c r="AK41" s="10">
        <f t="shared" si="17"/>
        <v>1.0224864899079806</v>
      </c>
      <c r="AL41" s="11">
        <f>IFERROR(AK41/AK148, "NA")</f>
        <v>11.828662138544569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1190.6399999999999</v>
      </c>
      <c r="C44" s="14">
        <f>IFERROR(B44/B148, "NA")</f>
        <v>3.5196025164342115E-2</v>
      </c>
      <c r="D44" s="13">
        <f>IFERROR(D39+D40+D41+D42+D43, "NA")</f>
        <v>1086.77</v>
      </c>
      <c r="E44" s="14">
        <f>IFERROR(D44/D148, "NA")</f>
        <v>4.3666127320731093E-2</v>
      </c>
      <c r="F44" s="13">
        <f>IFERROR(F39+F40+F41+F42+F43, "NA")</f>
        <v>1235.05</v>
      </c>
      <c r="G44" s="14">
        <f>IFERROR(F44/F148, "NA")</f>
        <v>3.9035103938213883E-2</v>
      </c>
      <c r="H44" s="13">
        <f>IFERROR(H39+H40+H41+H42+H43, "NA")</f>
        <v>1125.2</v>
      </c>
      <c r="I44" s="14">
        <f>IFERROR(H44/H148, "NA")</f>
        <v>3.7406056842446106E-2</v>
      </c>
      <c r="J44" s="13">
        <f>IFERROR(J39+J40+J41+J42+J43, "NA")</f>
        <v>768.53</v>
      </c>
      <c r="K44" s="14">
        <f>IFERROR(J44/J148, "NA")</f>
        <v>2.8787140422946556E-2</v>
      </c>
      <c r="L44" s="13">
        <f>IFERROR(L39+L40+L41+L42+L43, "NA")</f>
        <v>912.64</v>
      </c>
      <c r="M44" s="14">
        <f>IFERROR(L44/L148, "NA")</f>
        <v>3.9936863487640285E-2</v>
      </c>
      <c r="N44" s="13">
        <f>IFERROR(N39+N40+N41+N42+N43, "NA")</f>
        <v>750.22</v>
      </c>
      <c r="O44" s="14">
        <f>IFERROR(N44/N148, "NA")</f>
        <v>2.7826707511712536E-2</v>
      </c>
      <c r="P44" s="13">
        <f>IFERROR(P39+P40+P41+P42+P43, "NA")</f>
        <v>934.32</v>
      </c>
      <c r="Q44" s="14">
        <f>IFERROR(P44/P148, "NA")</f>
        <v>3.8846657733055207E-2</v>
      </c>
      <c r="R44" s="13">
        <f>IFERROR(R39+R40+R41+R42+R43, "NA")</f>
        <v>840.25</v>
      </c>
      <c r="S44" s="14">
        <f>IFERROR(R44/R148, "NA")</f>
        <v>3.3475108701974524E-2</v>
      </c>
      <c r="T44" s="13">
        <f>IFERROR(T39+T40+T41+T42+T43, "NA")</f>
        <v>783.03</v>
      </c>
      <c r="U44" s="14">
        <f>IFERROR(T44/T148, "NA")</f>
        <v>3.4644371235389528E-2</v>
      </c>
      <c r="V44" s="13">
        <f>IFERROR(V39+V40+V41+V42+V43, "NA")</f>
        <v>1031.78</v>
      </c>
      <c r="W44" s="14">
        <f>IFERROR(V44/V148, "NA")</f>
        <v>3.6947738241077388E-2</v>
      </c>
      <c r="X44" s="13">
        <f>IFERROR(X39+X40+X41+X42+X43, "NA")</f>
        <v>1120.56</v>
      </c>
      <c r="Y44" s="14">
        <f>IFERROR(X44/X148, "NA")</f>
        <v>4.047170761957837E-2</v>
      </c>
      <c r="Z44" s="13">
        <f>IFERROR(Z39+Z40+Z41+Z42+Z43, "NA")</f>
        <v>2935.37</v>
      </c>
      <c r="AA44" s="14">
        <f>IFERROR(Z44/Z148, "NA")</f>
        <v>3.7529588382355157E-2</v>
      </c>
      <c r="AB44" s="13">
        <f t="shared" si="12"/>
        <v>943.90499999999997</v>
      </c>
      <c r="AC44" s="14">
        <f>IFERROR(AB44/AB148, "NA")</f>
        <v>3.6544543726037E-2</v>
      </c>
      <c r="AD44" s="15">
        <f t="shared" si="13"/>
        <v>176.65499999999997</v>
      </c>
      <c r="AE44" s="16">
        <f>IFERROR(AD44/AD148, "NA")</f>
        <v>9.5047347465834556E-2</v>
      </c>
      <c r="AF44" s="15">
        <f t="shared" si="14"/>
        <v>0.1871533681885359</v>
      </c>
      <c r="AG44" s="13">
        <f t="shared" si="15"/>
        <v>892.66624999999999</v>
      </c>
      <c r="AH44" s="14">
        <f>IFERROR(AG44/AG148, "NA")</f>
        <v>3.5027718245561751E-2</v>
      </c>
      <c r="AI44" s="15">
        <f t="shared" si="16"/>
        <v>227.89374999999995</v>
      </c>
      <c r="AJ44" s="16">
        <f>IFERROR(AI44/AI148, "NA")</f>
        <v>0.10345064340665616</v>
      </c>
      <c r="AK44" s="15">
        <f t="shared" si="17"/>
        <v>0.25529558219547333</v>
      </c>
      <c r="AL44" s="16">
        <f>IFERROR(AK44/AK148, "NA")</f>
        <v>2.9533937289724563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120.7</v>
      </c>
      <c r="C47" s="8">
        <f>IFERROR(B47/B148, "NA")</f>
        <v>3.5679636475644139E-3</v>
      </c>
      <c r="D47" s="7">
        <v>113.62</v>
      </c>
      <c r="E47" s="8">
        <f>IFERROR(D47/D148, "NA")</f>
        <v>4.5652211472358159E-3</v>
      </c>
      <c r="F47" s="7">
        <v>81.19</v>
      </c>
      <c r="G47" s="8">
        <f>IFERROR(F47/F148, "NA")</f>
        <v>2.5660986103749526E-3</v>
      </c>
      <c r="H47" s="7">
        <v>138.65</v>
      </c>
      <c r="I47" s="8">
        <f>IFERROR(H47/H148, "NA")</f>
        <v>4.6092692687568007E-3</v>
      </c>
      <c r="J47" s="7">
        <v>142.69</v>
      </c>
      <c r="K47" s="8">
        <f>IFERROR(J47/J148, "NA")</f>
        <v>5.3447972973732242E-3</v>
      </c>
      <c r="L47" s="7">
        <v>184.49</v>
      </c>
      <c r="M47" s="8">
        <f>IFERROR(L47/L148, "NA")</f>
        <v>8.0732292523171875E-3</v>
      </c>
      <c r="N47" s="7">
        <v>190.87</v>
      </c>
      <c r="O47" s="8">
        <f>IFERROR(N47/N148, "NA")</f>
        <v>7.0796348574559088E-3</v>
      </c>
      <c r="P47" s="7">
        <v>177.7</v>
      </c>
      <c r="Q47" s="8">
        <f>IFERROR(P47/P148, "NA")</f>
        <v>7.3883156511301371E-3</v>
      </c>
      <c r="R47" s="7">
        <v>194.62</v>
      </c>
      <c r="S47" s="8">
        <f>IFERROR(R47/R148, "NA")</f>
        <v>7.7535562696557951E-3</v>
      </c>
      <c r="T47" s="7">
        <v>109.65</v>
      </c>
      <c r="U47" s="8">
        <f>IFERROR(T47/T148, "NA")</f>
        <v>4.8513534678881554E-3</v>
      </c>
      <c r="V47" s="7">
        <v>162.41999999999999</v>
      </c>
      <c r="W47" s="8">
        <f>IFERROR(V47/V148, "NA")</f>
        <v>5.8162124145804224E-3</v>
      </c>
      <c r="X47" s="7">
        <v>160.47</v>
      </c>
      <c r="Y47" s="8">
        <f>IFERROR(X47/X148, "NA")</f>
        <v>5.795758300951079E-3</v>
      </c>
      <c r="Z47" s="7">
        <v>432.54</v>
      </c>
      <c r="AA47" s="8">
        <f>IFERROR(Z47/Z148, "NA")</f>
        <v>5.5301540040621454E-3</v>
      </c>
      <c r="AB47" s="9">
        <f t="shared" si="18"/>
        <v>156.79</v>
      </c>
      <c r="AC47" s="8">
        <f>IFERROR(AB47/AB148, "NA")</f>
        <v>6.0703344201009013E-3</v>
      </c>
      <c r="AD47" s="10">
        <f t="shared" si="19"/>
        <v>3.6800000000000068</v>
      </c>
      <c r="AE47" s="11">
        <f>IFERROR(AD47/AD148, "NA")</f>
        <v>1.9799849348972397E-3</v>
      </c>
      <c r="AF47" s="10">
        <f t="shared" si="20"/>
        <v>2.3470884622743843E-2</v>
      </c>
      <c r="AG47" s="9">
        <f t="shared" si="21"/>
        <v>165.36375000000001</v>
      </c>
      <c r="AH47" s="8">
        <f>IFERROR(AG47/AG148, "NA")</f>
        <v>6.488779925341092E-3</v>
      </c>
      <c r="AI47" s="10">
        <f t="shared" si="22"/>
        <v>-4.8937500000000114</v>
      </c>
      <c r="AJ47" s="11">
        <f>IFERROR(AI47/AI148, "NA")</f>
        <v>-2.2214807829145154E-3</v>
      </c>
      <c r="AK47" s="10">
        <f t="shared" si="23"/>
        <v>-2.9593849921763452E-2</v>
      </c>
      <c r="AL47" s="11">
        <f>IFERROR(AK47/AK148, "NA")</f>
        <v>-0.34235723949255997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120.7</v>
      </c>
      <c r="C52" s="14">
        <f>IFERROR(B52/B148, "NA")</f>
        <v>3.5679636475644139E-3</v>
      </c>
      <c r="D52" s="13">
        <f>IFERROR(D46+D47+D48+D49+D50+D51, "NA")</f>
        <v>113.62</v>
      </c>
      <c r="E52" s="14">
        <f>IFERROR(D52/D148, "NA")</f>
        <v>4.5652211472358159E-3</v>
      </c>
      <c r="F52" s="13">
        <f>IFERROR(F46+F47+F48+F49+F50+F51, "NA")</f>
        <v>81.19</v>
      </c>
      <c r="G52" s="14">
        <f>IFERROR(F52/F148, "NA")</f>
        <v>2.5660986103749526E-3</v>
      </c>
      <c r="H52" s="13">
        <f>IFERROR(H46+H47+H48+H49+H50+H51, "NA")</f>
        <v>138.65</v>
      </c>
      <c r="I52" s="14">
        <f>IFERROR(H52/H148, "NA")</f>
        <v>4.6092692687568007E-3</v>
      </c>
      <c r="J52" s="13">
        <f>IFERROR(J46+J47+J48+J49+J50+J51, "NA")</f>
        <v>142.69</v>
      </c>
      <c r="K52" s="14">
        <f>IFERROR(J52/J148, "NA")</f>
        <v>5.3447972973732242E-3</v>
      </c>
      <c r="L52" s="13">
        <f>IFERROR(L46+L47+L48+L49+L50+L51, "NA")</f>
        <v>184.49</v>
      </c>
      <c r="M52" s="14">
        <f>IFERROR(L52/L148, "NA")</f>
        <v>8.0732292523171875E-3</v>
      </c>
      <c r="N52" s="13">
        <f>IFERROR(N46+N47+N48+N49+N50+N51, "NA")</f>
        <v>190.87</v>
      </c>
      <c r="O52" s="14">
        <f>IFERROR(N52/N148, "NA")</f>
        <v>7.0796348574559088E-3</v>
      </c>
      <c r="P52" s="13">
        <f>IFERROR(P46+P47+P48+P49+P50+P51, "NA")</f>
        <v>177.7</v>
      </c>
      <c r="Q52" s="14">
        <f>IFERROR(P52/P148, "NA")</f>
        <v>7.3883156511301371E-3</v>
      </c>
      <c r="R52" s="13">
        <f>IFERROR(R46+R47+R48+R49+R50+R51, "NA")</f>
        <v>194.62</v>
      </c>
      <c r="S52" s="14">
        <f>IFERROR(R52/R148, "NA")</f>
        <v>7.7535562696557951E-3</v>
      </c>
      <c r="T52" s="13">
        <f>IFERROR(T46+T47+T48+T49+T50+T51, "NA")</f>
        <v>109.65</v>
      </c>
      <c r="U52" s="14">
        <f>IFERROR(T52/T148, "NA")</f>
        <v>4.8513534678881554E-3</v>
      </c>
      <c r="V52" s="13">
        <f>IFERROR(V46+V47+V48+V49+V50+V51, "NA")</f>
        <v>162.41999999999999</v>
      </c>
      <c r="W52" s="14">
        <f>IFERROR(V52/V148, "NA")</f>
        <v>5.8162124145804224E-3</v>
      </c>
      <c r="X52" s="13">
        <f>IFERROR(X46+X47+X48+X49+X50+X51, "NA")</f>
        <v>160.47</v>
      </c>
      <c r="Y52" s="14">
        <f>IFERROR(X52/X148, "NA")</f>
        <v>5.795758300951079E-3</v>
      </c>
      <c r="Z52" s="13">
        <f>IFERROR(Z46+Z47+Z48+Z49+Z50+Z51, "NA")</f>
        <v>432.54</v>
      </c>
      <c r="AA52" s="14">
        <f>IFERROR(Z52/Z148, "NA")</f>
        <v>5.5301540040621454E-3</v>
      </c>
      <c r="AB52" s="13">
        <f t="shared" si="18"/>
        <v>156.79</v>
      </c>
      <c r="AC52" s="14">
        <f>IFERROR(AB52/AB148, "NA")</f>
        <v>6.0703344201009013E-3</v>
      </c>
      <c r="AD52" s="15">
        <f t="shared" si="19"/>
        <v>3.6800000000000068</v>
      </c>
      <c r="AE52" s="16">
        <f>IFERROR(AD52/AD148, "NA")</f>
        <v>1.9799849348972397E-3</v>
      </c>
      <c r="AF52" s="15">
        <f t="shared" si="20"/>
        <v>2.3470884622743843E-2</v>
      </c>
      <c r="AG52" s="13">
        <f t="shared" si="21"/>
        <v>165.36375000000001</v>
      </c>
      <c r="AH52" s="14">
        <f>IFERROR(AG52/AG148, "NA")</f>
        <v>6.488779925341092E-3</v>
      </c>
      <c r="AI52" s="15">
        <f t="shared" si="22"/>
        <v>-4.8937500000000114</v>
      </c>
      <c r="AJ52" s="16">
        <f>IFERROR(AI52/AI148, "NA")</f>
        <v>-2.2214807829145154E-3</v>
      </c>
      <c r="AK52" s="15">
        <f t="shared" si="23"/>
        <v>-2.9593849921763452E-2</v>
      </c>
      <c r="AL52" s="16">
        <f>IFERROR(AK52/AK148, "NA")</f>
        <v>-0.34235723949255997</v>
      </c>
    </row>
    <row r="53" spans="1:38" ht="16.5" customHeight="1">
      <c r="A53" s="23" t="s">
        <v>68</v>
      </c>
      <c r="B53" s="7">
        <v>38.28</v>
      </c>
      <c r="C53" s="8">
        <f>IFERROR(B53/B148, "NA")</f>
        <v>1.1315795230220859E-3</v>
      </c>
      <c r="D53" s="7">
        <v>33.17</v>
      </c>
      <c r="E53" s="8">
        <f>IFERROR(D53/D148, "NA")</f>
        <v>1.3327617096797395E-3</v>
      </c>
      <c r="F53" s="7">
        <v>44.24</v>
      </c>
      <c r="G53" s="8">
        <f>IFERROR(F53/F148, "NA")</f>
        <v>1.3982535105676549E-3</v>
      </c>
      <c r="H53" s="7">
        <v>21.3</v>
      </c>
      <c r="I53" s="8">
        <f>IFERROR(H53/H148, "NA")</f>
        <v>7.0809545924644681E-4</v>
      </c>
      <c r="J53" s="7">
        <v>33.29</v>
      </c>
      <c r="K53" s="8">
        <f>IFERROR(J53/J148, "NA")</f>
        <v>1.2469570539600156E-3</v>
      </c>
      <c r="L53" s="7">
        <v>7.97</v>
      </c>
      <c r="M53" s="8">
        <f>IFERROR(L53/L148, "NA")</f>
        <v>3.4876490401088389E-4</v>
      </c>
      <c r="N53" s="7">
        <v>20.260000000000002</v>
      </c>
      <c r="O53" s="8">
        <f>IFERROR(N53/N148, "NA")</f>
        <v>7.5147169388618807E-4</v>
      </c>
      <c r="P53" s="7">
        <v>19.75</v>
      </c>
      <c r="Q53" s="8">
        <f>IFERROR(P53/P148, "NA")</f>
        <v>8.2115494715711993E-4</v>
      </c>
      <c r="R53" s="7">
        <v>41.27</v>
      </c>
      <c r="S53" s="8">
        <f>IFERROR(R53/R148, "NA")</f>
        <v>1.6441746338952557E-3</v>
      </c>
      <c r="T53" s="7">
        <v>28.65</v>
      </c>
      <c r="U53" s="8">
        <f>IFERROR(T53/T148, "NA")</f>
        <v>1.2675903041951266E-3</v>
      </c>
      <c r="V53" s="7">
        <v>13.96</v>
      </c>
      <c r="W53" s="8">
        <f>IFERROR(V53/V148, "NA")</f>
        <v>4.9990349284289323E-4</v>
      </c>
      <c r="X53" s="7">
        <v>24.68</v>
      </c>
      <c r="Y53" s="8">
        <f>IFERROR(X53/X148, "NA")</f>
        <v>8.9137729711143902E-4</v>
      </c>
      <c r="Z53" s="7">
        <v>67.290000000000006</v>
      </c>
      <c r="AA53" s="8">
        <f>IFERROR(Z53/Z148, "NA")</f>
        <v>8.6032289021441201E-4</v>
      </c>
      <c r="AB53" s="9">
        <f t="shared" si="18"/>
        <v>27.14</v>
      </c>
      <c r="AC53" s="8">
        <f>IFERROR(AB53/AB148, "NA")</f>
        <v>1.0507613761179826E-3</v>
      </c>
      <c r="AD53" s="10">
        <f t="shared" si="19"/>
        <v>-2.4600000000000009</v>
      </c>
      <c r="AE53" s="11">
        <f>IFERROR(AD53/AD148, "NA")</f>
        <v>-1.3235768858280441E-3</v>
      </c>
      <c r="AF53" s="10">
        <f t="shared" si="20"/>
        <v>-9.0641120117907176E-2</v>
      </c>
      <c r="AG53" s="9">
        <f t="shared" si="21"/>
        <v>23.728750000000002</v>
      </c>
      <c r="AH53" s="8">
        <f>IFERROR(AG53/AG148, "NA")</f>
        <v>9.3110271539825046E-4</v>
      </c>
      <c r="AI53" s="10">
        <f t="shared" si="22"/>
        <v>0.95124999999999815</v>
      </c>
      <c r="AJ53" s="11">
        <f>IFERROR(AI53/AI148, "NA")</f>
        <v>4.3181273966741744E-4</v>
      </c>
      <c r="AK53" s="10">
        <f t="shared" si="23"/>
        <v>4.0088500237054125E-2</v>
      </c>
      <c r="AL53" s="11">
        <f>IFERROR(AK53/AK148, "NA")</f>
        <v>0.46376488063695837</v>
      </c>
    </row>
    <row r="54" spans="1:38" ht="16.5" customHeight="1">
      <c r="A54" s="23" t="s">
        <v>69</v>
      </c>
      <c r="B54" s="7">
        <v>33</v>
      </c>
      <c r="C54" s="8">
        <f>IFERROR(B54/B148, "NA")</f>
        <v>9.7549958881214304E-4</v>
      </c>
      <c r="D54" s="7">
        <v>37</v>
      </c>
      <c r="E54" s="8">
        <f>IFERROR(D54/D148, "NA")</f>
        <v>1.4866500831519553E-3</v>
      </c>
      <c r="F54" s="7">
        <v>23.25</v>
      </c>
      <c r="G54" s="8">
        <f>IFERROR(F54/F148, "NA")</f>
        <v>7.3484163925628329E-4</v>
      </c>
      <c r="H54" s="7">
        <v>39.31</v>
      </c>
      <c r="I54" s="8">
        <f>IFERROR(H54/H148, "NA")</f>
        <v>1.3068184273698511E-3</v>
      </c>
      <c r="J54" s="7">
        <v>33</v>
      </c>
      <c r="K54" s="8">
        <f>IFERROR(J54/J148, "NA")</f>
        <v>1.2360944061484084E-3</v>
      </c>
      <c r="L54" s="7">
        <v>30</v>
      </c>
      <c r="M54" s="8">
        <f>IFERROR(L54/L148, "NA")</f>
        <v>1.3127913576319345E-3</v>
      </c>
      <c r="N54" s="7">
        <v>18</v>
      </c>
      <c r="O54" s="8">
        <f>IFERROR(N54/N148, "NA")</f>
        <v>6.676451377073733E-4</v>
      </c>
      <c r="P54" s="7">
        <v>28</v>
      </c>
      <c r="Q54" s="8">
        <f>IFERROR(P54/P148, "NA")</f>
        <v>1.1641690390075624E-3</v>
      </c>
      <c r="R54" s="7">
        <v>33</v>
      </c>
      <c r="S54" s="8">
        <f>IFERROR(R54/R148, "NA")</f>
        <v>1.3147022757097997E-3</v>
      </c>
      <c r="T54" s="7">
        <v>37</v>
      </c>
      <c r="U54" s="8">
        <f>IFERROR(T54/T148, "NA")</f>
        <v>1.6370276179832352E-3</v>
      </c>
      <c r="V54" s="7">
        <v>31</v>
      </c>
      <c r="W54" s="8">
        <f>IFERROR(V54/V148, "NA")</f>
        <v>1.110100879522184E-3</v>
      </c>
      <c r="X54" s="7">
        <v>35</v>
      </c>
      <c r="Y54" s="8">
        <f>IFERROR(X54/X148, "NA")</f>
        <v>1.2641088087074702E-3</v>
      </c>
      <c r="Z54" s="7">
        <v>103</v>
      </c>
      <c r="AA54" s="8">
        <f>IFERROR(Z54/Z148, "NA")</f>
        <v>1.3168859814546654E-3</v>
      </c>
      <c r="AB54" s="9">
        <f t="shared" si="18"/>
        <v>34</v>
      </c>
      <c r="AC54" s="8">
        <f>IFERROR(AB54/AB148, "NA")</f>
        <v>1.3163554453946723E-3</v>
      </c>
      <c r="AD54" s="10">
        <f t="shared" si="19"/>
        <v>1</v>
      </c>
      <c r="AE54" s="11">
        <f>IFERROR(AD54/AD148, "NA")</f>
        <v>5.3803938448294454E-4</v>
      </c>
      <c r="AF54" s="10">
        <f t="shared" si="20"/>
        <v>2.9411764705882353E-2</v>
      </c>
      <c r="AG54" s="9">
        <f t="shared" si="21"/>
        <v>30.625</v>
      </c>
      <c r="AH54" s="8">
        <f>IFERROR(AG54/AG148, "NA")</f>
        <v>1.201707660920673E-3</v>
      </c>
      <c r="AI54" s="10">
        <f t="shared" si="22"/>
        <v>4.375</v>
      </c>
      <c r="AJ54" s="11">
        <f>IFERROR(AI54/AI148, "NA")</f>
        <v>1.9859981456451562E-3</v>
      </c>
      <c r="AK54" s="10">
        <f t="shared" si="23"/>
        <v>0.14285714285714285</v>
      </c>
      <c r="AL54" s="11">
        <f>IFERROR(AK54/AK148, "NA")</f>
        <v>1.6526466546144918</v>
      </c>
    </row>
    <row r="55" spans="1:38" ht="16.5" customHeight="1">
      <c r="A55" s="23" t="s">
        <v>70</v>
      </c>
      <c r="B55" s="7">
        <v>-116.88</v>
      </c>
      <c r="C55" s="8">
        <f>IFERROR(B55/B148, "NA")</f>
        <v>-3.4550421800110085E-3</v>
      </c>
      <c r="D55" s="7">
        <v>-210.01</v>
      </c>
      <c r="E55" s="8">
        <f>IFERROR(D55/D148, "NA")</f>
        <v>-8.4381455125065452E-3</v>
      </c>
      <c r="F55" s="7">
        <v>-233.82</v>
      </c>
      <c r="G55" s="8">
        <f>IFERROR(F55/F148, "NA")</f>
        <v>-7.3901364340173831E-3</v>
      </c>
      <c r="H55" s="7">
        <v>-188.18</v>
      </c>
      <c r="I55" s="8">
        <f>IFERROR(H55/H148, "NA")</f>
        <v>-6.2558405408918482E-3</v>
      </c>
      <c r="J55" s="7">
        <v>-194.74</v>
      </c>
      <c r="K55" s="8">
        <f>IFERROR(J55/J148, "NA")</f>
        <v>-7.2944552925254865E-3</v>
      </c>
      <c r="L55" s="7">
        <v>-215.72</v>
      </c>
      <c r="M55" s="8">
        <f>IFERROR(L55/L148, "NA")</f>
        <v>-9.4398450556120294E-3</v>
      </c>
      <c r="N55" s="7">
        <v>-208.72</v>
      </c>
      <c r="O55" s="8">
        <f>IFERROR(N55/N148, "NA")</f>
        <v>-7.7417162856823867E-3</v>
      </c>
      <c r="P55" s="7">
        <v>-346.4</v>
      </c>
      <c r="Q55" s="8">
        <f>IFERROR(P55/P148, "NA")</f>
        <v>-1.44024341111507E-2</v>
      </c>
      <c r="R55" s="7">
        <v>-377.58</v>
      </c>
      <c r="S55" s="8">
        <f>IFERROR(R55/R148, "NA")</f>
        <v>-1.5042584401894125E-2</v>
      </c>
      <c r="T55" s="7">
        <v>-341.95</v>
      </c>
      <c r="U55" s="8">
        <f>IFERROR(T55/T148, "NA")</f>
        <v>-1.5129232269442358E-2</v>
      </c>
      <c r="V55" s="7">
        <v>-372.79</v>
      </c>
      <c r="W55" s="8">
        <f>IFERROR(V55/V148, "NA")</f>
        <v>-1.3349500221841129E-2</v>
      </c>
      <c r="X55" s="7">
        <v>-380.52</v>
      </c>
      <c r="Y55" s="8">
        <f>IFERROR(X55/X148, "NA")</f>
        <v>-1.3743390968267617E-2</v>
      </c>
      <c r="Z55" s="7">
        <v>-1095.26</v>
      </c>
      <c r="AA55" s="8">
        <f>IFERROR(Z55/Z148, "NA")</f>
        <v>-1.4003228544155697E-2</v>
      </c>
      <c r="AB55" s="9">
        <f t="shared" si="18"/>
        <v>-368.21</v>
      </c>
      <c r="AC55" s="8">
        <f>IFERROR(AB55/AB148, "NA")</f>
        <v>-1.4255742310258007E-2</v>
      </c>
      <c r="AD55" s="10">
        <f t="shared" si="19"/>
        <v>-12.310000000000002</v>
      </c>
      <c r="AE55" s="11">
        <f>IFERROR(AD55/AD148, "NA")</f>
        <v>-6.6232648229850493E-3</v>
      </c>
      <c r="AF55" s="10">
        <f t="shared" si="20"/>
        <v>3.3432008907960137E-2</v>
      </c>
      <c r="AG55" s="9">
        <f t="shared" si="21"/>
        <v>-304.80250000000001</v>
      </c>
      <c r="AH55" s="8">
        <f>IFERROR(AG55/AG148, "NA")</f>
        <v>-1.1960277528743622E-2</v>
      </c>
      <c r="AI55" s="10">
        <f t="shared" si="22"/>
        <v>-75.717499999999973</v>
      </c>
      <c r="AJ55" s="11">
        <f>IFERROR(AI55/AI148, "NA")</f>
        <v>-3.4371386192659899E-2</v>
      </c>
      <c r="AK55" s="10">
        <f t="shared" si="23"/>
        <v>0.24841495722640061</v>
      </c>
      <c r="AL55" s="11">
        <f>IFERROR(AK55/AK148, "NA")</f>
        <v>2.8737950361148914</v>
      </c>
    </row>
    <row r="56" spans="1:38" ht="16.5" customHeight="1">
      <c r="A56" s="27" t="s">
        <v>71</v>
      </c>
      <c r="B56" s="13">
        <f>IFERROR(B37+B39+B40+B41+B42+B43+B46+B47+B48+B49+B50+B51+B53+B54+B55, "NA")</f>
        <v>1265.7399999999998</v>
      </c>
      <c r="C56" s="14">
        <f>IFERROR(B56/B148, "NA")</f>
        <v>3.741602574372975E-2</v>
      </c>
      <c r="D56" s="13">
        <f>IFERROR(D37+D39+D40+D41+D42+D43+D46+D47+D48+D49+D50+D51+D53+D54+D55, "NA")</f>
        <v>1060.55</v>
      </c>
      <c r="E56" s="14">
        <f>IFERROR(D56/D148, "NA")</f>
        <v>4.261261474829206E-2</v>
      </c>
      <c r="F56" s="13">
        <f>IFERROR(F37+F39+F40+F41+F42+F43+F46+F47+F48+F49+F50+F51+F53+F54+F55, "NA")</f>
        <v>1149.9100000000001</v>
      </c>
      <c r="G56" s="14">
        <f>IFERROR(F56/F148, "NA")</f>
        <v>3.6344161264395394E-2</v>
      </c>
      <c r="H56" s="13">
        <f>IFERROR(H37+H39+H40+H41+H42+H43+H46+H47+H48+H49+H50+H51+H53+H54+H55, "NA")</f>
        <v>1136.28</v>
      </c>
      <c r="I56" s="14">
        <f>IFERROR(H56/H148, "NA")</f>
        <v>3.777439945692735E-2</v>
      </c>
      <c r="J56" s="13">
        <f>IFERROR(J37+J39+J40+J41+J42+J43+J46+J47+J48+J49+J50+J51+J53+J54+J55, "NA")</f>
        <v>782.77</v>
      </c>
      <c r="K56" s="14">
        <f>IFERROR(J56/J148, "NA")</f>
        <v>2.9320533887902716E-2</v>
      </c>
      <c r="L56" s="13">
        <f>IFERROR(L37+L39+L40+L41+L42+L43+L46+L47+L48+L49+L50+L51+L53+L54+L55, "NA")</f>
        <v>919.38000000000011</v>
      </c>
      <c r="M56" s="14">
        <f>IFERROR(L56/L148, "NA")</f>
        <v>4.023180394598827E-2</v>
      </c>
      <c r="N56" s="13">
        <f>IFERROR(N37+N39+N40+N41+N42+N43+N46+N47+N48+N49+N50+N51+N53+N54+N55, "NA")</f>
        <v>770.63</v>
      </c>
      <c r="O56" s="14">
        <f>IFERROR(N56/N148, "NA")</f>
        <v>2.8583742915079619E-2</v>
      </c>
      <c r="P56" s="13">
        <f>IFERROR(P37+P39+P40+P41+P42+P43+P46+P47+P48+P49+P50+P51+P53+P54+P55, "NA")</f>
        <v>813.37</v>
      </c>
      <c r="Q56" s="14">
        <f>IFERROR(P56/P148, "NA")</f>
        <v>3.3817863259199325E-2</v>
      </c>
      <c r="R56" s="13">
        <f>IFERROR(R37+R39+R40+R41+R42+R43+R46+R47+R48+R49+R50+R51+R53+R54+R55, "NA")</f>
        <v>731.56</v>
      </c>
      <c r="S56" s="14">
        <f>IFERROR(R56/R148, "NA")</f>
        <v>2.9144957479341243E-2</v>
      </c>
      <c r="T56" s="13">
        <f>IFERROR(T37+T39+T40+T41+T42+T43+T46+T47+T48+T49+T50+T51+T53+T54+T55, "NA")</f>
        <v>616.37999999999988</v>
      </c>
      <c r="U56" s="14">
        <f>IFERROR(T56/T148, "NA")</f>
        <v>2.7271110356013685E-2</v>
      </c>
      <c r="V56" s="13">
        <f>IFERROR(V37+V39+V40+V41+V42+V43+V46+V47+V48+V49+V50+V51+V53+V54+V55, "NA")</f>
        <v>866.37000000000012</v>
      </c>
      <c r="W56" s="14">
        <f>IFERROR(V56/V148, "NA")</f>
        <v>3.1024454806181764E-2</v>
      </c>
      <c r="X56" s="13">
        <f>IFERROR(X37+X39+X40+X41+X42+X43+X46+X47+X48+X49+X50+X51+X53+X54+X55, "NA")</f>
        <v>960.19</v>
      </c>
      <c r="Y56" s="14">
        <f>IFERROR(X56/X148, "NA")</f>
        <v>3.4679561058080746E-2</v>
      </c>
      <c r="Z56" s="13">
        <f>IFERROR(Z37+Z39+Z40+Z41+Z42+Z43+Z46+Z47+Z48+Z49+Z50+Z51+Z53+Z54+Z55, "NA")</f>
        <v>2442.9399999999996</v>
      </c>
      <c r="AA56" s="14">
        <f>IFERROR(Z56/Z148, "NA")</f>
        <v>3.1233722713930677E-2</v>
      </c>
      <c r="AB56" s="13">
        <f t="shared" si="18"/>
        <v>793.625</v>
      </c>
      <c r="AC56" s="14">
        <f>IFERROR(AB56/AB148, "NA")</f>
        <v>3.0726252657392553E-2</v>
      </c>
      <c r="AD56" s="15">
        <f t="shared" si="19"/>
        <v>166.56500000000005</v>
      </c>
      <c r="AE56" s="16">
        <f>IFERROR(AD56/AD148, "NA")</f>
        <v>8.9618530076401692E-2</v>
      </c>
      <c r="AF56" s="15">
        <f t="shared" si="20"/>
        <v>0.20987872105843447</v>
      </c>
      <c r="AG56" s="13">
        <f t="shared" si="21"/>
        <v>807.58124999999995</v>
      </c>
      <c r="AH56" s="14">
        <f>IFERROR(AG56/AG148, "NA")</f>
        <v>3.1689031018478142E-2</v>
      </c>
      <c r="AI56" s="15">
        <f t="shared" si="22"/>
        <v>152.6087500000001</v>
      </c>
      <c r="AJ56" s="16">
        <f>IFERROR(AI56/AI148, "NA")</f>
        <v>6.9275587316394382E-2</v>
      </c>
      <c r="AK56" s="15">
        <f t="shared" si="23"/>
        <v>0.18897015006230036</v>
      </c>
      <c r="AL56" s="16">
        <f>IFERROR(AK56/AK148, "NA")</f>
        <v>2.1861062042572144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8808.6400000000012</v>
      </c>
      <c r="C57" s="29">
        <f>IFERROR(B57/B148, "NA")</f>
        <v>0.26038862721194533</v>
      </c>
      <c r="D57" s="28">
        <f>IFERROR(D13+D15+D16+D17+D18+D19+D20+D21+D22+D23+D24+D25+D26+D29+D30+D31+D32+D33+D37+D39+D40+D41+D42+D43+D46+D47+D48+D49+D50+D51+D53+D54+D55, "NA")</f>
        <v>7472.71</v>
      </c>
      <c r="E57" s="29">
        <f>IFERROR(D57/D148, "NA")</f>
        <v>0.30025148494244458</v>
      </c>
      <c r="F57" s="28">
        <f>IFERROR(F13+F15+F16+F17+F18+F19+F20+F21+F22+F23+F24+F25+F26+F29+F30+F31+F32+F33+F37+F39+F40+F41+F42+F43+F46+F47+F48+F49+F50+F51+F53+F54+F55, "NA")</f>
        <v>9095.5600000000013</v>
      </c>
      <c r="G57" s="29">
        <f>IFERROR(F57/F148, "NA")</f>
        <v>0.28747510625177985</v>
      </c>
      <c r="H57" s="28">
        <f>IFERROR(H13+H15+H16+H17+H18+H19+H20+H21+H22+H23+H24+H25+H26+H29+H30+H31+H32+H33+H37+H39+H40+H41+H42+H43+H46+H47+H48+H49+H50+H51+H53+H54+H55, "NA")</f>
        <v>7085.0499999999993</v>
      </c>
      <c r="I57" s="29">
        <f>IFERROR(H57/H148, "NA")</f>
        <v>0.23553482317061208</v>
      </c>
      <c r="J57" s="28">
        <f>IFERROR(J13+J15+J16+J17+J18+J19+J20+J21+J22+J23+J24+J25+J26+J29+J30+J31+J32+J33+J37+J39+J40+J41+J42+J43+J46+J47+J48+J49+J50+J51+J53+J54+J55, "NA")</f>
        <v>6250.9</v>
      </c>
      <c r="K57" s="29">
        <f>IFERROR(J57/J148, "NA")</f>
        <v>0.23414250070888137</v>
      </c>
      <c r="L57" s="28">
        <f>IFERROR(L13+L15+L16+L17+L18+L19+L20+L21+L22+L23+L24+L25+L26+L29+L30+L31+L32+L33+L37+L39+L40+L41+L42+L43+L46+L47+L48+L49+L50+L51+L53+L54+L55, "NA")</f>
        <v>6758.2899999999991</v>
      </c>
      <c r="M57" s="29">
        <f>IFERROR(L57/L148, "NA")</f>
        <v>0.29574082347901082</v>
      </c>
      <c r="N57" s="28">
        <f>IFERROR(N13+N15+N16+N17+N18+N19+N20+N21+N22+N23+N24+N25+N26+N29+N30+N31+N32+N33+N37+N39+N40+N41+N42+N43+N46+N47+N48+N49+N50+N51+N53+N54+N55, "NA")</f>
        <v>6526.21</v>
      </c>
      <c r="O57" s="29">
        <f>IFERROR(N57/N148, "NA")</f>
        <v>0.24206624300873539</v>
      </c>
      <c r="P57" s="28">
        <f>IFERROR(P13+P15+P16+P17+P18+P19+P20+P21+P22+P23+P24+P25+P26+P29+P30+P31+P32+P33+P37+P39+P40+P41+P42+P43+P46+P47+P48+P49+P50+P51+P53+P54+P55, "NA")</f>
        <v>6417.0999999999995</v>
      </c>
      <c r="Q57" s="29">
        <f>IFERROR(P57/P148, "NA")</f>
        <v>0.26680675500769385</v>
      </c>
      <c r="R57" s="28">
        <f>IFERROR(R13+R15+R16+R17+R18+R19+R20+R21+R22+R23+R24+R25+R26+R29+R30+R31+R32+R33+R37+R39+R40+R41+R42+R43+R46+R47+R48+R49+R50+R51+R53+R54+R55, "NA")</f>
        <v>6497.9400000000014</v>
      </c>
      <c r="S57" s="29">
        <f>IFERROR(R57/R148, "NA")</f>
        <v>0.25887443955835571</v>
      </c>
      <c r="T57" s="28">
        <f>IFERROR(T13+T15+T16+T17+T18+T19+T20+T21+T22+T23+T24+T25+T26+T29+T30+T31+T32+T33+T37+T39+T40+T41+T42+T43+T46+T47+T48+T49+T50+T51+T53+T54+T55, "NA")</f>
        <v>5297.89</v>
      </c>
      <c r="U57" s="29">
        <f>IFERROR(T57/T148, "NA")</f>
        <v>0.23439979046046491</v>
      </c>
      <c r="V57" s="28">
        <f>IFERROR(V13+V15+V16+V17+V18+V19+V20+V21+V22+V23+V24+V25+V26+V29+V30+V31+V32+V33+V37+V39+V40+V41+V42+V43+V46+V47+V48+V49+V50+V51+V53+V54+V55, "NA")</f>
        <v>7068.8799999999983</v>
      </c>
      <c r="W57" s="29">
        <f>IFERROR(V57/V148, "NA")</f>
        <v>0.25313451307215401</v>
      </c>
      <c r="X57" s="28">
        <f>IFERROR(X13+X15+X16+X17+X18+X19+X20+X21+X22+X23+X24+X25+X26+X29+X30+X31+X32+X33+X37+X39+X40+X41+X42+X43+X46+X47+X48+X49+X50+X51+X53+X54+X55, "NA")</f>
        <v>6927.4700000000012</v>
      </c>
      <c r="Y57" s="29">
        <f>IFERROR(X57/X148, "NA")</f>
        <v>0.25020216711590687</v>
      </c>
      <c r="Z57" s="28">
        <f>IFERROR(Z13+Z15+Z16+Z17+Z18+Z19+Z20+Z21+Z22+Z23+Z24+Z25+Z26+Z29+Z30+Z31+Z32+Z33+Z37+Z39+Z40+Z41+Z42+Z43+Z46+Z47+Z48+Z49+Z50+Z51+Z53+Z54+Z55, "NA")</f>
        <v>19294.240000000005</v>
      </c>
      <c r="AA57" s="29">
        <f>IFERROR(Z57/Z148, "NA")</f>
        <v>0.24668266193030941</v>
      </c>
      <c r="AB57" s="28">
        <f t="shared" si="18"/>
        <v>6448.0450000000001</v>
      </c>
      <c r="AC57" s="29">
        <f>IFERROR(AB57/AB148, "NA")</f>
        <v>0.249644680820585</v>
      </c>
      <c r="AD57" s="30">
        <f t="shared" si="19"/>
        <v>479.42500000000109</v>
      </c>
      <c r="AE57" s="31">
        <f>IFERROR(AD57/AD148, "NA")</f>
        <v>0.25794953190573627</v>
      </c>
      <c r="AF57" s="30">
        <f t="shared" si="20"/>
        <v>7.4351993511211703E-2</v>
      </c>
      <c r="AG57" s="28">
        <f t="shared" si="21"/>
        <v>6468.085</v>
      </c>
      <c r="AH57" s="29">
        <f>IFERROR(AG57/AG148, "NA")</f>
        <v>0.25380399333832132</v>
      </c>
      <c r="AI57" s="30">
        <f t="shared" si="22"/>
        <v>459.38500000000113</v>
      </c>
      <c r="AJ57" s="31">
        <f>IFERROR(AI57/AI148, "NA")</f>
        <v>0.20853434471707483</v>
      </c>
      <c r="AK57" s="30">
        <f t="shared" si="23"/>
        <v>7.1023339983936687E-2</v>
      </c>
      <c r="AL57" s="31">
        <f>IFERROR(AK57/AK148, "NA")</f>
        <v>0.82163539656800455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25020.179999999993</v>
      </c>
      <c r="C59" s="34">
        <f>IFERROR(B59/B148, "NA")</f>
        <v>0.73961137278805444</v>
      </c>
      <c r="D59" s="33">
        <f>IFERROR(D9-D57, "NA")</f>
        <v>17415.46</v>
      </c>
      <c r="E59" s="34">
        <f>IFERROR(D59/D148, "NA")</f>
        <v>0.69974851505755542</v>
      </c>
      <c r="F59" s="33">
        <f>IFERROR(F9-F57, "NA")</f>
        <v>22543.910000000011</v>
      </c>
      <c r="G59" s="34">
        <f>IFERROR(F59/F148, "NA")</f>
        <v>0.71252489374822048</v>
      </c>
      <c r="H59" s="33">
        <f>IFERROR(H9-H57, "NA")</f>
        <v>22995.639999999992</v>
      </c>
      <c r="I59" s="34">
        <f>IFERROR(H59/H148, "NA")</f>
        <v>0.76446517682938764</v>
      </c>
      <c r="J59" s="33">
        <f>IFERROR(J9-J57, "NA")</f>
        <v>20446.089999999997</v>
      </c>
      <c r="K59" s="34">
        <f>IFERROR(J59/J148, "NA")</f>
        <v>0.76585749929111846</v>
      </c>
      <c r="L59" s="33">
        <f>IFERROR(L9-L57, "NA")</f>
        <v>16093.779999999997</v>
      </c>
      <c r="M59" s="34">
        <f>IFERROR(L59/L148, "NA")</f>
        <v>0.70425917652098902</v>
      </c>
      <c r="N59" s="33">
        <f>IFERROR(N9-N57, "NA")</f>
        <v>20434.22</v>
      </c>
      <c r="O59" s="34">
        <f>IFERROR(N59/N148, "NA")</f>
        <v>0.75793375699126464</v>
      </c>
      <c r="P59" s="33">
        <f>IFERROR(P9-P57, "NA")</f>
        <v>17634.39</v>
      </c>
      <c r="Q59" s="34">
        <f>IFERROR(P59/P148, "NA")</f>
        <v>0.73319324499230598</v>
      </c>
      <c r="R59" s="33">
        <f>IFERROR(R9-R57, "NA")</f>
        <v>18602.8</v>
      </c>
      <c r="S59" s="34">
        <f>IFERROR(R59/R148, "NA")</f>
        <v>0.74112556044164424</v>
      </c>
      <c r="T59" s="33">
        <f>IFERROR(T9-T57, "NA")</f>
        <v>17304.050000000003</v>
      </c>
      <c r="U59" s="34">
        <f>IFERROR(T59/T148, "NA")</f>
        <v>0.76560020953953523</v>
      </c>
      <c r="V59" s="33">
        <f>IFERROR(V9-V57, "NA")</f>
        <v>20856.509999999998</v>
      </c>
      <c r="W59" s="34">
        <f>IFERROR(V59/V148, "NA")</f>
        <v>0.74686548692784593</v>
      </c>
      <c r="X59" s="33">
        <f>IFERROR(X9-X57, "NA")</f>
        <v>20760.02</v>
      </c>
      <c r="Y59" s="34">
        <f>IFERROR(X59/X148, "NA")</f>
        <v>0.74979783288409307</v>
      </c>
      <c r="Z59" s="33">
        <f>IFERROR(Z9-Z57, "NA")</f>
        <v>58920.58</v>
      </c>
      <c r="AA59" s="34">
        <f>IFERROR(Z59/Z148, "NA")</f>
        <v>0.75331733806969059</v>
      </c>
      <c r="AB59" s="33">
        <f>IFERROR((R59+T59+V59+X59)/4, "NA")</f>
        <v>19380.845000000001</v>
      </c>
      <c r="AC59" s="34">
        <f>IFERROR(AB59/AB148, "NA")</f>
        <v>0.75035531917941489</v>
      </c>
      <c r="AD59" s="15">
        <f>IFERROR(X59-AB59, "NA")</f>
        <v>1379.1749999999993</v>
      </c>
      <c r="AE59" s="16">
        <f>IFERROR(AD59/AD148, "NA")</f>
        <v>0.74205046809426467</v>
      </c>
      <c r="AF59" s="15">
        <f>IFERROR((X59-AB59)/AB59, "NA")</f>
        <v>7.1161757910968237E-2</v>
      </c>
      <c r="AG59" s="33">
        <f>IFERROR((J59+L59+N59+P59+R59+T59+V59+X59)/8, "NA")</f>
        <v>19016.482499999998</v>
      </c>
      <c r="AH59" s="34">
        <f>IFERROR(AG59/AG148, "NA")</f>
        <v>0.74619600666167873</v>
      </c>
      <c r="AI59" s="15">
        <f>IFERROR(X59-AG59, "NA")</f>
        <v>1743.5375000000022</v>
      </c>
      <c r="AJ59" s="16">
        <f>IFERROR(AI59/AI148, "NA")</f>
        <v>0.79146565528292478</v>
      </c>
      <c r="AK59" s="15">
        <f>IFERROR((X59-AG59)/AG59, "NA")</f>
        <v>9.1685594325869799E-2</v>
      </c>
      <c r="AL59" s="16">
        <f>IFERROR(AK59/AK148, "NA")</f>
        <v>1.0606672351729312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1298.08</v>
      </c>
      <c r="C66" s="8">
        <f>IFERROR(B66/B148, "NA")</f>
        <v>3.8372015340765654E-2</v>
      </c>
      <c r="D66" s="7">
        <v>1298.08</v>
      </c>
      <c r="E66" s="8">
        <f>IFERROR(D66/D148, "NA")</f>
        <v>5.2156506484807845E-2</v>
      </c>
      <c r="F66" s="7">
        <v>1298.08</v>
      </c>
      <c r="G66" s="8">
        <f>IFERROR(F66/F148, "NA")</f>
        <v>4.1027235917668652E-2</v>
      </c>
      <c r="H66" s="7">
        <v>1298.08</v>
      </c>
      <c r="I66" s="8">
        <f>IFERROR(H66/H148, "NA")</f>
        <v>4.3153265433738389E-2</v>
      </c>
      <c r="J66" s="7">
        <v>1298.08</v>
      </c>
      <c r="K66" s="8">
        <f>IFERROR(J66/J148, "NA")</f>
        <v>4.8622709901003813E-2</v>
      </c>
      <c r="L66" s="7">
        <v>1298.08</v>
      </c>
      <c r="M66" s="8">
        <f>IFERROR(L66/L148, "NA")</f>
        <v>5.6803606850495382E-2</v>
      </c>
      <c r="N66" s="7">
        <v>1298.08</v>
      </c>
      <c r="O66" s="8">
        <f>IFERROR(N66/N148, "NA")</f>
        <v>4.8147600019732617E-2</v>
      </c>
      <c r="P66" s="7">
        <v>1298.08</v>
      </c>
      <c r="Q66" s="8">
        <f>IFERROR(P66/P148, "NA")</f>
        <v>5.3970876648390592E-2</v>
      </c>
      <c r="R66" s="7">
        <v>1298.08</v>
      </c>
      <c r="S66" s="8">
        <f>IFERROR(R66/R148, "NA")</f>
        <v>5.1714810001617477E-2</v>
      </c>
      <c r="T66" s="7">
        <v>1298.08</v>
      </c>
      <c r="U66" s="8">
        <f>IFERROR(T66/T148, "NA")</f>
        <v>5.7432238117612916E-2</v>
      </c>
      <c r="V66" s="7">
        <v>1298.08</v>
      </c>
      <c r="W66" s="8">
        <f>IFERROR(V66/V148, "NA")</f>
        <v>4.6483862893230851E-2</v>
      </c>
      <c r="X66" s="7">
        <v>1298.08</v>
      </c>
      <c r="Y66" s="8">
        <f>IFERROR(X66/X148, "NA")</f>
        <v>4.6883267497342659E-2</v>
      </c>
      <c r="Z66" s="7">
        <v>3894.24</v>
      </c>
      <c r="AA66" s="8">
        <f>IFERROR(Z66/Z148, "NA")</f>
        <v>4.9789029751650636E-2</v>
      </c>
      <c r="AB66" s="9">
        <f t="shared" si="24"/>
        <v>1298.08</v>
      </c>
      <c r="AC66" s="8">
        <f>IFERROR(AB66/AB148, "NA")</f>
        <v>5.0256902251703414E-2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1298.08</v>
      </c>
      <c r="AH66" s="8">
        <f>IFERROR(AG66/AG148, "NA")</f>
        <v>5.0935924260829622E-2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6025.8</v>
      </c>
      <c r="C68" s="8">
        <f>IFERROR(B68/B148, "NA")</f>
        <v>0.17812622491709731</v>
      </c>
      <c r="D68" s="7">
        <v>4873.3999999999996</v>
      </c>
      <c r="E68" s="8">
        <f>IFERROR(D68/D148, "NA")</f>
        <v>0.19581190581710106</v>
      </c>
      <c r="F68" s="7">
        <v>6079.82</v>
      </c>
      <c r="G68" s="8">
        <f>IFERROR(F68/F148, "NA")</f>
        <v>0.19215935033045747</v>
      </c>
      <c r="H68" s="7">
        <v>6198.51</v>
      </c>
      <c r="I68" s="8">
        <f>IFERROR(H68/H148, "NA")</f>
        <v>0.20606275986355369</v>
      </c>
      <c r="J68" s="7">
        <v>5639.93</v>
      </c>
      <c r="K68" s="8">
        <f>IFERROR(J68/J148, "NA")</f>
        <v>0.2112571492141998</v>
      </c>
      <c r="L68" s="7">
        <v>6116.84</v>
      </c>
      <c r="M68" s="8">
        <f>IFERROR(L68/L148, "NA")</f>
        <v>0.26767115626724408</v>
      </c>
      <c r="N68" s="7">
        <v>5143.54</v>
      </c>
      <c r="O68" s="8">
        <f>IFERROR(N68/N148, "NA")</f>
        <v>0.19078108175574351</v>
      </c>
      <c r="P68" s="7">
        <v>6607.72</v>
      </c>
      <c r="Q68" s="8">
        <f>IFERROR(P68/P148, "NA")</f>
        <v>0.27473225151539465</v>
      </c>
      <c r="R68" s="7">
        <v>4847.05</v>
      </c>
      <c r="S68" s="8">
        <f>IFERROR(R68/R148, "NA")</f>
        <v>0.19310386865088439</v>
      </c>
      <c r="T68" s="7">
        <v>5263.34</v>
      </c>
      <c r="U68" s="8">
        <f>IFERROR(T68/T148, "NA")</f>
        <v>0.23287116061718599</v>
      </c>
      <c r="V68" s="7">
        <v>5181.5200000000004</v>
      </c>
      <c r="W68" s="8">
        <f>IFERROR(V68/V148, "NA")</f>
        <v>0.18554870675038024</v>
      </c>
      <c r="X68" s="7">
        <v>5697.83</v>
      </c>
      <c r="Y68" s="8">
        <f>IFERROR(X68/X148, "NA")</f>
        <v>0.20579077410050531</v>
      </c>
      <c r="Z68" s="7">
        <v>16142.69</v>
      </c>
      <c r="AA68" s="8">
        <f>IFERROR(Z68/Z148, "NA")</f>
        <v>0.20638914722299431</v>
      </c>
      <c r="AB68" s="9">
        <f t="shared" si="24"/>
        <v>5247.4349999999995</v>
      </c>
      <c r="AC68" s="8">
        <f>IFERROR(AB68/AB148, "NA")</f>
        <v>0.20316145990013504</v>
      </c>
      <c r="AD68" s="10">
        <f t="shared" si="25"/>
        <v>450.39500000000044</v>
      </c>
      <c r="AE68" s="11">
        <f>IFERROR(AD68/AD148, "NA")</f>
        <v>0.24233024857419605</v>
      </c>
      <c r="AF68" s="10">
        <f t="shared" si="26"/>
        <v>8.5831458607872321E-2</v>
      </c>
      <c r="AG68" s="9">
        <f t="shared" si="27"/>
        <v>5562.2212500000005</v>
      </c>
      <c r="AH68" s="8">
        <f>IFERROR(AG68/AG148, "NA")</f>
        <v>0.21825841266484122</v>
      </c>
      <c r="AI68" s="10">
        <f t="shared" si="28"/>
        <v>135.60874999999942</v>
      </c>
      <c r="AJ68" s="11">
        <f>IFERROR(AI68/AI148, "NA")</f>
        <v>6.155856595045861E-2</v>
      </c>
      <c r="AK68" s="10">
        <f t="shared" si="29"/>
        <v>2.4380322879101475E-2</v>
      </c>
      <c r="AL68" s="11">
        <f>IFERROR(AK68/AK148, "NA")</f>
        <v>0.28204441331197744</v>
      </c>
    </row>
    <row r="69" spans="1:38" ht="16.5" customHeight="1">
      <c r="A69" s="25" t="s">
        <v>81</v>
      </c>
      <c r="B69" s="7">
        <v>175.69</v>
      </c>
      <c r="C69" s="8">
        <f>IFERROR(B69/B148, "NA")</f>
        <v>5.1935006896486483E-3</v>
      </c>
      <c r="D69" s="7">
        <v>0</v>
      </c>
      <c r="E69" s="8">
        <f>IFERROR(D69/D148, "NA")</f>
        <v>0</v>
      </c>
      <c r="F69" s="7">
        <v>68.260000000000005</v>
      </c>
      <c r="G69" s="8">
        <f>IFERROR(F69/F148, "NA")</f>
        <v>2.1574318406724262E-3</v>
      </c>
      <c r="H69" s="7">
        <v>13.35</v>
      </c>
      <c r="I69" s="8">
        <f>IFERROR(H69/H148, "NA")</f>
        <v>4.4380630896432232E-4</v>
      </c>
      <c r="J69" s="7">
        <v>0</v>
      </c>
      <c r="K69" s="8">
        <f>IFERROR(J69/J148, "NA")</f>
        <v>0</v>
      </c>
      <c r="L69" s="7">
        <v>0</v>
      </c>
      <c r="M69" s="8">
        <f>IFERROR(L69/L148, "NA")</f>
        <v>0</v>
      </c>
      <c r="N69" s="7">
        <v>0</v>
      </c>
      <c r="O69" s="8">
        <f>IFERROR(N69/N148, "NA")</f>
        <v>0</v>
      </c>
      <c r="P69" s="7">
        <v>23.26</v>
      </c>
      <c r="Q69" s="8">
        <f>IFERROR(P69/P148, "NA")</f>
        <v>9.6709185168985373E-4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0</v>
      </c>
      <c r="AC69" s="8">
        <f>IFERROR(AB69/AB148, "NA")</f>
        <v>0</v>
      </c>
      <c r="AD69" s="10">
        <f t="shared" si="25"/>
        <v>0</v>
      </c>
      <c r="AE69" s="11">
        <f>IFERROR(AD69/AD148, "NA")</f>
        <v>0</v>
      </c>
      <c r="AF69" s="10" t="str">
        <f t="shared" si="26"/>
        <v>NA</v>
      </c>
      <c r="AG69" s="9">
        <f t="shared" si="27"/>
        <v>2.9075000000000002</v>
      </c>
      <c r="AH69" s="8">
        <f>IFERROR(AG69/AG148, "NA")</f>
        <v>1.1408865384904023E-4</v>
      </c>
      <c r="AI69" s="10">
        <f t="shared" si="28"/>
        <v>-2.9075000000000002</v>
      </c>
      <c r="AJ69" s="11">
        <f>IFERROR(AI69/AI148, "NA")</f>
        <v>-1.3198376247916096E-3</v>
      </c>
      <c r="AK69" s="10">
        <f t="shared" si="29"/>
        <v>-1</v>
      </c>
      <c r="AL69" s="11">
        <f>IFERROR(AK69/AK148, "NA")</f>
        <v>-11.568526582301443</v>
      </c>
    </row>
    <row r="70" spans="1:38" ht="16.5" customHeight="1">
      <c r="A70" s="26" t="s">
        <v>82</v>
      </c>
      <c r="B70" s="13">
        <f>IFERROR(B65+B66+B67+B68+B69, "NA")</f>
        <v>7499.57</v>
      </c>
      <c r="C70" s="14">
        <f>IFERROR(B70/B148, "NA")</f>
        <v>0.22169174094751162</v>
      </c>
      <c r="D70" s="13">
        <f>IFERROR(D65+D66+D67+D68+D69, "NA")</f>
        <v>6171.48</v>
      </c>
      <c r="E70" s="14">
        <f>IFERROR(D70/D148, "NA")</f>
        <v>0.24796841230190889</v>
      </c>
      <c r="F70" s="13">
        <f>IFERROR(F65+F66+F67+F68+F69, "NA")</f>
        <v>7446.16</v>
      </c>
      <c r="G70" s="14">
        <f>IFERROR(F70/F148, "NA")</f>
        <v>0.23534401808879857</v>
      </c>
      <c r="H70" s="13">
        <f>IFERROR(H65+H66+H67+H68+H69, "NA")</f>
        <v>7509.9400000000005</v>
      </c>
      <c r="I70" s="14">
        <f>IFERROR(H70/H148, "NA")</f>
        <v>0.2496598316062564</v>
      </c>
      <c r="J70" s="13">
        <f>IFERROR(J65+J66+J67+J68+J69, "NA")</f>
        <v>6938.01</v>
      </c>
      <c r="K70" s="14">
        <f>IFERROR(J70/J148, "NA")</f>
        <v>0.25987985911520362</v>
      </c>
      <c r="L70" s="13">
        <f>IFERROR(L65+L66+L67+L68+L69, "NA")</f>
        <v>7414.92</v>
      </c>
      <c r="M70" s="14">
        <f>IFERROR(L70/L148, "NA")</f>
        <v>0.32447476311773943</v>
      </c>
      <c r="N70" s="13">
        <f>IFERROR(N65+N66+N67+N68+N69, "NA")</f>
        <v>6441.62</v>
      </c>
      <c r="O70" s="14">
        <f>IFERROR(N70/N148, "NA")</f>
        <v>0.23892868177547613</v>
      </c>
      <c r="P70" s="13">
        <f>IFERROR(P65+P66+P67+P68+P69, "NA")</f>
        <v>7929.06</v>
      </c>
      <c r="Q70" s="14">
        <f>IFERROR(P70/P148, "NA")</f>
        <v>0.32967022001547513</v>
      </c>
      <c r="R70" s="13">
        <f>IFERROR(R65+R66+R67+R68+R69, "NA")</f>
        <v>6145.13</v>
      </c>
      <c r="S70" s="14">
        <f>IFERROR(R70/R148, "NA")</f>
        <v>0.24481867865250187</v>
      </c>
      <c r="T70" s="13">
        <f>IFERROR(T65+T66+T67+T68+T69, "NA")</f>
        <v>6561.42</v>
      </c>
      <c r="U70" s="14">
        <f>IFERROR(T70/T148, "NA")</f>
        <v>0.29030339873479888</v>
      </c>
      <c r="V70" s="13">
        <f>IFERROR(V65+V66+V67+V68+V69, "NA")</f>
        <v>6479.6</v>
      </c>
      <c r="W70" s="14">
        <f>IFERROR(V70/V148, "NA")</f>
        <v>0.23203256964361108</v>
      </c>
      <c r="X70" s="13">
        <f>IFERROR(X65+X66+X67+X68+X69, "NA")</f>
        <v>6995.91</v>
      </c>
      <c r="Y70" s="14">
        <f>IFERROR(X70/X148, "NA")</f>
        <v>0.25267404159784795</v>
      </c>
      <c r="Z70" s="13">
        <f>IFERROR(Z65+Z66+Z67+Z68+Z69, "NA")</f>
        <v>20036.93</v>
      </c>
      <c r="AA70" s="14">
        <f>IFERROR(Z70/Z148, "NA")</f>
        <v>0.25617817697464496</v>
      </c>
      <c r="AB70" s="13">
        <f t="shared" si="24"/>
        <v>6545.5150000000003</v>
      </c>
      <c r="AC70" s="14">
        <f>IFERROR(AB70/AB148, "NA")</f>
        <v>0.25341836215183849</v>
      </c>
      <c r="AD70" s="15">
        <f t="shared" si="25"/>
        <v>450.39499999999953</v>
      </c>
      <c r="AE70" s="16">
        <f>IFERROR(AD70/AD148, "NA")</f>
        <v>0.24233024857419558</v>
      </c>
      <c r="AF70" s="15">
        <f t="shared" si="26"/>
        <v>6.8809711688079478E-2</v>
      </c>
      <c r="AG70" s="13">
        <f t="shared" si="27"/>
        <v>6863.2087499999998</v>
      </c>
      <c r="AH70" s="14">
        <f>IFERROR(AG70/AG148, "NA")</f>
        <v>0.26930842557951984</v>
      </c>
      <c r="AI70" s="15">
        <f t="shared" si="28"/>
        <v>132.70125000000007</v>
      </c>
      <c r="AJ70" s="16">
        <f>IFERROR(AI70/AI148, "NA")</f>
        <v>6.0238728325667297E-2</v>
      </c>
      <c r="AK70" s="15">
        <f t="shared" si="29"/>
        <v>1.9335161559817057E-2</v>
      </c>
      <c r="AL70" s="16">
        <f>IFERROR(AK70/AK148, "NA")</f>
        <v>0.22367933047783667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488</v>
      </c>
      <c r="C72" s="8">
        <f>IFERROR(B72/B148, "NA")</f>
        <v>1.4425569676979569E-2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0</v>
      </c>
      <c r="I72" s="8">
        <f>IFERROR(H72/H148, "NA")</f>
        <v>0</v>
      </c>
      <c r="J72" s="7">
        <v>-813</v>
      </c>
      <c r="K72" s="8">
        <f>IFERROR(J72/J148, "NA")</f>
        <v>-3.0452871278747153E-2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0</v>
      </c>
      <c r="Q72" s="8">
        <f>IFERROR(P72/P148, "NA")</f>
        <v>0</v>
      </c>
      <c r="R72" s="7">
        <v>325</v>
      </c>
      <c r="S72" s="8">
        <f>IFERROR(R72/R148, "NA")</f>
        <v>1.2947825442596513E-2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81.25</v>
      </c>
      <c r="AC72" s="8">
        <f>IFERROR(AB72/AB148, "NA")</f>
        <v>3.1457023511269741E-3</v>
      </c>
      <c r="AD72" s="10">
        <f t="shared" si="25"/>
        <v>-81.25</v>
      </c>
      <c r="AE72" s="11">
        <f>IFERROR(AD72/AD148, "NA")</f>
        <v>-4.371569998923925E-2</v>
      </c>
      <c r="AF72" s="10">
        <f t="shared" si="26"/>
        <v>-1</v>
      </c>
      <c r="AG72" s="9">
        <f t="shared" si="27"/>
        <v>-61</v>
      </c>
      <c r="AH72" s="8">
        <f>IFERROR(AG72/AG148, "NA")</f>
        <v>-2.3936054633848505E-3</v>
      </c>
      <c r="AI72" s="10">
        <f t="shared" si="28"/>
        <v>61</v>
      </c>
      <c r="AJ72" s="11">
        <f>IFERROR(AI72/AI148, "NA")</f>
        <v>2.7690488430709606E-2</v>
      </c>
      <c r="AK72" s="10">
        <f t="shared" si="29"/>
        <v>-1</v>
      </c>
      <c r="AL72" s="11">
        <f>IFERROR(AK72/AK148, "NA")</f>
        <v>-11.568526582301443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647.77</v>
      </c>
      <c r="C74" s="8">
        <f>IFERROR(B74/B148, "NA")</f>
        <v>1.9148465716510361E-2</v>
      </c>
      <c r="D74" s="7">
        <v>548.44000000000005</v>
      </c>
      <c r="E74" s="8">
        <f>IFERROR(D74/D148, "NA")</f>
        <v>2.2036172205509689E-2</v>
      </c>
      <c r="F74" s="7">
        <v>652.21</v>
      </c>
      <c r="G74" s="8">
        <f>IFERROR(F74/F148, "NA")</f>
        <v>2.0613809270509272E-2</v>
      </c>
      <c r="H74" s="7">
        <v>663.13</v>
      </c>
      <c r="I74" s="8">
        <f>IFERROR(H74/H148, "NA")</f>
        <v>2.2045039525356632E-2</v>
      </c>
      <c r="J74" s="7">
        <v>621.16</v>
      </c>
      <c r="K74" s="8">
        <f>IFERROR(J74/J148, "NA")</f>
        <v>2.3267042464337737E-2</v>
      </c>
      <c r="L74" s="7">
        <v>634.97</v>
      </c>
      <c r="M74" s="8">
        <f>IFERROR(L74/L148, "NA")</f>
        <v>2.7786104278518315E-2</v>
      </c>
      <c r="N74" s="7">
        <v>555.4</v>
      </c>
      <c r="O74" s="8">
        <f>IFERROR(N74/N148, "NA")</f>
        <v>2.0600561637926396E-2</v>
      </c>
      <c r="P74" s="7">
        <v>692.95</v>
      </c>
      <c r="Q74" s="8">
        <f>IFERROR(P74/P148, "NA")</f>
        <v>2.881110484215323E-2</v>
      </c>
      <c r="R74" s="7">
        <v>536.48</v>
      </c>
      <c r="S74" s="8">
        <f>IFERROR(R74/R148, "NA")</f>
        <v>2.1373075056751314E-2</v>
      </c>
      <c r="T74" s="7">
        <v>564.29999999999995</v>
      </c>
      <c r="U74" s="8">
        <f>IFERROR(T74/T148, "NA")</f>
        <v>2.4966883373728096E-2</v>
      </c>
      <c r="V74" s="7">
        <v>567.59</v>
      </c>
      <c r="W74" s="8">
        <f>IFERROR(V74/V148, "NA")</f>
        <v>2.032523090993537E-2</v>
      </c>
      <c r="X74" s="7">
        <v>611.20000000000005</v>
      </c>
      <c r="Y74" s="8">
        <f>IFERROR(X74/X148, "NA")</f>
        <v>2.2074951539485885E-2</v>
      </c>
      <c r="Z74" s="7">
        <v>1743.09</v>
      </c>
      <c r="AA74" s="8">
        <f>IFERROR(Z74/Z148, "NA")</f>
        <v>2.2285929955473908E-2</v>
      </c>
      <c r="AB74" s="9">
        <f t="shared" ref="AB74:AB85" si="30">IFERROR((R74+T74+V74+X74)/4, "NA")</f>
        <v>569.89249999999993</v>
      </c>
      <c r="AC74" s="8">
        <f>IFERROR(AB74/AB148, "NA")</f>
        <v>2.206414987248774E-2</v>
      </c>
      <c r="AD74" s="10">
        <f t="shared" ref="AD74:AD85" si="31">IFERROR(X74-AB74, "NA")</f>
        <v>41.307500000000118</v>
      </c>
      <c r="AE74" s="11">
        <f>IFERROR(AD74/AD148, "NA")</f>
        <v>2.2225061874529297E-2</v>
      </c>
      <c r="AF74" s="10">
        <f t="shared" ref="AF74:AF85" si="32">IFERROR((X74-AB74)/AB74, "NA")</f>
        <v>7.2482968279105484E-2</v>
      </c>
      <c r="AG74" s="9">
        <f t="shared" ref="AG74:AG85" si="33">IFERROR((J74+L74+N74+P74+R74+T74+V74+X74)/8, "NA")</f>
        <v>598.00625000000002</v>
      </c>
      <c r="AH74" s="8">
        <f>IFERROR(AG74/AG148, "NA")</f>
        <v>2.3465426674398146E-2</v>
      </c>
      <c r="AI74" s="10">
        <f t="shared" ref="AI74:AI85" si="34">IFERROR(X74-AG74, "NA")</f>
        <v>13.193750000000023</v>
      </c>
      <c r="AJ74" s="11">
        <f>IFERROR(AI74/AI148, "NA")</f>
        <v>5.9892029792241886E-3</v>
      </c>
      <c r="AK74" s="10">
        <f t="shared" ref="AK74:AK85" si="35">IFERROR((X74-AG74)/AG74, "NA")</f>
        <v>2.2062896499827588E-2</v>
      </c>
      <c r="AL74" s="11">
        <f>IFERROR(AK74/AK148, "NA")</f>
        <v>0.25523520464082089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647.77</v>
      </c>
      <c r="C81" s="14">
        <f>IFERROR(B81/B148, "NA")</f>
        <v>1.9148465716510361E-2</v>
      </c>
      <c r="D81" s="13">
        <f>IFERROR(D74+D75+D76+D77+D78+D79+D80, "NA")</f>
        <v>548.44000000000005</v>
      </c>
      <c r="E81" s="14">
        <f>IFERROR(D81/D148, "NA")</f>
        <v>2.2036172205509689E-2</v>
      </c>
      <c r="F81" s="13">
        <f>IFERROR(F74+F75+F76+F77+F78+F79+F80, "NA")</f>
        <v>652.21</v>
      </c>
      <c r="G81" s="14">
        <f>IFERROR(F81/F148, "NA")</f>
        <v>2.0613809270509272E-2</v>
      </c>
      <c r="H81" s="13">
        <f>IFERROR(H74+H75+H76+H77+H78+H79+H80, "NA")</f>
        <v>663.13</v>
      </c>
      <c r="I81" s="14">
        <f>IFERROR(H81/H148, "NA")</f>
        <v>2.2045039525356632E-2</v>
      </c>
      <c r="J81" s="13">
        <f>IFERROR(J74+J75+J76+J77+J78+J79+J80, "NA")</f>
        <v>621.16</v>
      </c>
      <c r="K81" s="14">
        <f>IFERROR(J81/J148, "NA")</f>
        <v>2.3267042464337737E-2</v>
      </c>
      <c r="L81" s="13">
        <f>IFERROR(L74+L75+L76+L77+L78+L79+L80, "NA")</f>
        <v>634.97</v>
      </c>
      <c r="M81" s="14">
        <f>IFERROR(L81/L148, "NA")</f>
        <v>2.7786104278518315E-2</v>
      </c>
      <c r="N81" s="13">
        <f>IFERROR(N74+N75+N76+N77+N78+N79+N80, "NA")</f>
        <v>555.4</v>
      </c>
      <c r="O81" s="14">
        <f>IFERROR(N81/N148, "NA")</f>
        <v>2.0600561637926396E-2</v>
      </c>
      <c r="P81" s="13">
        <f>IFERROR(P74+P75+P76+P77+P78+P79+P80, "NA")</f>
        <v>692.95</v>
      </c>
      <c r="Q81" s="14">
        <f>IFERROR(P81/P148, "NA")</f>
        <v>2.881110484215323E-2</v>
      </c>
      <c r="R81" s="13">
        <f>IFERROR(R74+R75+R76+R77+R78+R79+R80, "NA")</f>
        <v>536.48</v>
      </c>
      <c r="S81" s="14">
        <f>IFERROR(R81/R148, "NA")</f>
        <v>2.1373075056751314E-2</v>
      </c>
      <c r="T81" s="13">
        <f>IFERROR(T74+T75+T76+T77+T78+T79+T80, "NA")</f>
        <v>564.29999999999995</v>
      </c>
      <c r="U81" s="14">
        <f>IFERROR(T81/T148, "NA")</f>
        <v>2.4966883373728096E-2</v>
      </c>
      <c r="V81" s="13">
        <f>IFERROR(V74+V75+V76+V77+V78+V79+V80, "NA")</f>
        <v>567.59</v>
      </c>
      <c r="W81" s="14">
        <f>IFERROR(V81/V148, "NA")</f>
        <v>2.032523090993537E-2</v>
      </c>
      <c r="X81" s="13">
        <f>IFERROR(X74+X75+X76+X77+X78+X79+X80, "NA")</f>
        <v>611.20000000000005</v>
      </c>
      <c r="Y81" s="14">
        <f>IFERROR(X81/X148, "NA")</f>
        <v>2.2074951539485885E-2</v>
      </c>
      <c r="Z81" s="13">
        <f>IFERROR(Z74+Z75+Z76+Z77+Z78+Z79+Z80, "NA")</f>
        <v>1743.09</v>
      </c>
      <c r="AA81" s="14">
        <f>IFERROR(Z81/Z148, "NA")</f>
        <v>2.2285929955473908E-2</v>
      </c>
      <c r="AB81" s="13">
        <f t="shared" si="30"/>
        <v>569.89249999999993</v>
      </c>
      <c r="AC81" s="14">
        <f>IFERROR(AB81/AB148, "NA")</f>
        <v>2.206414987248774E-2</v>
      </c>
      <c r="AD81" s="15">
        <f t="shared" si="31"/>
        <v>41.307500000000118</v>
      </c>
      <c r="AE81" s="16">
        <f>IFERROR(AD81/AD148, "NA")</f>
        <v>2.2225061874529297E-2</v>
      </c>
      <c r="AF81" s="15">
        <f t="shared" si="32"/>
        <v>7.2482968279105484E-2</v>
      </c>
      <c r="AG81" s="13">
        <f t="shared" si="33"/>
        <v>598.00625000000002</v>
      </c>
      <c r="AH81" s="14">
        <f>IFERROR(AG81/AG148, "NA")</f>
        <v>2.3465426674398146E-2</v>
      </c>
      <c r="AI81" s="15">
        <f t="shared" si="34"/>
        <v>13.193750000000023</v>
      </c>
      <c r="AJ81" s="16">
        <f>IFERROR(AI81/AI148, "NA")</f>
        <v>5.9892029792241886E-3</v>
      </c>
      <c r="AK81" s="15">
        <f t="shared" si="35"/>
        <v>2.2062896499827588E-2</v>
      </c>
      <c r="AL81" s="16">
        <f>IFERROR(AK81/AK148, "NA")</f>
        <v>0.25523520464082089</v>
      </c>
    </row>
    <row r="82" spans="1:38" ht="16.5" customHeight="1">
      <c r="A82" s="23" t="s">
        <v>94</v>
      </c>
      <c r="B82" s="7">
        <v>0</v>
      </c>
      <c r="C82" s="8">
        <f>IFERROR(B82/B148, "NA")</f>
        <v>0</v>
      </c>
      <c r="D82" s="7">
        <v>288.32</v>
      </c>
      <c r="E82" s="8">
        <f>IFERROR(D82/D148, "NA")</f>
        <v>1.158462032363167E-2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0</v>
      </c>
      <c r="K82" s="8">
        <f>IFERROR(J82/J148, "NA")</f>
        <v>0</v>
      </c>
      <c r="L82" s="7">
        <v>301.04000000000002</v>
      </c>
      <c r="M82" s="8">
        <f>IFERROR(L82/L148, "NA")</f>
        <v>1.3173423676717252E-2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0</v>
      </c>
      <c r="U82" s="8">
        <f>IFERROR(T82/T148, "NA")</f>
        <v>0</v>
      </c>
      <c r="V82" s="7">
        <v>301.04000000000002</v>
      </c>
      <c r="W82" s="8">
        <f>IFERROR(V82/V148, "NA")</f>
        <v>1.0780153831334138E-2</v>
      </c>
      <c r="X82" s="7">
        <v>0</v>
      </c>
      <c r="Y82" s="8">
        <f>IFERROR(X82/X148, "NA")</f>
        <v>0</v>
      </c>
      <c r="Z82" s="7">
        <v>301.04000000000002</v>
      </c>
      <c r="AA82" s="8">
        <f>IFERROR(Z82/Z148, "NA")</f>
        <v>3.8488869500690535E-3</v>
      </c>
      <c r="AB82" s="9">
        <f t="shared" si="30"/>
        <v>75.260000000000005</v>
      </c>
      <c r="AC82" s="8">
        <f>IFERROR(AB82/AB148, "NA")</f>
        <v>2.9137914947177366E-3</v>
      </c>
      <c r="AD82" s="10">
        <f t="shared" si="31"/>
        <v>-75.260000000000005</v>
      </c>
      <c r="AE82" s="11">
        <f>IFERROR(AD82/AD148, "NA")</f>
        <v>-4.0492844076186411E-2</v>
      </c>
      <c r="AF82" s="10">
        <f t="shared" si="32"/>
        <v>-1</v>
      </c>
      <c r="AG82" s="9">
        <f t="shared" si="33"/>
        <v>75.260000000000005</v>
      </c>
      <c r="AH82" s="8">
        <f>IFERROR(AG82/AG148, "NA")</f>
        <v>2.9531597897433422E-3</v>
      </c>
      <c r="AI82" s="10">
        <f t="shared" si="34"/>
        <v>-75.260000000000005</v>
      </c>
      <c r="AJ82" s="11">
        <f>IFERROR(AI82/AI148, "NA")</f>
        <v>-3.4163707529429592E-2</v>
      </c>
      <c r="AK82" s="10">
        <f t="shared" si="35"/>
        <v>-1</v>
      </c>
      <c r="AL82" s="11">
        <f>IFERROR(AK82/AK148, "NA")</f>
        <v>-11.568526582301443</v>
      </c>
    </row>
    <row r="83" spans="1:38" ht="16.5" hidden="1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>
      <c r="A84" s="27" t="s">
        <v>96</v>
      </c>
      <c r="B84" s="13">
        <f>IFERROR(B63+B65+B66+B67+B68+B69+B71+B72+B74+B75+B76+B77+B78+B79+B80+B82+B83, "NA")</f>
        <v>8635.34</v>
      </c>
      <c r="C84" s="14">
        <f>IFERROR(B84/B148, "NA")</f>
        <v>0.25526577634100156</v>
      </c>
      <c r="D84" s="13">
        <f>IFERROR(D63+D65+D66+D67+D68+D69+D71+D72+D74+D75+D76+D77+D78+D79+D80+D82+D83, "NA")</f>
        <v>7008.24</v>
      </c>
      <c r="E84" s="14">
        <f>IFERROR(D84/D148, "NA")</f>
        <v>0.28158920483105027</v>
      </c>
      <c r="F84" s="13">
        <f>IFERROR(F63+F65+F66+F67+F68+F69+F71+F72+F74+F75+F76+F77+F78+F79+F80+F82+F83, "NA")</f>
        <v>8098.37</v>
      </c>
      <c r="G84" s="14">
        <f>IFERROR(F84/F148, "NA")</f>
        <v>0.25595782735930783</v>
      </c>
      <c r="H84" s="13">
        <f>IFERROR(H63+H65+H66+H67+H68+H69+H71+H72+H74+H75+H76+H77+H78+H79+H80+H82+H83, "NA")</f>
        <v>8173.0700000000006</v>
      </c>
      <c r="I84" s="14">
        <f>IFERROR(H84/H148, "NA")</f>
        <v>0.27170487113161301</v>
      </c>
      <c r="J84" s="13">
        <f>IFERROR(J63+J65+J66+J67+J68+J69+J71+J72+J74+J75+J76+J77+J78+J79+J80+J82+J83, "NA")</f>
        <v>6746.17</v>
      </c>
      <c r="K84" s="14">
        <f>IFERROR(J84/J148, "NA")</f>
        <v>0.25269403030079418</v>
      </c>
      <c r="L84" s="13">
        <f>IFERROR(L63+L65+L66+L67+L68+L69+L71+L72+L74+L75+L76+L77+L78+L79+L80+L82+L83, "NA")</f>
        <v>8350.93</v>
      </c>
      <c r="M84" s="14">
        <f>IFERROR(L84/L148, "NA")</f>
        <v>0.36543429107297504</v>
      </c>
      <c r="N84" s="13">
        <f>IFERROR(N63+N65+N66+N67+N68+N69+N71+N72+N74+N75+N76+N77+N78+N79+N80+N82+N83, "NA")</f>
        <v>6997.0199999999995</v>
      </c>
      <c r="O84" s="14">
        <f>IFERROR(N84/N148, "NA")</f>
        <v>0.2595292434134025</v>
      </c>
      <c r="P84" s="13">
        <f>IFERROR(P63+P65+P66+P67+P68+P69+P71+P72+P74+P75+P76+P77+P78+P79+P80+P82+P83, "NA")</f>
        <v>8622.01</v>
      </c>
      <c r="Q84" s="14">
        <f>IFERROR(P84/P148, "NA")</f>
        <v>0.35848132485762835</v>
      </c>
      <c r="R84" s="13">
        <f>IFERROR(R63+R65+R66+R67+R68+R69+R71+R72+R74+R75+R76+R77+R78+R79+R80+R82+R83, "NA")</f>
        <v>7006.6100000000006</v>
      </c>
      <c r="S84" s="14">
        <f>IFERROR(R84/R148, "NA")</f>
        <v>0.27913957915184973</v>
      </c>
      <c r="T84" s="13">
        <f>IFERROR(T63+T65+T66+T67+T68+T69+T71+T72+T74+T75+T76+T77+T78+T79+T80+T82+T83, "NA")</f>
        <v>7125.72</v>
      </c>
      <c r="U84" s="14">
        <f>IFERROR(T84/T148, "NA")</f>
        <v>0.31527028210852698</v>
      </c>
      <c r="V84" s="13">
        <f>IFERROR(V63+V65+V66+V67+V68+V69+V71+V72+V74+V75+V76+V77+V78+V79+V80+V82+V83, "NA")</f>
        <v>7348.2300000000005</v>
      </c>
      <c r="W84" s="14">
        <f>IFERROR(V84/V148, "NA")</f>
        <v>0.26313795438488058</v>
      </c>
      <c r="X84" s="13">
        <f>IFERROR(X63+X65+X66+X67+X68+X69+X71+X72+X74+X75+X76+X77+X78+X79+X80+X82+X83, "NA")</f>
        <v>7607.11</v>
      </c>
      <c r="Y84" s="14">
        <f>IFERROR(X84/X148, "NA")</f>
        <v>0.27474899313733386</v>
      </c>
      <c r="Z84" s="13">
        <f>IFERROR(Z63+Z65+Z66+Z67+Z68+Z69+Z71+Z72+Z74+Z75+Z76+Z77+Z78+Z79+Z80+Z82+Z83, "NA")</f>
        <v>22081.06</v>
      </c>
      <c r="AA84" s="14">
        <f>IFERROR(Z84/Z148, "NA")</f>
        <v>0.28231299388018793</v>
      </c>
      <c r="AB84" s="13">
        <f t="shared" si="30"/>
        <v>7271.9175000000005</v>
      </c>
      <c r="AC84" s="14">
        <f>IFERROR(AB84/AB148, "NA")</f>
        <v>0.28154200587017092</v>
      </c>
      <c r="AD84" s="15">
        <f t="shared" si="31"/>
        <v>335.1924999999992</v>
      </c>
      <c r="AE84" s="16">
        <f>IFERROR(AD84/AD148, "NA")</f>
        <v>0.18034676638329897</v>
      </c>
      <c r="AF84" s="15">
        <f t="shared" si="32"/>
        <v>4.609410104006257E-2</v>
      </c>
      <c r="AG84" s="13">
        <f t="shared" si="33"/>
        <v>7475.4750000000004</v>
      </c>
      <c r="AH84" s="14">
        <f>IFERROR(AG84/AG148, "NA")</f>
        <v>0.29333340658027651</v>
      </c>
      <c r="AI84" s="15">
        <f t="shared" si="34"/>
        <v>131.63499999999931</v>
      </c>
      <c r="AJ84" s="16">
        <f>IFERROR(AI84/AI148, "NA")</f>
        <v>5.9754712206171144E-2</v>
      </c>
      <c r="AK84" s="15">
        <f t="shared" si="35"/>
        <v>1.7608914483694924E-2</v>
      </c>
      <c r="AL84" s="16">
        <f>IFERROR(AK84/AK148, "NA")</f>
        <v>0.20370919529009762</v>
      </c>
    </row>
    <row r="85" spans="1:38" ht="16.5" customHeight="1">
      <c r="A85" s="12" t="s">
        <v>96</v>
      </c>
      <c r="B85" s="28">
        <f>IFERROR(B63+B65+B66+B67+B68+B69+B71+B72+B74+B75+B76+B77+B78+B79+B80+B82+B83, "NA")</f>
        <v>8635.34</v>
      </c>
      <c r="C85" s="29">
        <f>IFERROR(B85/B148, "NA")</f>
        <v>0.25526577634100156</v>
      </c>
      <c r="D85" s="28">
        <f>IFERROR(D63+D65+D66+D67+D68+D69+D71+D72+D74+D75+D76+D77+D78+D79+D80+D82+D83, "NA")</f>
        <v>7008.24</v>
      </c>
      <c r="E85" s="29">
        <f>IFERROR(D85/D148, "NA")</f>
        <v>0.28158920483105027</v>
      </c>
      <c r="F85" s="28">
        <f>IFERROR(F63+F65+F66+F67+F68+F69+F71+F72+F74+F75+F76+F77+F78+F79+F80+F82+F83, "NA")</f>
        <v>8098.37</v>
      </c>
      <c r="G85" s="29">
        <f>IFERROR(F85/F148, "NA")</f>
        <v>0.25595782735930783</v>
      </c>
      <c r="H85" s="28">
        <f>IFERROR(H63+H65+H66+H67+H68+H69+H71+H72+H74+H75+H76+H77+H78+H79+H80+H82+H83, "NA")</f>
        <v>8173.0700000000006</v>
      </c>
      <c r="I85" s="29">
        <f>IFERROR(H85/H148, "NA")</f>
        <v>0.27170487113161301</v>
      </c>
      <c r="J85" s="28">
        <f>IFERROR(J63+J65+J66+J67+J68+J69+J71+J72+J74+J75+J76+J77+J78+J79+J80+J82+J83, "NA")</f>
        <v>6746.17</v>
      </c>
      <c r="K85" s="29">
        <f>IFERROR(J85/J148, "NA")</f>
        <v>0.25269403030079418</v>
      </c>
      <c r="L85" s="28">
        <f>IFERROR(L63+L65+L66+L67+L68+L69+L71+L72+L74+L75+L76+L77+L78+L79+L80+L82+L83, "NA")</f>
        <v>8350.93</v>
      </c>
      <c r="M85" s="29">
        <f>IFERROR(L85/L148, "NA")</f>
        <v>0.36543429107297504</v>
      </c>
      <c r="N85" s="28">
        <f>IFERROR(N63+N65+N66+N67+N68+N69+N71+N72+N74+N75+N76+N77+N78+N79+N80+N82+N83, "NA")</f>
        <v>6997.0199999999995</v>
      </c>
      <c r="O85" s="29">
        <f>IFERROR(N85/N148, "NA")</f>
        <v>0.2595292434134025</v>
      </c>
      <c r="P85" s="28">
        <f>IFERROR(P63+P65+P66+P67+P68+P69+P71+P72+P74+P75+P76+P77+P78+P79+P80+P82+P83, "NA")</f>
        <v>8622.01</v>
      </c>
      <c r="Q85" s="29">
        <f>IFERROR(P85/P148, "NA")</f>
        <v>0.35848132485762835</v>
      </c>
      <c r="R85" s="28">
        <f>IFERROR(R63+R65+R66+R67+R68+R69+R71+R72+R74+R75+R76+R77+R78+R79+R80+R82+R83, "NA")</f>
        <v>7006.6100000000006</v>
      </c>
      <c r="S85" s="29">
        <f>IFERROR(R85/R148, "NA")</f>
        <v>0.27913957915184973</v>
      </c>
      <c r="T85" s="28">
        <f>IFERROR(T63+T65+T66+T67+T68+T69+T71+T72+T74+T75+T76+T77+T78+T79+T80+T82+T83, "NA")</f>
        <v>7125.72</v>
      </c>
      <c r="U85" s="29">
        <f>IFERROR(T85/T148, "NA")</f>
        <v>0.31527028210852698</v>
      </c>
      <c r="V85" s="28">
        <f>IFERROR(V63+V65+V66+V67+V68+V69+V71+V72+V74+V75+V76+V77+V78+V79+V80+V82+V83, "NA")</f>
        <v>7348.2300000000005</v>
      </c>
      <c r="W85" s="29">
        <f>IFERROR(V85/V148, "NA")</f>
        <v>0.26313795438488058</v>
      </c>
      <c r="X85" s="28">
        <f>IFERROR(X63+X65+X66+X67+X68+X69+X71+X72+X74+X75+X76+X77+X78+X79+X80+X82+X83, "NA")</f>
        <v>7607.11</v>
      </c>
      <c r="Y85" s="29">
        <f>IFERROR(X85/X148, "NA")</f>
        <v>0.27474899313733386</v>
      </c>
      <c r="Z85" s="28">
        <f>IFERROR(Z63+Z65+Z66+Z67+Z68+Z69+Z71+Z72+Z74+Z75+Z76+Z77+Z78+Z79+Z80+Z82+Z83, "NA")</f>
        <v>22081.06</v>
      </c>
      <c r="AA85" s="29">
        <f>IFERROR(Z85/Z148, "NA")</f>
        <v>0.28231299388018793</v>
      </c>
      <c r="AB85" s="28">
        <f t="shared" si="30"/>
        <v>7271.9175000000005</v>
      </c>
      <c r="AC85" s="29">
        <f>IFERROR(AB85/AB148, "NA")</f>
        <v>0.28154200587017092</v>
      </c>
      <c r="AD85" s="30">
        <f t="shared" si="31"/>
        <v>335.1924999999992</v>
      </c>
      <c r="AE85" s="31">
        <f>IFERROR(AD85/AD148, "NA")</f>
        <v>0.18034676638329897</v>
      </c>
      <c r="AF85" s="30">
        <f t="shared" si="32"/>
        <v>4.609410104006257E-2</v>
      </c>
      <c r="AG85" s="28">
        <f t="shared" si="33"/>
        <v>7475.4750000000004</v>
      </c>
      <c r="AH85" s="29">
        <f>IFERROR(AG85/AG148, "NA")</f>
        <v>0.29333340658027651</v>
      </c>
      <c r="AI85" s="30">
        <f t="shared" si="34"/>
        <v>131.63499999999931</v>
      </c>
      <c r="AJ85" s="31">
        <f>IFERROR(AI85/AI148, "NA")</f>
        <v>5.9754712206171144E-2</v>
      </c>
      <c r="AK85" s="30">
        <f t="shared" si="35"/>
        <v>1.7608914483694924E-2</v>
      </c>
      <c r="AL85" s="31">
        <f>IFERROR(AK85/AK148, "NA")</f>
        <v>0.20370919529009762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16384.839999999993</v>
      </c>
      <c r="C87" s="34">
        <f>IFERROR(B87/B148, "NA")</f>
        <v>0.48434559644705294</v>
      </c>
      <c r="D87" s="33">
        <f>IFERROR(D59-D85, "NA")</f>
        <v>10407.219999999999</v>
      </c>
      <c r="E87" s="34">
        <f>IFERROR(D87/D148, "NA")</f>
        <v>0.41815931022650521</v>
      </c>
      <c r="F87" s="33">
        <f>IFERROR(F59-F85, "NA")</f>
        <v>14445.540000000012</v>
      </c>
      <c r="G87" s="34">
        <f>IFERROR(F87/F148, "NA")</f>
        <v>0.4565670663889127</v>
      </c>
      <c r="H87" s="33">
        <f>IFERROR(H59-H85, "NA")</f>
        <v>14822.569999999992</v>
      </c>
      <c r="I87" s="34">
        <f>IFERROR(H87/H148, "NA")</f>
        <v>0.49276030569777468</v>
      </c>
      <c r="J87" s="33">
        <f>IFERROR(J59-J85, "NA")</f>
        <v>13699.919999999996</v>
      </c>
      <c r="K87" s="34">
        <f>IFERROR(J87/J148, "NA")</f>
        <v>0.51316346899032417</v>
      </c>
      <c r="L87" s="33">
        <f>IFERROR(L59-L85, "NA")</f>
        <v>7742.8499999999967</v>
      </c>
      <c r="M87" s="34">
        <f>IFERROR(L87/L148, "NA")</f>
        <v>0.33882488544801398</v>
      </c>
      <c r="N87" s="33">
        <f>IFERROR(N59-N85, "NA")</f>
        <v>13437.2</v>
      </c>
      <c r="O87" s="34">
        <f>IFERROR(N87/N148, "NA")</f>
        <v>0.49840451357786208</v>
      </c>
      <c r="P87" s="33">
        <f>IFERROR(P59-P85, "NA")</f>
        <v>9012.3799999999992</v>
      </c>
      <c r="Q87" s="34">
        <f>IFERROR(P87/P148, "NA")</f>
        <v>0.37471192013467769</v>
      </c>
      <c r="R87" s="33">
        <f>IFERROR(R59-R85, "NA")</f>
        <v>11596.189999999999</v>
      </c>
      <c r="S87" s="34">
        <f>IFERROR(R87/R148, "NA")</f>
        <v>0.46198598128979457</v>
      </c>
      <c r="T87" s="33">
        <f>IFERROR(T59-T85, "NA")</f>
        <v>10178.330000000002</v>
      </c>
      <c r="U87" s="34">
        <f>IFERROR(T87/T148, "NA")</f>
        <v>0.45032992743100825</v>
      </c>
      <c r="V87" s="33">
        <f>IFERROR(V59-V85, "NA")</f>
        <v>13508.279999999999</v>
      </c>
      <c r="W87" s="34">
        <f>IFERROR(V87/V148, "NA")</f>
        <v>0.48372753254296535</v>
      </c>
      <c r="X87" s="33">
        <f>IFERROR(X59-X85, "NA")</f>
        <v>13152.91</v>
      </c>
      <c r="Y87" s="34">
        <f>IFERROR(X87/X148, "NA")</f>
        <v>0.47504883974675927</v>
      </c>
      <c r="Z87" s="33">
        <f>IFERROR(Z59-Z85, "NA")</f>
        <v>36839.520000000004</v>
      </c>
      <c r="AA87" s="34">
        <f>IFERROR(Z87/Z148, "NA")</f>
        <v>0.47100434418950271</v>
      </c>
      <c r="AB87" s="33">
        <f>IFERROR((R87+T87+V87+X87)/4, "NA")</f>
        <v>12108.927500000002</v>
      </c>
      <c r="AC87" s="34">
        <f>IFERROR(AB87/AB148, "NA")</f>
        <v>0.46881331330924403</v>
      </c>
      <c r="AD87" s="15">
        <f>IFERROR(X87-AB87, "NA")</f>
        <v>1043.9824999999983</v>
      </c>
      <c r="AE87" s="16">
        <f>IFERROR(AD87/AD148, "NA")</f>
        <v>0.56170370171096473</v>
      </c>
      <c r="AF87" s="15">
        <f>IFERROR((X87-AB87)/AB87, "NA")</f>
        <v>8.621593448304965E-2</v>
      </c>
      <c r="AG87" s="33">
        <f>IFERROR((J87+L87+N87+P87+R87+T87+V87+X87)/8, "NA")</f>
        <v>11541.0075</v>
      </c>
      <c r="AH87" s="34">
        <f>IFERROR(AG87/AG148, "NA")</f>
        <v>0.45286260008140222</v>
      </c>
      <c r="AI87" s="15">
        <f>IFERROR(X87-AG87, "NA")</f>
        <v>1611.9025000000001</v>
      </c>
      <c r="AJ87" s="16">
        <f>IFERROR(AI87/AI148, "NA")</f>
        <v>0.73171094307675244</v>
      </c>
      <c r="AK87" s="15">
        <f>IFERROR((X87-AG87)/AG87, "NA")</f>
        <v>0.13966739905506517</v>
      </c>
      <c r="AL87" s="16">
        <f>IFERROR(AK87/AK148, "NA")</f>
        <v>1.6157460186494248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579.51999999999987</v>
      </c>
      <c r="C90" s="8">
        <f>IFERROR(B90/B148, "NA")</f>
        <v>1.7130955203285243E-2</v>
      </c>
      <c r="D90" s="7">
        <v>686.5200000000001</v>
      </c>
      <c r="E90" s="8">
        <f>IFERROR(D90/D148, "NA")</f>
        <v>2.7584189596904882E-2</v>
      </c>
      <c r="F90" s="7">
        <v>495.75</v>
      </c>
      <c r="G90" s="8">
        <f>IFERROR(F90/F148, "NA")</f>
        <v>1.5668720114464622E-2</v>
      </c>
      <c r="H90" s="7">
        <v>498.71999999999997</v>
      </c>
      <c r="I90" s="8">
        <f>IFERROR(H90/H148, "NA")</f>
        <v>1.6579406921849199E-2</v>
      </c>
      <c r="J90" s="7">
        <v>746.65</v>
      </c>
      <c r="K90" s="8">
        <f>IFERROR(J90/J148, "NA")</f>
        <v>2.7967572374263911E-2</v>
      </c>
      <c r="L90" s="7">
        <v>630.65000000000009</v>
      </c>
      <c r="M90" s="8">
        <f>IFERROR(L90/L148, "NA")</f>
        <v>2.7597062323019318E-2</v>
      </c>
      <c r="N90" s="7">
        <v>206.54</v>
      </c>
      <c r="O90" s="8">
        <f>IFERROR(N90/N148, "NA")</f>
        <v>7.6608570412267157E-3</v>
      </c>
      <c r="P90" s="7">
        <v>271.68</v>
      </c>
      <c r="Q90" s="8">
        <f>IFERROR(P90/P148, "NA")</f>
        <v>1.1295765875627663E-2</v>
      </c>
      <c r="R90" s="7">
        <v>667.75000000000011</v>
      </c>
      <c r="S90" s="8">
        <f>IFERROR(R90/R148, "NA")</f>
        <v>2.66028013516733E-2</v>
      </c>
      <c r="T90" s="7">
        <v>507.36999999999995</v>
      </c>
      <c r="U90" s="8">
        <f>IFERROR(T90/T148, "NA")</f>
        <v>2.2448073041517674E-2</v>
      </c>
      <c r="V90" s="7">
        <v>510.21</v>
      </c>
      <c r="W90" s="8">
        <f>IFERROR(V90/V148, "NA")</f>
        <v>1.8270469991645596E-2</v>
      </c>
      <c r="X90" s="7">
        <v>459.31999999999994</v>
      </c>
      <c r="Y90" s="8">
        <f>IFERROR(X90/X148, "NA")</f>
        <v>1.6589441657586149E-2</v>
      </c>
      <c r="Z90" s="7">
        <v>1476.9</v>
      </c>
      <c r="AA90" s="8">
        <f>IFERROR(Z90/Z148, "NA")</f>
        <v>1.8882610737965003E-2</v>
      </c>
      <c r="AB90" s="9">
        <f t="shared" ref="AB90:AB99" si="36">IFERROR((R90+T90+V90+X90)/4, "NA")</f>
        <v>536.16250000000002</v>
      </c>
      <c r="AC90" s="8">
        <f>IFERROR(AB90/AB148, "NA")</f>
        <v>2.0758247837982972E-2</v>
      </c>
      <c r="AD90" s="10">
        <f t="shared" ref="AD90:AD99" si="37">IFERROR(X90-AB90, "NA")</f>
        <v>-76.842500000000086</v>
      </c>
      <c r="AE90" s="11">
        <f>IFERROR(AD90/AD148, "NA")</f>
        <v>-4.1344291402130716E-2</v>
      </c>
      <c r="AF90" s="10">
        <f t="shared" ref="AF90:AF99" si="38">IFERROR((X90-AB90)/AB90, "NA")</f>
        <v>-0.14331942274963297</v>
      </c>
      <c r="AG90" s="9">
        <f t="shared" ref="AG90:AG99" si="39">IFERROR((J90+L90+N90+P90+R90+T90+V90+X90)/8, "NA")</f>
        <v>500.02125000000001</v>
      </c>
      <c r="AH90" s="8">
        <f>IFERROR(AG90/AG148, "NA")</f>
        <v>1.9620550750959382E-2</v>
      </c>
      <c r="AI90" s="10">
        <f t="shared" ref="AI90:AI99" si="40">IFERROR(X90-AG90, "NA")</f>
        <v>-40.701250000000073</v>
      </c>
      <c r="AJ90" s="11">
        <f>IFERROR(AI90/AI148, "NA")</f>
        <v>-1.8476024462957728E-2</v>
      </c>
      <c r="AK90" s="10">
        <f t="shared" ref="AK90:AK99" si="41">IFERROR((X90-AG90)/AG90, "NA")</f>
        <v>-8.1399040540777165E-2</v>
      </c>
      <c r="AL90" s="11">
        <f>IFERROR(AK90/AK148, "NA")</f>
        <v>-0.94166696426981344</v>
      </c>
    </row>
    <row r="91" spans="1:38" ht="16.5" hidden="1" customHeight="1">
      <c r="A91" s="6" t="s">
        <v>100</v>
      </c>
      <c r="B91" s="7">
        <v>2319.98</v>
      </c>
      <c r="C91" s="8">
        <f>IFERROR(B91/B148, "NA")</f>
        <v>6.8579985940981691E-2</v>
      </c>
      <c r="D91" s="7">
        <v>1877.9</v>
      </c>
      <c r="E91" s="8">
        <f>IFERROR(D91/D148, "NA")</f>
        <v>7.5453518679758302E-2</v>
      </c>
      <c r="F91" s="7">
        <v>2098.5099999999998</v>
      </c>
      <c r="G91" s="8">
        <f>IFERROR(F91/F148, "NA")</f>
        <v>6.6325700146051741E-2</v>
      </c>
      <c r="H91" s="7">
        <v>2348.48</v>
      </c>
      <c r="I91" s="8">
        <f>IFERROR(H91/H148, "NA")</f>
        <v>7.8072677189253314E-2</v>
      </c>
      <c r="J91" s="7">
        <v>470.75</v>
      </c>
      <c r="K91" s="8">
        <f>IFERROR(J91/J148, "NA")</f>
        <v>1.7633073990738282E-2</v>
      </c>
      <c r="L91" s="7">
        <v>864.56</v>
      </c>
      <c r="M91" s="8">
        <f>IFERROR(L91/L148, "NA")</f>
        <v>3.7832896538475505E-2</v>
      </c>
      <c r="N91" s="7">
        <v>887.07000000000016</v>
      </c>
      <c r="O91" s="8">
        <f>IFERROR(N91/N148, "NA")</f>
        <v>3.2902665128115544E-2</v>
      </c>
      <c r="P91" s="7">
        <v>561.47</v>
      </c>
      <c r="Q91" s="8">
        <f>IFERROR(P91/P148, "NA")</f>
        <v>2.3344499654699147E-2</v>
      </c>
      <c r="R91" s="7">
        <v>1084.8699999999999</v>
      </c>
      <c r="S91" s="8">
        <f>IFERROR(R91/R148, "NA")</f>
        <v>4.3220638116645158E-2</v>
      </c>
      <c r="T91" s="7">
        <v>1294</v>
      </c>
      <c r="U91" s="8">
        <f>IFERROR(T91/T148, "NA")</f>
        <v>5.7251722639738011E-2</v>
      </c>
      <c r="V91" s="7">
        <v>486.81</v>
      </c>
      <c r="W91" s="8">
        <f>IFERROR(V91/V148, "NA")</f>
        <v>1.7432522876135302E-2</v>
      </c>
      <c r="X91" s="7">
        <v>421.82</v>
      </c>
      <c r="Y91" s="8">
        <f>IFERROR(X91/X148, "NA")</f>
        <v>1.5235039362542432E-2</v>
      </c>
      <c r="Z91" s="7">
        <v>2202.63</v>
      </c>
      <c r="AA91" s="8">
        <f>IFERROR(Z91/Z148, "NA")</f>
        <v>2.8161287080888251E-2</v>
      </c>
      <c r="AB91" s="9">
        <f t="shared" si="36"/>
        <v>821.875</v>
      </c>
      <c r="AC91" s="8">
        <f>IFERROR(AB91/AB148, "NA")</f>
        <v>3.1819989167169008E-2</v>
      </c>
      <c r="AD91" s="10">
        <f t="shared" si="37"/>
        <v>-400.05500000000001</v>
      </c>
      <c r="AE91" s="11">
        <f>IFERROR(AD91/AD148, "NA")</f>
        <v>-0.2152453459593244</v>
      </c>
      <c r="AF91" s="10">
        <f t="shared" si="38"/>
        <v>-0.48675893536121673</v>
      </c>
      <c r="AG91" s="9">
        <f t="shared" si="39"/>
        <v>758.91875000000005</v>
      </c>
      <c r="AH91" s="8">
        <f>IFERROR(AG91/AG148, "NA")</f>
        <v>2.9779542069921342E-2</v>
      </c>
      <c r="AI91" s="10">
        <f t="shared" si="40"/>
        <v>-337.09875000000005</v>
      </c>
      <c r="AJ91" s="11">
        <f>IFERROR(AI91/AI148, "NA")</f>
        <v>-0.15302342683412576</v>
      </c>
      <c r="AK91" s="10">
        <f t="shared" si="41"/>
        <v>-0.44418292472020232</v>
      </c>
      <c r="AL91" s="11">
        <f>IFERROR(AK91/AK148, "NA")</f>
        <v>-5.1385419720300609</v>
      </c>
    </row>
    <row r="92" spans="1:38" ht="16.5" hidden="1" customHeight="1">
      <c r="A92" s="6" t="s">
        <v>101</v>
      </c>
      <c r="B92" s="7">
        <v>346.53</v>
      </c>
      <c r="C92" s="8">
        <f>IFERROR(B92/B148, "NA")</f>
        <v>1.0243632500335512E-2</v>
      </c>
      <c r="D92" s="7">
        <v>223.78</v>
      </c>
      <c r="E92" s="8">
        <f>IFERROR(D92/D148, "NA")</f>
        <v>8.9914204218309347E-3</v>
      </c>
      <c r="F92" s="7">
        <v>408.2</v>
      </c>
      <c r="G92" s="8">
        <f>IFERROR(F92/F148, "NA")</f>
        <v>1.2901606758899564E-2</v>
      </c>
      <c r="H92" s="7">
        <v>332.44</v>
      </c>
      <c r="I92" s="8">
        <f>IFERROR(H92/H148, "NA")</f>
        <v>1.1051608191168488E-2</v>
      </c>
      <c r="J92" s="7">
        <v>231.6</v>
      </c>
      <c r="K92" s="8">
        <f>IFERROR(J92/J148, "NA")</f>
        <v>8.6751352867870113E-3</v>
      </c>
      <c r="L92" s="7">
        <v>155.82</v>
      </c>
      <c r="M92" s="8">
        <f>IFERROR(L92/L148, "NA")</f>
        <v>6.8186383115402677E-3</v>
      </c>
      <c r="N92" s="7">
        <v>377.34999999999997</v>
      </c>
      <c r="O92" s="8">
        <f>IFERROR(N92/N148, "NA")</f>
        <v>1.3996438484104295E-2</v>
      </c>
      <c r="P92" s="7">
        <v>153.05000000000001</v>
      </c>
      <c r="Q92" s="8">
        <f>IFERROR(P92/P148, "NA")</f>
        <v>6.3634311221466948E-3</v>
      </c>
      <c r="R92" s="7">
        <v>183.82</v>
      </c>
      <c r="S92" s="8">
        <f>IFERROR(R92/R148, "NA")</f>
        <v>7.3232900703325866E-3</v>
      </c>
      <c r="T92" s="7">
        <v>139.76</v>
      </c>
      <c r="U92" s="8">
        <f>IFERROR(T92/T148, "NA")</f>
        <v>6.1835399970091064E-3</v>
      </c>
      <c r="V92" s="7">
        <v>346.3</v>
      </c>
      <c r="W92" s="8">
        <f>IFERROR(V92/V148, "NA")</f>
        <v>1.2400901115436526E-2</v>
      </c>
      <c r="X92" s="7">
        <v>259.39</v>
      </c>
      <c r="Y92" s="8">
        <f>IFERROR(X92/X148, "NA")</f>
        <v>9.3684909683037342E-3</v>
      </c>
      <c r="Z92" s="7">
        <v>745.44999999999993</v>
      </c>
      <c r="AA92" s="8">
        <f>IFERROR(Z92/Z148, "NA")</f>
        <v>9.5308024745182542E-3</v>
      </c>
      <c r="AB92" s="9">
        <f t="shared" si="36"/>
        <v>232.3175</v>
      </c>
      <c r="AC92" s="8">
        <f>IFERROR(AB92/AB148, "NA")</f>
        <v>8.994482534866963E-3</v>
      </c>
      <c r="AD92" s="10">
        <f t="shared" si="37"/>
        <v>27.072499999999991</v>
      </c>
      <c r="AE92" s="11">
        <f>IFERROR(AD92/AD148, "NA")</f>
        <v>1.4566071236414513E-2</v>
      </c>
      <c r="AF92" s="10">
        <f t="shared" si="38"/>
        <v>0.11653233183036144</v>
      </c>
      <c r="AG92" s="9">
        <f t="shared" si="39"/>
        <v>230.88624999999996</v>
      </c>
      <c r="AH92" s="8">
        <f>IFERROR(AG92/AG148, "NA")</f>
        <v>9.0598457282039403E-3</v>
      </c>
      <c r="AI92" s="10">
        <f t="shared" si="40"/>
        <v>28.503750000000025</v>
      </c>
      <c r="AJ92" s="11">
        <f>IFERROR(AI92/AI148, "NA")</f>
        <v>1.2939061632899011E-2</v>
      </c>
      <c r="AK92" s="10">
        <f t="shared" si="41"/>
        <v>0.12345364871229893</v>
      </c>
      <c r="AL92" s="11">
        <f>IFERROR(AK92/AK148, "NA")</f>
        <v>1.4281768168103344</v>
      </c>
    </row>
    <row r="93" spans="1:38" ht="16.5" hidden="1" customHeight="1">
      <c r="A93" s="6" t="s">
        <v>102</v>
      </c>
      <c r="B93" s="7">
        <v>3687.86</v>
      </c>
      <c r="C93" s="8">
        <f>IFERROR(B93/B148, "NA")</f>
        <v>0.10901533071505302</v>
      </c>
      <c r="D93" s="7">
        <v>2017.51</v>
      </c>
      <c r="E93" s="8">
        <f>IFERROR(D93/D148, "NA")</f>
        <v>8.1063011061078424E-2</v>
      </c>
      <c r="F93" s="7">
        <v>2318.8000000000002</v>
      </c>
      <c r="G93" s="8">
        <f>IFERROR(F93/F148, "NA")</f>
        <v>7.3288206155160004E-2</v>
      </c>
      <c r="H93" s="7">
        <v>2663.27</v>
      </c>
      <c r="I93" s="8">
        <f>IFERROR(H93/H148, "NA")</f>
        <v>8.8537530222877206E-2</v>
      </c>
      <c r="J93" s="7">
        <v>2008.33</v>
      </c>
      <c r="K93" s="8">
        <f>IFERROR(J93/J148, "NA")</f>
        <v>7.5226832687879788E-2</v>
      </c>
      <c r="L93" s="7">
        <v>1688.7200000000003</v>
      </c>
      <c r="M93" s="8">
        <f>IFERROR(L93/L148, "NA")</f>
        <v>7.3897900715340026E-2</v>
      </c>
      <c r="N93" s="7">
        <v>2494.86</v>
      </c>
      <c r="O93" s="8">
        <f>IFERROR(N93/N148, "NA")</f>
        <v>9.2537841570034307E-2</v>
      </c>
      <c r="P93" s="7">
        <v>1622.19</v>
      </c>
      <c r="Q93" s="8">
        <f>IFERROR(P93/P148, "NA")</f>
        <v>6.744654904955992E-2</v>
      </c>
      <c r="R93" s="7">
        <v>1946.97</v>
      </c>
      <c r="S93" s="8">
        <f>IFERROR(R93/R148, "NA")</f>
        <v>7.7566239082991179E-2</v>
      </c>
      <c r="T93" s="7">
        <v>1734.57</v>
      </c>
      <c r="U93" s="8">
        <f>IFERROR(T93/T148, "NA")</f>
        <v>7.6744297170950812E-2</v>
      </c>
      <c r="V93" s="7">
        <v>1829.4400000000003</v>
      </c>
      <c r="W93" s="8">
        <f>IFERROR(V93/V148, "NA")</f>
        <v>6.5511708162356921E-2</v>
      </c>
      <c r="X93" s="7">
        <v>1842.86</v>
      </c>
      <c r="Y93" s="8">
        <f>IFERROR(X93/X148, "NA")</f>
        <v>6.6559301691847109E-2</v>
      </c>
      <c r="Z93" s="7">
        <v>5406.87</v>
      </c>
      <c r="AA93" s="8">
        <f>IFERROR(Z93/Z148, "NA")</f>
        <v>6.912845928687171E-2</v>
      </c>
      <c r="AB93" s="9">
        <f t="shared" si="36"/>
        <v>1838.46</v>
      </c>
      <c r="AC93" s="8">
        <f>IFERROR(AB93/AB148, "NA")</f>
        <v>7.1178436239420273E-2</v>
      </c>
      <c r="AD93" s="10">
        <f t="shared" si="37"/>
        <v>4.3999999999998636</v>
      </c>
      <c r="AE93" s="11">
        <f>IFERROR(AD93/AD148, "NA")</f>
        <v>2.3673732917248828E-3</v>
      </c>
      <c r="AF93" s="10">
        <f t="shared" si="38"/>
        <v>2.3933074420982039E-3</v>
      </c>
      <c r="AG93" s="9">
        <f t="shared" si="39"/>
        <v>1895.9925000000001</v>
      </c>
      <c r="AH93" s="8">
        <f>IFERROR(AG93/AG148, "NA")</f>
        <v>7.4397672238306581E-2</v>
      </c>
      <c r="AI93" s="10">
        <f t="shared" si="40"/>
        <v>-53.132500000000164</v>
      </c>
      <c r="AJ93" s="11">
        <f>IFERROR(AI93/AI148, "NA")</f>
        <v>-2.4119096336798079E-2</v>
      </c>
      <c r="AK93" s="10">
        <f t="shared" si="41"/>
        <v>-2.8023581316909303E-2</v>
      </c>
      <c r="AL93" s="11">
        <f>IFERROR(AK93/AK148, "NA")</f>
        <v>-0.32419154539595135</v>
      </c>
    </row>
    <row r="94" spans="1:38" ht="16.5" hidden="1" customHeight="1">
      <c r="A94" s="6" t="s">
        <v>103</v>
      </c>
      <c r="B94" s="7">
        <v>824.22</v>
      </c>
      <c r="C94" s="8">
        <f>IFERROR(B94/B148, "NA")</f>
        <v>2.436443245729529E-2</v>
      </c>
      <c r="D94" s="7">
        <v>668.43</v>
      </c>
      <c r="E94" s="8">
        <f>IFERROR(D94/D148, "NA")</f>
        <v>2.68573382454395E-2</v>
      </c>
      <c r="F94" s="7">
        <v>938.05</v>
      </c>
      <c r="G94" s="8">
        <f>IFERROR(F94/F148, "NA")</f>
        <v>2.9648094610940066E-2</v>
      </c>
      <c r="H94" s="7">
        <v>748.84</v>
      </c>
      <c r="I94" s="8">
        <f>IFERROR(H94/H148, "NA")</f>
        <v>2.4894375760662408E-2</v>
      </c>
      <c r="J94" s="7">
        <v>751.16</v>
      </c>
      <c r="K94" s="8">
        <f>IFERROR(J94/J148, "NA")</f>
        <v>2.8136505276437528E-2</v>
      </c>
      <c r="L94" s="7">
        <v>478.17</v>
      </c>
      <c r="M94" s="8">
        <f>IFERROR(L94/L148, "NA")</f>
        <v>2.0924581449295404E-2</v>
      </c>
      <c r="N94" s="7">
        <v>753.05</v>
      </c>
      <c r="O94" s="8">
        <f>IFERROR(N94/N148, "NA")</f>
        <v>2.7931676163918749E-2</v>
      </c>
      <c r="P94" s="7">
        <v>497.17</v>
      </c>
      <c r="Q94" s="8">
        <f>IFERROR(P94/P148, "NA")</f>
        <v>2.0671068611549638E-2</v>
      </c>
      <c r="R94" s="7">
        <v>737.94</v>
      </c>
      <c r="S94" s="8">
        <f>IFERROR(R94/R148, "NA")</f>
        <v>2.9399133252645142E-2</v>
      </c>
      <c r="T94" s="7">
        <v>693.27</v>
      </c>
      <c r="U94" s="8">
        <f>IFERROR(T94/T148, "NA")</f>
        <v>3.0673030722141552E-2</v>
      </c>
      <c r="V94" s="7">
        <v>682.56</v>
      </c>
      <c r="W94" s="8">
        <f>IFERROR(V94/V148, "NA")</f>
        <v>2.4442272784731028E-2</v>
      </c>
      <c r="X94" s="7">
        <v>581.36</v>
      </c>
      <c r="Y94" s="8">
        <f>IFERROR(X94/X148, "NA")</f>
        <v>2.0997208486576428E-2</v>
      </c>
      <c r="Z94" s="7">
        <v>1957.19</v>
      </c>
      <c r="AA94" s="8">
        <f>IFERROR(Z94/Z148, "NA")</f>
        <v>2.50232628547889E-2</v>
      </c>
      <c r="AB94" s="9">
        <f t="shared" si="36"/>
        <v>673.78250000000003</v>
      </c>
      <c r="AC94" s="8">
        <f>IFERROR(AB94/AB148, "NA")</f>
        <v>2.6086390084901052E-2</v>
      </c>
      <c r="AD94" s="10">
        <f t="shared" si="37"/>
        <v>-92.422500000000014</v>
      </c>
      <c r="AE94" s="11">
        <f>IFERROR(AD94/AD148, "NA")</f>
        <v>-4.972694501237495E-2</v>
      </c>
      <c r="AF94" s="10">
        <f t="shared" si="38"/>
        <v>-0.13716963560199325</v>
      </c>
      <c r="AG94" s="9">
        <f t="shared" si="39"/>
        <v>646.83499999999992</v>
      </c>
      <c r="AH94" s="8">
        <f>IFERROR(AG94/AG148, "NA")</f>
        <v>2.538143917882852E-2</v>
      </c>
      <c r="AI94" s="10">
        <f t="shared" si="40"/>
        <v>-65.474999999999909</v>
      </c>
      <c r="AJ94" s="11">
        <f>IFERROR(AI94/AI148, "NA")</f>
        <v>-2.9721880819683754E-2</v>
      </c>
      <c r="AK94" s="10">
        <f t="shared" si="41"/>
        <v>-0.10122365054457461</v>
      </c>
      <c r="AL94" s="11">
        <f>IFERROR(AK94/AK148, "NA")</f>
        <v>-1.1710084920825032</v>
      </c>
    </row>
    <row r="95" spans="1:38" ht="16.5" hidden="1" customHeight="1">
      <c r="A95" s="6" t="s">
        <v>104</v>
      </c>
      <c r="B95" s="7">
        <v>-236.67999999999998</v>
      </c>
      <c r="C95" s="8">
        <f>IFERROR(B95/B148, "NA")</f>
        <v>-6.9964012933350908E-3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0</v>
      </c>
      <c r="I95" s="8">
        <f>IFERROR(H95/H148, "NA")</f>
        <v>0</v>
      </c>
      <c r="J95" s="7">
        <v>572.02</v>
      </c>
      <c r="K95" s="8">
        <f>IFERROR(J95/J148, "NA")</f>
        <v>2.1426385521364017E-2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0</v>
      </c>
      <c r="Q95" s="8">
        <f>IFERROR(P95/P148, "NA")</f>
        <v>0</v>
      </c>
      <c r="R95" s="7">
        <v>572.02</v>
      </c>
      <c r="S95" s="8">
        <f>IFERROR(R95/R148, "NA")</f>
        <v>2.2788969568227867E-2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143.005</v>
      </c>
      <c r="AC95" s="8">
        <f>IFERROR(AB95/AB148, "NA")</f>
        <v>5.5366297196666209E-3</v>
      </c>
      <c r="AD95" s="10">
        <f t="shared" si="37"/>
        <v>-143.005</v>
      </c>
      <c r="AE95" s="11">
        <f>IFERROR(AD95/AD148, "NA")</f>
        <v>-7.6942322177983483E-2</v>
      </c>
      <c r="AF95" s="10">
        <f t="shared" si="38"/>
        <v>-1</v>
      </c>
      <c r="AG95" s="9">
        <f t="shared" si="39"/>
        <v>143.005</v>
      </c>
      <c r="AH95" s="8">
        <f>IFERROR(AG95/AG148, "NA")</f>
        <v>5.6114352342844353E-3</v>
      </c>
      <c r="AI95" s="10">
        <f t="shared" si="40"/>
        <v>-143.005</v>
      </c>
      <c r="AJ95" s="11">
        <f>IFERROR(AI95/AI148, "NA")</f>
        <v>-6.4916037672682406E-2</v>
      </c>
      <c r="AK95" s="10">
        <f t="shared" si="41"/>
        <v>-1</v>
      </c>
      <c r="AL95" s="11">
        <f>IFERROR(AK95/AK148, "NA")</f>
        <v>-11.568526582301443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746.86</v>
      </c>
      <c r="C97" s="8">
        <f>IFERROR(B97/B148, "NA")</f>
        <v>2.2077624936370822E-2</v>
      </c>
      <c r="D97" s="7">
        <v>627.79999999999995</v>
      </c>
      <c r="E97" s="8">
        <f>IFERROR(D97/D148, "NA")</f>
        <v>2.5224835735210744E-2</v>
      </c>
      <c r="F97" s="7">
        <v>14.58</v>
      </c>
      <c r="G97" s="8">
        <f>IFERROR(F97/F148, "NA")</f>
        <v>4.6081682152071448E-4</v>
      </c>
      <c r="H97" s="7">
        <v>250.05</v>
      </c>
      <c r="I97" s="8">
        <f>IFERROR(H97/H148, "NA")</f>
        <v>8.3126417645339925E-3</v>
      </c>
      <c r="J97" s="7">
        <v>2739.1100000000006</v>
      </c>
      <c r="K97" s="8">
        <f>IFERROR(J97/J148, "NA")</f>
        <v>0.10259995602500509</v>
      </c>
      <c r="L97" s="7">
        <v>27.08</v>
      </c>
      <c r="M97" s="8">
        <f>IFERROR(L97/L148, "NA")</f>
        <v>1.1850129988224261E-3</v>
      </c>
      <c r="N97" s="7">
        <v>0</v>
      </c>
      <c r="O97" s="8">
        <f>IFERROR(N97/N148, "NA")</f>
        <v>0</v>
      </c>
      <c r="P97" s="7">
        <v>250.05</v>
      </c>
      <c r="Q97" s="8">
        <f>IFERROR(P97/P148, "NA")</f>
        <v>1.0396445292994322E-2</v>
      </c>
      <c r="R97" s="7">
        <v>532.96</v>
      </c>
      <c r="S97" s="8">
        <f>IFERROR(R97/R148, "NA")</f>
        <v>2.123284014734227E-2</v>
      </c>
      <c r="T97" s="7">
        <v>0</v>
      </c>
      <c r="U97" s="8">
        <f>IFERROR(T97/T148, "NA")</f>
        <v>0</v>
      </c>
      <c r="V97" s="7">
        <v>0</v>
      </c>
      <c r="W97" s="8">
        <f>IFERROR(V97/V148, "NA")</f>
        <v>0</v>
      </c>
      <c r="X97" s="7">
        <v>0</v>
      </c>
      <c r="Y97" s="8">
        <f>IFERROR(X97/X148, "NA")</f>
        <v>0</v>
      </c>
      <c r="Z97" s="7">
        <v>0</v>
      </c>
      <c r="AA97" s="8">
        <f>IFERROR(Z97/Z148, "NA")</f>
        <v>0</v>
      </c>
      <c r="AB97" s="9">
        <f t="shared" si="36"/>
        <v>133.24</v>
      </c>
      <c r="AC97" s="8">
        <f>IFERROR(AB97/AB148, "NA")</f>
        <v>5.1585646924819451E-3</v>
      </c>
      <c r="AD97" s="10">
        <f t="shared" si="37"/>
        <v>-133.24</v>
      </c>
      <c r="AE97" s="11">
        <f>IFERROR(AD97/AD148, "NA")</f>
        <v>-7.1688367588507537E-2</v>
      </c>
      <c r="AF97" s="10">
        <f t="shared" si="38"/>
        <v>-1</v>
      </c>
      <c r="AG97" s="9">
        <f t="shared" si="39"/>
        <v>443.65000000000009</v>
      </c>
      <c r="AH97" s="8">
        <f>IFERROR(AG97/AG148, "NA")</f>
        <v>1.7408574816896547E-2</v>
      </c>
      <c r="AI97" s="10">
        <f t="shared" si="40"/>
        <v>-443.65000000000009</v>
      </c>
      <c r="AJ97" s="11">
        <f>IFERROR(AI97/AI148, "NA")</f>
        <v>-0.20139156052925114</v>
      </c>
      <c r="AK97" s="10">
        <f t="shared" si="41"/>
        <v>-1</v>
      </c>
      <c r="AL97" s="11">
        <f>IFERROR(AK97/AK148, "NA")</f>
        <v>-11.568526582301443</v>
      </c>
    </row>
    <row r="98" spans="1:38" ht="16.5" hidden="1" customHeight="1">
      <c r="A98" s="6" t="s">
        <v>107</v>
      </c>
      <c r="B98" s="7">
        <v>1166.8</v>
      </c>
      <c r="C98" s="8">
        <f>IFERROR(B98/B148, "NA")</f>
        <v>3.4491300612909344E-2</v>
      </c>
      <c r="D98" s="7">
        <v>520.75</v>
      </c>
      <c r="E98" s="8">
        <f>IFERROR(D98/D148, "NA")</f>
        <v>2.0923595427064345E-2</v>
      </c>
      <c r="F98" s="7">
        <v>27.419999999999987</v>
      </c>
      <c r="G98" s="8">
        <f>IFERROR(F98/F148, "NA")</f>
        <v>8.666390429422486E-4</v>
      </c>
      <c r="H98" s="7">
        <v>2345.2999999999997</v>
      </c>
      <c r="I98" s="8">
        <f>IFERROR(H98/H148, "NA")</f>
        <v>7.7966961529140455E-2</v>
      </c>
      <c r="J98" s="7">
        <v>1292.94</v>
      </c>
      <c r="K98" s="8">
        <f>IFERROR(J98/J148, "NA")</f>
        <v>4.8430178832894646E-2</v>
      </c>
      <c r="L98" s="7">
        <v>495.82000000000005</v>
      </c>
      <c r="M98" s="8">
        <f>IFERROR(L98/L148, "NA")</f>
        <v>2.1696940364702193E-2</v>
      </c>
      <c r="N98" s="7">
        <v>312.16999999999996</v>
      </c>
      <c r="O98" s="8">
        <f>IFERROR(N98/N148, "NA")</f>
        <v>1.1578821257672817E-2</v>
      </c>
      <c r="P98" s="7">
        <v>3016.5400000000004</v>
      </c>
      <c r="Q98" s="8">
        <f>IFERROR(P98/P148, "NA")</f>
        <v>0.1254200883188526</v>
      </c>
      <c r="R98" s="7">
        <v>1363.3</v>
      </c>
      <c r="S98" s="8">
        <f>IFERROR(R98/R148, "NA")</f>
        <v>5.4313139771974842E-2</v>
      </c>
      <c r="T98" s="7">
        <v>530.82999999999993</v>
      </c>
      <c r="U98" s="8">
        <f>IFERROR(T98/T148, "NA")</f>
        <v>2.3486037039298396E-2</v>
      </c>
      <c r="V98" s="7">
        <v>962.1099999999999</v>
      </c>
      <c r="W98" s="8">
        <f>IFERROR(V98/V148, "NA")</f>
        <v>3.445287603861575E-2</v>
      </c>
      <c r="X98" s="7">
        <v>1018.59</v>
      </c>
      <c r="Y98" s="8">
        <f>IFERROR(X98/X148, "NA")</f>
        <v>3.6788816898895495E-2</v>
      </c>
      <c r="Z98" s="7">
        <v>2511.5299999999997</v>
      </c>
      <c r="AA98" s="8">
        <f>IFERROR(Z98/Z148, "NA")</f>
        <v>3.2110666495173162E-2</v>
      </c>
      <c r="AB98" s="9">
        <f t="shared" si="36"/>
        <v>968.70749999999998</v>
      </c>
      <c r="AC98" s="8">
        <f>IFERROR(AB98/AB148, "NA")</f>
        <v>3.7504805665284101E-2</v>
      </c>
      <c r="AD98" s="10">
        <f t="shared" si="37"/>
        <v>49.88250000000005</v>
      </c>
      <c r="AE98" s="11">
        <f>IFERROR(AD98/AD148, "NA")</f>
        <v>2.683874959647051E-2</v>
      </c>
      <c r="AF98" s="10">
        <f t="shared" si="38"/>
        <v>5.1493871989222804E-2</v>
      </c>
      <c r="AG98" s="9">
        <f t="shared" si="39"/>
        <v>1124.0375000000001</v>
      </c>
      <c r="AH98" s="8">
        <f>IFERROR(AG98/AG148, "NA")</f>
        <v>4.4106595099171302E-2</v>
      </c>
      <c r="AI98" s="10">
        <f t="shared" si="40"/>
        <v>-105.4475000000001</v>
      </c>
      <c r="AJ98" s="11">
        <f>IFERROR(AI98/AI148, "NA")</f>
        <v>-4.7867094734381214E-2</v>
      </c>
      <c r="AK98" s="10">
        <f t="shared" si="41"/>
        <v>-9.3811371951558642E-2</v>
      </c>
      <c r="AL98" s="11">
        <f>IFERROR(AK98/AK148, "NA")</f>
        <v>-1.0852593501437742</v>
      </c>
    </row>
    <row r="99" spans="1:38" ht="16.5" hidden="1" customHeight="1">
      <c r="A99" s="12" t="s">
        <v>108</v>
      </c>
      <c r="B99" s="13">
        <f>IFERROR(B90+B91+B92+B93+B94+B95+B96+B97+B98, "NA")</f>
        <v>9435.0899999999983</v>
      </c>
      <c r="C99" s="14">
        <f>IFERROR(B99/B148, "NA")</f>
        <v>0.27890686107289581</v>
      </c>
      <c r="D99" s="13">
        <f>IFERROR(D90+D91+D92+D93+D94+D95+D96+D97+D98, "NA")</f>
        <v>6622.6900000000005</v>
      </c>
      <c r="E99" s="14">
        <f>IFERROR(D99/D148, "NA")</f>
        <v>0.26609790916728715</v>
      </c>
      <c r="F99" s="13">
        <f>IFERROR(F90+F91+F92+F93+F94+F95+F96+F97+F98, "NA")</f>
        <v>6301.31</v>
      </c>
      <c r="G99" s="14">
        <f>IFERROR(F99/F148, "NA")</f>
        <v>0.19915978364997897</v>
      </c>
      <c r="H99" s="13">
        <f>IFERROR(H90+H91+H92+H93+H94+H95+H96+H97+H98, "NA")</f>
        <v>9187.1</v>
      </c>
      <c r="I99" s="14">
        <f>IFERROR(H99/H148, "NA")</f>
        <v>0.3054152015794851</v>
      </c>
      <c r="J99" s="13">
        <f>IFERROR(J90+J91+J92+J93+J94+J95+J96+J97+J98, "NA")</f>
        <v>8812.5600000000013</v>
      </c>
      <c r="K99" s="14">
        <f>IFERROR(J99/J148, "NA")</f>
        <v>0.33009563999537028</v>
      </c>
      <c r="L99" s="13">
        <f>IFERROR(L90+L91+L92+L93+L94+L95+L96+L97+L98, "NA")</f>
        <v>4340.82</v>
      </c>
      <c r="M99" s="14">
        <f>IFERROR(L99/L148, "NA")</f>
        <v>0.18995303270119512</v>
      </c>
      <c r="N99" s="13">
        <f>IFERROR(N90+N91+N92+N93+N94+N95+N96+N97+N98, "NA")</f>
        <v>5031.04</v>
      </c>
      <c r="O99" s="14">
        <f>IFERROR(N99/N148, "NA")</f>
        <v>0.18660829964507242</v>
      </c>
      <c r="P99" s="13">
        <f>IFERROR(P90+P91+P92+P93+P94+P95+P96+P97+P98, "NA")</f>
        <v>6372.1500000000015</v>
      </c>
      <c r="Q99" s="14">
        <f>IFERROR(P99/P148, "NA")</f>
        <v>0.26493784792543001</v>
      </c>
      <c r="R99" s="13">
        <f>IFERROR(R90+R91+R92+R93+R94+R95+R96+R97+R98, "NA")</f>
        <v>7089.630000000001</v>
      </c>
      <c r="S99" s="14">
        <f>IFERROR(R99/R148, "NA")</f>
        <v>0.2824470513618324</v>
      </c>
      <c r="T99" s="13">
        <f>IFERROR(T90+T91+T92+T93+T94+T95+T96+T97+T98, "NA")</f>
        <v>4899.7999999999993</v>
      </c>
      <c r="U99" s="14">
        <f>IFERROR(T99/T148, "NA")</f>
        <v>0.21678670061065552</v>
      </c>
      <c r="V99" s="13">
        <f>IFERROR(V90+V91+V92+V93+V94+V95+V96+V97+V98, "NA")</f>
        <v>4817.43</v>
      </c>
      <c r="W99" s="14">
        <f>IFERROR(V99/V148, "NA")</f>
        <v>0.17251075096892113</v>
      </c>
      <c r="X99" s="13">
        <f>IFERROR(X90+X91+X92+X93+X94+X95+X96+X97+X98, "NA")</f>
        <v>4583.3399999999992</v>
      </c>
      <c r="Y99" s="14">
        <f>IFERROR(X99/X148, "NA")</f>
        <v>0.16553829906575132</v>
      </c>
      <c r="Z99" s="13">
        <f>IFERROR(Z90+Z91+Z92+Z93+Z94+Z95+Z96+Z97+Z98, "NA")</f>
        <v>14300.57</v>
      </c>
      <c r="AA99" s="14">
        <f>IFERROR(Z99/Z148, "NA")</f>
        <v>0.18283708893020528</v>
      </c>
      <c r="AB99" s="13">
        <f t="shared" si="36"/>
        <v>5347.55</v>
      </c>
      <c r="AC99" s="14">
        <f>IFERROR(AB99/AB148, "NA")</f>
        <v>0.20703754594177293</v>
      </c>
      <c r="AD99" s="15">
        <f t="shared" si="37"/>
        <v>-764.21000000000095</v>
      </c>
      <c r="AE99" s="16">
        <f>IFERROR(AD99/AD148, "NA")</f>
        <v>-0.41117507801571157</v>
      </c>
      <c r="AF99" s="15">
        <f t="shared" si="38"/>
        <v>-0.14290843470374301</v>
      </c>
      <c r="AG99" s="13">
        <f t="shared" si="39"/>
        <v>5743.3462499999996</v>
      </c>
      <c r="AH99" s="14">
        <f>IFERROR(AG99/AG148, "NA")</f>
        <v>0.22536565511657203</v>
      </c>
      <c r="AI99" s="15">
        <f t="shared" si="40"/>
        <v>-1160.0062500000004</v>
      </c>
      <c r="AJ99" s="16">
        <f>IFERROR(AI99/AI148, "NA")</f>
        <v>-0.52657605975698107</v>
      </c>
      <c r="AK99" s="15">
        <f t="shared" si="41"/>
        <v>-0.20197393636157673</v>
      </c>
      <c r="AL99" s="16">
        <f>IFERROR(AK99/AK148, "NA")</f>
        <v>-2.3365408517309603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6949.7499999999945</v>
      </c>
      <c r="C101" s="34">
        <f>IFERROR(B101/B148, "NA")</f>
        <v>0.20543873537415713</v>
      </c>
      <c r="D101" s="33">
        <f>IFERROR(D87-D99, "NA")</f>
        <v>3784.5299999999988</v>
      </c>
      <c r="E101" s="34">
        <f>IFERROR(D101/D148, "NA")</f>
        <v>0.15206140105921806</v>
      </c>
      <c r="F101" s="33">
        <f>IFERROR(F87-F99, "NA")</f>
        <v>8144.2300000000114</v>
      </c>
      <c r="G101" s="34">
        <f>IFERROR(F101/F148, "NA")</f>
        <v>0.25740728273893371</v>
      </c>
      <c r="H101" s="33">
        <f>IFERROR(H87-H99, "NA")</f>
        <v>5635.4699999999921</v>
      </c>
      <c r="I101" s="34">
        <f>IFERROR(H101/H148, "NA")</f>
        <v>0.18734510411828958</v>
      </c>
      <c r="J101" s="33">
        <f>IFERROR(J87-J99, "NA")</f>
        <v>4887.3599999999951</v>
      </c>
      <c r="K101" s="34">
        <f>IFERROR(J101/J148, "NA")</f>
        <v>0.18306782899495391</v>
      </c>
      <c r="L101" s="33">
        <f>IFERROR(L87-L99, "NA")</f>
        <v>3402.029999999997</v>
      </c>
      <c r="M101" s="34">
        <f>IFERROR(L101/L148, "NA")</f>
        <v>0.14887185274681886</v>
      </c>
      <c r="N101" s="33">
        <f>IFERROR(N87-N99, "NA")</f>
        <v>8406.16</v>
      </c>
      <c r="O101" s="34">
        <f>IFERROR(N101/N148, "NA")</f>
        <v>0.31179621393278961</v>
      </c>
      <c r="P101" s="33">
        <f>IFERROR(P87-P99, "NA")</f>
        <v>2640.2299999999977</v>
      </c>
      <c r="Q101" s="34">
        <f>IFERROR(P101/P148, "NA")</f>
        <v>0.10977407220924765</v>
      </c>
      <c r="R101" s="33">
        <f>IFERROR(R87-R99, "NA")</f>
        <v>4506.5599999999977</v>
      </c>
      <c r="S101" s="34">
        <f>IFERROR(R101/R148, "NA")</f>
        <v>0.17953892992796217</v>
      </c>
      <c r="T101" s="33">
        <f>IFERROR(T87-T99, "NA")</f>
        <v>5278.5300000000025</v>
      </c>
      <c r="U101" s="34">
        <f>IFERROR(T101/T148, "NA")</f>
        <v>0.23354322682035272</v>
      </c>
      <c r="V101" s="33">
        <f>IFERROR(V87-V99, "NA")</f>
        <v>8690.8499999999985</v>
      </c>
      <c r="W101" s="34">
        <f>IFERROR(V101/V148, "NA")</f>
        <v>0.3112167815740442</v>
      </c>
      <c r="X101" s="33">
        <f>IFERROR(X87-X99, "NA")</f>
        <v>8569.57</v>
      </c>
      <c r="Y101" s="34">
        <f>IFERROR(X101/X148, "NA")</f>
        <v>0.30951054068100792</v>
      </c>
      <c r="Z101" s="33">
        <f>IFERROR(Z87-Z99, "NA")</f>
        <v>22538.950000000004</v>
      </c>
      <c r="AA101" s="34">
        <f>IFERROR(Z101/Z148, "NA")</f>
        <v>0.28816725525929743</v>
      </c>
      <c r="AB101" s="33">
        <f>IFERROR((R101+T101+V101+X101)/4, "NA")</f>
        <v>6761.3774999999996</v>
      </c>
      <c r="AC101" s="34">
        <f>IFERROR(AB101/AB148, "NA")</f>
        <v>0.26177576736747105</v>
      </c>
      <c r="AD101" s="15">
        <f>IFERROR(X101-AB101, "NA")</f>
        <v>1808.1925000000001</v>
      </c>
      <c r="AE101" s="16">
        <f>IFERROR(AD101/AD148, "NA")</f>
        <v>0.9728787797266768</v>
      </c>
      <c r="AF101" s="15">
        <f>IFERROR((X101-AB101)/AB101, "NA")</f>
        <v>0.26742960291745288</v>
      </c>
      <c r="AG101" s="33">
        <f>IFERROR((J101+L101+N101+P101+R101+T101+V101+X101)/8, "NA")</f>
        <v>5797.6612499999983</v>
      </c>
      <c r="AH101" s="34">
        <f>IFERROR(AG101/AG148, "NA")</f>
        <v>0.22749694496483014</v>
      </c>
      <c r="AI101" s="15">
        <f>IFERROR(X101-AG101, "NA")</f>
        <v>2771.9087500000014</v>
      </c>
      <c r="AJ101" s="16">
        <f>IFERROR(AI101/AI148, "NA")</f>
        <v>1.2582870028337338</v>
      </c>
      <c r="AK101" s="15">
        <f>IFERROR((X101-AG101)/AG101, "NA")</f>
        <v>0.47810809056841708</v>
      </c>
      <c r="AL101" s="16">
        <f>IFERROR(AK101/AK148, "NA")</f>
        <v>5.5310061549541185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25431.37</v>
      </c>
      <c r="C104" s="34">
        <f>IFERROR(B104/B148, "NA")</f>
        <v>0.75176639327058992</v>
      </c>
      <c r="D104" s="39">
        <v>1584.69</v>
      </c>
      <c r="E104" s="34">
        <f>IFERROR(D104/D148, "NA")</f>
        <v>6.3672419466758709E-2</v>
      </c>
      <c r="F104" s="39">
        <v>0</v>
      </c>
      <c r="G104" s="34">
        <f>IFERROR(F104/F148, "NA")</f>
        <v>0</v>
      </c>
      <c r="H104" s="39">
        <v>4462.3100000000004</v>
      </c>
      <c r="I104" s="34">
        <f>IFERROR(H104/H148, "NA")</f>
        <v>0.14834466895539963</v>
      </c>
      <c r="J104" s="39">
        <v>19887.580000000002</v>
      </c>
      <c r="K104" s="34">
        <f>IFERROR(J104/J148, "NA")</f>
        <v>0.74493716332815052</v>
      </c>
      <c r="L104" s="39">
        <v>401.84999999999997</v>
      </c>
      <c r="M104" s="34">
        <f>IFERROR(L104/L148, "NA")</f>
        <v>1.7584840235479762E-2</v>
      </c>
      <c r="N104" s="39">
        <v>0</v>
      </c>
      <c r="O104" s="34">
        <f>IFERROR(N104/N148, "NA")</f>
        <v>0</v>
      </c>
      <c r="P104" s="39">
        <v>3946.2200000000003</v>
      </c>
      <c r="Q104" s="34">
        <f>IFERROR(P104/P148, "NA")</f>
        <v>0.16407382661115799</v>
      </c>
      <c r="R104" s="39">
        <v>20350.45</v>
      </c>
      <c r="S104" s="34">
        <f>IFERROR(R104/R148, "NA")</f>
        <v>0.81075099777934834</v>
      </c>
      <c r="T104" s="39">
        <v>862.39</v>
      </c>
      <c r="U104" s="34">
        <f>IFERROR(T104/T148, "NA")</f>
        <v>3.8155574256015193E-2</v>
      </c>
      <c r="V104" s="39">
        <v>0</v>
      </c>
      <c r="W104" s="34">
        <f>IFERROR(V104/V148, "NA")</f>
        <v>0</v>
      </c>
      <c r="X104" s="39">
        <v>0</v>
      </c>
      <c r="Y104" s="34">
        <f>IFERROR(X104/X148, "NA")</f>
        <v>0</v>
      </c>
      <c r="Z104" s="39">
        <v>862.39</v>
      </c>
      <c r="AA104" s="34">
        <f>IFERROR(Z104/Z148, "NA")</f>
        <v>1.1025915548996979E-2</v>
      </c>
      <c r="AB104" s="33">
        <f>IFERROR((R104+T104+V104+X104)/4, "NA")</f>
        <v>5303.21</v>
      </c>
      <c r="AC104" s="34">
        <f>IFERROR(AB104/AB148, "NA")</f>
        <v>0.20532086357563176</v>
      </c>
      <c r="AD104" s="15">
        <f>IFERROR(X104-AB104, "NA")</f>
        <v>-5303.21</v>
      </c>
      <c r="AE104" s="16">
        <f>IFERROR(AD104/AD148, "NA")</f>
        <v>-2.8533358441837966</v>
      </c>
      <c r="AF104" s="15">
        <f>IFERROR((X104-AB104)/AB104, "NA")</f>
        <v>-1</v>
      </c>
      <c r="AG104" s="33">
        <f>IFERROR((J104+L104+N104+P104+R104+T104+V104+X104)/8, "NA")</f>
        <v>5681.0612500000007</v>
      </c>
      <c r="AH104" s="34">
        <f>IFERROR(AG104/AG148, "NA")</f>
        <v>0.22292162698072082</v>
      </c>
      <c r="AI104" s="15">
        <f>IFERROR(X104-AG104, "NA")</f>
        <v>-5681.0612500000007</v>
      </c>
      <c r="AJ104" s="16">
        <f>IFERROR(AI104/AI148, "NA")</f>
        <v>-2.5788747674963552</v>
      </c>
      <c r="AK104" s="15">
        <f>IFERROR((X104-AG104)/AG104, "NA")</f>
        <v>-1</v>
      </c>
      <c r="AL104" s="16">
        <f>IFERROR(AK104/AK148, "NA")</f>
        <v>-11.568526582301443</v>
      </c>
    </row>
    <row r="105" spans="1:38" ht="16.5" hidden="1" customHeight="1">
      <c r="A105" s="12" t="s">
        <v>112</v>
      </c>
      <c r="B105" s="13">
        <f>IFERROR(B104, "NA")</f>
        <v>25431.37</v>
      </c>
      <c r="C105" s="14">
        <f>IFERROR(B105/B148, "NA")</f>
        <v>0.75176639327058992</v>
      </c>
      <c r="D105" s="13">
        <f>IFERROR(D104, "NA")</f>
        <v>1584.69</v>
      </c>
      <c r="E105" s="14">
        <f>IFERROR(D105/D148, "NA")</f>
        <v>6.3672419466758709E-2</v>
      </c>
      <c r="F105" s="13">
        <f>IFERROR(F104, "NA")</f>
        <v>0</v>
      </c>
      <c r="G105" s="14">
        <f>IFERROR(F105/F148, "NA")</f>
        <v>0</v>
      </c>
      <c r="H105" s="13">
        <f>IFERROR(H104, "NA")</f>
        <v>4462.3100000000004</v>
      </c>
      <c r="I105" s="14">
        <f>IFERROR(H105/H148, "NA")</f>
        <v>0.14834466895539963</v>
      </c>
      <c r="J105" s="13">
        <f>IFERROR(J104, "NA")</f>
        <v>19887.580000000002</v>
      </c>
      <c r="K105" s="14">
        <f>IFERROR(J105/J148, "NA")</f>
        <v>0.74493716332815052</v>
      </c>
      <c r="L105" s="13">
        <f>IFERROR(L104, "NA")</f>
        <v>401.84999999999997</v>
      </c>
      <c r="M105" s="14">
        <f>IFERROR(L105/L148, "NA")</f>
        <v>1.7584840235479762E-2</v>
      </c>
      <c r="N105" s="13">
        <f>IFERROR(N104, "NA")</f>
        <v>0</v>
      </c>
      <c r="O105" s="14">
        <f>IFERROR(N105/N148, "NA")</f>
        <v>0</v>
      </c>
      <c r="P105" s="13">
        <f>IFERROR(P104, "NA")</f>
        <v>3946.2200000000003</v>
      </c>
      <c r="Q105" s="14">
        <f>IFERROR(P105/P148, "NA")</f>
        <v>0.16407382661115799</v>
      </c>
      <c r="R105" s="13">
        <f>IFERROR(R104, "NA")</f>
        <v>20350.45</v>
      </c>
      <c r="S105" s="14">
        <f>IFERROR(R105/R148, "NA")</f>
        <v>0.81075099777934834</v>
      </c>
      <c r="T105" s="13">
        <f>IFERROR(T104, "NA")</f>
        <v>862.39</v>
      </c>
      <c r="U105" s="14">
        <f>IFERROR(T105/T148, "NA")</f>
        <v>3.8155574256015193E-2</v>
      </c>
      <c r="V105" s="13">
        <f>IFERROR(V104, "NA")</f>
        <v>0</v>
      </c>
      <c r="W105" s="14">
        <f>IFERROR(V105/V148, "NA")</f>
        <v>0</v>
      </c>
      <c r="X105" s="13">
        <f>IFERROR(X104, "NA")</f>
        <v>0</v>
      </c>
      <c r="Y105" s="14">
        <f>IFERROR(X105/X148, "NA")</f>
        <v>0</v>
      </c>
      <c r="Z105" s="13">
        <f>IFERROR(Z104, "NA")</f>
        <v>862.39</v>
      </c>
      <c r="AA105" s="14">
        <f>IFERROR(Z105/Z148, "NA")</f>
        <v>1.1025915548996979E-2</v>
      </c>
      <c r="AB105" s="13">
        <f>IFERROR((R105+T105+V105+X105)/4, "NA")</f>
        <v>5303.21</v>
      </c>
      <c r="AC105" s="14">
        <f>IFERROR(AB105/AB148, "NA")</f>
        <v>0.20532086357563176</v>
      </c>
      <c r="AD105" s="15">
        <f>IFERROR(X105-AB105, "NA")</f>
        <v>-5303.21</v>
      </c>
      <c r="AE105" s="16">
        <f>IFERROR(AD105/AD148, "NA")</f>
        <v>-2.8533358441837966</v>
      </c>
      <c r="AF105" s="15">
        <f>IFERROR((X105-AB105)/AB105, "NA")</f>
        <v>-1</v>
      </c>
      <c r="AG105" s="13">
        <f>IFERROR((J105+L105+N105+P105+R105+T105+V105+X105)/8, "NA")</f>
        <v>5681.0612500000007</v>
      </c>
      <c r="AH105" s="14">
        <f>IFERROR(AG105/AG148, "NA")</f>
        <v>0.22292162698072082</v>
      </c>
      <c r="AI105" s="15">
        <f>IFERROR(X105-AG105, "NA")</f>
        <v>-5681.0612500000007</v>
      </c>
      <c r="AJ105" s="16">
        <f>IFERROR(AI105/AI148, "NA")</f>
        <v>-2.5788747674963552</v>
      </c>
      <c r="AK105" s="15">
        <f>IFERROR((X105-AG105)/AG105, "NA")</f>
        <v>-1</v>
      </c>
      <c r="AL105" s="16">
        <f>IFERROR(AK105/AK148, "NA")</f>
        <v>-11.568526582301443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-18481.620000000003</v>
      </c>
      <c r="C107" s="34">
        <f>IFERROR(B107/B148, "NA")</f>
        <v>-0.54632765789643278</v>
      </c>
      <c r="D107" s="33">
        <f>IFERROR(D87-D99-D105, "NA")</f>
        <v>2199.8399999999988</v>
      </c>
      <c r="E107" s="34">
        <f>IFERROR(D107/D148, "NA")</f>
        <v>8.8388981592459351E-2</v>
      </c>
      <c r="F107" s="33">
        <f>IFERROR(F87-F99-F105, "NA")</f>
        <v>8144.2300000000114</v>
      </c>
      <c r="G107" s="34">
        <f>IFERROR(F107/F148, "NA")</f>
        <v>0.25740728273893371</v>
      </c>
      <c r="H107" s="33">
        <f>IFERROR(H87-H99-H105, "NA")</f>
        <v>1173.1599999999917</v>
      </c>
      <c r="I107" s="34">
        <f>IFERROR(H107/H148, "NA")</f>
        <v>3.9000435162889938E-2</v>
      </c>
      <c r="J107" s="33">
        <f>IFERROR(J87-J99-J105, "NA")</f>
        <v>-15000.220000000007</v>
      </c>
      <c r="K107" s="34">
        <f>IFERROR(J107/J148, "NA")</f>
        <v>-0.56186933433319652</v>
      </c>
      <c r="L107" s="33">
        <f>IFERROR(L87-L99-L105, "NA")</f>
        <v>3000.1799999999971</v>
      </c>
      <c r="M107" s="34">
        <f>IFERROR(L107/L148, "NA")</f>
        <v>0.13128701251133912</v>
      </c>
      <c r="N107" s="33">
        <f>IFERROR(N87-N99-N105, "NA")</f>
        <v>8406.16</v>
      </c>
      <c r="O107" s="34">
        <f>IFERROR(N107/N148, "NA")</f>
        <v>0.31179621393278961</v>
      </c>
      <c r="P107" s="33">
        <f>IFERROR(P87-P99-P105, "NA")</f>
        <v>-1305.9900000000025</v>
      </c>
      <c r="Q107" s="34">
        <f>IFERROR(P107/P148, "NA")</f>
        <v>-5.4299754401910337E-2</v>
      </c>
      <c r="R107" s="33">
        <f>IFERROR(R87-R99-R105, "NA")</f>
        <v>-15843.890000000003</v>
      </c>
      <c r="S107" s="34">
        <f>IFERROR(R107/R148, "NA")</f>
        <v>-0.63121206785138617</v>
      </c>
      <c r="T107" s="33">
        <f>IFERROR(T87-T99-T105, "NA")</f>
        <v>4416.1400000000021</v>
      </c>
      <c r="U107" s="34">
        <f>IFERROR(T107/T148, "NA")</f>
        <v>0.19538765256433752</v>
      </c>
      <c r="V107" s="33">
        <f>IFERROR(V87-V99-V105, "NA")</f>
        <v>8690.8499999999985</v>
      </c>
      <c r="W107" s="34">
        <f>IFERROR(V107/V148, "NA")</f>
        <v>0.3112167815740442</v>
      </c>
      <c r="X107" s="33">
        <f>IFERROR(X87-X99-X105, "NA")</f>
        <v>8569.57</v>
      </c>
      <c r="Y107" s="34">
        <f>IFERROR(X107/X148, "NA")</f>
        <v>0.30951054068100792</v>
      </c>
      <c r="Z107" s="33">
        <f>IFERROR(Z87-Z99-Z105, "NA")</f>
        <v>21676.560000000005</v>
      </c>
      <c r="AA107" s="34">
        <f>IFERROR(Z107/Z148, "NA")</f>
        <v>0.27714133971030047</v>
      </c>
      <c r="AB107" s="33">
        <f>IFERROR((R107+T107+V107+X107)/4, "NA")</f>
        <v>1458.1674999999996</v>
      </c>
      <c r="AC107" s="34">
        <f>IFERROR(AB107/AB148, "NA")</f>
        <v>5.6454903791839268E-2</v>
      </c>
      <c r="AD107" s="15">
        <f>IFERROR(X107-AB107, "NA")</f>
        <v>7111.4025000000001</v>
      </c>
      <c r="AE107" s="16">
        <f>IFERROR(AD107/AD148, "NA")</f>
        <v>3.8262146239104733</v>
      </c>
      <c r="AF107" s="15">
        <f>IFERROR((X107-AB107)/AB107, "NA")</f>
        <v>4.8769448640159672</v>
      </c>
      <c r="AG107" s="33">
        <f>IFERROR((J107+L107+N107+P107+R107+T107+V107+X107)/8, "NA")</f>
        <v>116.59999999999809</v>
      </c>
      <c r="AH107" s="34">
        <f>IFERROR(AG107/AG148, "NA")</f>
        <v>4.5753179841093285E-3</v>
      </c>
      <c r="AI107" s="15">
        <f>IFERROR(X107-AG107, "NA")</f>
        <v>8452.9700000000012</v>
      </c>
      <c r="AJ107" s="16">
        <f>IFERROR(AI107/AI148, "NA")</f>
        <v>3.8371617703300887</v>
      </c>
      <c r="AK107" s="15">
        <f>IFERROR((X107-AG107)/AG107, "NA")</f>
        <v>72.495454545455743</v>
      </c>
      <c r="AL107" s="16">
        <f>IFERROR(AK107/AK148, "NA")</f>
        <v>838.66559300513075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-1384.3799999999999</v>
      </c>
      <c r="C128" s="8">
        <f>IFERROR(B128/B148, "NA")</f>
        <v>-4.0923094568477404E-2</v>
      </c>
      <c r="D128" s="7">
        <v>268.79000000000002</v>
      </c>
      <c r="E128" s="8">
        <f>IFERROR(D128/D148, "NA")</f>
        <v>1.07999101581193E-2</v>
      </c>
      <c r="F128" s="7">
        <v>287.24</v>
      </c>
      <c r="G128" s="8">
        <f>IFERROR(F128/F148, "NA")</f>
        <v>9.0785338692462303E-3</v>
      </c>
      <c r="H128" s="7">
        <v>303.3</v>
      </c>
      <c r="I128" s="8">
        <f>IFERROR(H128/H148, "NA")</f>
        <v>1.0082880412650109E-2</v>
      </c>
      <c r="J128" s="7">
        <v>-859.33</v>
      </c>
      <c r="K128" s="8">
        <f>IFERROR(J128/J148, "NA")</f>
        <v>-3.2188272910167029E-2</v>
      </c>
      <c r="L128" s="7">
        <v>320.02000000000004</v>
      </c>
      <c r="M128" s="8">
        <f>IFERROR(L128/L148, "NA")</f>
        <v>1.4003983008979056E-2</v>
      </c>
      <c r="N128" s="7">
        <v>322.18</v>
      </c>
      <c r="O128" s="8">
        <f>IFERROR(N128/N148, "NA")</f>
        <v>1.1950106137031197E-2</v>
      </c>
      <c r="P128" s="7">
        <v>321.89</v>
      </c>
      <c r="Q128" s="8">
        <f>IFERROR(P128/P148, "NA")</f>
        <v>1.3383370427362295E-2</v>
      </c>
      <c r="R128" s="7">
        <v>-964.09</v>
      </c>
      <c r="S128" s="8">
        <f>IFERROR(R128/R148, "NA")</f>
        <v>-3.8408827787547298E-2</v>
      </c>
      <c r="T128" s="7">
        <v>406.12</v>
      </c>
      <c r="U128" s="8">
        <f>IFERROR(T128/T148, "NA")</f>
        <v>1.796836908690139E-2</v>
      </c>
      <c r="V128" s="7">
        <v>442.16999999999996</v>
      </c>
      <c r="W128" s="8">
        <f>IFERROR(V128/V148, "NA")</f>
        <v>1.5833977609623354E-2</v>
      </c>
      <c r="X128" s="7">
        <v>307.37</v>
      </c>
      <c r="Y128" s="8">
        <f>IFERROR(X128/X148, "NA")</f>
        <v>1.1101403558069005E-2</v>
      </c>
      <c r="Z128" s="7">
        <v>1155.6599999999999</v>
      </c>
      <c r="AA128" s="8">
        <f>IFERROR(Z128/Z148, "NA")</f>
        <v>1.4775460711921344E-2</v>
      </c>
      <c r="AB128" s="9">
        <f t="shared" si="42"/>
        <v>47.892499999999984</v>
      </c>
      <c r="AC128" s="8">
        <f>IFERROR(AB128/AB148, "NA")</f>
        <v>1.8542221520165976E-3</v>
      </c>
      <c r="AD128" s="10">
        <f t="shared" si="43"/>
        <v>259.47750000000002</v>
      </c>
      <c r="AE128" s="11">
        <f>IFERROR(AD128/AD148, "NA")</f>
        <v>0.13960911438717327</v>
      </c>
      <c r="AF128" s="10">
        <f t="shared" si="44"/>
        <v>5.417915122409565</v>
      </c>
      <c r="AG128" s="9">
        <f t="shared" si="45"/>
        <v>37.041250000000005</v>
      </c>
      <c r="AH128" s="8">
        <f>IFERROR(AG128/AG148, "NA")</f>
        <v>1.4534776782066249E-3</v>
      </c>
      <c r="AI128" s="10">
        <f t="shared" si="46"/>
        <v>270.32875000000001</v>
      </c>
      <c r="AJ128" s="11">
        <f>IFERROR(AI128/AI148, "NA")</f>
        <v>0.12271369056333098</v>
      </c>
      <c r="AK128" s="10">
        <f t="shared" si="47"/>
        <v>7.298046097256436</v>
      </c>
      <c r="AL128" s="11">
        <f>IFERROR(AK128/AK148, "NA")</f>
        <v>84.427640274972376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-1384.3799999999999</v>
      </c>
      <c r="C135" s="14">
        <f>IFERROR(B135/B148, "NA")</f>
        <v>-4.0923094568477404E-2</v>
      </c>
      <c r="D135" s="13">
        <f>IFERROR(D110+D111+D112+D113+D114+D115+D116+D117+D118+D119+D120+D121+D122+D123+D124+D125+D126+D127+D128+D129+D130+D131+D132+D133+D134, "NA")</f>
        <v>268.79000000000002</v>
      </c>
      <c r="E135" s="14">
        <f>IFERROR(D135/D148, "NA")</f>
        <v>1.07999101581193E-2</v>
      </c>
      <c r="F135" s="13">
        <f>IFERROR(F110+F111+F112+F113+F114+F115+F116+F117+F118+F119+F120+F121+F122+F123+F124+F125+F126+F127+F128+F129+F130+F131+F132+F133+F134, "NA")</f>
        <v>287.24</v>
      </c>
      <c r="G135" s="14">
        <f>IFERROR(F135/F148, "NA")</f>
        <v>9.0785338692462303E-3</v>
      </c>
      <c r="H135" s="13">
        <f>IFERROR(H110+H111+H112+H113+H114+H115+H116+H117+H118+H119+H120+H121+H122+H123+H124+H125+H126+H127+H128+H129+H130+H131+H132+H133+H134, "NA")</f>
        <v>303.3</v>
      </c>
      <c r="I135" s="14">
        <f>IFERROR(H135/H148, "NA")</f>
        <v>1.0082880412650109E-2</v>
      </c>
      <c r="J135" s="13">
        <f>IFERROR(J110+J111+J112+J113+J114+J115+J116+J117+J118+J119+J120+J121+J122+J123+J124+J125+J126+J127+J128+J129+J130+J131+J132+J133+J134, "NA")</f>
        <v>-859.33</v>
      </c>
      <c r="K135" s="14">
        <f>IFERROR(J135/J148, "NA")</f>
        <v>-3.2188272910167029E-2</v>
      </c>
      <c r="L135" s="13">
        <f>IFERROR(L110+L111+L112+L113+L114+L115+L116+L117+L118+L119+L120+L121+L122+L123+L124+L125+L126+L127+L128+L129+L130+L131+L132+L133+L134, "NA")</f>
        <v>320.02000000000004</v>
      </c>
      <c r="M135" s="14">
        <f>IFERROR(L135/L148, "NA")</f>
        <v>1.4003983008979056E-2</v>
      </c>
      <c r="N135" s="13">
        <f>IFERROR(N110+N111+N112+N113+N114+N115+N116+N117+N118+N119+N120+N121+N122+N123+N124+N125+N126+N127+N128+N129+N130+N131+N132+N133+N134, "NA")</f>
        <v>322.18</v>
      </c>
      <c r="O135" s="14">
        <f>IFERROR(N135/N148, "NA")</f>
        <v>1.1950106137031197E-2</v>
      </c>
      <c r="P135" s="13">
        <f>IFERROR(P110+P111+P112+P113+P114+P115+P116+P117+P118+P119+P120+P121+P122+P123+P124+P125+P126+P127+P128+P129+P130+P131+P132+P133+P134, "NA")</f>
        <v>321.89</v>
      </c>
      <c r="Q135" s="14">
        <f>IFERROR(P135/P148, "NA")</f>
        <v>1.3383370427362295E-2</v>
      </c>
      <c r="R135" s="13">
        <f>IFERROR(R110+R111+R112+R113+R114+R115+R116+R117+R118+R119+R120+R121+R122+R123+R124+R125+R126+R127+R128+R129+R130+R131+R132+R133+R134, "NA")</f>
        <v>-964.09</v>
      </c>
      <c r="S135" s="14">
        <f>IFERROR(R135/R148, "NA")</f>
        <v>-3.8408827787547298E-2</v>
      </c>
      <c r="T135" s="13">
        <f>IFERROR(T110+T111+T112+T113+T114+T115+T116+T117+T118+T119+T120+T121+T122+T123+T124+T125+T126+T127+T128+T129+T130+T131+T132+T133+T134, "NA")</f>
        <v>406.12</v>
      </c>
      <c r="U135" s="14">
        <f>IFERROR(T135/T148, "NA")</f>
        <v>1.796836908690139E-2</v>
      </c>
      <c r="V135" s="13">
        <f>IFERROR(V110+V111+V112+V113+V114+V115+V116+V117+V118+V119+V120+V121+V122+V123+V124+V125+V126+V127+V128+V129+V130+V131+V132+V133+V134, "NA")</f>
        <v>442.16999999999996</v>
      </c>
      <c r="W135" s="14">
        <f>IFERROR(V135/V148, "NA")</f>
        <v>1.5833977609623354E-2</v>
      </c>
      <c r="X135" s="13">
        <f>IFERROR(X110+X111+X112+X113+X114+X115+X116+X117+X118+X119+X120+X121+X122+X123+X124+X125+X126+X127+X128+X129+X130+X131+X132+X133+X134, "NA")</f>
        <v>307.37</v>
      </c>
      <c r="Y135" s="14">
        <f>IFERROR(X135/X148, "NA")</f>
        <v>1.1101403558069005E-2</v>
      </c>
      <c r="Z135" s="13">
        <f>IFERROR(Z110+Z111+Z112+Z113+Z114+Z115+Z116+Z117+Z118+Z119+Z120+Z121+Z122+Z123+Z124+Z125+Z126+Z127+Z128+Z129+Z130+Z131+Z132+Z133+Z134, "NA")</f>
        <v>1155.6599999999999</v>
      </c>
      <c r="AA135" s="14">
        <f>IFERROR(Z135/Z148, "NA")</f>
        <v>1.4775460711921344E-2</v>
      </c>
      <c r="AB135" s="13">
        <f t="shared" si="42"/>
        <v>47.892499999999984</v>
      </c>
      <c r="AC135" s="14">
        <f>IFERROR(AB135/AB148, "NA")</f>
        <v>1.8542221520165976E-3</v>
      </c>
      <c r="AD135" s="15">
        <f t="shared" si="43"/>
        <v>259.47750000000002</v>
      </c>
      <c r="AE135" s="16">
        <f>IFERROR(AD135/AD148, "NA")</f>
        <v>0.13960911438717327</v>
      </c>
      <c r="AF135" s="15">
        <f t="shared" si="44"/>
        <v>5.417915122409565</v>
      </c>
      <c r="AG135" s="13">
        <f t="shared" si="45"/>
        <v>37.041250000000005</v>
      </c>
      <c r="AH135" s="14">
        <f>IFERROR(AG135/AG148, "NA")</f>
        <v>1.4534776782066249E-3</v>
      </c>
      <c r="AI135" s="15">
        <f t="shared" si="46"/>
        <v>270.32875000000001</v>
      </c>
      <c r="AJ135" s="16">
        <f>IFERROR(AI135/AI148, "NA")</f>
        <v>0.12271369056333098</v>
      </c>
      <c r="AK135" s="15">
        <f t="shared" si="47"/>
        <v>7.298046097256436</v>
      </c>
      <c r="AL135" s="16">
        <f>IFERROR(AK135/AK148, "NA")</f>
        <v>84.427640274972376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-17097.240000000002</v>
      </c>
      <c r="C137" s="34">
        <f>IFERROR(B137/B148, "NA")</f>
        <v>-0.50540456332795536</v>
      </c>
      <c r="D137" s="33">
        <f>IFERROR(D107-D135, "NA")</f>
        <v>1931.0499999999988</v>
      </c>
      <c r="E137" s="34">
        <f>IFERROR(D137/D148, "NA")</f>
        <v>7.7589071434340046E-2</v>
      </c>
      <c r="F137" s="33">
        <f>IFERROR(F107-F135, "NA")</f>
        <v>7856.9900000000116</v>
      </c>
      <c r="G137" s="34">
        <f>IFERROR(F137/F148, "NA")</f>
        <v>0.2483287488696875</v>
      </c>
      <c r="H137" s="33">
        <f>IFERROR(H107-H135, "NA")</f>
        <v>869.85999999999171</v>
      </c>
      <c r="I137" s="34">
        <f>IFERROR(H137/H148, "NA")</f>
        <v>2.891755475023983E-2</v>
      </c>
      <c r="J137" s="33">
        <f>IFERROR(J107-J135, "NA")</f>
        <v>-14140.890000000007</v>
      </c>
      <c r="K137" s="34">
        <f>IFERROR(J137/J148, "NA")</f>
        <v>-0.52968106142302951</v>
      </c>
      <c r="L137" s="33">
        <f>IFERROR(L107-L135, "NA")</f>
        <v>2680.1599999999971</v>
      </c>
      <c r="M137" s="34">
        <f>IFERROR(L137/L148, "NA")</f>
        <v>0.11728302950236005</v>
      </c>
      <c r="N137" s="33">
        <f>IFERROR(N107-N135, "NA")</f>
        <v>8083.98</v>
      </c>
      <c r="O137" s="34">
        <f>IFERROR(N137/N148, "NA")</f>
        <v>0.29984610779575843</v>
      </c>
      <c r="P137" s="33">
        <f>IFERROR(P107-P135, "NA")</f>
        <v>-1627.8800000000024</v>
      </c>
      <c r="Q137" s="34">
        <f>IFERROR(P137/P148, "NA")</f>
        <v>-6.768312482927262E-2</v>
      </c>
      <c r="R137" s="33">
        <f>IFERROR(R107-R135, "NA")</f>
        <v>-14879.800000000003</v>
      </c>
      <c r="S137" s="34">
        <f>IFERROR(R137/R148, "NA")</f>
        <v>-0.59280324006383889</v>
      </c>
      <c r="T137" s="33">
        <f>IFERROR(T107-T135, "NA")</f>
        <v>4010.0200000000023</v>
      </c>
      <c r="U137" s="34">
        <f>IFERROR(T137/T148, "NA")</f>
        <v>0.17741928347743613</v>
      </c>
      <c r="V137" s="33">
        <f>IFERROR(V107-V135, "NA")</f>
        <v>8248.6799999999985</v>
      </c>
      <c r="W137" s="34">
        <f>IFERROR(V137/V148, "NA")</f>
        <v>0.29538280396442085</v>
      </c>
      <c r="X137" s="33">
        <f>IFERROR(X107-X135, "NA")</f>
        <v>8262.1999999999989</v>
      </c>
      <c r="Y137" s="34">
        <f>IFERROR(X137/X148, "NA")</f>
        <v>0.29840913712293887</v>
      </c>
      <c r="Z137" s="33">
        <f>IFERROR(Z107-Z135, "NA")</f>
        <v>20520.900000000005</v>
      </c>
      <c r="AA137" s="34">
        <f>IFERROR(Z137/Z148, "NA")</f>
        <v>0.2623658789983791</v>
      </c>
      <c r="AB137" s="33">
        <f>IFERROR((R137+T137+V137+X137)/4, "NA")</f>
        <v>1410.2749999999992</v>
      </c>
      <c r="AC137" s="34">
        <f>IFERROR(AB137/AB148, "NA")</f>
        <v>5.4600681639822658E-2</v>
      </c>
      <c r="AD137" s="15">
        <f>IFERROR(X137-AB137, "NA")</f>
        <v>6851.9249999999993</v>
      </c>
      <c r="AE137" s="16">
        <f>IFERROR(AD137/AD148, "NA")</f>
        <v>3.6866055095232997</v>
      </c>
      <c r="AF137" s="15">
        <f>IFERROR((X137-AB137)/AB137, "NA")</f>
        <v>4.8585736824378243</v>
      </c>
      <c r="AG137" s="33">
        <f>IFERROR((J137+L137+N137+P137+R137+T137+V137+X137)/8, "NA")</f>
        <v>79.558749999998099</v>
      </c>
      <c r="AH137" s="34">
        <f>IFERROR(AG137/AG148, "NA")</f>
        <v>3.1218403059027041E-3</v>
      </c>
      <c r="AI137" s="15">
        <f>IFERROR(X137-AG137, "NA")</f>
        <v>8182.6412500000006</v>
      </c>
      <c r="AJ137" s="16">
        <f>IFERROR(AI137/AI148, "NA")</f>
        <v>3.7144480797667576</v>
      </c>
      <c r="AK137" s="15">
        <f>IFERROR((X137-AG137)/AG137, "NA")</f>
        <v>102.85029930711828</v>
      </c>
      <c r="AL137" s="16">
        <f>IFERROR(AK137/AK148, "NA")</f>
        <v>1189.8264215320576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11213.88</v>
      </c>
      <c r="C140" s="8">
        <f>IFERROR(B140/B148, "NA")</f>
        <v>0.33148894936329437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0</v>
      </c>
      <c r="I140" s="8">
        <f>IFERROR(H140/H148, "NA")</f>
        <v>0</v>
      </c>
      <c r="J140" s="7">
        <v>10675.49</v>
      </c>
      <c r="K140" s="8">
        <f>IFERROR(J140/J148, "NA")</f>
        <v>0.39987616581494767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0</v>
      </c>
      <c r="Q140" s="8">
        <f>IFERROR(P140/P148, "NA")</f>
        <v>0</v>
      </c>
      <c r="R140" s="7">
        <v>10687.720000000001</v>
      </c>
      <c r="S140" s="8">
        <f>IFERROR(R140/R148, "NA")</f>
        <v>0.42579302442876188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0</v>
      </c>
      <c r="Y140" s="8">
        <f>IFERROR(X140/X148, "NA")</f>
        <v>0</v>
      </c>
      <c r="Z140" s="7">
        <v>0</v>
      </c>
      <c r="AA140" s="8">
        <f>IFERROR(Z140/Z148, "NA")</f>
        <v>0</v>
      </c>
      <c r="AB140" s="9">
        <f>IFERROR((R140+T140+V140+X140)/4, "NA")</f>
        <v>2671.9300000000003</v>
      </c>
      <c r="AC140" s="8">
        <f>IFERROR(AB140/AB148, "NA")</f>
        <v>0.1034473413298055</v>
      </c>
      <c r="AD140" s="10">
        <f>IFERROR(X140-AB140, "NA")</f>
        <v>-2671.9300000000003</v>
      </c>
      <c r="AE140" s="11">
        <f>IFERROR(AD140/AD148, "NA")</f>
        <v>-1.4376035725815142</v>
      </c>
      <c r="AF140" s="10">
        <f>IFERROR((X140-AB140)/AB140, "NA")</f>
        <v>-1</v>
      </c>
      <c r="AG140" s="9">
        <f>IFERROR((J140+L140+N140+P140+R140+T140+V140+X140)/8, "NA")</f>
        <v>2670.4012499999999</v>
      </c>
      <c r="AH140" s="8">
        <f>IFERROR(AG140/AG148, "NA")</f>
        <v>0.10478503313819236</v>
      </c>
      <c r="AI140" s="10">
        <f>IFERROR(X140-AG140, "NA")</f>
        <v>-2670.4012499999999</v>
      </c>
      <c r="AJ140" s="11">
        <f>IFERROR(AI140/AI148, "NA")</f>
        <v>-1.2122084412865159</v>
      </c>
      <c r="AK140" s="10">
        <f>IFERROR((X140-AG140)/AG140, "NA")</f>
        <v>-1</v>
      </c>
      <c r="AL140" s="11">
        <f>IFERROR(AK140/AK148, "NA")</f>
        <v>-11.568526582301443</v>
      </c>
    </row>
    <row r="141" spans="1:38" ht="16.5" hidden="1" customHeight="1">
      <c r="A141" s="12" t="s">
        <v>144</v>
      </c>
      <c r="B141" s="13">
        <f>IFERROR(B140, "NA")</f>
        <v>11213.88</v>
      </c>
      <c r="C141" s="14">
        <f>IFERROR(B141/B148, "NA")</f>
        <v>0.33148894936329437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0</v>
      </c>
      <c r="I141" s="14">
        <f>IFERROR(H141/H148, "NA")</f>
        <v>0</v>
      </c>
      <c r="J141" s="13">
        <f>IFERROR(J140, "NA")</f>
        <v>10675.49</v>
      </c>
      <c r="K141" s="14">
        <f>IFERROR(J141/J148, "NA")</f>
        <v>0.39987616581494767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0</v>
      </c>
      <c r="Q141" s="14">
        <f>IFERROR(P141/P148, "NA")</f>
        <v>0</v>
      </c>
      <c r="R141" s="13">
        <f>IFERROR(R140, "NA")</f>
        <v>10687.720000000001</v>
      </c>
      <c r="S141" s="14">
        <f>IFERROR(R141/R148, "NA")</f>
        <v>0.42579302442876188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0</v>
      </c>
      <c r="Y141" s="14">
        <f>IFERROR(X141/X148, "NA")</f>
        <v>0</v>
      </c>
      <c r="Z141" s="13">
        <f>IFERROR(Z140, "NA")</f>
        <v>0</v>
      </c>
      <c r="AA141" s="14">
        <f>IFERROR(Z141/Z148, "NA")</f>
        <v>0</v>
      </c>
      <c r="AB141" s="13">
        <f>IFERROR((R141+T141+V141+X141)/4, "NA")</f>
        <v>2671.9300000000003</v>
      </c>
      <c r="AC141" s="14">
        <f>IFERROR(AB141/AB148, "NA")</f>
        <v>0.1034473413298055</v>
      </c>
      <c r="AD141" s="15">
        <f>IFERROR(X141-AB141, "NA")</f>
        <v>-2671.9300000000003</v>
      </c>
      <c r="AE141" s="16">
        <f>IFERROR(AD141/AD148, "NA")</f>
        <v>-1.4376035725815142</v>
      </c>
      <c r="AF141" s="15">
        <f>IFERROR((X141-AB141)/AB141, "NA")</f>
        <v>-1</v>
      </c>
      <c r="AG141" s="13">
        <f>IFERROR((J141+L141+N141+P141+R141+T141+V141+X141)/8, "NA")</f>
        <v>2670.4012499999999</v>
      </c>
      <c r="AH141" s="14">
        <f>IFERROR(AG141/AG148, "NA")</f>
        <v>0.10478503313819236</v>
      </c>
      <c r="AI141" s="15">
        <f>IFERROR(X141-AG141, "NA")</f>
        <v>-2670.4012499999999</v>
      </c>
      <c r="AJ141" s="16">
        <f>IFERROR(AI141/AI148, "NA")</f>
        <v>-1.2122084412865159</v>
      </c>
      <c r="AK141" s="15">
        <f>IFERROR((X141-AG141)/AG141, "NA")</f>
        <v>-1</v>
      </c>
      <c r="AL141" s="16">
        <f>IFERROR(AK141/AK148, "NA")</f>
        <v>-11.568526582301443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-28311.120000000003</v>
      </c>
      <c r="C147" s="34">
        <f>IFERROR(B147/B148, "NA")</f>
        <v>-0.83689351269124979</v>
      </c>
      <c r="D147" s="33">
        <f>IFERROR(D137-D141-D145, "NA")</f>
        <v>1931.0499999999988</v>
      </c>
      <c r="E147" s="34">
        <f>IFERROR(D147/D148, "NA")</f>
        <v>7.7589071434340046E-2</v>
      </c>
      <c r="F147" s="33">
        <f>IFERROR(F137-F141-F145, "NA")</f>
        <v>7856.9900000000116</v>
      </c>
      <c r="G147" s="34">
        <f>IFERROR(F147/F148, "NA")</f>
        <v>0.2483287488696875</v>
      </c>
      <c r="H147" s="33">
        <f>IFERROR(H137-H141-H145, "NA")</f>
        <v>869.85999999999171</v>
      </c>
      <c r="I147" s="34">
        <f>IFERROR(H147/H148, "NA")</f>
        <v>2.891755475023983E-2</v>
      </c>
      <c r="J147" s="33">
        <f>IFERROR(J137-J141-J145, "NA")</f>
        <v>-24816.380000000005</v>
      </c>
      <c r="K147" s="34">
        <f>IFERROR(J147/J148, "NA")</f>
        <v>-0.92955722723797718</v>
      </c>
      <c r="L147" s="33">
        <f>IFERROR(L137-L141-L145, "NA")</f>
        <v>2680.1599999999971</v>
      </c>
      <c r="M147" s="34">
        <f>IFERROR(L147/L148, "NA")</f>
        <v>0.11728302950236005</v>
      </c>
      <c r="N147" s="33">
        <f>IFERROR(N137-N141-N145, "NA")</f>
        <v>8083.98</v>
      </c>
      <c r="O147" s="34">
        <f>IFERROR(N147/N148, "NA")</f>
        <v>0.29984610779575843</v>
      </c>
      <c r="P147" s="33">
        <f>IFERROR(P137-P141-P145, "NA")</f>
        <v>-1627.8800000000024</v>
      </c>
      <c r="Q147" s="34">
        <f>IFERROR(P147/P148, "NA")</f>
        <v>-6.768312482927262E-2</v>
      </c>
      <c r="R147" s="33">
        <f>IFERROR(R137-R141-R145, "NA")</f>
        <v>-25567.520000000004</v>
      </c>
      <c r="S147" s="34">
        <f>IFERROR(R147/R148, "NA")</f>
        <v>-1.0185962644926008</v>
      </c>
      <c r="T147" s="33">
        <f>IFERROR(T137-T141-T145, "NA")</f>
        <v>4010.0200000000023</v>
      </c>
      <c r="U147" s="34">
        <f>IFERROR(T147/T148, "NA")</f>
        <v>0.17741928347743613</v>
      </c>
      <c r="V147" s="33">
        <f>IFERROR(V137-V141-V145, "NA")</f>
        <v>8248.6799999999985</v>
      </c>
      <c r="W147" s="34">
        <f>IFERROR(V147/V148, "NA")</f>
        <v>0.29538280396442085</v>
      </c>
      <c r="X147" s="33">
        <f>IFERROR(X137-X141-X145, "NA")</f>
        <v>8262.1999999999989</v>
      </c>
      <c r="Y147" s="34">
        <f>IFERROR(X147/X148, "NA")</f>
        <v>0.29840913712293887</v>
      </c>
      <c r="Z147" s="33">
        <f>IFERROR(Z137-Z141-Z145, "NA")</f>
        <v>20520.900000000005</v>
      </c>
      <c r="AA147" s="34">
        <f>IFERROR(Z147/Z148, "NA")</f>
        <v>0.2623658789983791</v>
      </c>
      <c r="AB147" s="33">
        <f>IFERROR((R147+T147+V147+X147)/4, "NA")</f>
        <v>-1261.6550000000007</v>
      </c>
      <c r="AC147" s="34">
        <f>IFERROR(AB147/AB148, "NA")</f>
        <v>-4.8846659689982828E-2</v>
      </c>
      <c r="AD147" s="15">
        <f>IFERROR(X147-AB147, "NA")</f>
        <v>9523.8549999999996</v>
      </c>
      <c r="AE147" s="16">
        <f>IFERROR(AD147/AD148, "NA")</f>
        <v>5.1242090821048141</v>
      </c>
      <c r="AF147" s="15">
        <f>IFERROR((X147-AB147)/AB147, "NA")</f>
        <v>-7.5486999219279394</v>
      </c>
      <c r="AG147" s="33">
        <f>IFERROR((J147+L147+N147+P147+R147+T147+V147+X147)/8, "NA")</f>
        <v>-2590.8425000000016</v>
      </c>
      <c r="AH147" s="34">
        <f>IFERROR(AG147/AG148, "NA")</f>
        <v>-0.10166319283228965</v>
      </c>
      <c r="AI147" s="15">
        <f>IFERROR(X147-AG147, "NA")</f>
        <v>10853.0425</v>
      </c>
      <c r="AJ147" s="16">
        <f>IFERROR(AI147/AI148, "NA")</f>
        <v>4.9266565210532729</v>
      </c>
      <c r="AK147" s="15">
        <f>IFERROR((X147-AG147)/AG147, "NA")</f>
        <v>-4.1890012611727627</v>
      </c>
      <c r="AL147" s="16">
        <f>IFERROR(AK147/AK148, "NA")</f>
        <v>-48.460572443171372</v>
      </c>
    </row>
    <row r="148" spans="1:38" ht="15.6" hidden="1">
      <c r="A148" s="40" t="s">
        <v>25</v>
      </c>
      <c r="B148" s="7">
        <v>33828.82</v>
      </c>
      <c r="C148" s="41"/>
      <c r="D148" s="7">
        <v>24888.17</v>
      </c>
      <c r="E148" s="41"/>
      <c r="F148" s="7">
        <v>31639.47</v>
      </c>
      <c r="G148" s="41"/>
      <c r="H148" s="7">
        <v>30080.69</v>
      </c>
      <c r="I148" s="41"/>
      <c r="J148" s="7">
        <v>26696.99</v>
      </c>
      <c r="K148" s="41"/>
      <c r="L148" s="7">
        <v>22852.07</v>
      </c>
      <c r="M148" s="41"/>
      <c r="N148" s="7">
        <v>26960.43</v>
      </c>
      <c r="O148" s="41"/>
      <c r="P148" s="7">
        <v>24051.49</v>
      </c>
      <c r="Q148" s="41"/>
      <c r="R148" s="7">
        <v>25100.74</v>
      </c>
      <c r="S148" s="41"/>
      <c r="T148" s="7">
        <v>22601.94</v>
      </c>
      <c r="U148" s="41"/>
      <c r="V148" s="7">
        <v>27925.39</v>
      </c>
      <c r="W148" s="41"/>
      <c r="X148" s="7">
        <v>27687.49</v>
      </c>
      <c r="Y148" s="41"/>
      <c r="Z148" s="7">
        <v>78214.820000000007</v>
      </c>
      <c r="AA148" s="41"/>
      <c r="AB148" s="9">
        <f>IFERROR((R148+T148+V148+X148)/4, "NA")</f>
        <v>25828.890000000003</v>
      </c>
      <c r="AC148" s="41"/>
      <c r="AD148" s="10">
        <f>IFERROR(X148-AB148, "NA")</f>
        <v>1858.5999999999985</v>
      </c>
      <c r="AE148" s="42"/>
      <c r="AF148" s="10">
        <f>IFERROR((X148-AB148)/AB148, "NA")</f>
        <v>7.1958183259133404E-2</v>
      </c>
      <c r="AG148" s="9">
        <f>IFERROR((J148+L148+N148+P148+R148+T148+V148+X148)/8, "NA")</f>
        <v>25484.567499999997</v>
      </c>
      <c r="AH148" s="41"/>
      <c r="AI148" s="10">
        <f>IFERROR(X148-AG148, "NA")</f>
        <v>2202.9225000000042</v>
      </c>
      <c r="AJ148" s="42"/>
      <c r="AK148" s="10">
        <f>IFERROR((X148-AG148)/AG148, "NA")</f>
        <v>8.6441431662515139E-2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AI5:AJ5"/>
    <mergeCell ref="AK5:AL5"/>
    <mergeCell ref="Z5:AA5"/>
    <mergeCell ref="AB5:AC5"/>
    <mergeCell ref="AD5:AE5"/>
    <mergeCell ref="AF5"/>
    <mergeCell ref="AG5:AH5"/>
  </mergeCells>
  <pageMargins left="0.7" right="0.7" top="0.75" bottom="0.75" header="0.3" footer="0.3"/>
  <ignoredErrors>
    <ignoredError sqref="A1:AL1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BD7431-3E8D-4B36-BECC-9240B2EAE2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935857-c847-47b7-8f90-d10f9a0aecc2"/>
    <ds:schemaRef ds:uri="55d49837-3260-4e28-958d-ec2e4c4dc8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9B9645-4798-4E48-9716-B476099A0FCB}">
  <ds:schemaRefs>
    <ds:schemaRef ds:uri="http://schemas.microsoft.com/office/2006/metadata/properties"/>
    <ds:schemaRef ds:uri="http://schemas.microsoft.com/office/infopath/2007/PartnerControls"/>
    <ds:schemaRef ds:uri="55d49837-3260-4e28-958d-ec2e4c4dc82f"/>
    <ds:schemaRef ds:uri="17935857-c847-47b7-8f90-d10f9a0aecc2"/>
  </ds:schemaRefs>
</ds:datastoreItem>
</file>

<file path=customXml/itemProps3.xml><?xml version="1.0" encoding="utf-8"?>
<ds:datastoreItem xmlns:ds="http://schemas.openxmlformats.org/officeDocument/2006/customXml" ds:itemID="{C920F63E-FFA3-44DD-9CB8-808496924A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Comparison by Store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'Comparison by Store'!Print_Titles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Angelie Bosi</dc:creator>
  <cp:lastModifiedBy>Jeremy Michl</cp:lastModifiedBy>
  <dcterms:created xsi:type="dcterms:W3CDTF">2026-09-18T11:12:54Z</dcterms:created>
  <dcterms:modified xsi:type="dcterms:W3CDTF">2026-09-18T16:10:41Z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  <property fmtid="{D5CDD505-2E9C-101B-9397-08002B2CF9AE}" pid="3" name="MediaServiceImageTags">
    <vt:lpwstr/>
  </property>
</Properties>
</file>