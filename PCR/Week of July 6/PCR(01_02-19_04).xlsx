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1 (1)" sheetId="2" r:id="rId6"/>
    <sheet state="visible" name="Summary" sheetId="3" r:id="rId7"/>
    <sheet state="visible" name="Comparison by Store" sheetId="4" r:id="rId8"/>
    <sheet state="visible" name="Consolidated" sheetId="5" r:id="rId9"/>
    <sheet state="visible" name="Consolidated(Excluding BP)" sheetId="6" r:id="rId10"/>
    <sheet state="visible" name="2 - RASA - Ballpark" sheetId="7" r:id="rId11"/>
    <sheet state="visible" name="4 - RASA - MVT" sheetId="8" r:id="rId12"/>
    <sheet state="visible" name="5 - RASA - National Landin" sheetId="9" r:id="rId13"/>
    <sheet state="visible" name="6 - RASA - Mosaic" sheetId="10" r:id="rId14"/>
    <sheet state="visible" name="7 - RASA - Rockville" sheetId="11" r:id="rId15"/>
  </sheets>
  <definedNames/>
  <calcPr/>
</workbook>
</file>

<file path=xl/sharedStrings.xml><?xml version="1.0" encoding="utf-8"?>
<sst xmlns="http://schemas.openxmlformats.org/spreadsheetml/2006/main" count="1324" uniqueCount="261">
  <si>
    <t>Prime Margin - Trailing 12 Week</t>
  </si>
  <si>
    <t>7 - RASA - Rockville</t>
  </si>
  <si>
    <t>2 - Rasa - Ballpark</t>
  </si>
  <si>
    <t>4 - Rasa - MVT</t>
  </si>
  <si>
    <t>5 - Rasa - National Landin</t>
  </si>
  <si>
    <t>6 - Rasa - Mosaic</t>
  </si>
  <si>
    <t>Period To Date</t>
  </si>
  <si>
    <t>Total</t>
  </si>
  <si>
    <t>Sales</t>
  </si>
  <si>
    <t>Trailing 4 week</t>
  </si>
  <si>
    <t>Single Plate In-House Sales</t>
  </si>
  <si>
    <t>Trailing 8 week</t>
  </si>
  <si>
    <t>04/19/2026</t>
  </si>
  <si>
    <t>Week Ending 04/19/2026</t>
  </si>
  <si>
    <t>Consolidated</t>
  </si>
  <si>
    <t>Consolidated (Excluding Ballpark)</t>
  </si>
  <si>
    <t>Week Ending 02/01/2026</t>
  </si>
  <si>
    <t>Week Ending 02/08/2026</t>
  </si>
  <si>
    <t>Week Ending 02/15/2026</t>
  </si>
  <si>
    <t>Week Ending 02/22/2026</t>
  </si>
  <si>
    <t>Week Ending 03/01/2026</t>
  </si>
  <si>
    <t>Week Ending 03/08/2026</t>
  </si>
  <si>
    <t>Week Ending 03/15/2026</t>
  </si>
  <si>
    <t>Week Ending 03/22/2026</t>
  </si>
  <si>
    <t>Current Period</t>
  </si>
  <si>
    <t>Week Ending 03/29/2026</t>
  </si>
  <si>
    <t>Week Ending 04/05/2026</t>
  </si>
  <si>
    <t>Week Ending 04/12/2026</t>
  </si>
  <si>
    <t>Period to Date</t>
  </si>
  <si>
    <t>Trailing 4 Week</t>
  </si>
  <si>
    <t>$ vs. 4 Week</t>
  </si>
  <si>
    <t>4-Week Average</t>
  </si>
  <si>
    <t>% vs. 4 Week</t>
  </si>
  <si>
    <t>Trailing 8 Week</t>
  </si>
  <si>
    <t>$ vs. 8 Week</t>
  </si>
  <si>
    <t>% vs. 8 Week</t>
  </si>
  <si>
    <t>4-Week Average Comparison</t>
  </si>
  <si>
    <t>8-Week Average</t>
  </si>
  <si>
    <t>8-Week Average Comparison</t>
  </si>
  <si>
    <t>Digital Sales</t>
  </si>
  <si>
    <t>Location</t>
  </si>
  <si>
    <t>COGS</t>
  </si>
  <si>
    <t>Labor</t>
  </si>
  <si>
    <t>Prime Margin</t>
  </si>
  <si>
    <t>Total Labor Cost</t>
  </si>
  <si>
    <t>Catering Sales</t>
  </si>
  <si>
    <t>Sales
 Current Week vs 4-week</t>
  </si>
  <si>
    <t>COGS
 Current Week vs 4-week</t>
  </si>
  <si>
    <t>Labor
 Current Week vs 4-week</t>
  </si>
  <si>
    <t>Sales
 Current Week vs 8-week</t>
  </si>
  <si>
    <t>COGS
 Current Week vs 8-week</t>
  </si>
  <si>
    <t>Labor
 Current Week vs 8-week</t>
  </si>
  <si>
    <t>43000 - Delivery Sales - Rasa Website</t>
  </si>
  <si>
    <t>Total Sales</t>
  </si>
  <si>
    <t>Total Cost of Goods Sold</t>
  </si>
  <si>
    <t>Total Payroll Expenses</t>
  </si>
  <si>
    <t>Prime Profit</t>
  </si>
  <si>
    <t>Delivery Fee Income</t>
  </si>
  <si>
    <t>2 - RASA - Ballpark</t>
  </si>
  <si>
    <t>45000 - Sales Adjustments</t>
  </si>
  <si>
    <t>Discounts / Refunds</t>
  </si>
  <si>
    <t>49600 - Toast Order Processing Fee Pass-Through</t>
  </si>
  <si>
    <t>82602 - Other Income_WCK</t>
  </si>
  <si>
    <t>82604 - Other Income_OTP</t>
  </si>
  <si>
    <t>82605 - Other Income_To Good To Go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</si>
  <si>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</si>
  <si>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</si>
  <si>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</si>
  <si>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</si>
  <si>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</si>
  <si>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</si>
  <si>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</si>
  <si>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</si>
  <si>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Week 1</t>
  </si>
  <si>
    <t>50140 - COGS - Dairy</t>
  </si>
  <si>
    <t>4 - RASA - MVT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</si>
  <si>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</si>
  <si>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</si>
  <si>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</si>
  <si>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</si>
  <si>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</si>
  <si>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</si>
  <si>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</si>
  <si>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</si>
  <si>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</si>
  <si>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</si>
  <si>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Week 2</t>
  </si>
  <si>
    <t>5 - RASA - National Landin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</si>
  <si>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</si>
  <si>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</si>
  <si>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</si>
  <si>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</si>
  <si>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</si>
  <si>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</si>
  <si>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</si>
  <si>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</si>
  <si>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</si>
  <si>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</si>
  <si>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Week 3</t>
  </si>
  <si>
    <t>6 - RASA - Mosaic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</si>
  <si>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</si>
  <si>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</si>
  <si>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</si>
  <si>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</si>
  <si>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</si>
  <si>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</si>
  <si>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</si>
  <si>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Week 4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</si>
  <si>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</si>
  <si>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</si>
  <si>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</si>
  <si>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</si>
  <si>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</si>
  <si>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</si>
  <si>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</si>
  <si>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</si>
  <si>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</si>
  <si>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</si>
  <si>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Week 5</t>
  </si>
  <si>
    <t>All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</si>
  <si>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</si>
  <si>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</si>
  <si>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</si>
  <si>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</si>
  <si>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</si>
  <si>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</si>
  <si>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Week 6</t>
  </si>
  <si>
    <t>Week 7</t>
  </si>
  <si>
    <t>61120 - Culinary</t>
  </si>
  <si>
    <t>Week 8</t>
  </si>
  <si>
    <t>Notes:</t>
  </si>
  <si>
    <t>61150 - Hourly</t>
  </si>
  <si>
    <t>Week 9</t>
  </si>
  <si>
    <t>Week 10</t>
  </si>
  <si>
    <t>61200 - Overtime</t>
  </si>
  <si>
    <t>RASA - Ballpark</t>
  </si>
  <si>
    <t>Week 11</t>
  </si>
  <si>
    <t>COGS -</t>
  </si>
  <si>
    <t>Total Salaries &amp; Wages</t>
  </si>
  <si>
    <t xml:space="preserve">Grocery - 0.2% vs 2.4% 4-8 week comp.  PTD comparable at 2.1%.  May want to review stock count below.  Also, I did not see any Sapna invoices for last week for BP. </t>
  </si>
  <si>
    <t>Week 12</t>
  </si>
  <si>
    <t>Labor -</t>
  </si>
  <si>
    <t>Sales drop skewing this</t>
  </si>
  <si>
    <t>61105 - Salaries &amp; Wages Adjustment</t>
  </si>
  <si>
    <t>Week 13</t>
  </si>
  <si>
    <t>Week 14</t>
  </si>
  <si>
    <t>61250 - Bonus</t>
  </si>
  <si>
    <t xml:space="preserve"> RASA - MVT</t>
  </si>
  <si>
    <t>Week 15</t>
  </si>
  <si>
    <t>No notes</t>
  </si>
  <si>
    <t>Week 16</t>
  </si>
  <si>
    <t>Payroll Taxes</t>
  </si>
  <si>
    <t>Week 17</t>
  </si>
  <si>
    <t>61300 - Payroll Taxes</t>
  </si>
  <si>
    <t>Week 18</t>
  </si>
  <si>
    <t>RASA - National Landing</t>
  </si>
  <si>
    <t>Week 19</t>
  </si>
  <si>
    <t>Week 20</t>
  </si>
  <si>
    <t>61310 - FICA Tax Expense</t>
  </si>
  <si>
    <t>Week 21</t>
  </si>
  <si>
    <t>61330 - FUTA Tax Expense</t>
  </si>
  <si>
    <t>Week 22</t>
  </si>
  <si>
    <t xml:space="preserve"> RASA - Mosaic</t>
  </si>
  <si>
    <t>61335 - SUTA Tax Expense (VA)</t>
  </si>
  <si>
    <t>Week 23</t>
  </si>
  <si>
    <t>Prepped food - 5.6% vs 6.6% 4-8 week comp.  PTD comparable at 6.7%.</t>
  </si>
  <si>
    <t>Week 24</t>
  </si>
  <si>
    <t>61340 - SUTA Tax Expense (DC)</t>
  </si>
  <si>
    <t>Week 25</t>
  </si>
  <si>
    <t>61360 - FL Tax Expense (DC)</t>
  </si>
  <si>
    <t>Week 26</t>
  </si>
  <si>
    <t>RASA - Rockville</t>
  </si>
  <si>
    <t>61395 - Other Payroll Taxes</t>
  </si>
  <si>
    <t>Week 27</t>
  </si>
  <si>
    <t>Grocery - 4.3% vs 3.0% 4-8 week comp.  PTD comparable at 3.3%.</t>
  </si>
  <si>
    <t>Week 28</t>
  </si>
  <si>
    <t>Total Payroll Taxes</t>
  </si>
  <si>
    <t>Poultry - 5.3% vs 4.3% 4-8 week comp.  PTD comparable at 4.4%.</t>
  </si>
  <si>
    <t>Sales down 5.0% vs 4-8 week comp but total labor $s are up 4.8% vs same period</t>
  </si>
  <si>
    <t>61400 - Payroll Processing Fee</t>
  </si>
  <si>
    <t>Week 29</t>
  </si>
  <si>
    <t>61500 - Health Insurance</t>
  </si>
  <si>
    <t>Week 30</t>
  </si>
  <si>
    <t>Week 31</t>
  </si>
  <si>
    <t>Ballpark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</si>
  <si>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</si>
  <si>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</si>
  <si>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</si>
  <si>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</si>
  <si>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</si>
  <si>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</si>
  <si>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</si>
  <si>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</si>
  <si>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</si>
  <si>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</si>
  <si>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</si>
  <si>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</si>
  <si>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</si>
  <si>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</si>
  <si>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</si>
  <si>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</si>
  <si>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</si>
  <si>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</si>
  <si>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</si>
  <si>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</si>
  <si>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</si>
  <si>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</si>
  <si>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</si>
  <si>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</si>
  <si>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</si>
  <si>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</si>
  <si>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</si>
  <si>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</si>
  <si>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</si>
  <si>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</si>
  <si>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</si>
  <si>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</si>
  <si>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</si>
  <si>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</si>
  <si>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</si>
  <si>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</si>
  <si>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</si>
  <si>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</si>
  <si>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</si>
  <si>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</si>
  <si>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</si>
  <si>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</si>
  <si>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</si>
  <si>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</si>
  <si>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</si>
  <si>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</si>
  <si>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</si>
  <si>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</si>
  <si>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</si>
  <si>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</si>
  <si>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</si>
  <si>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</si>
  <si>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</si>
  <si>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</si>
  <si>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</si>
  <si>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</si>
  <si>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</si>
  <si>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</si>
  <si>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</si>
  <si>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</si>
  <si>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</si>
  <si>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</si>
  <si>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</si>
  <si>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</si>
  <si>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</si>
  <si>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</si>
  <si>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</si>
  <si>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</si>
  <si>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</si>
  <si>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</si>
  <si>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</si>
  <si>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</si>
  <si>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</si>
  <si>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</si>
  <si>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04/23/2026 02:44 PM PDT</t>
  </si>
  <si>
    <t>5 - RASA - National Landing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</si>
</sst>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\-??_);_(@_)"/>
    <numFmt numFmtId="165" formatCode="#,##0.0%;\(#,##0.0%\)"/>
    <numFmt numFmtId="166" formatCode="#,##0.00_);\(#,##0.00\)"/>
    <numFmt numFmtId="167" formatCode="_(* #,##0.00_);_(* \(#,##0.00\);_(* \-??_);_(@_)"/>
    <numFmt numFmtId="168" formatCode="_(\$* #,##0_);_(\$* \(#,##0\);_(\$* \-??_);_(@_)"/>
    <numFmt numFmtId="169" formatCode="0.0%"/>
    <numFmt numFmtId="170" formatCode="d/m/yyyy"/>
    <numFmt numFmtId="171" formatCode="#,##0.0;\(#,##0.0\)"/>
  </numFmts>
  <fonts count="30">
    <font>
      <sz val="10.0"/>
      <color rgb="FF000000"/>
      <name val="Arial"/>
      <scheme val="minor"/>
    </font>
    <font>
      <b/>
      <sz val="10.0"/>
      <color theme="1"/>
      <name val="Calibri"/>
    </font>
    <font>
      <b/>
      <sz val="26.0"/>
      <color rgb="FF000000"/>
      <name val="Calibri"/>
    </font>
    <font>
      <sz val="11.0"/>
      <color theme="1"/>
      <name val="Calibri"/>
    </font>
    <font>
      <sz val="18.0"/>
      <color rgb="FF000000"/>
      <name val="Calibri"/>
    </font>
    <font>
      <sz val="12.0"/>
      <color rgb="FF000000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i/>
      <sz val="8.0"/>
      <color theme="1"/>
      <name val="Calibri"/>
    </font>
    <font>
      <sz val="12.0"/>
      <color theme="1"/>
      <name val="Calibri"/>
    </font>
    <font>
      <i/>
      <sz val="8.0"/>
      <color theme="1"/>
      <name val="Calibri"/>
    </font>
    <font>
      <b/>
      <i/>
      <sz val="11.0"/>
      <color theme="1"/>
      <name val="Calibri"/>
    </font>
    <font/>
    <font>
      <b/>
      <sz val="10.0"/>
      <color rgb="FF4A90E2"/>
      <name val="Calibri"/>
    </font>
    <font>
      <b/>
      <sz val="12.0"/>
      <color rgb="FF4A90E2"/>
      <name val="Calibri"/>
    </font>
    <font>
      <b/>
      <i/>
      <sz val="8.0"/>
      <color rgb="FFFFFFFF"/>
      <name val="Calibri"/>
    </font>
    <font>
      <b/>
      <sz val="10.0"/>
      <color rgb="FF000000"/>
      <name val="Calibri"/>
    </font>
    <font>
      <sz val="11.0"/>
      <color theme="1"/>
      <name val="Arial"/>
    </font>
    <font>
      <b/>
      <sz val="12.0"/>
      <color rgb="FF000000"/>
      <name val="Calibri"/>
    </font>
    <font>
      <sz val="12.0"/>
      <color rgb="FF4A90E2"/>
      <name val="Calibri"/>
    </font>
    <font>
      <i/>
      <sz val="8.0"/>
      <color rgb="FFFFFFFF"/>
      <name val="Calibri"/>
    </font>
    <font>
      <sz val="7.0"/>
      <color rgb="FF000000"/>
      <name val="Calibri"/>
    </font>
    <font>
      <i/>
      <sz val="8.0"/>
      <color rgb="FF000000"/>
      <name val="Calibri"/>
    </font>
    <font>
      <sz val="7.0"/>
      <color rgb="FF4A90E2"/>
      <name val="Calibri"/>
    </font>
    <font>
      <sz val="8.0"/>
      <color theme="1"/>
      <name val="Calibri"/>
    </font>
    <font>
      <b/>
      <i/>
      <sz val="8.0"/>
      <color rgb="FF000000"/>
      <name val="Calibri"/>
    </font>
    <font>
      <sz val="10.0"/>
      <color theme="1"/>
      <name val="Arial"/>
    </font>
    <font>
      <b/>
      <i/>
      <u/>
      <sz val="12.0"/>
      <color theme="1"/>
      <name val="Arial"/>
    </font>
    <font>
      <b/>
      <i/>
      <sz val="10.0"/>
      <color theme="1"/>
      <name val="Arial"/>
    </font>
    <font>
      <b/>
      <i/>
      <sz val="10.0"/>
      <color rgb="FF0070C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27">
    <border/>
    <border>
      <left/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/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center" wrapText="1"/>
    </xf>
    <xf borderId="0" fillId="0" fontId="7" numFmtId="164" xfId="0" applyAlignment="1" applyFont="1" applyNumberFormat="1">
      <alignment shrinkToFit="0" vertical="center" wrapText="0"/>
    </xf>
    <xf borderId="0" fillId="0" fontId="8" numFmtId="165" xfId="0" applyAlignment="1" applyFont="1" applyNumberFormat="1">
      <alignment shrinkToFit="0" vertical="center" wrapText="0"/>
    </xf>
    <xf borderId="0" fillId="0" fontId="9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0" fillId="0" fontId="9" numFmtId="164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horizontal="right" shrinkToFit="0" vertical="center" wrapText="0"/>
    </xf>
    <xf borderId="1" fillId="2" fontId="11" numFmtId="0" xfId="0" applyAlignment="1" applyBorder="1" applyFont="1">
      <alignment shrinkToFit="0" vertical="bottom" wrapText="0"/>
    </xf>
    <xf borderId="0" fillId="0" fontId="9" numFmtId="0" xfId="0" applyAlignment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bottom" wrapText="0"/>
    </xf>
    <xf borderId="3" fillId="0" fontId="12" numFmtId="0" xfId="0" applyBorder="1" applyFont="1"/>
    <xf borderId="4" fillId="0" fontId="12" numFmtId="0" xfId="0" applyBorder="1" applyFont="1"/>
    <xf borderId="0" fillId="0" fontId="13" numFmtId="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166" xfId="0" applyAlignment="1" applyFont="1" applyNumberFormat="1">
      <alignment shrinkToFit="0" vertical="center" wrapText="0"/>
    </xf>
    <xf borderId="0" fillId="0" fontId="14" numFmtId="166" xfId="0" applyAlignment="1" applyFont="1" applyNumberFormat="1">
      <alignment shrinkToFit="0" vertical="center" wrapText="0"/>
    </xf>
    <xf borderId="0" fillId="0" fontId="15" numFmtId="165" xfId="0" applyAlignment="1" applyFont="1" applyNumberFormat="1">
      <alignment shrinkToFit="0" vertical="center" wrapText="0"/>
    </xf>
    <xf borderId="0" fillId="0" fontId="9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bottom" wrapText="0"/>
    </xf>
    <xf borderId="0" fillId="0" fontId="9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bottom" wrapText="1"/>
    </xf>
    <xf borderId="5" fillId="3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6" fillId="3" fontId="16" numFmtId="166" xfId="0" applyAlignment="1" applyBorder="1" applyFont="1" applyNumberFormat="1">
      <alignment horizontal="center" shrinkToFit="0" vertical="center" wrapText="1"/>
    </xf>
    <xf borderId="7" fillId="3" fontId="16" numFmtId="166" xfId="0" applyAlignment="1" applyBorder="1" applyFont="1" applyNumberForma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6" fillId="4" fontId="16" numFmtId="166" xfId="0" applyAlignment="1" applyBorder="1" applyFont="1" applyNumberFormat="1">
      <alignment horizontal="center" shrinkToFit="0" vertical="center" wrapText="1"/>
    </xf>
    <xf borderId="8" fillId="4" fontId="16" numFmtId="166" xfId="0" applyAlignment="1" applyBorder="1" applyFont="1" applyNumberForma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6" fillId="5" fontId="16" numFmtId="166" xfId="0" applyAlignment="1" applyBorder="1" applyFont="1" applyNumberFormat="1">
      <alignment horizontal="center" shrinkToFit="0" vertical="center" wrapText="1"/>
    </xf>
    <xf borderId="7" fillId="5" fontId="16" numFmtId="166" xfId="0" applyAlignment="1" applyBorder="1" applyFont="1" applyNumberFormat="1">
      <alignment horizontal="center" shrinkToFit="0" vertical="center" wrapText="1"/>
    </xf>
    <xf borderId="9" fillId="6" fontId="1" numFmtId="0" xfId="0" applyAlignment="1" applyBorder="1" applyFill="1" applyFont="1">
      <alignment horizontal="center" shrinkToFit="0" vertical="bottom" wrapText="1"/>
    </xf>
    <xf borderId="6" fillId="6" fontId="1" numFmtId="0" xfId="0" applyAlignment="1" applyBorder="1" applyFont="1">
      <alignment horizontal="center" shrinkToFit="0" vertical="bottom" wrapText="1"/>
    </xf>
    <xf borderId="10" fillId="6" fontId="1" numFmtId="0" xfId="0" applyAlignment="1" applyBorder="1" applyFont="1">
      <alignment horizontal="center" shrinkToFit="0" vertical="bottom" wrapText="1"/>
    </xf>
    <xf borderId="5" fillId="7" fontId="1" numFmtId="0" xfId="0" applyAlignment="1" applyBorder="1" applyFill="1" applyFont="1">
      <alignment horizontal="center" shrinkToFit="0" vertical="center" wrapText="1"/>
    </xf>
    <xf borderId="6" fillId="7" fontId="1" numFmtId="0" xfId="0" applyAlignment="1" applyBorder="1" applyFont="1">
      <alignment horizontal="center" shrinkToFit="0" vertical="center" wrapText="1"/>
    </xf>
    <xf borderId="6" fillId="7" fontId="16" numFmtId="166" xfId="0" applyAlignment="1" applyBorder="1" applyFont="1" applyNumberFormat="1">
      <alignment horizontal="center" shrinkToFit="0" vertical="center" wrapText="1"/>
    </xf>
    <xf borderId="8" fillId="7" fontId="16" numFmtId="166" xfId="0" applyAlignment="1" applyBorder="1" applyFont="1" applyNumberFormat="1">
      <alignment horizontal="center" shrinkToFit="0" vertical="center" wrapText="1"/>
    </xf>
    <xf borderId="9" fillId="7" fontId="1" numFmtId="0" xfId="0" applyAlignment="1" applyBorder="1" applyFont="1">
      <alignment horizontal="center" shrinkToFit="0" vertical="bottom" wrapText="1"/>
    </xf>
    <xf borderId="6" fillId="7" fontId="1" numFmtId="0" xfId="0" applyAlignment="1" applyBorder="1" applyFont="1">
      <alignment horizontal="center" shrinkToFit="0" vertical="bottom" wrapText="1"/>
    </xf>
    <xf borderId="10" fillId="7" fontId="1" numFmtId="0" xfId="0" applyAlignment="1" applyBorder="1" applyFont="1">
      <alignment horizontal="center" shrinkToFit="0" vertical="bottom" wrapText="1"/>
    </xf>
    <xf borderId="0" fillId="0" fontId="17" numFmtId="0" xfId="0" applyAlignment="1" applyFont="1">
      <alignment shrinkToFit="0" vertical="bottom" wrapText="0"/>
    </xf>
    <xf borderId="0" fillId="0" fontId="18" numFmtId="166" xfId="0" applyAlignment="1" applyFont="1" applyNumberFormat="1">
      <alignment shrinkToFit="0" vertical="center" wrapText="1"/>
    </xf>
    <xf borderId="0" fillId="0" fontId="5" numFmtId="4" xfId="0" applyAlignment="1" applyFont="1" applyNumberFormat="1">
      <alignment shrinkToFit="0" vertical="center" wrapText="1"/>
    </xf>
    <xf borderId="0" fillId="0" fontId="18" numFmtId="4" xfId="0" applyAlignment="1" applyFont="1" applyNumberFormat="1">
      <alignment shrinkToFit="0" vertical="center" wrapText="1"/>
    </xf>
    <xf borderId="11" fillId="0" fontId="3" numFmtId="0" xfId="0" applyAlignment="1" applyBorder="1" applyFont="1">
      <alignment horizontal="center" shrinkToFit="0" vertical="bottom" wrapText="0"/>
    </xf>
    <xf borderId="0" fillId="0" fontId="9" numFmtId="166" xfId="0" applyAlignment="1" applyFont="1" applyNumberFormat="1">
      <alignment horizontal="right" shrinkToFit="0" vertical="center" wrapText="0"/>
    </xf>
    <xf borderId="12" fillId="0" fontId="3" numFmtId="0" xfId="0" applyAlignment="1" applyBorder="1" applyFont="1">
      <alignment horizontal="center" shrinkToFit="0" vertical="bottom" wrapText="0"/>
    </xf>
    <xf borderId="11" fillId="0" fontId="3" numFmtId="0" xfId="0" applyAlignment="1" applyBorder="1" applyFont="1">
      <alignment shrinkToFit="0" vertical="bottom" wrapText="0"/>
    </xf>
    <xf borderId="12" fillId="0" fontId="18" numFmtId="4" xfId="0" applyAlignment="1" applyBorder="1" applyFont="1" applyNumberFormat="1">
      <alignment shrinkToFit="0" vertical="center" wrapText="1"/>
    </xf>
    <xf borderId="0" fillId="0" fontId="19" numFmtId="166" xfId="0" applyAlignment="1" applyFont="1" applyNumberFormat="1">
      <alignment horizontal="right" shrinkToFit="0" vertical="center" wrapText="0"/>
    </xf>
    <xf borderId="0" fillId="0" fontId="20" numFmtId="165" xfId="0" applyAlignment="1" applyFont="1" applyNumberFormat="1">
      <alignment horizontal="right" shrinkToFit="0" vertical="center" wrapText="0"/>
    </xf>
    <xf borderId="13" fillId="6" fontId="6" numFmtId="167" xfId="0" applyAlignment="1" applyBorder="1" applyFont="1" applyNumberFormat="1">
      <alignment horizontal="left" shrinkToFit="0" vertical="center" wrapText="0"/>
    </xf>
    <xf borderId="14" fillId="8" fontId="3" numFmtId="168" xfId="0" applyAlignment="1" applyBorder="1" applyFill="1" applyFont="1" applyNumberFormat="1">
      <alignment horizontal="center" shrinkToFit="0" vertical="center" wrapText="0"/>
    </xf>
    <xf borderId="15" fillId="8" fontId="3" numFmtId="169" xfId="0" applyAlignment="1" applyBorder="1" applyFont="1" applyNumberFormat="1">
      <alignment horizontal="center" shrinkToFit="0" vertical="center" wrapText="0"/>
    </xf>
    <xf borderId="16" fillId="8" fontId="3" numFmtId="169" xfId="0" applyAlignment="1" applyBorder="1" applyFont="1" applyNumberFormat="1">
      <alignment horizontal="center" shrinkToFit="0" vertical="center" wrapText="0"/>
    </xf>
    <xf borderId="0" fillId="0" fontId="7" numFmtId="166" xfId="0" applyAlignment="1" applyFont="1" applyNumberFormat="1">
      <alignment horizontal="left" shrinkToFit="0" vertical="center" wrapText="1"/>
    </xf>
    <xf borderId="0" fillId="0" fontId="7" numFmtId="166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horizontal="right" shrinkToFit="0" vertical="center" wrapText="0"/>
    </xf>
    <xf borderId="0" fillId="0" fontId="7" numFmtId="166" xfId="0" applyAlignment="1" applyFont="1" applyNumberFormat="1">
      <alignment horizontal="right" shrinkToFit="0" vertical="center" wrapText="0"/>
    </xf>
    <xf borderId="0" fillId="0" fontId="8" numFmtId="165" xfId="0" applyAlignment="1" applyFont="1" applyNumberFormat="1">
      <alignment horizontal="right" shrinkToFit="0" vertical="center" wrapText="0"/>
    </xf>
    <xf borderId="0" fillId="0" fontId="21" numFmtId="0" xfId="0" applyAlignment="1" applyFont="1">
      <alignment shrinkToFit="0" vertical="center" wrapText="1"/>
    </xf>
    <xf borderId="0" fillId="0" fontId="21" numFmtId="164" xfId="0" applyAlignment="1" applyFont="1" applyNumberFormat="1">
      <alignment shrinkToFit="0" vertical="center" wrapText="0"/>
    </xf>
    <xf borderId="0" fillId="0" fontId="22" numFmtId="165" xfId="0" applyAlignment="1" applyFont="1" applyNumberFormat="1">
      <alignment shrinkToFit="0" vertical="center" wrapText="0"/>
    </xf>
    <xf borderId="0" fillId="0" fontId="14" numFmtId="166" xfId="0" applyAlignment="1" applyFont="1" applyNumberFormat="1">
      <alignment horizontal="right" shrinkToFit="0" vertical="center" wrapText="0"/>
    </xf>
    <xf borderId="0" fillId="0" fontId="15" numFmtId="165" xfId="0" applyAlignment="1" applyFont="1" applyNumberFormat="1">
      <alignment horizontal="right" shrinkToFit="0" vertical="center" wrapText="0"/>
    </xf>
    <xf borderId="17" fillId="8" fontId="3" numFmtId="169" xfId="0" applyAlignment="1" applyBorder="1" applyFont="1" applyNumberFormat="1">
      <alignment horizontal="center" shrinkToFit="0" vertical="center" wrapText="0"/>
    </xf>
    <xf borderId="14" fillId="8" fontId="3" numFmtId="9" xfId="0" applyAlignment="1" applyBorder="1" applyFont="1" applyNumberFormat="1">
      <alignment horizontal="center" shrinkToFit="0" vertical="center" wrapText="0"/>
    </xf>
    <xf borderId="0" fillId="0" fontId="21" numFmtId="0" xfId="0" applyAlignment="1" applyFont="1">
      <alignment horizontal="left" shrinkToFit="0" vertical="center" wrapText="1"/>
    </xf>
    <xf borderId="0" fillId="0" fontId="21" numFmtId="166" xfId="0" applyAlignment="1" applyFont="1" applyNumberFormat="1">
      <alignment shrinkToFit="0" vertical="center" wrapText="0"/>
    </xf>
    <xf borderId="0" fillId="0" fontId="23" numFmtId="166" xfId="0" applyAlignment="1" applyFont="1" applyNumberFormat="1">
      <alignment shrinkToFit="0" vertical="center" wrapText="0"/>
    </xf>
    <xf borderId="0" fillId="0" fontId="20" numFmtId="165" xfId="0" applyAlignment="1" applyFont="1" applyNumberFormat="1">
      <alignment shrinkToFit="0" vertical="center" wrapText="0"/>
    </xf>
    <xf borderId="0" fillId="0" fontId="3" numFmtId="9" xfId="0" applyAlignment="1" applyFont="1" applyNumberForma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0" fillId="0" fontId="3" numFmtId="170" xfId="0" applyAlignment="1" applyFont="1" applyNumberFormat="1">
      <alignment shrinkToFit="0" vertical="bottom" wrapText="0"/>
    </xf>
    <xf borderId="18" fillId="6" fontId="6" numFmtId="167" xfId="0" applyAlignment="1" applyBorder="1" applyFont="1" applyNumberFormat="1">
      <alignment horizontal="left" shrinkToFit="0" vertical="center" wrapText="0"/>
    </xf>
    <xf borderId="19" fillId="8" fontId="3" numFmtId="168" xfId="0" applyAlignment="1" applyBorder="1" applyFont="1" applyNumberFormat="1">
      <alignment horizontal="center" shrinkToFit="0" vertical="center" wrapText="0"/>
    </xf>
    <xf borderId="0" fillId="0" fontId="24" numFmtId="165" xfId="0" applyAlignment="1" applyFont="1" applyNumberFormat="1">
      <alignment horizontal="right" shrinkToFit="0" vertical="center" wrapText="0"/>
    </xf>
    <xf borderId="19" fillId="8" fontId="3" numFmtId="9" xfId="0" applyAlignment="1" applyBorder="1" applyFont="1" applyNumberFormat="1">
      <alignment horizontal="center" shrinkToFit="0" vertical="center" wrapText="0"/>
    </xf>
    <xf borderId="0" fillId="0" fontId="3" numFmtId="169" xfId="0" applyAlignment="1" applyFont="1" applyNumberFormat="1">
      <alignment shrinkToFit="0" vertical="bottom" wrapText="0"/>
    </xf>
    <xf borderId="20" fillId="9" fontId="6" numFmtId="167" xfId="0" applyAlignment="1" applyBorder="1" applyFill="1" applyFont="1" applyNumberFormat="1">
      <alignment horizontal="left" shrinkToFit="0" vertical="center" wrapText="0"/>
    </xf>
    <xf borderId="21" fillId="0" fontId="7" numFmtId="164" xfId="0" applyAlignment="1" applyBorder="1" applyFont="1" applyNumberFormat="1">
      <alignment horizontal="right" shrinkToFit="0" vertical="center" wrapText="0"/>
    </xf>
    <xf borderId="22" fillId="9" fontId="3" numFmtId="168" xfId="0" applyAlignment="1" applyBorder="1" applyFont="1" applyNumberFormat="1">
      <alignment horizontal="center" shrinkToFit="0" vertical="center" wrapText="0"/>
    </xf>
    <xf borderId="21" fillId="0" fontId="8" numFmtId="165" xfId="0" applyAlignment="1" applyBorder="1" applyFont="1" applyNumberFormat="1">
      <alignment horizontal="right" shrinkToFit="0" vertical="center" wrapText="0"/>
    </xf>
    <xf borderId="23" fillId="9" fontId="3" numFmtId="169" xfId="0" applyAlignment="1" applyBorder="1" applyFont="1" applyNumberFormat="1">
      <alignment horizontal="center" shrinkToFit="0" vertical="center" wrapText="0"/>
    </xf>
    <xf borderId="24" fillId="10" fontId="8" numFmtId="165" xfId="0" applyAlignment="1" applyBorder="1" applyFill="1" applyFont="1" applyNumberFormat="1">
      <alignment horizontal="right" shrinkToFit="0" vertical="center" wrapText="0"/>
    </xf>
    <xf borderId="25" fillId="9" fontId="3" numFmtId="169" xfId="0" applyAlignment="1" applyBorder="1" applyFont="1" applyNumberFormat="1">
      <alignment horizontal="center" shrinkToFit="0" vertical="center" wrapText="0"/>
    </xf>
    <xf borderId="0" fillId="0" fontId="25" numFmtId="165" xfId="0" applyAlignment="1" applyFont="1" applyNumberFormat="1">
      <alignment horizontal="right" shrinkToFit="0" vertical="center" wrapText="0"/>
    </xf>
    <xf borderId="0" fillId="0" fontId="18" numFmtId="164" xfId="0" applyAlignment="1" applyFont="1" applyNumberFormat="1">
      <alignment horizontal="right"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0"/>
    </xf>
    <xf borderId="26" fillId="9" fontId="3" numFmtId="169" xfId="0" applyAlignment="1" applyBorder="1" applyFont="1" applyNumberFormat="1">
      <alignment horizontal="center" shrinkToFit="0" vertical="center" wrapText="0"/>
    </xf>
    <xf borderId="22" fillId="9" fontId="3" numFmtId="9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bottom" wrapText="1"/>
    </xf>
    <xf borderId="0" fillId="0" fontId="26" numFmtId="0" xfId="0" applyAlignment="1" applyFont="1">
      <alignment shrinkToFit="0" vertical="bottom" wrapText="0"/>
    </xf>
    <xf borderId="0" fillId="0" fontId="26" numFmtId="168" xfId="0" applyAlignment="1" applyFont="1" applyNumberFormat="1">
      <alignment horizontal="right" shrinkToFit="0" vertical="bottom" wrapText="0"/>
    </xf>
    <xf borderId="0" fillId="0" fontId="26" numFmtId="10" xfId="0" applyAlignment="1" applyFont="1" applyNumberFormat="1">
      <alignment shrinkToFit="0" vertical="bottom" wrapText="0"/>
    </xf>
    <xf borderId="0" fillId="0" fontId="26" numFmtId="169" xfId="0" applyAlignment="1" applyFont="1" applyNumberFormat="1">
      <alignment shrinkToFit="0" vertical="bottom" wrapText="0"/>
    </xf>
    <xf borderId="0" fillId="0" fontId="26" numFmtId="0" xfId="0" applyAlignment="1" applyFont="1">
      <alignment horizontal="center" shrinkToFit="0" vertical="bottom" wrapText="0"/>
    </xf>
    <xf borderId="0" fillId="0" fontId="27" numFmtId="0" xfId="0" applyAlignment="1" applyFont="1">
      <alignment shrinkToFit="0" vertical="bottom" wrapText="0"/>
    </xf>
    <xf borderId="0" fillId="0" fontId="26" numFmtId="0" xfId="0" applyAlignment="1" applyFont="1">
      <alignment horizontal="right" shrinkToFit="0" vertical="bottom" wrapText="0"/>
    </xf>
    <xf borderId="0" fillId="0" fontId="26" numFmtId="169" xfId="0" applyAlignment="1" applyFont="1" applyNumberFormat="1">
      <alignment horizontal="center" shrinkToFit="0" vertical="bottom" wrapText="0"/>
    </xf>
    <xf borderId="1" fillId="11" fontId="28" numFmtId="0" xfId="0" applyAlignment="1" applyBorder="1" applyFill="1" applyFont="1">
      <alignment shrinkToFit="0" vertical="bottom" wrapText="0"/>
    </xf>
    <xf borderId="0" fillId="0" fontId="29" numFmtId="0" xfId="0" applyAlignment="1" applyFont="1">
      <alignment horizontal="left" shrinkToFit="0" vertical="bottom" wrapText="0"/>
    </xf>
    <xf borderId="0" fillId="0" fontId="29" numFmtId="0" xfId="0" applyAlignment="1" applyFont="1">
      <alignment horizontal="right" shrinkToFit="0" vertical="bottom" wrapText="0"/>
    </xf>
    <xf borderId="0" fillId="0" fontId="29" numFmtId="0" xfId="0" applyAlignment="1" applyFont="1">
      <alignment shrinkToFit="0" vertical="bottom" wrapText="0"/>
    </xf>
    <xf borderId="1" fillId="10" fontId="25" numFmtId="165" xfId="0" applyAlignment="1" applyBorder="1" applyFont="1" applyNumberFormat="1">
      <alignment horizontal="right" shrinkToFit="0" vertical="center" wrapText="0"/>
    </xf>
    <xf borderId="21" fillId="0" fontId="7" numFmtId="166" xfId="0" applyAlignment="1" applyBorder="1" applyFont="1" applyNumberFormat="1">
      <alignment horizontal="right" shrinkToFit="0" vertical="center" wrapText="0"/>
    </xf>
    <xf borderId="21" fillId="0" fontId="14" numFmtId="166" xfId="0" applyAlignment="1" applyBorder="1" applyFont="1" applyNumberFormat="1">
      <alignment horizontal="right" shrinkToFit="0" vertical="center" wrapText="0"/>
    </xf>
    <xf borderId="21" fillId="0" fontId="15" numFmtId="165" xfId="0" applyAlignment="1" applyBorder="1" applyFont="1" applyNumberFormat="1">
      <alignment horizontal="right" shrinkToFit="0" vertical="center" wrapText="0"/>
    </xf>
    <xf borderId="0" fillId="0" fontId="18" numFmtId="166" xfId="0" applyAlignment="1" applyFont="1" applyNumberFormat="1">
      <alignment horizontal="left" shrinkToFit="0" vertical="center" wrapText="1"/>
    </xf>
    <xf borderId="0" fillId="0" fontId="18" numFmtId="166" xfId="0" applyAlignment="1" applyFont="1" applyNumberFormat="1">
      <alignment horizontal="right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5" numFmtId="166" xfId="0" applyAlignment="1" applyFont="1" applyNumberFormat="1">
      <alignment shrinkToFit="0" vertical="center" wrapText="0"/>
    </xf>
    <xf borderId="0" fillId="0" fontId="19" numFmtId="166" xfId="0" applyAlignment="1" applyFont="1" applyNumberFormat="1">
      <alignment shrinkToFit="0" vertical="center" wrapText="0"/>
    </xf>
    <xf borderId="0" fillId="0" fontId="18" numFmtId="0" xfId="0" applyAlignment="1" applyFont="1">
      <alignment horizontal="left" shrinkToFit="0" vertical="center" wrapText="1"/>
    </xf>
    <xf borderId="0" fillId="0" fontId="18" numFmtId="166" xfId="0" applyAlignment="1" applyFont="1" applyNumberFormat="1">
      <alignment shrinkToFit="0" vertical="center" wrapText="0"/>
    </xf>
    <xf borderId="0" fillId="0" fontId="10" numFmtId="171" xfId="0" applyAlignment="1" applyFont="1" applyNumberFormat="1">
      <alignment shrinkToFit="0" vertical="center" wrapText="0"/>
    </xf>
    <xf borderId="0" fillId="0" fontId="20" numFmtId="171" xfId="0" applyAlignment="1" applyFont="1" applyNumberFormat="1">
      <alignment shrinkToFit="0" vertical="center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219075</xdr:colOff>
      <xdr:row>35</xdr:row>
      <xdr:rowOff>57150</xdr:rowOff>
    </xdr:from>
    <xdr:ext cx="12992100" cy="8801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hidden="1" min="1" max="1" width="20.5"/>
    <col customWidth="1" min="2" max="2" width="23.5"/>
    <col customWidth="1" min="3" max="3" width="9.75"/>
    <col customWidth="1" min="4" max="4" width="6.0"/>
    <col customWidth="1" min="5" max="5" width="6.63"/>
    <col customWidth="1" min="6" max="6" width="7.5"/>
    <col customWidth="1" min="7" max="7" width="8.88"/>
    <col customWidth="1" min="8" max="8" width="7.13"/>
    <col customWidth="1" min="9" max="9" width="6.75"/>
    <col customWidth="1" min="10" max="10" width="6.25"/>
    <col customWidth="1" min="11" max="11" width="8.88"/>
    <col customWidth="1" min="12" max="12" width="7.13"/>
    <col customWidth="1" min="13" max="13" width="6.63"/>
    <col customWidth="1" min="14" max="14" width="6.25"/>
    <col customWidth="1" min="15" max="16" width="8.5"/>
    <col customWidth="1" min="17" max="17" width="9.75"/>
    <col customWidth="1" min="18" max="18" width="8.88"/>
    <col customWidth="1" min="19" max="19" width="7.13"/>
    <col customWidth="1" min="20" max="21" width="6.25"/>
    <col customWidth="1" min="22" max="23" width="8.5"/>
    <col customWidth="1" min="24" max="24" width="10.25"/>
    <col customWidth="1" min="25" max="33" width="7.63"/>
    <col customWidth="1" hidden="1" min="34" max="36" width="7.63"/>
    <col customWidth="1" hidden="1" min="37" max="37" width="7.75"/>
    <col customWidth="1" hidden="1" min="38" max="38" width="9.5"/>
    <col customWidth="1" hidden="1" min="39" max="39" width="7.75"/>
    <col customWidth="1" hidden="1" min="40" max="40" width="11.0"/>
    <col customWidth="1" hidden="1" min="41" max="41" width="16.5"/>
  </cols>
  <sheetData>
    <row r="1" ht="43.5" hidden="1" customHeight="1">
      <c r="A1" s="1"/>
      <c r="C1" s="4" t="str">
        <f>B2</f>
        <v>Week Ending 04/19/2026</v>
      </c>
      <c r="D1" s="1" t="str">
        <f>C1</f>
        <v>Week Ending 04/19/2026</v>
      </c>
      <c r="E1" s="1" t="str">
        <f t="shared" ref="E1:F1" si="1">+D1</f>
        <v>Week Ending 04/19/2026</v>
      </c>
      <c r="F1" s="1" t="str">
        <f t="shared" si="1"/>
        <v>Week Ending 04/19/2026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9</v>
      </c>
      <c r="L1" s="1" t="s">
        <v>9</v>
      </c>
      <c r="M1" s="1" t="s">
        <v>9</v>
      </c>
      <c r="N1" s="1" t="s">
        <v>9</v>
      </c>
      <c r="O1" s="12"/>
      <c r="P1" s="12"/>
      <c r="Q1" s="12"/>
      <c r="R1" s="1" t="s">
        <v>11</v>
      </c>
      <c r="S1" s="1" t="s">
        <v>11</v>
      </c>
      <c r="T1" s="1" t="s">
        <v>11</v>
      </c>
      <c r="U1" s="1" t="s">
        <v>11</v>
      </c>
      <c r="V1" s="12"/>
      <c r="W1" s="12"/>
      <c r="X1" s="12"/>
    </row>
    <row r="2" ht="43.5" customHeight="1">
      <c r="A2" s="13"/>
      <c r="B2" s="16" t="s">
        <v>13</v>
      </c>
      <c r="C2" s="13"/>
      <c r="D2" s="13"/>
      <c r="E2" s="13"/>
      <c r="F2" s="13"/>
      <c r="G2" s="18" t="s">
        <v>24</v>
      </c>
      <c r="H2" s="19"/>
      <c r="I2" s="19"/>
      <c r="J2" s="20"/>
      <c r="K2" s="18" t="s">
        <v>31</v>
      </c>
      <c r="L2" s="19"/>
      <c r="M2" s="19"/>
      <c r="N2" s="20"/>
      <c r="O2" s="18" t="s">
        <v>36</v>
      </c>
      <c r="P2" s="19"/>
      <c r="Q2" s="20"/>
      <c r="R2" s="18" t="s">
        <v>37</v>
      </c>
      <c r="S2" s="19"/>
      <c r="T2" s="19"/>
      <c r="U2" s="20"/>
      <c r="V2" s="18" t="s">
        <v>38</v>
      </c>
      <c r="W2" s="19"/>
      <c r="X2" s="20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ht="43.5" customHeight="1">
      <c r="A3" s="29"/>
      <c r="B3" s="30" t="s">
        <v>40</v>
      </c>
      <c r="C3" s="30" t="s">
        <v>8</v>
      </c>
      <c r="D3" s="31" t="s">
        <v>41</v>
      </c>
      <c r="E3" s="32" t="s">
        <v>42</v>
      </c>
      <c r="F3" s="33" t="s">
        <v>43</v>
      </c>
      <c r="G3" s="34" t="s">
        <v>8</v>
      </c>
      <c r="H3" s="35" t="s">
        <v>41</v>
      </c>
      <c r="I3" s="36" t="s">
        <v>44</v>
      </c>
      <c r="J3" s="37" t="s">
        <v>43</v>
      </c>
      <c r="K3" s="38" t="s">
        <v>8</v>
      </c>
      <c r="L3" s="39" t="s">
        <v>41</v>
      </c>
      <c r="M3" s="40" t="s">
        <v>44</v>
      </c>
      <c r="N3" s="41" t="s">
        <v>43</v>
      </c>
      <c r="O3" s="42" t="s">
        <v>46</v>
      </c>
      <c r="P3" s="43" t="s">
        <v>47</v>
      </c>
      <c r="Q3" s="44" t="s">
        <v>48</v>
      </c>
      <c r="R3" s="45" t="s">
        <v>8</v>
      </c>
      <c r="S3" s="46" t="s">
        <v>41</v>
      </c>
      <c r="T3" s="47" t="s">
        <v>44</v>
      </c>
      <c r="U3" s="48" t="s">
        <v>43</v>
      </c>
      <c r="V3" s="49" t="s">
        <v>49</v>
      </c>
      <c r="W3" s="50" t="s">
        <v>50</v>
      </c>
      <c r="X3" s="51" t="s">
        <v>51</v>
      </c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ht="43.5" hidden="1" customHeight="1">
      <c r="B4" s="30" t="s">
        <v>40</v>
      </c>
      <c r="C4" s="52" t="s">
        <v>53</v>
      </c>
      <c r="D4" s="53" t="s">
        <v>54</v>
      </c>
      <c r="E4" s="54" t="s">
        <v>55</v>
      </c>
      <c r="F4" s="55" t="s">
        <v>56</v>
      </c>
      <c r="G4" s="52" t="s">
        <v>53</v>
      </c>
      <c r="H4" s="53" t="s">
        <v>54</v>
      </c>
      <c r="I4" s="54" t="s">
        <v>55</v>
      </c>
      <c r="J4" s="55" t="s">
        <v>56</v>
      </c>
      <c r="K4" s="52" t="s">
        <v>53</v>
      </c>
      <c r="L4" s="53" t="s">
        <v>54</v>
      </c>
      <c r="M4" s="54" t="s">
        <v>55</v>
      </c>
      <c r="N4" s="55" t="s">
        <v>56</v>
      </c>
      <c r="O4" s="56"/>
      <c r="P4" s="56"/>
      <c r="Q4" s="58"/>
      <c r="R4" s="59" t="s">
        <v>53</v>
      </c>
      <c r="S4" s="53" t="s">
        <v>54</v>
      </c>
      <c r="T4" s="54" t="s">
        <v>55</v>
      </c>
      <c r="U4" s="60" t="s">
        <v>56</v>
      </c>
      <c r="V4" s="56"/>
      <c r="W4" s="56"/>
      <c r="X4" s="58"/>
    </row>
    <row r="5" ht="15.0" customHeight="1">
      <c r="A5" s="52" t="s">
        <v>58</v>
      </c>
      <c r="B5" s="63" t="str">
        <f t="shared" ref="B5:B9" si="4">A5</f>
        <v>2 - RASA - Ballpark</v>
      </c>
      <c r="C5" s="64">
        <f t="shared" ref="C5:C10" si="5">INDEX(INDIRECT("'"&amp;$A5&amp;"'!$1:$1048576"),MATCH(C$4,INDIRECT("'"&amp;$A5&amp;"'!A:A"),0),MATCH(C$1,INDIRECT("'"&amp;$A5&amp;"'!$5:$5"),0))</f>
        <v>20138.64</v>
      </c>
      <c r="D5" s="65">
        <f t="array" ref="D5">INDEX(INDIRECT("'"&amp;$A5&amp;"'!$1:$1048576"),MATCH(D$4,INDIRECT("'"&amp;$A5&amp;"'!A:A"),0),MATCH(D$1,INDIRECT("'"&amp;$A5&amp;"'!$5:$5"),0)+1)</f>
        <v>0.2310876008</v>
      </c>
      <c r="E5" s="65">
        <f t="array" ref="E5">INDEX(INDIRECT("'"&amp;$A5&amp;"'!$1:$1048576"),MATCH(E$4,INDIRECT("'"&amp;$A5&amp;"'!A:A"),0),MATCH(E$1,INDIRECT("'"&amp;$A5&amp;"'!$5:$5"),0)+1)</f>
        <v>0.3199029329</v>
      </c>
      <c r="F5" s="66">
        <f t="array" ref="F5">INDEX(INDIRECT("'"&amp;$A5&amp;"'!$1:$1048576"),MATCH(F$4,INDIRECT("'"&amp;$A5&amp;"'!A:A"),0),MATCH(F$1,INDIRECT("'"&amp;$A5&amp;"'!$5:$5"),0)+1)</f>
        <v>0.4490094664</v>
      </c>
      <c r="G5" s="64">
        <f t="shared" ref="G5:G10" si="6">INDEX(INDIRECT("'"&amp;$A5&amp;"'!$1:$1048576"),MATCH(G$4,INDIRECT("'"&amp;$A5&amp;"'!A:A"),0),MATCH(G$1,INDIRECT("'"&amp;$A5&amp;"'!$5:$5"),0))</f>
        <v>73761.46</v>
      </c>
      <c r="H5" s="65">
        <f t="array" ref="H5">INDEX(INDIRECT("'"&amp;$A5&amp;"'!$1:$1048576"),MATCH(H$4,INDIRECT("'"&amp;$A5&amp;"'!A:A"),0),MATCH(H$1,INDIRECT("'"&amp;$A5&amp;"'!$5:$5"),0)+1)</f>
        <v>0.26432069</v>
      </c>
      <c r="I5" s="65">
        <f t="array" ref="I5">INDEX(INDIRECT("'"&amp;$A5&amp;"'!$1:$1048576"),MATCH(I$4,INDIRECT("'"&amp;$A5&amp;"'!A:A"),0),MATCH(I$1,INDIRECT("'"&amp;$A5&amp;"'!$5:$5"),0)+1)</f>
        <v>0.2696364741</v>
      </c>
      <c r="J5" s="66">
        <f t="array" ref="J5">INDEX(INDIRECT("'"&amp;$A5&amp;"'!$1:$1048576"),MATCH(J$4,INDIRECT("'"&amp;$A5&amp;"'!A:A"),0),MATCH(J$1,INDIRECT("'"&amp;$A5&amp;"'!$5:$5"),0)+1)</f>
        <v>0.4660428359</v>
      </c>
      <c r="K5" s="64">
        <f t="shared" ref="K5:K10" si="7">INDEX(INDIRECT("'"&amp;$A5&amp;"'!$1:$1048576"),MATCH(K$4,INDIRECT("'"&amp;$A5&amp;"'!A:A"),0),MATCH(K$1,INDIRECT("'"&amp;$A5&amp;"'!$5:$5"),0))</f>
        <v>24427.4675</v>
      </c>
      <c r="L5" s="65">
        <f t="array" ref="L5">INDEX(INDIRECT("'"&amp;$A5&amp;"'!$1:$1048576"),MATCH(L$4,INDIRECT("'"&amp;$A5&amp;"'!A:A"),0),MATCH(L$1,INDIRECT("'"&amp;$A5&amp;"'!$5:$5"),0)+1)</f>
        <v>0.272724956</v>
      </c>
      <c r="M5" s="65">
        <f t="array" ref="M5">INDEX(INDIRECT("'"&amp;$A5&amp;"'!$1:$1048576"),MATCH(M$4,INDIRECT("'"&amp;$A5&amp;"'!A:A"),0),MATCH(M$1,INDIRECT("'"&amp;$A5&amp;"'!$5:$5"),0)+1)</f>
        <v>0.2671042342</v>
      </c>
      <c r="N5" s="77">
        <f t="array" ref="N5">INDEX(INDIRECT("'"&amp;$A5&amp;"'!$1:$1048576"),MATCH(N$4,INDIRECT("'"&amp;$A5&amp;"'!A:A"),0),MATCH(N$1,INDIRECT("'"&amp;$A5&amp;"'!$5:$5"),0)+1)</f>
        <v>0.4601708098</v>
      </c>
      <c r="O5" s="78">
        <f t="shared" ref="O5:O10" si="8">+(C5-K5)/K5</f>
        <v>-0.1755739722</v>
      </c>
      <c r="P5" s="65">
        <f t="shared" ref="P5:Q5" si="2">+D5-L5</f>
        <v>-0.04163735528</v>
      </c>
      <c r="Q5" s="66">
        <f t="shared" si="2"/>
        <v>0.05279869867</v>
      </c>
      <c r="R5" s="64">
        <f t="shared" ref="R5:R10" si="10">INDEX(INDIRECT("'"&amp;$A5&amp;"'!$1:$1048576"),MATCH(R$4,INDIRECT("'"&amp;$A5&amp;"'!A:A"),0),MATCH(R$1,INDIRECT("'"&amp;$A5&amp;"'!$5:$5"),0))</f>
        <v>24332.84625</v>
      </c>
      <c r="S5" s="65">
        <f t="array" ref="S5">INDEX(INDIRECT("'"&amp;$A5&amp;"'!$1:$1048576"),MATCH(S$4,INDIRECT("'"&amp;$A5&amp;"'!A:A"),0),MATCH(S$1,INDIRECT("'"&amp;$A5&amp;"'!$5:$5"),0)+1)</f>
        <v>0.2734499771</v>
      </c>
      <c r="T5" s="65">
        <f t="array" ref="T5">INDEX(INDIRECT("'"&amp;$A5&amp;"'!$1:$1048576"),MATCH(T$4,INDIRECT("'"&amp;$A5&amp;"'!A:A"),0),MATCH(T$1,INDIRECT("'"&amp;$A5&amp;"'!$5:$5"),0)+1)</f>
        <v>0.2665560549</v>
      </c>
      <c r="U5" s="66">
        <f t="array" ref="U5">INDEX(INDIRECT("'"&amp;$A5&amp;"'!$1:$1048576"),MATCH(U$4,INDIRECT("'"&amp;$A5&amp;"'!A:A"),0),MATCH(U$1,INDIRECT("'"&amp;$A5&amp;"'!$5:$5"),0)+1)</f>
        <v>0.459993968</v>
      </c>
      <c r="V5" s="78">
        <f t="shared" ref="V5:V10" si="11">+(C5-R5)/R5</f>
        <v>-0.1723680907</v>
      </c>
      <c r="W5" s="65">
        <f t="shared" ref="W5:X5" si="3">+D5-S5</f>
        <v>-0.04236237635</v>
      </c>
      <c r="X5" s="66">
        <f t="shared" si="3"/>
        <v>0.05334687801</v>
      </c>
      <c r="AK5" s="52" t="s">
        <v>73</v>
      </c>
      <c r="AL5" s="85">
        <v>46026.0</v>
      </c>
      <c r="AM5" s="52">
        <f t="shared" ref="AM5:AM32" si="13">YEAR(AL5)</f>
        <v>2026</v>
      </c>
      <c r="AN5" s="52" t="str">
        <f t="shared" ref="AN5:AN32" si="14">AK5&amp;", "&amp;AM5</f>
        <v>Week 1, 2026</v>
      </c>
      <c r="AO5" s="52" t="str">
        <f t="shared" ref="AO5:AO32" si="15">"Week Ending "&amp;TEXT(AL5,"mm/dd/yyyy")</f>
        <v>Week Ending 01/04/2026</v>
      </c>
    </row>
    <row r="6" ht="15.0" customHeight="1">
      <c r="A6" s="52" t="s">
        <v>75</v>
      </c>
      <c r="B6" s="86" t="str">
        <f t="shared" si="4"/>
        <v>4 - RASA - MVT</v>
      </c>
      <c r="C6" s="87">
        <f t="shared" si="5"/>
        <v>58151.51</v>
      </c>
      <c r="D6" s="65">
        <f t="array" ref="D6">INDEX(INDIRECT("'"&amp;$A6&amp;"'!$1:$1048576"),MATCH(D$4,INDIRECT("'"&amp;$A6&amp;"'!A:A"),0),MATCH(D$1,INDIRECT("'"&amp;$A6&amp;"'!$5:$5"),0)+1)</f>
        <v>0.2410933095</v>
      </c>
      <c r="E6" s="65">
        <f t="array" ref="E6">INDEX(INDIRECT("'"&amp;$A6&amp;"'!$1:$1048576"),MATCH(E$4,INDIRECT("'"&amp;$A6&amp;"'!A:A"),0),MATCH(E$1,INDIRECT("'"&amp;$A6&amp;"'!$5:$5"),0)+1)</f>
        <v>0.1963486417</v>
      </c>
      <c r="F6" s="66">
        <f t="array" ref="F6">INDEX(INDIRECT("'"&amp;$A6&amp;"'!$1:$1048576"),MATCH(F$4,INDIRECT("'"&amp;$A6&amp;"'!A:A"),0),MATCH(F$1,INDIRECT("'"&amp;$A6&amp;"'!$5:$5"),0)+1)</f>
        <v>0.5625580488</v>
      </c>
      <c r="G6" s="87">
        <f t="shared" si="6"/>
        <v>153033.46</v>
      </c>
      <c r="H6" s="65">
        <f t="array" ref="H6">INDEX(INDIRECT("'"&amp;$A6&amp;"'!$1:$1048576"),MATCH(H$4,INDIRECT("'"&amp;$A6&amp;"'!A:A"),0),MATCH(H$1,INDIRECT("'"&amp;$A6&amp;"'!$5:$5"),0)+1)</f>
        <v>0.2529917314</v>
      </c>
      <c r="I6" s="65">
        <f t="array" ref="I6">INDEX(INDIRECT("'"&amp;$A6&amp;"'!$1:$1048576"),MATCH(I$4,INDIRECT("'"&amp;$A6&amp;"'!A:A"),0),MATCH(I$1,INDIRECT("'"&amp;$A6&amp;"'!$5:$5"),0)+1)</f>
        <v>0.2151249145</v>
      </c>
      <c r="J6" s="66">
        <f t="array" ref="J6">INDEX(INDIRECT("'"&amp;$A6&amp;"'!$1:$1048576"),MATCH(J$4,INDIRECT("'"&amp;$A6&amp;"'!A:A"),0),MATCH(J$1,INDIRECT("'"&amp;$A6&amp;"'!$5:$5"),0)+1)</f>
        <v>0.5318833541</v>
      </c>
      <c r="K6" s="87">
        <f t="shared" si="7"/>
        <v>51953.1125</v>
      </c>
      <c r="L6" s="65">
        <f t="array" ref="L6">INDEX(INDIRECT("'"&amp;$A6&amp;"'!$1:$1048576"),MATCH(L$4,INDIRECT("'"&amp;$A6&amp;"'!A:A"),0),MATCH(L$1,INDIRECT("'"&amp;$A6&amp;"'!$5:$5"),0)+1)</f>
        <v>0.2560738782</v>
      </c>
      <c r="M6" s="65">
        <f t="array" ref="M6">INDEX(INDIRECT("'"&amp;$A6&amp;"'!$1:$1048576"),MATCH(M$4,INDIRECT("'"&amp;$A6&amp;"'!A:A"),0),MATCH(M$1,INDIRECT("'"&amp;$A6&amp;"'!$5:$5"),0)+1)</f>
        <v>0.2056640014</v>
      </c>
      <c r="N6" s="77">
        <f t="array" ref="N6">INDEX(INDIRECT("'"&amp;$A6&amp;"'!$1:$1048576"),MATCH(N$4,INDIRECT("'"&amp;$A6&amp;"'!A:A"),0),MATCH(N$1,INDIRECT("'"&amp;$A6&amp;"'!$5:$5"),0)+1)</f>
        <v>0.5382621205</v>
      </c>
      <c r="O6" s="89">
        <f t="shared" si="8"/>
        <v>0.1193075295</v>
      </c>
      <c r="P6" s="65">
        <f t="shared" ref="P6:Q6" si="9">+D6-L6</f>
        <v>-0.01498056862</v>
      </c>
      <c r="Q6" s="66">
        <f t="shared" si="9"/>
        <v>-0.009315359685</v>
      </c>
      <c r="R6" s="87">
        <f t="shared" si="10"/>
        <v>51947.79625</v>
      </c>
      <c r="S6" s="65">
        <f t="array" ref="S6">INDEX(INDIRECT("'"&amp;$A6&amp;"'!$1:$1048576"),MATCH(S$4,INDIRECT("'"&amp;$A6&amp;"'!A:A"),0),MATCH(S$1,INDIRECT("'"&amp;$A6&amp;"'!$5:$5"),0)+1)</f>
        <v>0.256526498</v>
      </c>
      <c r="T6" s="65">
        <f t="array" ref="T6">INDEX(INDIRECT("'"&amp;$A6&amp;"'!$1:$1048576"),MATCH(T$4,INDIRECT("'"&amp;$A6&amp;"'!A:A"),0),MATCH(T$1,INDIRECT("'"&amp;$A6&amp;"'!$5:$5"),0)+1)</f>
        <v>0.2139186751</v>
      </c>
      <c r="U6" s="66">
        <f t="array" ref="U6">INDEX(INDIRECT("'"&amp;$A6&amp;"'!$1:$1048576"),MATCH(U$4,INDIRECT("'"&amp;$A6&amp;"'!A:A"),0),MATCH(U$1,INDIRECT("'"&amp;$A6&amp;"'!$5:$5"),0)+1)</f>
        <v>0.5295548269</v>
      </c>
      <c r="V6" s="89">
        <f t="shared" si="11"/>
        <v>0.1194220775</v>
      </c>
      <c r="W6" s="65">
        <f t="shared" ref="W6:X6" si="12">+D6-S6</f>
        <v>-0.01543318846</v>
      </c>
      <c r="X6" s="66">
        <f t="shared" si="12"/>
        <v>-0.01757003346</v>
      </c>
      <c r="Z6" s="90"/>
      <c r="AK6" s="52" t="s">
        <v>86</v>
      </c>
      <c r="AL6" s="85">
        <v>46033.0</v>
      </c>
      <c r="AM6" s="52">
        <f t="shared" si="13"/>
        <v>2026</v>
      </c>
      <c r="AN6" s="52" t="str">
        <f t="shared" si="14"/>
        <v>Week 2, 2026</v>
      </c>
      <c r="AO6" s="52" t="str">
        <f t="shared" si="15"/>
        <v>Week Ending 01/11/2026</v>
      </c>
    </row>
    <row r="7" ht="15.0" customHeight="1">
      <c r="A7" s="52" t="s">
        <v>87</v>
      </c>
      <c r="B7" s="86" t="str">
        <f t="shared" si="4"/>
        <v>5 - RASA - National Landin</v>
      </c>
      <c r="C7" s="87">
        <f t="shared" si="5"/>
        <v>29415.91</v>
      </c>
      <c r="D7" s="65">
        <f t="array" ref="D7">INDEX(INDIRECT("'"&amp;$A7&amp;"'!$1:$1048576"),MATCH(D$4,INDIRECT("'"&amp;$A7&amp;"'!A:A"),0),MATCH(D$1,INDIRECT("'"&amp;$A7&amp;"'!$5:$5"),0)+1)</f>
        <v>0.2644412497</v>
      </c>
      <c r="E7" s="65">
        <f t="array" ref="E7">INDEX(INDIRECT("'"&amp;$A7&amp;"'!$1:$1048576"),MATCH(E$4,INDIRECT("'"&amp;$A7&amp;"'!A:A"),0),MATCH(E$1,INDIRECT("'"&amp;$A7&amp;"'!$5:$5"),0)+1)</f>
        <v>0.2569752219</v>
      </c>
      <c r="F7" s="66">
        <f t="array" ref="F7">INDEX(INDIRECT("'"&amp;$A7&amp;"'!$1:$1048576"),MATCH(F$4,INDIRECT("'"&amp;$A7&amp;"'!A:A"),0),MATCH(F$1,INDIRECT("'"&amp;$A7&amp;"'!$5:$5"),0)+1)</f>
        <v>0.4785835284</v>
      </c>
      <c r="G7" s="87">
        <f t="shared" si="6"/>
        <v>79428.6</v>
      </c>
      <c r="H7" s="65">
        <f t="array" ref="H7">INDEX(INDIRECT("'"&amp;$A7&amp;"'!$1:$1048576"),MATCH(H$4,INDIRECT("'"&amp;$A7&amp;"'!A:A"),0),MATCH(H$1,INDIRECT("'"&amp;$A7&amp;"'!$5:$5"),0)+1)</f>
        <v>0.2694427448</v>
      </c>
      <c r="I7" s="65">
        <f t="array" ref="I7">INDEX(INDIRECT("'"&amp;$A7&amp;"'!$1:$1048576"),MATCH(I$4,INDIRECT("'"&amp;$A7&amp;"'!A:A"),0),MATCH(I$1,INDIRECT("'"&amp;$A7&amp;"'!$5:$5"),0)+1)</f>
        <v>0.2766066631</v>
      </c>
      <c r="J7" s="66">
        <f t="array" ref="J7">INDEX(INDIRECT("'"&amp;$A7&amp;"'!$1:$1048576"),MATCH(J$4,INDIRECT("'"&amp;$A7&amp;"'!A:A"),0),MATCH(J$1,INDIRECT("'"&amp;$A7&amp;"'!$5:$5"),0)+1)</f>
        <v>0.4539505921</v>
      </c>
      <c r="K7" s="87">
        <f t="shared" si="7"/>
        <v>28042.015</v>
      </c>
      <c r="L7" s="65">
        <f t="array" ref="L7">INDEX(INDIRECT("'"&amp;$A7&amp;"'!$1:$1048576"),MATCH(L$4,INDIRECT("'"&amp;$A7&amp;"'!A:A"),0),MATCH(L$1,INDIRECT("'"&amp;$A7&amp;"'!$5:$5"),0)+1)</f>
        <v>0.2693545738</v>
      </c>
      <c r="M7" s="65">
        <f t="array" ref="M7">INDEX(INDIRECT("'"&amp;$A7&amp;"'!$1:$1048576"),MATCH(M$4,INDIRECT("'"&amp;$A7&amp;"'!A:A"),0),MATCH(M$1,INDIRECT("'"&amp;$A7&amp;"'!$5:$5"),0)+1)</f>
        <v>0.2565470063</v>
      </c>
      <c r="N7" s="77">
        <f t="array" ref="N7">INDEX(INDIRECT("'"&amp;$A7&amp;"'!$1:$1048576"),MATCH(N$4,INDIRECT("'"&amp;$A7&amp;"'!A:A"),0),MATCH(N$1,INDIRECT("'"&amp;$A7&amp;"'!$5:$5"),0)+1)</f>
        <v>0.4740984198</v>
      </c>
      <c r="O7" s="89">
        <f t="shared" si="8"/>
        <v>0.04899416108</v>
      </c>
      <c r="P7" s="65">
        <f t="shared" ref="P7:Q7" si="16">+D7-L7</f>
        <v>-0.004913324192</v>
      </c>
      <c r="Q7" s="66">
        <f t="shared" si="16"/>
        <v>0.0004282155719</v>
      </c>
      <c r="R7" s="87">
        <f t="shared" si="10"/>
        <v>27457.6925</v>
      </c>
      <c r="S7" s="65">
        <f t="array" ref="S7">INDEX(INDIRECT("'"&amp;$A7&amp;"'!$1:$1048576"),MATCH(S$4,INDIRECT("'"&amp;$A7&amp;"'!A:A"),0),MATCH(S$1,INDIRECT("'"&amp;$A7&amp;"'!$5:$5"),0)+1)</f>
        <v>0.2644717869</v>
      </c>
      <c r="T7" s="65">
        <f t="array" ref="T7">INDEX(INDIRECT("'"&amp;$A7&amp;"'!$1:$1048576"),MATCH(T$4,INDIRECT("'"&amp;$A7&amp;"'!A:A"),0),MATCH(T$1,INDIRECT("'"&amp;$A7&amp;"'!$5:$5"),0)+1)</f>
        <v>0.2514429699</v>
      </c>
      <c r="U7" s="66">
        <f t="array" ref="U7">INDEX(INDIRECT("'"&amp;$A7&amp;"'!$1:$1048576"),MATCH(U$4,INDIRECT("'"&amp;$A7&amp;"'!A:A"),0),MATCH(U$1,INDIRECT("'"&amp;$A7&amp;"'!$5:$5"),0)+1)</f>
        <v>0.4840852431</v>
      </c>
      <c r="V7" s="89">
        <f t="shared" si="11"/>
        <v>0.07131762802</v>
      </c>
      <c r="W7" s="65">
        <f t="shared" ref="W7:X7" si="17">+D7-S7</f>
        <v>-0.00003053726336</v>
      </c>
      <c r="X7" s="66">
        <f t="shared" si="17"/>
        <v>0.005532251969</v>
      </c>
      <c r="Z7" s="90"/>
      <c r="AK7" s="52" t="s">
        <v>98</v>
      </c>
      <c r="AL7" s="85">
        <v>46040.0</v>
      </c>
      <c r="AM7" s="52">
        <f t="shared" si="13"/>
        <v>2026</v>
      </c>
      <c r="AN7" s="52" t="str">
        <f t="shared" si="14"/>
        <v>Week 3, 2026</v>
      </c>
      <c r="AO7" s="52" t="str">
        <f t="shared" si="15"/>
        <v>Week Ending 01/18/2026</v>
      </c>
    </row>
    <row r="8" ht="43.5" customHeight="1">
      <c r="A8" s="52" t="s">
        <v>99</v>
      </c>
      <c r="B8" s="86" t="str">
        <f t="shared" si="4"/>
        <v>6 - RASA - Mosaic</v>
      </c>
      <c r="C8" s="87">
        <f t="shared" si="5"/>
        <v>29632.43</v>
      </c>
      <c r="D8" s="65">
        <f t="array" ref="D8">INDEX(INDIRECT("'"&amp;$A8&amp;"'!$1:$1048576"),MATCH(D$4,INDIRECT("'"&amp;$A8&amp;"'!A:A"),0),MATCH(D$1,INDIRECT("'"&amp;$A8&amp;"'!$5:$5"),0)+1)</f>
        <v>0.2635821632</v>
      </c>
      <c r="E8" s="65">
        <f t="array" ref="E8">INDEX(INDIRECT("'"&amp;$A8&amp;"'!$1:$1048576"),MATCH(E$4,INDIRECT("'"&amp;$A8&amp;"'!A:A"),0),MATCH(E$1,INDIRECT("'"&amp;$A8&amp;"'!$5:$5"),0)+1)</f>
        <v>0.2379173763</v>
      </c>
      <c r="F8" s="66">
        <f t="array" ref="F8">INDEX(INDIRECT("'"&amp;$A8&amp;"'!$1:$1048576"),MATCH(F$4,INDIRECT("'"&amp;$A8&amp;"'!A:A"),0),MATCH(F$1,INDIRECT("'"&amp;$A8&amp;"'!$5:$5"),0)+1)</f>
        <v>0.4985004605</v>
      </c>
      <c r="G8" s="87">
        <f t="shared" si="6"/>
        <v>88298.51</v>
      </c>
      <c r="H8" s="65">
        <f t="array" ref="H8">INDEX(INDIRECT("'"&amp;$A8&amp;"'!$1:$1048576"),MATCH(H$4,INDIRECT("'"&amp;$A8&amp;"'!A:A"),0),MATCH(H$1,INDIRECT("'"&amp;$A8&amp;"'!$5:$5"),0)+1)</f>
        <v>0.2893126962</v>
      </c>
      <c r="I8" s="65">
        <f t="array" ref="I8">INDEX(INDIRECT("'"&amp;$A8&amp;"'!$1:$1048576"),MATCH(I$4,INDIRECT("'"&amp;$A8&amp;"'!A:A"),0),MATCH(I$1,INDIRECT("'"&amp;$A8&amp;"'!$5:$5"),0)+1)</f>
        <v>0.2592195497</v>
      </c>
      <c r="J8" s="66">
        <f t="array" ref="J8">INDEX(INDIRECT("'"&amp;$A8&amp;"'!$1:$1048576"),MATCH(J$4,INDIRECT("'"&amp;$A8&amp;"'!A:A"),0),MATCH(J$1,INDIRECT("'"&amp;$A8&amp;"'!$5:$5"),0)+1)</f>
        <v>0.4514677541</v>
      </c>
      <c r="K8" s="87">
        <f t="shared" si="7"/>
        <v>28811.32</v>
      </c>
      <c r="L8" s="65">
        <f t="array" ref="L8">INDEX(INDIRECT("'"&amp;$A8&amp;"'!$1:$1048576"),MATCH(L$4,INDIRECT("'"&amp;$A8&amp;"'!A:A"),0),MATCH(L$1,INDIRECT("'"&amp;$A8&amp;"'!$5:$5"),0)+1)</f>
        <v>0.2857884505</v>
      </c>
      <c r="M8" s="65">
        <f t="array" ref="M8">INDEX(INDIRECT("'"&amp;$A8&amp;"'!$1:$1048576"),MATCH(M$4,INDIRECT("'"&amp;$A8&amp;"'!A:A"),0),MATCH(M$1,INDIRECT("'"&amp;$A8&amp;"'!$5:$5"),0)+1)</f>
        <v>0.2441595005</v>
      </c>
      <c r="N8" s="77">
        <f t="array" ref="N8">INDEX(INDIRECT("'"&amp;$A8&amp;"'!$1:$1048576"),MATCH(N$4,INDIRECT("'"&amp;$A8&amp;"'!A:A"),0),MATCH(N$1,INDIRECT("'"&amp;$A8&amp;"'!$5:$5"),0)+1)</f>
        <v>0.470052049</v>
      </c>
      <c r="O8" s="89">
        <f t="shared" si="8"/>
        <v>0.02849956198</v>
      </c>
      <c r="P8" s="65">
        <f t="shared" ref="P8:Q8" si="18">+D8-L8</f>
        <v>-0.02220628732</v>
      </c>
      <c r="Q8" s="66">
        <f t="shared" si="18"/>
        <v>-0.006242124168</v>
      </c>
      <c r="R8" s="87">
        <f t="shared" si="10"/>
        <v>28217.9225</v>
      </c>
      <c r="S8" s="65">
        <f t="array" ref="S8">INDEX(INDIRECT("'"&amp;$A8&amp;"'!$1:$1048576"),MATCH(S$4,INDIRECT("'"&amp;$A8&amp;"'!A:A"),0),MATCH(S$1,INDIRECT("'"&amp;$A8&amp;"'!$5:$5"),0)+1)</f>
        <v>0.2804169495</v>
      </c>
      <c r="T8" s="65">
        <f t="array" ref="T8">INDEX(INDIRECT("'"&amp;$A8&amp;"'!$1:$1048576"),MATCH(T$4,INDIRECT("'"&amp;$A8&amp;"'!A:A"),0),MATCH(T$1,INDIRECT("'"&amp;$A8&amp;"'!$5:$5"),0)+1)</f>
        <v>0.2500819736</v>
      </c>
      <c r="U8" s="66">
        <f t="array" ref="U8">INDEX(INDIRECT("'"&amp;$A8&amp;"'!$1:$1048576"),MATCH(U$4,INDIRECT("'"&amp;$A8&amp;"'!A:A"),0),MATCH(U$1,INDIRECT("'"&amp;$A8&amp;"'!$5:$5"),0)+1)</f>
        <v>0.4695010768</v>
      </c>
      <c r="V8" s="89">
        <f t="shared" si="11"/>
        <v>0.0501279816</v>
      </c>
      <c r="W8" s="65">
        <f t="shared" ref="W8:X8" si="19">+D8-S8</f>
        <v>-0.01683478636</v>
      </c>
      <c r="X8" s="66">
        <f t="shared" si="19"/>
        <v>-0.01216459728</v>
      </c>
      <c r="AK8" s="52" t="s">
        <v>107</v>
      </c>
      <c r="AL8" s="85">
        <v>46047.0</v>
      </c>
      <c r="AM8" s="52">
        <f t="shared" si="13"/>
        <v>2026</v>
      </c>
      <c r="AN8" s="52" t="str">
        <f t="shared" si="14"/>
        <v>Week 4, 2026</v>
      </c>
      <c r="AO8" s="52" t="str">
        <f t="shared" si="15"/>
        <v>Week Ending 01/25/2026</v>
      </c>
    </row>
    <row r="9" ht="43.5" customHeight="1">
      <c r="A9" s="52" t="s">
        <v>1</v>
      </c>
      <c r="B9" s="86" t="str">
        <f t="shared" si="4"/>
        <v>7 - RASA - Rockville</v>
      </c>
      <c r="C9" s="87">
        <f t="shared" si="5"/>
        <v>25850.78</v>
      </c>
      <c r="D9" s="65">
        <f t="array" ref="D9">INDEX(INDIRECT("'"&amp;$A9&amp;"'!$1:$1048576"),MATCH(D$4,INDIRECT("'"&amp;$A9&amp;"'!A:A"),0),MATCH(D$1,INDIRECT("'"&amp;$A9&amp;"'!$5:$5"),0)+1)</f>
        <v>0.3257793382</v>
      </c>
      <c r="E9" s="65">
        <f t="array" ref="E9">INDEX(INDIRECT("'"&amp;$A9&amp;"'!$1:$1048576"),MATCH(E$4,INDIRECT("'"&amp;$A9&amp;"'!A:A"),0),MATCH(E$1,INDIRECT("'"&amp;$A9&amp;"'!$5:$5"),0)+1)</f>
        <v>0.2791397397</v>
      </c>
      <c r="F9" s="66">
        <f t="array" ref="F9">INDEX(INDIRECT("'"&amp;$A9&amp;"'!$1:$1048576"),MATCH(F$4,INDIRECT("'"&amp;$A9&amp;"'!A:A"),0),MATCH(F$1,INDIRECT("'"&amp;$A9&amp;"'!$5:$5"),0)+1)</f>
        <v>0.3950809221</v>
      </c>
      <c r="G9" s="87">
        <f t="shared" si="6"/>
        <v>82307.12</v>
      </c>
      <c r="H9" s="65">
        <f t="array" ref="H9">INDEX(INDIRECT("'"&amp;$A9&amp;"'!$1:$1048576"),MATCH(H$4,INDIRECT("'"&amp;$A9&amp;"'!A:A"),0),MATCH(H$1,INDIRECT("'"&amp;$A9&amp;"'!$5:$5"),0)+1)</f>
        <v>0.2974437691</v>
      </c>
      <c r="I9" s="65">
        <f t="array" ref="I9">INDEX(INDIRECT("'"&amp;$A9&amp;"'!$1:$1048576"),MATCH(I$4,INDIRECT("'"&amp;$A9&amp;"'!A:A"),0),MATCH(I$1,INDIRECT("'"&amp;$A9&amp;"'!$5:$5"),0)+1)</f>
        <v>0.2613536958</v>
      </c>
      <c r="J9" s="66">
        <f t="array" ref="J9">INDEX(INDIRECT("'"&amp;$A9&amp;"'!$1:$1048576"),MATCH(J$4,INDIRECT("'"&amp;$A9&amp;"'!A:A"),0),MATCH(J$1,INDIRECT("'"&amp;$A9&amp;"'!$5:$5"),0)+1)</f>
        <v>0.4412025351</v>
      </c>
      <c r="K9" s="87">
        <f t="shared" si="7"/>
        <v>28069.6425</v>
      </c>
      <c r="L9" s="65">
        <f t="array" ref="L9">INDEX(INDIRECT("'"&amp;$A9&amp;"'!$1:$1048576"),MATCH(L$4,INDIRECT("'"&amp;$A9&amp;"'!A:A"),0),MATCH(L$1,INDIRECT("'"&amp;$A9&amp;"'!$5:$5"),0)+1)</f>
        <v>0.2901904611</v>
      </c>
      <c r="M9" s="65">
        <f t="array" ref="M9">INDEX(INDIRECT("'"&amp;$A9&amp;"'!$1:$1048576"),MATCH(M$4,INDIRECT("'"&amp;$A9&amp;"'!A:A"),0),MATCH(M$1,INDIRECT("'"&amp;$A9&amp;"'!$5:$5"),0)+1)</f>
        <v>0.2453284719</v>
      </c>
      <c r="N9" s="77">
        <f t="array" ref="N9">INDEX(INDIRECT("'"&amp;$A9&amp;"'!$1:$1048576"),MATCH(N$4,INDIRECT("'"&amp;$A9&amp;"'!A:A"),0),MATCH(N$1,INDIRECT("'"&amp;$A9&amp;"'!$5:$5"),0)+1)</f>
        <v>0.464481067</v>
      </c>
      <c r="O9" s="89">
        <f t="shared" si="8"/>
        <v>-0.07904847737</v>
      </c>
      <c r="P9" s="65">
        <f t="shared" ref="P9:Q9" si="20">+D9-L9</f>
        <v>0.03558887709</v>
      </c>
      <c r="Q9" s="66">
        <f t="shared" si="20"/>
        <v>0.03381126784</v>
      </c>
      <c r="R9" s="87">
        <f t="shared" si="10"/>
        <v>26315.2075</v>
      </c>
      <c r="S9" s="65">
        <f t="array" ref="S9">INDEX(INDIRECT("'"&amp;$A9&amp;"'!$1:$1048576"),MATCH(S$4,INDIRECT("'"&amp;$A9&amp;"'!A:A"),0),MATCH(S$1,INDIRECT("'"&amp;$A9&amp;"'!$5:$5"),0)+1)</f>
        <v>0.2921241928</v>
      </c>
      <c r="T9" s="65">
        <f t="array" ref="T9">INDEX(INDIRECT("'"&amp;$A9&amp;"'!$1:$1048576"),MATCH(T$4,INDIRECT("'"&amp;$A9&amp;"'!A:A"),0),MATCH(T$1,INDIRECT("'"&amp;$A9&amp;"'!$5:$5"),0)+1)</f>
        <v>0.261675877</v>
      </c>
      <c r="U9" s="66">
        <f t="array" ref="U9">INDEX(INDIRECT("'"&amp;$A9&amp;"'!$1:$1048576"),MATCH(U$4,INDIRECT("'"&amp;$A9&amp;"'!A:A"),0),MATCH(U$1,INDIRECT("'"&amp;$A9&amp;"'!$5:$5"),0)+1)</f>
        <v>0.4461999302</v>
      </c>
      <c r="V9" s="89">
        <f t="shared" si="11"/>
        <v>-0.0176486353</v>
      </c>
      <c r="W9" s="65">
        <f t="shared" ref="W9:X9" si="21">+D9-S9</f>
        <v>0.03365514536</v>
      </c>
      <c r="X9" s="66">
        <f t="shared" si="21"/>
        <v>0.01746386273</v>
      </c>
      <c r="AK9" s="52" t="s">
        <v>118</v>
      </c>
      <c r="AL9" s="85">
        <v>46054.0</v>
      </c>
      <c r="AM9" s="52">
        <f t="shared" si="13"/>
        <v>2026</v>
      </c>
      <c r="AN9" s="52" t="str">
        <f t="shared" si="14"/>
        <v>Week 5, 2026</v>
      </c>
      <c r="AO9" s="52" t="str">
        <f t="shared" si="15"/>
        <v>Week Ending 02/01/2026</v>
      </c>
    </row>
    <row r="10" ht="15.0" customHeight="1">
      <c r="A10" s="52" t="s">
        <v>14</v>
      </c>
      <c r="B10" s="91" t="s">
        <v>119</v>
      </c>
      <c r="C10" s="93">
        <f t="shared" si="5"/>
        <v>163189.27</v>
      </c>
      <c r="D10" s="95">
        <f t="array" ref="D10">INDEX(INDIRECT("'"&amp;$A10&amp;"'!$1:$1048576"),MATCH(D$4,INDIRECT("'"&amp;$A10&amp;"'!A:A"),0),MATCH(D$1,INDIRECT("'"&amp;$A10&amp;"'!$5:$5"),0)+1)</f>
        <v>0.2615658493</v>
      </c>
      <c r="E10" s="95">
        <f t="array" ref="E10">INDEX(INDIRECT("'"&amp;$A10&amp;"'!$1:$1048576"),MATCH(E$4,INDIRECT("'"&amp;$A10&amp;"'!A:A"),0),MATCH(E$1,INDIRECT("'"&amp;$A10&amp;"'!$5:$5"),0)+1)</f>
        <v>0.2431874963</v>
      </c>
      <c r="F10" s="97">
        <f t="array" ref="F10">INDEX(INDIRECT("'"&amp;$A10&amp;"'!$1:$1048576"),MATCH(F$4,INDIRECT("'"&amp;$A10&amp;"'!A:A"),0),MATCH(F$1,INDIRECT("'"&amp;$A10&amp;"'!$5:$5"),0)+1)</f>
        <v>0.4952466544</v>
      </c>
      <c r="G10" s="93">
        <f t="shared" si="6"/>
        <v>476829.15</v>
      </c>
      <c r="H10" s="95">
        <f t="array" ref="H10">INDEX(INDIRECT("'"&amp;$A10&amp;"'!$1:$1048576"),MATCH(H$4,INDIRECT("'"&amp;$A10&amp;"'!A:A"),0),MATCH(H$1,INDIRECT("'"&amp;$A10&amp;"'!$5:$5"),0)+1)</f>
        <v>0.2718834618</v>
      </c>
      <c r="I10" s="95">
        <f t="array" ref="I10">INDEX(INDIRECT("'"&amp;$A10&amp;"'!$1:$1048576"),MATCH(I$4,INDIRECT("'"&amp;$A10&amp;"'!A:A"),0),MATCH(I$1,INDIRECT("'"&amp;$A10&amp;"'!$5:$5"),0)+1)</f>
        <v>0.2499439055</v>
      </c>
      <c r="J10" s="97">
        <f t="array" ref="J10">INDEX(INDIRECT("'"&amp;$A10&amp;"'!$1:$1048576"),MATCH(J$4,INDIRECT("'"&amp;$A10&amp;"'!A:A"),0),MATCH(J$1,INDIRECT("'"&amp;$A10&amp;"'!$5:$5"),0)+1)</f>
        <v>0.4781726327</v>
      </c>
      <c r="K10" s="93">
        <f t="shared" si="7"/>
        <v>161303.5575</v>
      </c>
      <c r="L10" s="95">
        <f t="array" ref="L10">INDEX(INDIRECT("'"&amp;$A10&amp;"'!$1:$1048576"),MATCH(L$4,INDIRECT("'"&amp;$A10&amp;"'!A:A"),0),MATCH(L$1,INDIRECT("'"&amp;$A10&amp;"'!$5:$5"),0)+1)</f>
        <v>0.2721486474</v>
      </c>
      <c r="M10" s="95">
        <f t="array" ref="M10">INDEX(INDIRECT("'"&amp;$A10&amp;"'!$1:$1048576"),MATCH(M$4,INDIRECT("'"&amp;$A10&amp;"'!A:A"),0),MATCH(M$1,INDIRECT("'"&amp;$A10&amp;"'!$5:$5"),0)+1)</f>
        <v>0.237592404</v>
      </c>
      <c r="N10" s="102">
        <f t="array" ref="N10">INDEX(INDIRECT("'"&amp;$A10&amp;"'!$1:$1048576"),MATCH(N$4,INDIRECT("'"&amp;$A10&amp;"'!A:A"),0),MATCH(N$1,INDIRECT("'"&amp;$A10&amp;"'!$5:$5"),0)+1)</f>
        <v>0.4902589486</v>
      </c>
      <c r="O10" s="103">
        <f t="shared" si="8"/>
        <v>0.01169045822</v>
      </c>
      <c r="P10" s="95">
        <f t="shared" ref="P10:Q10" si="22">+D10-L10</f>
        <v>-0.01058279816</v>
      </c>
      <c r="Q10" s="97">
        <f t="shared" si="22"/>
        <v>0.005595092336</v>
      </c>
      <c r="R10" s="93">
        <f t="shared" si="10"/>
        <v>158271.465</v>
      </c>
      <c r="S10" s="95">
        <f t="array" ref="S10">INDEX(INDIRECT("'"&amp;$A10&amp;"'!$1:$1048576"),MATCH(S$4,INDIRECT("'"&amp;$A10&amp;"'!A:A"),0),MATCH(S$1,INDIRECT("'"&amp;$A10&amp;"'!$5:$5"),0)+1)</f>
        <v>0.270684801</v>
      </c>
      <c r="T10" s="95">
        <f t="array" ref="T10">INDEX(INDIRECT("'"&amp;$A10&amp;"'!$1:$1048576"),MATCH(T$4,INDIRECT("'"&amp;$A10&amp;"'!A:A"),0),MATCH(T$1,INDIRECT("'"&amp;$A10&amp;"'!$5:$5"),0)+1)</f>
        <v>0.2429090029</v>
      </c>
      <c r="U10" s="97">
        <f t="array" ref="U10">INDEX(INDIRECT("'"&amp;$A10&amp;"'!$1:$1048576"),MATCH(U$4,INDIRECT("'"&amp;$A10&amp;"'!A:A"),0),MATCH(U$1,INDIRECT("'"&amp;$A10&amp;"'!$5:$5"),0)+1)</f>
        <v>0.4864061962</v>
      </c>
      <c r="V10" s="103">
        <f t="shared" si="11"/>
        <v>0.03107196234</v>
      </c>
      <c r="W10" s="95">
        <f t="shared" ref="W10:X10" si="23">+D10-S10</f>
        <v>-0.009118951678</v>
      </c>
      <c r="X10" s="97">
        <f t="shared" si="23"/>
        <v>0.000278493439</v>
      </c>
      <c r="AK10" s="52" t="s">
        <v>126</v>
      </c>
      <c r="AL10" s="85">
        <v>46061.0</v>
      </c>
      <c r="AM10" s="52">
        <f t="shared" si="13"/>
        <v>2026</v>
      </c>
      <c r="AN10" s="52" t="str">
        <f t="shared" si="14"/>
        <v>Week 6, 2026</v>
      </c>
      <c r="AO10" s="52" t="str">
        <f t="shared" si="15"/>
        <v>Week Ending 02/08/2026</v>
      </c>
    </row>
    <row r="11" ht="43.5" customHeight="1">
      <c r="E11" s="104"/>
      <c r="O11" s="12"/>
      <c r="P11" s="12"/>
      <c r="Q11" s="12"/>
      <c r="V11" s="12"/>
      <c r="W11" s="12"/>
      <c r="X11" s="12"/>
      <c r="AK11" s="52" t="s">
        <v>127</v>
      </c>
      <c r="AL11" s="85">
        <v>46068.0</v>
      </c>
      <c r="AM11" s="52">
        <f t="shared" si="13"/>
        <v>2026</v>
      </c>
      <c r="AN11" s="52" t="str">
        <f t="shared" si="14"/>
        <v>Week 7, 2026</v>
      </c>
      <c r="AO11" s="52" t="str">
        <f t="shared" si="15"/>
        <v>Week Ending 02/15/2026</v>
      </c>
    </row>
    <row r="12" ht="43.5" customHeight="1">
      <c r="A12" s="105"/>
      <c r="B12" s="105"/>
      <c r="C12" s="106"/>
      <c r="D12" s="105"/>
      <c r="E12" s="107"/>
      <c r="F12" s="107"/>
      <c r="G12" s="105"/>
      <c r="H12" s="105"/>
      <c r="I12" s="105"/>
      <c r="J12" s="105"/>
      <c r="K12" s="108"/>
      <c r="L12" s="105"/>
      <c r="M12" s="108"/>
      <c r="N12" s="105"/>
      <c r="O12" s="109"/>
      <c r="P12" s="109"/>
      <c r="Q12" s="109"/>
      <c r="R12" s="105"/>
      <c r="S12" s="105"/>
      <c r="T12" s="105"/>
      <c r="U12" s="105"/>
      <c r="V12" s="109"/>
      <c r="W12" s="109"/>
      <c r="X12" s="109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52" t="s">
        <v>129</v>
      </c>
      <c r="AL12" s="85">
        <v>46075.0</v>
      </c>
      <c r="AM12" s="52">
        <f t="shared" si="13"/>
        <v>2026</v>
      </c>
      <c r="AN12" s="52" t="str">
        <f t="shared" si="14"/>
        <v>Week 8, 2026</v>
      </c>
      <c r="AO12" s="52" t="str">
        <f t="shared" si="15"/>
        <v>Week Ending 02/22/2026</v>
      </c>
    </row>
    <row r="13" ht="43.5" customHeight="1">
      <c r="B13" s="110" t="s">
        <v>130</v>
      </c>
      <c r="C13" s="111"/>
      <c r="D13" s="105"/>
      <c r="E13" s="107"/>
      <c r="F13" s="107"/>
      <c r="G13" s="105"/>
      <c r="H13" s="108"/>
      <c r="I13" s="105"/>
      <c r="J13" s="105"/>
      <c r="K13" s="108"/>
      <c r="L13" s="108"/>
      <c r="M13" s="105"/>
      <c r="N13" s="105"/>
      <c r="O13" s="109"/>
      <c r="P13" s="109"/>
      <c r="Q13" s="112"/>
      <c r="R13" s="105"/>
      <c r="S13" s="105"/>
      <c r="T13" s="105"/>
      <c r="U13" s="105"/>
      <c r="V13" s="109"/>
      <c r="W13" s="109"/>
      <c r="X13" s="109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52" t="s">
        <v>132</v>
      </c>
      <c r="AL13" s="85">
        <v>46082.0</v>
      </c>
      <c r="AM13" s="52">
        <f t="shared" si="13"/>
        <v>2026</v>
      </c>
      <c r="AN13" s="52" t="str">
        <f t="shared" si="14"/>
        <v>Week 9, 2026</v>
      </c>
      <c r="AO13" s="52" t="str">
        <f t="shared" si="15"/>
        <v>Week Ending 03/01/2026</v>
      </c>
    </row>
    <row r="14" ht="43.5" customHeight="1">
      <c r="B14" s="105"/>
      <c r="C14" s="111"/>
      <c r="D14" s="105"/>
      <c r="E14" s="107"/>
      <c r="F14" s="107"/>
      <c r="G14" s="105"/>
      <c r="H14" s="105"/>
      <c r="I14" s="105"/>
      <c r="J14" s="105"/>
      <c r="K14" s="105"/>
      <c r="L14" s="105"/>
      <c r="M14" s="105"/>
      <c r="N14" s="105"/>
      <c r="O14" s="109"/>
      <c r="P14" s="109"/>
      <c r="Q14" s="109"/>
      <c r="R14" s="105"/>
      <c r="S14" s="105"/>
      <c r="T14" s="105"/>
      <c r="U14" s="105"/>
      <c r="V14" s="109"/>
      <c r="W14" s="109"/>
      <c r="X14" s="109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52" t="s">
        <v>133</v>
      </c>
      <c r="AL14" s="85">
        <v>46089.0</v>
      </c>
      <c r="AM14" s="52">
        <f t="shared" si="13"/>
        <v>2026</v>
      </c>
      <c r="AN14" s="52" t="str">
        <f t="shared" si="14"/>
        <v>Week 10, 2026</v>
      </c>
      <c r="AO14" s="52" t="str">
        <f t="shared" si="15"/>
        <v>Week Ending 03/08/2026</v>
      </c>
    </row>
    <row r="15" ht="43.5" customHeight="1">
      <c r="B15" s="113" t="s">
        <v>135</v>
      </c>
      <c r="C15" s="114"/>
      <c r="D15" s="105"/>
      <c r="E15" s="107"/>
      <c r="F15" s="107"/>
      <c r="G15" s="105"/>
      <c r="H15" s="105"/>
      <c r="I15" s="105"/>
      <c r="J15" s="105"/>
      <c r="K15" s="105"/>
      <c r="L15" s="105"/>
      <c r="M15" s="105"/>
      <c r="N15" s="105"/>
      <c r="O15" s="109"/>
      <c r="P15" s="109"/>
      <c r="Q15" s="109"/>
      <c r="R15" s="105"/>
      <c r="S15" s="105"/>
      <c r="T15" s="105"/>
      <c r="U15" s="105"/>
      <c r="V15" s="109"/>
      <c r="W15" s="109"/>
      <c r="X15" s="109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52" t="s">
        <v>136</v>
      </c>
      <c r="AL15" s="85">
        <v>46096.0</v>
      </c>
      <c r="AM15" s="52">
        <f t="shared" si="13"/>
        <v>2026</v>
      </c>
      <c r="AN15" s="52" t="str">
        <f t="shared" si="14"/>
        <v>Week 11, 2026</v>
      </c>
      <c r="AO15" s="52" t="str">
        <f t="shared" si="15"/>
        <v>Week Ending 03/15/2026</v>
      </c>
    </row>
    <row r="16" ht="43.5" customHeight="1">
      <c r="B16" s="115" t="s">
        <v>137</v>
      </c>
      <c r="C16" s="114" t="s">
        <v>139</v>
      </c>
      <c r="D16" s="105"/>
      <c r="E16" s="107"/>
      <c r="F16" s="105"/>
      <c r="G16" s="105"/>
      <c r="H16" s="105"/>
      <c r="I16" s="105"/>
      <c r="J16" s="105"/>
      <c r="K16" s="105"/>
      <c r="L16" s="105"/>
      <c r="M16" s="105"/>
      <c r="N16" s="105"/>
      <c r="O16" s="109"/>
      <c r="P16" s="109"/>
      <c r="Q16" s="109"/>
      <c r="R16" s="105"/>
      <c r="S16" s="105"/>
      <c r="T16" s="105"/>
      <c r="U16" s="105"/>
      <c r="V16" s="109"/>
      <c r="W16" s="109"/>
      <c r="X16" s="109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52" t="s">
        <v>140</v>
      </c>
      <c r="AL16" s="85">
        <v>46103.0</v>
      </c>
      <c r="AM16" s="52">
        <f t="shared" si="13"/>
        <v>2026</v>
      </c>
      <c r="AN16" s="52" t="str">
        <f t="shared" si="14"/>
        <v>Week 12, 2026</v>
      </c>
      <c r="AO16" s="52" t="str">
        <f t="shared" si="15"/>
        <v>Week Ending 03/22/2026</v>
      </c>
    </row>
    <row r="17" ht="43.5" customHeight="1">
      <c r="B17" s="115" t="s">
        <v>141</v>
      </c>
      <c r="C17" s="114" t="s">
        <v>142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9"/>
      <c r="P17" s="109"/>
      <c r="Q17" s="109"/>
      <c r="R17" s="105"/>
      <c r="S17" s="105"/>
      <c r="T17" s="105"/>
      <c r="U17" s="105"/>
      <c r="V17" s="109"/>
      <c r="W17" s="109"/>
      <c r="X17" s="109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52" t="s">
        <v>144</v>
      </c>
      <c r="AL17" s="85">
        <v>46110.0</v>
      </c>
      <c r="AM17" s="52">
        <f t="shared" si="13"/>
        <v>2026</v>
      </c>
      <c r="AN17" s="52" t="str">
        <f t="shared" si="14"/>
        <v>Week 13, 2026</v>
      </c>
      <c r="AO17" s="52" t="str">
        <f t="shared" si="15"/>
        <v>Week Ending 03/29/2026</v>
      </c>
    </row>
    <row r="18" ht="43.5" customHeight="1">
      <c r="A18" s="105"/>
      <c r="B18" s="115"/>
      <c r="C18" s="114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9"/>
      <c r="P18" s="109"/>
      <c r="Q18" s="109"/>
      <c r="R18" s="105"/>
      <c r="S18" s="105"/>
      <c r="T18" s="105"/>
      <c r="U18" s="105"/>
      <c r="V18" s="109"/>
      <c r="W18" s="109"/>
      <c r="X18" s="109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52" t="s">
        <v>145</v>
      </c>
      <c r="AL18" s="85">
        <v>46117.0</v>
      </c>
      <c r="AM18" s="52">
        <f t="shared" si="13"/>
        <v>2026</v>
      </c>
      <c r="AN18" s="52" t="str">
        <f t="shared" si="14"/>
        <v>Week 14, 2026</v>
      </c>
      <c r="AO18" s="52" t="str">
        <f t="shared" si="15"/>
        <v>Week Ending 04/05/2026</v>
      </c>
    </row>
    <row r="19" ht="43.5" customHeight="1">
      <c r="A19" s="105"/>
      <c r="B19" s="113" t="s">
        <v>147</v>
      </c>
      <c r="C19" s="114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9"/>
      <c r="P19" s="109"/>
      <c r="Q19" s="109"/>
      <c r="R19" s="105"/>
      <c r="S19" s="105"/>
      <c r="T19" s="105"/>
      <c r="U19" s="105"/>
      <c r="V19" s="109"/>
      <c r="W19" s="109"/>
      <c r="X19" s="109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52" t="s">
        <v>148</v>
      </c>
      <c r="AL19" s="85">
        <v>46124.0</v>
      </c>
      <c r="AM19" s="52">
        <f t="shared" si="13"/>
        <v>2026</v>
      </c>
      <c r="AN19" s="52" t="str">
        <f t="shared" si="14"/>
        <v>Week 15, 2026</v>
      </c>
      <c r="AO19" s="52" t="str">
        <f t="shared" si="15"/>
        <v>Week Ending 04/12/2026</v>
      </c>
    </row>
    <row r="20" ht="43.5" customHeight="1">
      <c r="A20" s="105"/>
      <c r="B20" s="115" t="s">
        <v>137</v>
      </c>
      <c r="C20" s="114" t="s">
        <v>149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9"/>
      <c r="P20" s="109"/>
      <c r="Q20" s="109"/>
      <c r="R20" s="105"/>
      <c r="S20" s="105"/>
      <c r="T20" s="105"/>
      <c r="U20" s="105"/>
      <c r="V20" s="109"/>
      <c r="W20" s="109"/>
      <c r="X20" s="109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52" t="s">
        <v>150</v>
      </c>
      <c r="AL20" s="85">
        <v>46131.0</v>
      </c>
      <c r="AM20" s="52">
        <f t="shared" si="13"/>
        <v>2026</v>
      </c>
      <c r="AN20" s="52" t="str">
        <f t="shared" si="14"/>
        <v>Week 16, 2026</v>
      </c>
      <c r="AO20" s="52" t="str">
        <f t="shared" si="15"/>
        <v>Week Ending 04/19/2026</v>
      </c>
    </row>
    <row r="21" ht="43.5" customHeight="1">
      <c r="A21" s="105"/>
      <c r="B21" s="115" t="s">
        <v>141</v>
      </c>
      <c r="C21" s="114" t="s">
        <v>149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9"/>
      <c r="P21" s="109"/>
      <c r="Q21" s="109"/>
      <c r="R21" s="105"/>
      <c r="S21" s="105"/>
      <c r="T21" s="105"/>
      <c r="U21" s="105"/>
      <c r="V21" s="109"/>
      <c r="W21" s="109"/>
      <c r="X21" s="109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52" t="s">
        <v>152</v>
      </c>
      <c r="AL21" s="85">
        <v>46138.0</v>
      </c>
      <c r="AM21" s="52">
        <f t="shared" si="13"/>
        <v>2026</v>
      </c>
      <c r="AN21" s="52" t="str">
        <f t="shared" si="14"/>
        <v>Week 17, 2026</v>
      </c>
      <c r="AO21" s="52" t="str">
        <f t="shared" si="15"/>
        <v>Week Ending 04/26/2026</v>
      </c>
    </row>
    <row r="22" ht="43.5" customHeight="1">
      <c r="A22" s="105"/>
      <c r="B22" s="115"/>
      <c r="C22" s="114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9"/>
      <c r="P22" s="109"/>
      <c r="Q22" s="109"/>
      <c r="R22" s="105"/>
      <c r="S22" s="105"/>
      <c r="T22" s="105"/>
      <c r="U22" s="105"/>
      <c r="V22" s="109"/>
      <c r="W22" s="109"/>
      <c r="X22" s="109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52" t="s">
        <v>154</v>
      </c>
      <c r="AL22" s="85">
        <v>46145.0</v>
      </c>
      <c r="AM22" s="52">
        <f t="shared" si="13"/>
        <v>2026</v>
      </c>
      <c r="AN22" s="52" t="str">
        <f t="shared" si="14"/>
        <v>Week 18, 2026</v>
      </c>
      <c r="AO22" s="52" t="str">
        <f t="shared" si="15"/>
        <v>Week Ending 05/03/2026</v>
      </c>
    </row>
    <row r="23" ht="43.5" customHeight="1">
      <c r="A23" s="105"/>
      <c r="B23" s="113" t="s">
        <v>155</v>
      </c>
      <c r="C23" s="114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9"/>
      <c r="P23" s="109"/>
      <c r="Q23" s="109"/>
      <c r="R23" s="105"/>
      <c r="S23" s="105"/>
      <c r="T23" s="105"/>
      <c r="U23" s="105"/>
      <c r="V23" s="109"/>
      <c r="W23" s="109"/>
      <c r="X23" s="109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52" t="s">
        <v>156</v>
      </c>
      <c r="AL23" s="85">
        <v>46152.0</v>
      </c>
      <c r="AM23" s="52">
        <f t="shared" si="13"/>
        <v>2026</v>
      </c>
      <c r="AN23" s="52" t="str">
        <f t="shared" si="14"/>
        <v>Week 19, 2026</v>
      </c>
      <c r="AO23" s="52" t="str">
        <f t="shared" si="15"/>
        <v>Week Ending 05/10/2026</v>
      </c>
    </row>
    <row r="24" ht="43.5" customHeight="1">
      <c r="A24" s="105"/>
      <c r="B24" s="115" t="s">
        <v>137</v>
      </c>
      <c r="C24" s="114" t="s">
        <v>149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9"/>
      <c r="P24" s="109"/>
      <c r="Q24" s="109"/>
      <c r="R24" s="105"/>
      <c r="S24" s="105"/>
      <c r="T24" s="105"/>
      <c r="U24" s="105"/>
      <c r="V24" s="109"/>
      <c r="W24" s="109"/>
      <c r="X24" s="109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52" t="s">
        <v>157</v>
      </c>
      <c r="AL24" s="85">
        <v>46159.0</v>
      </c>
      <c r="AM24" s="52">
        <f t="shared" si="13"/>
        <v>2026</v>
      </c>
      <c r="AN24" s="52" t="str">
        <f t="shared" si="14"/>
        <v>Week 20, 2026</v>
      </c>
      <c r="AO24" s="52" t="str">
        <f t="shared" si="15"/>
        <v>Week Ending 05/17/2026</v>
      </c>
    </row>
    <row r="25" ht="43.5" customHeight="1">
      <c r="A25" s="105"/>
      <c r="B25" s="115" t="s">
        <v>141</v>
      </c>
      <c r="C25" s="114" t="s">
        <v>149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9"/>
      <c r="P25" s="109"/>
      <c r="Q25" s="109"/>
      <c r="R25" s="105"/>
      <c r="S25" s="105"/>
      <c r="T25" s="105"/>
      <c r="U25" s="105"/>
      <c r="V25" s="109"/>
      <c r="W25" s="109"/>
      <c r="X25" s="109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52" t="s">
        <v>159</v>
      </c>
      <c r="AL25" s="85">
        <v>46166.0</v>
      </c>
      <c r="AM25" s="52">
        <f t="shared" si="13"/>
        <v>2026</v>
      </c>
      <c r="AN25" s="52" t="str">
        <f t="shared" si="14"/>
        <v>Week 21, 2026</v>
      </c>
      <c r="AO25" s="52" t="str">
        <f t="shared" si="15"/>
        <v>Week Ending 05/24/2026</v>
      </c>
    </row>
    <row r="26" ht="43.5" customHeight="1">
      <c r="A26" s="105"/>
      <c r="B26" s="115"/>
      <c r="C26" s="114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9"/>
      <c r="P26" s="109"/>
      <c r="Q26" s="109"/>
      <c r="R26" s="105"/>
      <c r="S26" s="105"/>
      <c r="T26" s="105"/>
      <c r="U26" s="105"/>
      <c r="V26" s="109"/>
      <c r="W26" s="109"/>
      <c r="X26" s="109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52" t="s">
        <v>161</v>
      </c>
      <c r="AL26" s="85">
        <v>46173.0</v>
      </c>
      <c r="AM26" s="52">
        <f t="shared" si="13"/>
        <v>2026</v>
      </c>
      <c r="AN26" s="52" t="str">
        <f t="shared" si="14"/>
        <v>Week 22, 2026</v>
      </c>
      <c r="AO26" s="52" t="str">
        <f t="shared" si="15"/>
        <v>Week Ending 05/31/2026</v>
      </c>
    </row>
    <row r="27" ht="43.5" customHeight="1">
      <c r="A27" s="105"/>
      <c r="B27" s="113" t="s">
        <v>162</v>
      </c>
      <c r="C27" s="114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9"/>
      <c r="P27" s="109"/>
      <c r="Q27" s="109"/>
      <c r="R27" s="105"/>
      <c r="S27" s="105"/>
      <c r="T27" s="105"/>
      <c r="U27" s="105"/>
      <c r="V27" s="109"/>
      <c r="W27" s="109"/>
      <c r="X27" s="109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52" t="s">
        <v>164</v>
      </c>
      <c r="AL27" s="85">
        <v>46180.0</v>
      </c>
      <c r="AM27" s="52">
        <f t="shared" si="13"/>
        <v>2026</v>
      </c>
      <c r="AN27" s="52" t="str">
        <f t="shared" si="14"/>
        <v>Week 23, 2026</v>
      </c>
      <c r="AO27" s="52" t="str">
        <f t="shared" si="15"/>
        <v>Week Ending 06/07/2026</v>
      </c>
    </row>
    <row r="28" ht="43.5" customHeight="1">
      <c r="A28" s="105"/>
      <c r="B28" s="115" t="s">
        <v>137</v>
      </c>
      <c r="C28" s="114" t="s">
        <v>165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9"/>
      <c r="P28" s="109"/>
      <c r="Q28" s="109"/>
      <c r="R28" s="105"/>
      <c r="S28" s="105"/>
      <c r="T28" s="105"/>
      <c r="U28" s="105"/>
      <c r="V28" s="109"/>
      <c r="W28" s="109"/>
      <c r="X28" s="109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52" t="s">
        <v>166</v>
      </c>
      <c r="AL28" s="85">
        <v>46187.0</v>
      </c>
      <c r="AM28" s="52">
        <f t="shared" si="13"/>
        <v>2026</v>
      </c>
      <c r="AN28" s="52" t="str">
        <f t="shared" si="14"/>
        <v>Week 24, 2026</v>
      </c>
      <c r="AO28" s="52" t="str">
        <f t="shared" si="15"/>
        <v>Week Ending 06/14/2026</v>
      </c>
    </row>
    <row r="29" ht="43.5" customHeight="1">
      <c r="A29" s="105"/>
      <c r="B29" s="115" t="s">
        <v>141</v>
      </c>
      <c r="C29" s="114" t="s">
        <v>149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9"/>
      <c r="P29" s="109"/>
      <c r="Q29" s="109"/>
      <c r="R29" s="105"/>
      <c r="S29" s="105"/>
      <c r="T29" s="105"/>
      <c r="U29" s="105"/>
      <c r="V29" s="109"/>
      <c r="W29" s="109"/>
      <c r="X29" s="109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52" t="s">
        <v>168</v>
      </c>
      <c r="AL29" s="85">
        <v>46194.0</v>
      </c>
      <c r="AM29" s="52">
        <f t="shared" si="13"/>
        <v>2026</v>
      </c>
      <c r="AN29" s="52" t="str">
        <f t="shared" si="14"/>
        <v>Week 25, 2026</v>
      </c>
      <c r="AO29" s="52" t="str">
        <f t="shared" si="15"/>
        <v>Week Ending 06/21/2026</v>
      </c>
    </row>
    <row r="30" ht="43.5" customHeight="1">
      <c r="A30" s="105"/>
      <c r="B30" s="115"/>
      <c r="C30" s="114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9"/>
      <c r="P30" s="109"/>
      <c r="Q30" s="109"/>
      <c r="R30" s="105"/>
      <c r="S30" s="105"/>
      <c r="T30" s="105"/>
      <c r="U30" s="105"/>
      <c r="V30" s="109"/>
      <c r="W30" s="109"/>
      <c r="X30" s="109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52" t="s">
        <v>170</v>
      </c>
      <c r="AL30" s="85">
        <v>46201.0</v>
      </c>
      <c r="AM30" s="52">
        <f t="shared" si="13"/>
        <v>2026</v>
      </c>
      <c r="AN30" s="52" t="str">
        <f t="shared" si="14"/>
        <v>Week 26, 2026</v>
      </c>
      <c r="AO30" s="52" t="str">
        <f t="shared" si="15"/>
        <v>Week Ending 06/28/2026</v>
      </c>
    </row>
    <row r="31" ht="43.5" customHeight="1">
      <c r="A31" s="105"/>
      <c r="B31" s="113" t="s">
        <v>171</v>
      </c>
      <c r="C31" s="116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9"/>
      <c r="P31" s="109"/>
      <c r="Q31" s="109"/>
      <c r="R31" s="105"/>
      <c r="S31" s="105"/>
      <c r="T31" s="105"/>
      <c r="U31" s="105"/>
      <c r="V31" s="109"/>
      <c r="W31" s="109"/>
      <c r="X31" s="109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52" t="s">
        <v>173</v>
      </c>
      <c r="AL31" s="85">
        <v>46208.0</v>
      </c>
      <c r="AM31" s="52">
        <f t="shared" si="13"/>
        <v>2026</v>
      </c>
      <c r="AN31" s="52" t="str">
        <f t="shared" si="14"/>
        <v>Week 27, 2026</v>
      </c>
      <c r="AO31" s="52" t="str">
        <f t="shared" si="15"/>
        <v>Week Ending 07/05/2026</v>
      </c>
    </row>
    <row r="32" ht="43.5" customHeight="1">
      <c r="A32" s="105"/>
      <c r="B32" s="115" t="s">
        <v>137</v>
      </c>
      <c r="C32" s="114" t="s">
        <v>174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9"/>
      <c r="P32" s="109"/>
      <c r="Q32" s="109"/>
      <c r="R32" s="105"/>
      <c r="S32" s="105"/>
      <c r="T32" s="105"/>
      <c r="U32" s="105"/>
      <c r="V32" s="109"/>
      <c r="W32" s="109"/>
      <c r="X32" s="109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52" t="s">
        <v>175</v>
      </c>
      <c r="AL32" s="85">
        <v>46215.0</v>
      </c>
      <c r="AM32" s="52">
        <f t="shared" si="13"/>
        <v>2026</v>
      </c>
      <c r="AN32" s="52" t="str">
        <f t="shared" si="14"/>
        <v>Week 28, 2026</v>
      </c>
      <c r="AO32" s="52" t="str">
        <f t="shared" si="15"/>
        <v>Week Ending 07/12/2026</v>
      </c>
    </row>
    <row r="33" ht="43.5" customHeight="1">
      <c r="A33" s="105"/>
      <c r="B33" s="115"/>
      <c r="C33" s="114" t="s">
        <v>177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9"/>
      <c r="P33" s="109"/>
      <c r="Q33" s="109"/>
      <c r="R33" s="105"/>
      <c r="S33" s="105"/>
      <c r="T33" s="105"/>
      <c r="U33" s="105"/>
      <c r="V33" s="109"/>
      <c r="W33" s="109"/>
      <c r="X33" s="109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L33" s="85"/>
      <c r="AO33" s="52"/>
    </row>
    <row r="34" ht="43.5" customHeight="1">
      <c r="A34" s="105"/>
      <c r="B34" s="115" t="s">
        <v>141</v>
      </c>
      <c r="C34" s="114" t="s">
        <v>178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9"/>
      <c r="P34" s="109"/>
      <c r="Q34" s="109"/>
      <c r="R34" s="105"/>
      <c r="S34" s="105"/>
      <c r="T34" s="105"/>
      <c r="U34" s="105"/>
      <c r="V34" s="109"/>
      <c r="W34" s="109"/>
      <c r="X34" s="109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52" t="s">
        <v>180</v>
      </c>
      <c r="AL34" s="85">
        <v>46222.0</v>
      </c>
      <c r="AM34" s="52">
        <f t="shared" ref="AM34:AM57" si="24">YEAR(AL34)</f>
        <v>2026</v>
      </c>
      <c r="AN34" s="52" t="str">
        <f t="shared" ref="AN34:AN57" si="25">AK34&amp;", "&amp;AM34</f>
        <v>Week 29, 2026</v>
      </c>
      <c r="AO34" s="52" t="str">
        <f t="shared" ref="AO34:AO57" si="26">"Week Ending "&amp;TEXT(AL34,"mm/dd/yyyy")</f>
        <v>Week Ending 07/19/2026</v>
      </c>
    </row>
    <row r="35" ht="43.5" customHeight="1">
      <c r="A35" s="105"/>
      <c r="B35" s="115"/>
      <c r="C35" s="114"/>
      <c r="D35" s="105"/>
      <c r="E35" s="105"/>
      <c r="F35" s="105"/>
      <c r="G35" s="105"/>
      <c r="H35" s="105"/>
      <c r="I35" s="105"/>
      <c r="J35" s="105"/>
      <c r="K35" s="105"/>
      <c r="M35" s="105"/>
      <c r="N35" s="105"/>
      <c r="O35" s="109"/>
      <c r="P35" s="109"/>
      <c r="Q35" s="109"/>
      <c r="R35" s="105"/>
      <c r="S35" s="105"/>
      <c r="T35" s="105"/>
      <c r="U35" s="105"/>
      <c r="V35" s="109"/>
      <c r="W35" s="109"/>
      <c r="X35" s="109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52" t="s">
        <v>182</v>
      </c>
      <c r="AL35" s="85">
        <v>46229.0</v>
      </c>
      <c r="AM35" s="52">
        <f t="shared" si="24"/>
        <v>2026</v>
      </c>
      <c r="AN35" s="52" t="str">
        <f t="shared" si="25"/>
        <v>Week 30, 2026</v>
      </c>
      <c r="AO35" s="52" t="str">
        <f t="shared" si="26"/>
        <v>Week Ending 07/26/2026</v>
      </c>
    </row>
    <row r="36" ht="43.5" customHeight="1">
      <c r="O36" s="12"/>
      <c r="P36" s="12"/>
      <c r="Q36" s="12"/>
      <c r="V36" s="12"/>
      <c r="W36" s="12"/>
      <c r="X36" s="12"/>
      <c r="AK36" s="52" t="s">
        <v>183</v>
      </c>
      <c r="AL36" s="85">
        <v>46236.0</v>
      </c>
      <c r="AM36" s="52">
        <f t="shared" si="24"/>
        <v>2026</v>
      </c>
      <c r="AN36" s="52" t="str">
        <f t="shared" si="25"/>
        <v>Week 31, 2026</v>
      </c>
      <c r="AO36" s="52" t="str">
        <f t="shared" si="26"/>
        <v>Week Ending 08/02/2026</v>
      </c>
    </row>
    <row r="37" ht="43.5" customHeight="1">
      <c r="B37" s="115" t="s">
        <v>184</v>
      </c>
      <c r="O37" s="12"/>
      <c r="P37" s="12"/>
      <c r="Q37" s="12"/>
      <c r="V37" s="12"/>
      <c r="W37" s="12"/>
      <c r="X37" s="12"/>
      <c r="AK37" s="52" t="s">
        <v>185</v>
      </c>
      <c r="AL37" s="85">
        <v>46243.0</v>
      </c>
      <c r="AM37" s="52">
        <f t="shared" si="24"/>
        <v>2026</v>
      </c>
      <c r="AN37" s="52" t="str">
        <f t="shared" si="25"/>
        <v>Week 32, 2026</v>
      </c>
      <c r="AO37" s="52" t="str">
        <f t="shared" si="26"/>
        <v>Week Ending 08/09/2026</v>
      </c>
    </row>
    <row r="38" ht="43.5" customHeight="1">
      <c r="O38" s="12"/>
      <c r="P38" s="12"/>
      <c r="Q38" s="12"/>
      <c r="V38" s="12"/>
      <c r="W38" s="12"/>
      <c r="X38" s="12"/>
      <c r="AK38" s="52" t="s">
        <v>186</v>
      </c>
      <c r="AL38" s="85">
        <v>46250.0</v>
      </c>
      <c r="AM38" s="52">
        <f t="shared" si="24"/>
        <v>2026</v>
      </c>
      <c r="AN38" s="52" t="str">
        <f t="shared" si="25"/>
        <v>Week 33, 2026</v>
      </c>
      <c r="AO38" s="52" t="str">
        <f t="shared" si="26"/>
        <v>Week Ending 08/16/2026</v>
      </c>
    </row>
    <row r="39" ht="43.5" customHeight="1">
      <c r="O39" s="12"/>
      <c r="P39" s="12"/>
      <c r="Q39" s="12"/>
      <c r="V39" s="12"/>
      <c r="W39" s="12"/>
      <c r="X39" s="12"/>
      <c r="AK39" s="52" t="s">
        <v>187</v>
      </c>
      <c r="AL39" s="85">
        <v>46257.0</v>
      </c>
      <c r="AM39" s="52">
        <f t="shared" si="24"/>
        <v>2026</v>
      </c>
      <c r="AN39" s="52" t="str">
        <f t="shared" si="25"/>
        <v>Week 34, 2026</v>
      </c>
      <c r="AO39" s="52" t="str">
        <f t="shared" si="26"/>
        <v>Week Ending 08/23/2026</v>
      </c>
    </row>
    <row r="40" ht="43.5" customHeight="1">
      <c r="O40" s="12"/>
      <c r="P40" s="12"/>
      <c r="Q40" s="12"/>
      <c r="V40" s="12"/>
      <c r="W40" s="12"/>
      <c r="X40" s="12"/>
      <c r="AK40" s="52" t="s">
        <v>188</v>
      </c>
      <c r="AL40" s="85">
        <v>46264.0</v>
      </c>
      <c r="AM40" s="52">
        <f t="shared" si="24"/>
        <v>2026</v>
      </c>
      <c r="AN40" s="52" t="str">
        <f t="shared" si="25"/>
        <v>Week 35, 2026</v>
      </c>
      <c r="AO40" s="52" t="str">
        <f t="shared" si="26"/>
        <v>Week Ending 08/30/2026</v>
      </c>
    </row>
    <row r="41" ht="43.5" customHeight="1">
      <c r="O41" s="12"/>
      <c r="P41" s="12"/>
      <c r="Q41" s="12"/>
      <c r="V41" s="12"/>
      <c r="W41" s="12"/>
      <c r="X41" s="12"/>
      <c r="AK41" s="52" t="s">
        <v>189</v>
      </c>
      <c r="AL41" s="85">
        <v>46271.0</v>
      </c>
      <c r="AM41" s="52">
        <f t="shared" si="24"/>
        <v>2026</v>
      </c>
      <c r="AN41" s="52" t="str">
        <f t="shared" si="25"/>
        <v>Week 36, 2026</v>
      </c>
      <c r="AO41" s="52" t="str">
        <f t="shared" si="26"/>
        <v>Week Ending 09/06/2026</v>
      </c>
    </row>
    <row r="42" ht="43.5" customHeight="1">
      <c r="O42" s="12"/>
      <c r="P42" s="12"/>
      <c r="Q42" s="12"/>
      <c r="V42" s="12"/>
      <c r="W42" s="12"/>
      <c r="X42" s="12"/>
      <c r="AK42" s="52" t="s">
        <v>190</v>
      </c>
      <c r="AL42" s="85">
        <v>46278.0</v>
      </c>
      <c r="AM42" s="52">
        <f t="shared" si="24"/>
        <v>2026</v>
      </c>
      <c r="AN42" s="52" t="str">
        <f t="shared" si="25"/>
        <v>Week 37, 2026</v>
      </c>
      <c r="AO42" s="52" t="str">
        <f t="shared" si="26"/>
        <v>Week Ending 09/13/2026</v>
      </c>
    </row>
    <row r="43" ht="43.5" customHeight="1">
      <c r="O43" s="12"/>
      <c r="P43" s="12"/>
      <c r="Q43" s="12"/>
      <c r="V43" s="12"/>
      <c r="W43" s="12"/>
      <c r="X43" s="12"/>
      <c r="AK43" s="52" t="s">
        <v>191</v>
      </c>
      <c r="AL43" s="85">
        <v>46285.0</v>
      </c>
      <c r="AM43" s="52">
        <f t="shared" si="24"/>
        <v>2026</v>
      </c>
      <c r="AN43" s="52" t="str">
        <f t="shared" si="25"/>
        <v>Week 38, 2026</v>
      </c>
      <c r="AO43" s="52" t="str">
        <f t="shared" si="26"/>
        <v>Week Ending 09/20/2026</v>
      </c>
    </row>
    <row r="44" ht="43.5" customHeight="1">
      <c r="O44" s="12"/>
      <c r="P44" s="12"/>
      <c r="Q44" s="12"/>
      <c r="V44" s="12"/>
      <c r="W44" s="12"/>
      <c r="X44" s="12"/>
      <c r="AK44" s="52" t="s">
        <v>192</v>
      </c>
      <c r="AL44" s="85">
        <v>46292.0</v>
      </c>
      <c r="AM44" s="52">
        <f t="shared" si="24"/>
        <v>2026</v>
      </c>
      <c r="AN44" s="52" t="str">
        <f t="shared" si="25"/>
        <v>Week 39, 2026</v>
      </c>
      <c r="AO44" s="52" t="str">
        <f t="shared" si="26"/>
        <v>Week Ending 09/27/2026</v>
      </c>
    </row>
    <row r="45" ht="43.5" customHeight="1">
      <c r="O45" s="12"/>
      <c r="P45" s="12"/>
      <c r="Q45" s="12"/>
      <c r="V45" s="12"/>
      <c r="W45" s="12"/>
      <c r="X45" s="12"/>
      <c r="AK45" s="52" t="s">
        <v>193</v>
      </c>
      <c r="AL45" s="85">
        <v>46299.0</v>
      </c>
      <c r="AM45" s="52">
        <f t="shared" si="24"/>
        <v>2026</v>
      </c>
      <c r="AN45" s="52" t="str">
        <f t="shared" si="25"/>
        <v>Week 40, 2026</v>
      </c>
      <c r="AO45" s="52" t="str">
        <f t="shared" si="26"/>
        <v>Week Ending 10/04/2026</v>
      </c>
    </row>
    <row r="46" ht="43.5" customHeight="1">
      <c r="O46" s="12"/>
      <c r="P46" s="12"/>
      <c r="Q46" s="12"/>
      <c r="V46" s="12"/>
      <c r="W46" s="12"/>
      <c r="X46" s="12"/>
      <c r="AK46" s="52" t="s">
        <v>194</v>
      </c>
      <c r="AL46" s="85">
        <v>46306.0</v>
      </c>
      <c r="AM46" s="52">
        <f t="shared" si="24"/>
        <v>2026</v>
      </c>
      <c r="AN46" s="52" t="str">
        <f t="shared" si="25"/>
        <v>Week 41, 2026</v>
      </c>
      <c r="AO46" s="52" t="str">
        <f t="shared" si="26"/>
        <v>Week Ending 10/11/2026</v>
      </c>
    </row>
    <row r="47" ht="43.5" customHeight="1">
      <c r="O47" s="12"/>
      <c r="P47" s="12"/>
      <c r="Q47" s="12"/>
      <c r="V47" s="12"/>
      <c r="W47" s="12"/>
      <c r="X47" s="12"/>
      <c r="AK47" s="52" t="s">
        <v>195</v>
      </c>
      <c r="AL47" s="85">
        <v>46313.0</v>
      </c>
      <c r="AM47" s="52">
        <f t="shared" si="24"/>
        <v>2026</v>
      </c>
      <c r="AN47" s="52" t="str">
        <f t="shared" si="25"/>
        <v>Week 42, 2026</v>
      </c>
      <c r="AO47" s="52" t="str">
        <f t="shared" si="26"/>
        <v>Week Ending 10/18/2026</v>
      </c>
    </row>
    <row r="48" ht="43.5" customHeight="1">
      <c r="O48" s="12"/>
      <c r="P48" s="12"/>
      <c r="Q48" s="12"/>
      <c r="V48" s="12"/>
      <c r="W48" s="12"/>
      <c r="X48" s="12"/>
      <c r="AK48" s="52" t="s">
        <v>196</v>
      </c>
      <c r="AL48" s="85">
        <v>46320.0</v>
      </c>
      <c r="AM48" s="52">
        <f t="shared" si="24"/>
        <v>2026</v>
      </c>
      <c r="AN48" s="52" t="str">
        <f t="shared" si="25"/>
        <v>Week 43, 2026</v>
      </c>
      <c r="AO48" s="52" t="str">
        <f t="shared" si="26"/>
        <v>Week Ending 10/25/2026</v>
      </c>
    </row>
    <row r="49" ht="43.5" customHeight="1">
      <c r="O49" s="12"/>
      <c r="P49" s="12"/>
      <c r="Q49" s="12"/>
      <c r="V49" s="12"/>
      <c r="W49" s="12"/>
      <c r="X49" s="12"/>
      <c r="AK49" s="52" t="s">
        <v>197</v>
      </c>
      <c r="AL49" s="85">
        <v>46327.0</v>
      </c>
      <c r="AM49" s="52">
        <f t="shared" si="24"/>
        <v>2026</v>
      </c>
      <c r="AN49" s="52" t="str">
        <f t="shared" si="25"/>
        <v>Week 44, 2026</v>
      </c>
      <c r="AO49" s="52" t="str">
        <f t="shared" si="26"/>
        <v>Week Ending 11/01/2026</v>
      </c>
    </row>
    <row r="50" ht="43.5" customHeight="1">
      <c r="O50" s="12"/>
      <c r="P50" s="12"/>
      <c r="Q50" s="12"/>
      <c r="V50" s="12"/>
      <c r="W50" s="12"/>
      <c r="X50" s="12"/>
      <c r="AK50" s="52" t="s">
        <v>198</v>
      </c>
      <c r="AL50" s="85">
        <v>46334.0</v>
      </c>
      <c r="AM50" s="52">
        <f t="shared" si="24"/>
        <v>2026</v>
      </c>
      <c r="AN50" s="52" t="str">
        <f t="shared" si="25"/>
        <v>Week 45, 2026</v>
      </c>
      <c r="AO50" s="52" t="str">
        <f t="shared" si="26"/>
        <v>Week Ending 11/08/2026</v>
      </c>
    </row>
    <row r="51" ht="43.5" customHeight="1">
      <c r="O51" s="12"/>
      <c r="P51" s="12"/>
      <c r="Q51" s="12"/>
      <c r="V51" s="12"/>
      <c r="W51" s="12"/>
      <c r="X51" s="12"/>
      <c r="AK51" s="52" t="s">
        <v>199</v>
      </c>
      <c r="AL51" s="85">
        <v>46341.0</v>
      </c>
      <c r="AM51" s="52">
        <f t="shared" si="24"/>
        <v>2026</v>
      </c>
      <c r="AN51" s="52" t="str">
        <f t="shared" si="25"/>
        <v>Week 46, 2026</v>
      </c>
      <c r="AO51" s="52" t="str">
        <f t="shared" si="26"/>
        <v>Week Ending 11/15/2026</v>
      </c>
    </row>
    <row r="52" ht="43.5" customHeight="1">
      <c r="O52" s="12"/>
      <c r="P52" s="12"/>
      <c r="Q52" s="12"/>
      <c r="V52" s="12"/>
      <c r="W52" s="12"/>
      <c r="X52" s="12"/>
      <c r="AK52" s="52" t="s">
        <v>200</v>
      </c>
      <c r="AL52" s="85">
        <v>46348.0</v>
      </c>
      <c r="AM52" s="52">
        <f t="shared" si="24"/>
        <v>2026</v>
      </c>
      <c r="AN52" s="52" t="str">
        <f t="shared" si="25"/>
        <v>Week 47, 2026</v>
      </c>
      <c r="AO52" s="52" t="str">
        <f t="shared" si="26"/>
        <v>Week Ending 11/22/2026</v>
      </c>
    </row>
    <row r="53" ht="43.5" customHeight="1">
      <c r="O53" s="12"/>
      <c r="P53" s="12"/>
      <c r="Q53" s="12"/>
      <c r="V53" s="12"/>
      <c r="W53" s="12"/>
      <c r="X53" s="12"/>
      <c r="AK53" s="52" t="s">
        <v>201</v>
      </c>
      <c r="AL53" s="85">
        <v>46355.0</v>
      </c>
      <c r="AM53" s="52">
        <f t="shared" si="24"/>
        <v>2026</v>
      </c>
      <c r="AN53" s="52" t="str">
        <f t="shared" si="25"/>
        <v>Week 48, 2026</v>
      </c>
      <c r="AO53" s="52" t="str">
        <f t="shared" si="26"/>
        <v>Week Ending 11/29/2026</v>
      </c>
    </row>
    <row r="54" ht="43.5" customHeight="1">
      <c r="O54" s="12"/>
      <c r="P54" s="12"/>
      <c r="Q54" s="12"/>
      <c r="V54" s="12"/>
      <c r="W54" s="12"/>
      <c r="X54" s="12"/>
      <c r="AK54" s="52" t="s">
        <v>202</v>
      </c>
      <c r="AL54" s="85">
        <v>46362.0</v>
      </c>
      <c r="AM54" s="52">
        <f t="shared" si="24"/>
        <v>2026</v>
      </c>
      <c r="AN54" s="52" t="str">
        <f t="shared" si="25"/>
        <v>Week 49, 2026</v>
      </c>
      <c r="AO54" s="52" t="str">
        <f t="shared" si="26"/>
        <v>Week Ending 12/06/2026</v>
      </c>
    </row>
    <row r="55" ht="43.5" customHeight="1">
      <c r="O55" s="12"/>
      <c r="P55" s="12"/>
      <c r="Q55" s="12"/>
      <c r="V55" s="12"/>
      <c r="W55" s="12"/>
      <c r="X55" s="12"/>
      <c r="AK55" s="52" t="s">
        <v>203</v>
      </c>
      <c r="AL55" s="85">
        <v>46369.0</v>
      </c>
      <c r="AM55" s="52">
        <f t="shared" si="24"/>
        <v>2026</v>
      </c>
      <c r="AN55" s="52" t="str">
        <f t="shared" si="25"/>
        <v>Week 50, 2026</v>
      </c>
      <c r="AO55" s="52" t="str">
        <f t="shared" si="26"/>
        <v>Week Ending 12/13/2026</v>
      </c>
    </row>
    <row r="56" ht="43.5" customHeight="1">
      <c r="O56" s="12"/>
      <c r="P56" s="12"/>
      <c r="Q56" s="12"/>
      <c r="V56" s="12"/>
      <c r="W56" s="12"/>
      <c r="X56" s="12"/>
      <c r="AK56" s="52" t="s">
        <v>204</v>
      </c>
      <c r="AL56" s="85">
        <v>46376.0</v>
      </c>
      <c r="AM56" s="52">
        <f t="shared" si="24"/>
        <v>2026</v>
      </c>
      <c r="AN56" s="52" t="str">
        <f t="shared" si="25"/>
        <v>Week 51, 2026</v>
      </c>
      <c r="AO56" s="52" t="str">
        <f t="shared" si="26"/>
        <v>Week Ending 12/20/2026</v>
      </c>
    </row>
    <row r="57" ht="43.5" customHeight="1">
      <c r="O57" s="12"/>
      <c r="P57" s="12"/>
      <c r="Q57" s="12"/>
      <c r="V57" s="12"/>
      <c r="W57" s="12"/>
      <c r="X57" s="12"/>
      <c r="AK57" s="52" t="s">
        <v>205</v>
      </c>
      <c r="AL57" s="85">
        <v>46383.0</v>
      </c>
      <c r="AM57" s="52">
        <f t="shared" si="24"/>
        <v>2026</v>
      </c>
      <c r="AN57" s="52" t="str">
        <f t="shared" si="25"/>
        <v>Week 52, 2026</v>
      </c>
      <c r="AO57" s="52" t="str">
        <f t="shared" si="26"/>
        <v>Week Ending 12/27/2026</v>
      </c>
    </row>
    <row r="58" ht="43.5" customHeight="1">
      <c r="O58" s="12"/>
      <c r="P58" s="12"/>
      <c r="Q58" s="12"/>
      <c r="V58" s="12"/>
      <c r="W58" s="12"/>
      <c r="X58" s="12"/>
      <c r="AL58" s="85"/>
      <c r="AO58" s="52"/>
    </row>
    <row r="59" ht="43.5" customHeight="1">
      <c r="O59" s="12"/>
      <c r="P59" s="12"/>
      <c r="Q59" s="12"/>
      <c r="V59" s="12"/>
      <c r="W59" s="12"/>
      <c r="X59" s="12"/>
      <c r="AL59" s="85"/>
      <c r="AO59" s="52"/>
    </row>
    <row r="60" ht="43.5" customHeight="1">
      <c r="O60" s="12"/>
      <c r="P60" s="12"/>
      <c r="Q60" s="12"/>
      <c r="V60" s="12"/>
      <c r="W60" s="12"/>
      <c r="X60" s="12"/>
      <c r="AL60" s="85"/>
      <c r="AO60" s="52"/>
    </row>
    <row r="61" ht="43.5" customHeight="1">
      <c r="O61" s="12"/>
      <c r="P61" s="12"/>
      <c r="Q61" s="12"/>
      <c r="V61" s="12"/>
      <c r="W61" s="12"/>
      <c r="X61" s="12"/>
      <c r="AL61" s="85"/>
      <c r="AO61" s="52"/>
    </row>
    <row r="62" ht="43.5" customHeight="1">
      <c r="O62" s="12"/>
      <c r="P62" s="12"/>
      <c r="Q62" s="12"/>
      <c r="V62" s="12"/>
      <c r="W62" s="12"/>
      <c r="X62" s="12"/>
      <c r="AL62" s="85"/>
      <c r="AO62" s="52"/>
    </row>
    <row r="63" ht="43.5" customHeight="1">
      <c r="O63" s="12"/>
      <c r="P63" s="12"/>
      <c r="Q63" s="12"/>
      <c r="V63" s="12"/>
      <c r="W63" s="12"/>
      <c r="X63" s="12"/>
      <c r="AL63" s="85"/>
      <c r="AO63" s="52"/>
    </row>
    <row r="64" ht="43.5" customHeight="1">
      <c r="O64" s="12"/>
      <c r="P64" s="12"/>
      <c r="Q64" s="12"/>
      <c r="V64" s="12"/>
      <c r="W64" s="12"/>
      <c r="X64" s="12"/>
      <c r="AL64" s="85"/>
      <c r="AO64" s="52"/>
    </row>
    <row r="65" ht="43.5" customHeight="1">
      <c r="O65" s="12"/>
      <c r="P65" s="12"/>
      <c r="Q65" s="12"/>
      <c r="V65" s="12"/>
      <c r="W65" s="12"/>
      <c r="X65" s="12"/>
      <c r="AL65" s="85"/>
      <c r="AO65" s="52"/>
    </row>
    <row r="66" ht="43.5" customHeight="1">
      <c r="O66" s="12"/>
      <c r="P66" s="12"/>
      <c r="Q66" s="12"/>
      <c r="V66" s="12"/>
      <c r="W66" s="12"/>
      <c r="X66" s="12"/>
      <c r="AL66" s="85"/>
      <c r="AO66" s="52"/>
    </row>
    <row r="67" ht="43.5" customHeight="1">
      <c r="O67" s="12"/>
      <c r="P67" s="12"/>
      <c r="Q67" s="12"/>
      <c r="V67" s="12"/>
      <c r="W67" s="12"/>
      <c r="X67" s="12"/>
      <c r="AL67" s="85"/>
      <c r="AO67" s="52"/>
    </row>
    <row r="68" ht="43.5" customHeight="1">
      <c r="O68" s="12"/>
      <c r="P68" s="12"/>
      <c r="Q68" s="12"/>
      <c r="V68" s="12"/>
      <c r="W68" s="12"/>
      <c r="X68" s="12"/>
      <c r="AL68" s="85"/>
      <c r="AO68" s="52"/>
    </row>
    <row r="69" ht="43.5" customHeight="1">
      <c r="O69" s="12"/>
      <c r="P69" s="12"/>
      <c r="Q69" s="12"/>
      <c r="V69" s="12"/>
      <c r="W69" s="12"/>
      <c r="X69" s="12"/>
      <c r="AL69" s="85"/>
      <c r="AO69" s="52"/>
    </row>
    <row r="70" ht="43.5" customHeight="1">
      <c r="O70" s="12"/>
      <c r="P70" s="12"/>
      <c r="Q70" s="12"/>
      <c r="V70" s="12"/>
      <c r="W70" s="12"/>
      <c r="X70" s="12"/>
      <c r="AL70" s="85"/>
      <c r="AO70" s="52"/>
    </row>
    <row r="71" ht="43.5" customHeight="1">
      <c r="O71" s="12"/>
      <c r="P71" s="12"/>
      <c r="Q71" s="12"/>
      <c r="V71" s="12"/>
      <c r="W71" s="12"/>
      <c r="X71" s="12"/>
      <c r="AL71" s="85"/>
      <c r="AO71" s="52"/>
    </row>
    <row r="72" ht="43.5" customHeight="1">
      <c r="O72" s="12"/>
      <c r="P72" s="12"/>
      <c r="Q72" s="12"/>
      <c r="V72" s="12"/>
      <c r="W72" s="12"/>
      <c r="X72" s="12"/>
    </row>
    <row r="73" ht="43.5" customHeight="1">
      <c r="O73" s="12"/>
      <c r="P73" s="12"/>
      <c r="Q73" s="12"/>
      <c r="V73" s="12"/>
      <c r="W73" s="12"/>
      <c r="X73" s="12"/>
    </row>
    <row r="74" ht="43.5" customHeight="1">
      <c r="O74" s="12"/>
      <c r="P74" s="12"/>
      <c r="Q74" s="12"/>
      <c r="V74" s="12"/>
      <c r="W74" s="12"/>
      <c r="X74" s="12"/>
    </row>
    <row r="75" ht="43.5" customHeight="1">
      <c r="O75" s="12"/>
      <c r="P75" s="12"/>
      <c r="Q75" s="12"/>
      <c r="V75" s="12"/>
      <c r="W75" s="12"/>
      <c r="X75" s="12"/>
    </row>
    <row r="76" ht="43.5" customHeight="1">
      <c r="O76" s="12"/>
      <c r="P76" s="12"/>
      <c r="Q76" s="12"/>
      <c r="V76" s="12"/>
      <c r="W76" s="12"/>
      <c r="X76" s="12"/>
    </row>
    <row r="77" ht="43.5" customHeight="1">
      <c r="O77" s="12"/>
      <c r="P77" s="12"/>
      <c r="Q77" s="12"/>
      <c r="V77" s="12"/>
      <c r="W77" s="12"/>
      <c r="X77" s="12"/>
    </row>
    <row r="78" ht="43.5" customHeight="1">
      <c r="O78" s="12"/>
      <c r="P78" s="12"/>
      <c r="Q78" s="12"/>
      <c r="V78" s="12"/>
      <c r="W78" s="12"/>
      <c r="X78" s="12"/>
    </row>
    <row r="79" ht="43.5" customHeight="1">
      <c r="O79" s="12"/>
      <c r="P79" s="12"/>
      <c r="Q79" s="12"/>
      <c r="V79" s="12"/>
      <c r="W79" s="12"/>
      <c r="X79" s="12"/>
    </row>
    <row r="80" ht="43.5" customHeight="1">
      <c r="O80" s="12"/>
      <c r="P80" s="12"/>
      <c r="Q80" s="12"/>
      <c r="V80" s="12"/>
      <c r="W80" s="12"/>
      <c r="X80" s="12"/>
    </row>
    <row r="81" ht="43.5" customHeight="1">
      <c r="O81" s="12"/>
      <c r="P81" s="12"/>
      <c r="Q81" s="12"/>
      <c r="V81" s="12"/>
      <c r="W81" s="12"/>
      <c r="X81" s="12"/>
    </row>
    <row r="82" ht="43.5" customHeight="1">
      <c r="O82" s="12"/>
      <c r="P82" s="12"/>
      <c r="Q82" s="12"/>
      <c r="V82" s="12"/>
      <c r="W82" s="12"/>
      <c r="X82" s="12"/>
    </row>
    <row r="83" ht="43.5" customHeight="1">
      <c r="O83" s="12"/>
      <c r="P83" s="12"/>
      <c r="Q83" s="12"/>
      <c r="V83" s="12"/>
      <c r="W83" s="12"/>
      <c r="X83" s="12"/>
    </row>
    <row r="84" ht="43.5" customHeight="1">
      <c r="O84" s="12"/>
      <c r="P84" s="12"/>
      <c r="Q84" s="12"/>
      <c r="V84" s="12"/>
      <c r="W84" s="12"/>
      <c r="X84" s="12"/>
    </row>
    <row r="85" ht="43.5" customHeight="1">
      <c r="O85" s="12"/>
      <c r="P85" s="12"/>
      <c r="Q85" s="12"/>
      <c r="V85" s="12"/>
      <c r="W85" s="12"/>
      <c r="X85" s="12"/>
    </row>
    <row r="86" ht="43.5" customHeight="1">
      <c r="O86" s="12"/>
      <c r="P86" s="12"/>
      <c r="Q86" s="12"/>
      <c r="V86" s="12"/>
      <c r="W86" s="12"/>
      <c r="X86" s="12"/>
    </row>
    <row r="87" ht="43.5" customHeight="1">
      <c r="O87" s="12"/>
      <c r="P87" s="12"/>
      <c r="Q87" s="12"/>
      <c r="V87" s="12"/>
      <c r="W87" s="12"/>
      <c r="X87" s="12"/>
    </row>
    <row r="88" ht="43.5" customHeight="1">
      <c r="O88" s="12"/>
      <c r="P88" s="12"/>
      <c r="Q88" s="12"/>
      <c r="V88" s="12"/>
      <c r="W88" s="12"/>
      <c r="X88" s="12"/>
    </row>
    <row r="89" ht="43.5" customHeight="1">
      <c r="O89" s="12"/>
      <c r="P89" s="12"/>
      <c r="Q89" s="12"/>
      <c r="V89" s="12"/>
      <c r="W89" s="12"/>
      <c r="X89" s="12"/>
    </row>
    <row r="90" ht="43.5" customHeight="1">
      <c r="O90" s="12"/>
      <c r="P90" s="12"/>
      <c r="Q90" s="12"/>
      <c r="V90" s="12"/>
      <c r="W90" s="12"/>
      <c r="X90" s="12"/>
    </row>
    <row r="91" ht="43.5" customHeight="1">
      <c r="O91" s="12"/>
      <c r="P91" s="12"/>
      <c r="Q91" s="12"/>
      <c r="V91" s="12"/>
      <c r="W91" s="12"/>
      <c r="X91" s="12"/>
    </row>
    <row r="92" ht="43.5" customHeight="1">
      <c r="O92" s="12"/>
      <c r="P92" s="12"/>
      <c r="Q92" s="12"/>
      <c r="V92" s="12"/>
      <c r="W92" s="12"/>
      <c r="X92" s="12"/>
    </row>
    <row r="93" ht="43.5" customHeight="1">
      <c r="O93" s="12"/>
      <c r="P93" s="12"/>
      <c r="Q93" s="12"/>
      <c r="V93" s="12"/>
      <c r="W93" s="12"/>
      <c r="X93" s="12"/>
    </row>
    <row r="94" ht="43.5" customHeight="1">
      <c r="O94" s="12"/>
      <c r="P94" s="12"/>
      <c r="Q94" s="12"/>
      <c r="V94" s="12"/>
      <c r="W94" s="12"/>
      <c r="X94" s="12"/>
    </row>
    <row r="95" ht="43.5" customHeight="1">
      <c r="O95" s="12"/>
      <c r="P95" s="12"/>
      <c r="Q95" s="12"/>
      <c r="V95" s="12"/>
      <c r="W95" s="12"/>
      <c r="X95" s="12"/>
    </row>
    <row r="96" ht="43.5" customHeight="1">
      <c r="O96" s="12"/>
      <c r="P96" s="12"/>
      <c r="Q96" s="12"/>
      <c r="V96" s="12"/>
      <c r="W96" s="12"/>
      <c r="X96" s="12"/>
    </row>
    <row r="97" ht="43.5" customHeight="1">
      <c r="O97" s="12"/>
      <c r="P97" s="12"/>
      <c r="Q97" s="12"/>
      <c r="V97" s="12"/>
      <c r="W97" s="12"/>
      <c r="X97" s="12"/>
    </row>
    <row r="98" ht="43.5" customHeight="1">
      <c r="O98" s="12"/>
      <c r="P98" s="12"/>
      <c r="Q98" s="12"/>
      <c r="V98" s="12"/>
      <c r="W98" s="12"/>
      <c r="X98" s="12"/>
    </row>
    <row r="99" ht="43.5" customHeight="1">
      <c r="O99" s="12"/>
      <c r="P99" s="12"/>
      <c r="Q99" s="12"/>
      <c r="V99" s="12"/>
      <c r="W99" s="12"/>
      <c r="X99" s="12"/>
    </row>
    <row r="100" ht="43.5" customHeight="1">
      <c r="O100" s="12"/>
      <c r="P100" s="12"/>
      <c r="Q100" s="12"/>
      <c r="V100" s="12"/>
      <c r="W100" s="12"/>
      <c r="X100" s="12"/>
    </row>
    <row r="101" ht="43.5" customHeight="1">
      <c r="O101" s="12"/>
      <c r="P101" s="12"/>
      <c r="Q101" s="12"/>
      <c r="V101" s="12"/>
      <c r="W101" s="12"/>
      <c r="X101" s="12"/>
    </row>
    <row r="102" ht="43.5" customHeight="1">
      <c r="O102" s="12"/>
      <c r="P102" s="12"/>
      <c r="Q102" s="12"/>
      <c r="V102" s="12"/>
      <c r="W102" s="12"/>
      <c r="X102" s="12"/>
    </row>
    <row r="103" ht="43.5" customHeight="1">
      <c r="O103" s="12"/>
      <c r="P103" s="12"/>
      <c r="Q103" s="12"/>
      <c r="V103" s="12"/>
      <c r="W103" s="12"/>
      <c r="X103" s="12"/>
    </row>
    <row r="104" ht="43.5" customHeight="1">
      <c r="O104" s="12"/>
      <c r="P104" s="12"/>
      <c r="Q104" s="12"/>
      <c r="V104" s="12"/>
      <c r="W104" s="12"/>
      <c r="X104" s="12"/>
    </row>
    <row r="105" ht="43.5" customHeight="1">
      <c r="O105" s="12"/>
      <c r="P105" s="12"/>
      <c r="Q105" s="12"/>
      <c r="V105" s="12"/>
      <c r="W105" s="12"/>
      <c r="X105" s="12"/>
    </row>
    <row r="106" ht="43.5" customHeight="1">
      <c r="O106" s="12"/>
      <c r="P106" s="12"/>
      <c r="Q106" s="12"/>
      <c r="V106" s="12"/>
      <c r="W106" s="12"/>
      <c r="X106" s="12"/>
    </row>
    <row r="107" ht="43.5" customHeight="1">
      <c r="O107" s="12"/>
      <c r="P107" s="12"/>
      <c r="Q107" s="12"/>
      <c r="V107" s="12"/>
      <c r="W107" s="12"/>
      <c r="X107" s="12"/>
    </row>
    <row r="108" ht="43.5" customHeight="1">
      <c r="O108" s="12"/>
      <c r="P108" s="12"/>
      <c r="Q108" s="12"/>
      <c r="V108" s="12"/>
      <c r="W108" s="12"/>
      <c r="X108" s="12"/>
    </row>
    <row r="109" ht="43.5" customHeight="1">
      <c r="O109" s="12"/>
      <c r="P109" s="12"/>
      <c r="Q109" s="12"/>
      <c r="V109" s="12"/>
      <c r="W109" s="12"/>
      <c r="X109" s="12"/>
    </row>
    <row r="110" ht="43.5" customHeight="1">
      <c r="O110" s="12"/>
      <c r="P110" s="12"/>
      <c r="Q110" s="12"/>
      <c r="V110" s="12"/>
      <c r="W110" s="12"/>
      <c r="X110" s="12"/>
    </row>
    <row r="111" ht="43.5" customHeight="1">
      <c r="O111" s="12"/>
      <c r="P111" s="12"/>
      <c r="Q111" s="12"/>
      <c r="V111" s="12"/>
      <c r="W111" s="12"/>
      <c r="X111" s="12"/>
    </row>
    <row r="112" ht="43.5" customHeight="1">
      <c r="O112" s="12"/>
      <c r="P112" s="12"/>
      <c r="Q112" s="12"/>
      <c r="V112" s="12"/>
      <c r="W112" s="12"/>
      <c r="X112" s="12"/>
    </row>
    <row r="113" ht="43.5" customHeight="1">
      <c r="O113" s="12"/>
      <c r="P113" s="12"/>
      <c r="Q113" s="12"/>
      <c r="V113" s="12"/>
      <c r="W113" s="12"/>
      <c r="X113" s="12"/>
    </row>
    <row r="114" ht="43.5" customHeight="1">
      <c r="O114" s="12"/>
      <c r="P114" s="12"/>
      <c r="Q114" s="12"/>
      <c r="V114" s="12"/>
      <c r="W114" s="12"/>
      <c r="X114" s="12"/>
    </row>
    <row r="115" ht="43.5" customHeight="1">
      <c r="O115" s="12"/>
      <c r="P115" s="12"/>
      <c r="Q115" s="12"/>
      <c r="V115" s="12"/>
      <c r="W115" s="12"/>
      <c r="X115" s="12"/>
    </row>
    <row r="116" ht="43.5" customHeight="1">
      <c r="O116" s="12"/>
      <c r="P116" s="12"/>
      <c r="Q116" s="12"/>
      <c r="V116" s="12"/>
      <c r="W116" s="12"/>
      <c r="X116" s="12"/>
    </row>
    <row r="117" ht="43.5" customHeight="1">
      <c r="O117" s="12"/>
      <c r="P117" s="12"/>
      <c r="Q117" s="12"/>
      <c r="V117" s="12"/>
      <c r="W117" s="12"/>
      <c r="X117" s="12"/>
    </row>
    <row r="118" ht="43.5" customHeight="1">
      <c r="O118" s="12"/>
      <c r="P118" s="12"/>
      <c r="Q118" s="12"/>
      <c r="V118" s="12"/>
      <c r="W118" s="12"/>
      <c r="X118" s="12"/>
    </row>
    <row r="119" ht="43.5" customHeight="1">
      <c r="O119" s="12"/>
      <c r="P119" s="12"/>
      <c r="Q119" s="12"/>
      <c r="V119" s="12"/>
      <c r="W119" s="12"/>
      <c r="X119" s="12"/>
    </row>
    <row r="120" ht="43.5" customHeight="1">
      <c r="O120" s="12"/>
      <c r="P120" s="12"/>
      <c r="Q120" s="12"/>
      <c r="V120" s="12"/>
      <c r="W120" s="12"/>
      <c r="X120" s="12"/>
    </row>
    <row r="121" ht="43.5" customHeight="1">
      <c r="O121" s="12"/>
      <c r="P121" s="12"/>
      <c r="Q121" s="12"/>
      <c r="V121" s="12"/>
      <c r="W121" s="12"/>
      <c r="X121" s="12"/>
    </row>
    <row r="122" ht="43.5" customHeight="1">
      <c r="O122" s="12"/>
      <c r="P122" s="12"/>
      <c r="Q122" s="12"/>
      <c r="V122" s="12"/>
      <c r="W122" s="12"/>
      <c r="X122" s="12"/>
    </row>
    <row r="123" ht="43.5" customHeight="1">
      <c r="O123" s="12"/>
      <c r="P123" s="12"/>
      <c r="Q123" s="12"/>
      <c r="V123" s="12"/>
      <c r="W123" s="12"/>
      <c r="X123" s="12"/>
    </row>
    <row r="124" ht="43.5" customHeight="1">
      <c r="O124" s="12"/>
      <c r="P124" s="12"/>
      <c r="Q124" s="12"/>
      <c r="V124" s="12"/>
      <c r="W124" s="12"/>
      <c r="X124" s="12"/>
    </row>
    <row r="125" ht="43.5" customHeight="1">
      <c r="O125" s="12"/>
      <c r="P125" s="12"/>
      <c r="Q125" s="12"/>
      <c r="V125" s="12"/>
      <c r="W125" s="12"/>
      <c r="X125" s="12"/>
    </row>
    <row r="126" ht="43.5" customHeight="1">
      <c r="O126" s="12"/>
      <c r="P126" s="12"/>
      <c r="Q126" s="12"/>
      <c r="V126" s="12"/>
      <c r="W126" s="12"/>
      <c r="X126" s="12"/>
    </row>
    <row r="127" ht="43.5" customHeight="1">
      <c r="O127" s="12"/>
      <c r="P127" s="12"/>
      <c r="Q127" s="12"/>
      <c r="V127" s="12"/>
      <c r="W127" s="12"/>
      <c r="X127" s="12"/>
    </row>
    <row r="128" ht="43.5" customHeight="1">
      <c r="O128" s="12"/>
      <c r="P128" s="12"/>
      <c r="Q128" s="12"/>
      <c r="V128" s="12"/>
      <c r="W128" s="12"/>
      <c r="X128" s="12"/>
    </row>
    <row r="129" ht="43.5" customHeight="1">
      <c r="O129" s="12"/>
      <c r="P129" s="12"/>
      <c r="Q129" s="12"/>
      <c r="V129" s="12"/>
      <c r="W129" s="12"/>
      <c r="X129" s="12"/>
    </row>
    <row r="130" ht="43.5" customHeight="1">
      <c r="O130" s="12"/>
      <c r="P130" s="12"/>
      <c r="Q130" s="12"/>
      <c r="V130" s="12"/>
      <c r="W130" s="12"/>
      <c r="X130" s="12"/>
    </row>
    <row r="131" ht="43.5" customHeight="1">
      <c r="O131" s="12"/>
      <c r="P131" s="12"/>
      <c r="Q131" s="12"/>
      <c r="V131" s="12"/>
      <c r="W131" s="12"/>
      <c r="X131" s="12"/>
    </row>
    <row r="132" ht="43.5" customHeight="1">
      <c r="O132" s="12"/>
      <c r="P132" s="12"/>
      <c r="Q132" s="12"/>
      <c r="V132" s="12"/>
      <c r="W132" s="12"/>
      <c r="X132" s="12"/>
    </row>
    <row r="133" ht="43.5" customHeight="1">
      <c r="O133" s="12"/>
      <c r="P133" s="12"/>
      <c r="Q133" s="12"/>
      <c r="V133" s="12"/>
      <c r="W133" s="12"/>
      <c r="X133" s="12"/>
    </row>
    <row r="134" ht="43.5" customHeight="1">
      <c r="O134" s="12"/>
      <c r="P134" s="12"/>
      <c r="Q134" s="12"/>
      <c r="V134" s="12"/>
      <c r="W134" s="12"/>
      <c r="X134" s="12"/>
    </row>
    <row r="135" ht="43.5" customHeight="1">
      <c r="O135" s="12"/>
      <c r="P135" s="12"/>
      <c r="Q135" s="12"/>
      <c r="V135" s="12"/>
      <c r="W135" s="12"/>
      <c r="X135" s="12"/>
    </row>
    <row r="136" ht="43.5" customHeight="1">
      <c r="O136" s="12"/>
      <c r="P136" s="12"/>
      <c r="Q136" s="12"/>
      <c r="V136" s="12"/>
      <c r="W136" s="12"/>
      <c r="X136" s="12"/>
    </row>
    <row r="137" ht="43.5" customHeight="1">
      <c r="O137" s="12"/>
      <c r="P137" s="12"/>
      <c r="Q137" s="12"/>
      <c r="V137" s="12"/>
      <c r="W137" s="12"/>
      <c r="X137" s="12"/>
    </row>
    <row r="138" ht="43.5" customHeight="1">
      <c r="O138" s="12"/>
      <c r="P138" s="12"/>
      <c r="Q138" s="12"/>
      <c r="V138" s="12"/>
      <c r="W138" s="12"/>
      <c r="X138" s="12"/>
    </row>
    <row r="139" ht="43.5" customHeight="1">
      <c r="O139" s="12"/>
      <c r="P139" s="12"/>
      <c r="Q139" s="12"/>
      <c r="V139" s="12"/>
      <c r="W139" s="12"/>
      <c r="X139" s="12"/>
    </row>
    <row r="140" ht="43.5" customHeight="1">
      <c r="O140" s="12"/>
      <c r="P140" s="12"/>
      <c r="Q140" s="12"/>
      <c r="V140" s="12"/>
      <c r="W140" s="12"/>
      <c r="X140" s="12"/>
    </row>
    <row r="141" ht="43.5" customHeight="1">
      <c r="O141" s="12"/>
      <c r="P141" s="12"/>
      <c r="Q141" s="12"/>
      <c r="V141" s="12"/>
      <c r="W141" s="12"/>
      <c r="X141" s="12"/>
    </row>
    <row r="142" ht="43.5" customHeight="1">
      <c r="O142" s="12"/>
      <c r="P142" s="12"/>
      <c r="Q142" s="12"/>
      <c r="V142" s="12"/>
      <c r="W142" s="12"/>
      <c r="X142" s="12"/>
    </row>
    <row r="143" ht="43.5" customHeight="1">
      <c r="O143" s="12"/>
      <c r="P143" s="12"/>
      <c r="Q143" s="12"/>
      <c r="V143" s="12"/>
      <c r="W143" s="12"/>
      <c r="X143" s="12"/>
    </row>
    <row r="144" ht="43.5" customHeight="1">
      <c r="O144" s="12"/>
      <c r="P144" s="12"/>
      <c r="Q144" s="12"/>
      <c r="V144" s="12"/>
      <c r="W144" s="12"/>
      <c r="X144" s="12"/>
    </row>
    <row r="145" ht="43.5" customHeight="1">
      <c r="O145" s="12"/>
      <c r="P145" s="12"/>
      <c r="Q145" s="12"/>
      <c r="V145" s="12"/>
      <c r="W145" s="12"/>
      <c r="X145" s="12"/>
    </row>
    <row r="146" ht="43.5" customHeight="1">
      <c r="O146" s="12"/>
      <c r="P146" s="12"/>
      <c r="Q146" s="12"/>
      <c r="V146" s="12"/>
      <c r="W146" s="12"/>
      <c r="X146" s="12"/>
    </row>
    <row r="147" ht="43.5" customHeight="1">
      <c r="O147" s="12"/>
      <c r="P147" s="12"/>
      <c r="Q147" s="12"/>
      <c r="V147" s="12"/>
      <c r="W147" s="12"/>
      <c r="X147" s="12"/>
    </row>
    <row r="148" ht="43.5" customHeight="1">
      <c r="O148" s="12"/>
      <c r="P148" s="12"/>
      <c r="Q148" s="12"/>
      <c r="V148" s="12"/>
      <c r="W148" s="12"/>
      <c r="X148" s="12"/>
    </row>
    <row r="149" ht="43.5" customHeight="1">
      <c r="O149" s="12"/>
      <c r="P149" s="12"/>
      <c r="Q149" s="12"/>
      <c r="V149" s="12"/>
      <c r="W149" s="12"/>
      <c r="X149" s="12"/>
    </row>
    <row r="150" ht="43.5" customHeight="1">
      <c r="O150" s="12"/>
      <c r="P150" s="12"/>
      <c r="Q150" s="12"/>
      <c r="V150" s="12"/>
      <c r="W150" s="12"/>
      <c r="X150" s="12"/>
    </row>
    <row r="151" ht="43.5" customHeight="1">
      <c r="O151" s="12"/>
      <c r="P151" s="12"/>
      <c r="Q151" s="12"/>
      <c r="V151" s="12"/>
      <c r="W151" s="12"/>
      <c r="X151" s="12"/>
    </row>
    <row r="152" ht="43.5" customHeight="1">
      <c r="O152" s="12"/>
      <c r="P152" s="12"/>
      <c r="Q152" s="12"/>
      <c r="V152" s="12"/>
      <c r="W152" s="12"/>
      <c r="X152" s="12"/>
    </row>
    <row r="153" ht="43.5" customHeight="1">
      <c r="O153" s="12"/>
      <c r="P153" s="12"/>
      <c r="Q153" s="12"/>
      <c r="V153" s="12"/>
      <c r="W153" s="12"/>
      <c r="X153" s="12"/>
    </row>
    <row r="154" ht="43.5" customHeight="1">
      <c r="O154" s="12"/>
      <c r="P154" s="12"/>
      <c r="Q154" s="12"/>
      <c r="V154" s="12"/>
      <c r="W154" s="12"/>
      <c r="X154" s="12"/>
    </row>
    <row r="155" ht="43.5" customHeight="1">
      <c r="O155" s="12"/>
      <c r="P155" s="12"/>
      <c r="Q155" s="12"/>
      <c r="V155" s="12"/>
      <c r="W155" s="12"/>
      <c r="X155" s="12"/>
    </row>
    <row r="156" ht="43.5" customHeight="1">
      <c r="O156" s="12"/>
      <c r="P156" s="12"/>
      <c r="Q156" s="12"/>
      <c r="V156" s="12"/>
      <c r="W156" s="12"/>
      <c r="X156" s="12"/>
    </row>
    <row r="157" ht="43.5" customHeight="1">
      <c r="O157" s="12"/>
      <c r="P157" s="12"/>
      <c r="Q157" s="12"/>
      <c r="V157" s="12"/>
      <c r="W157" s="12"/>
      <c r="X157" s="12"/>
    </row>
    <row r="158" ht="43.5" customHeight="1">
      <c r="O158" s="12"/>
      <c r="P158" s="12"/>
      <c r="Q158" s="12"/>
      <c r="V158" s="12"/>
      <c r="W158" s="12"/>
      <c r="X158" s="12"/>
    </row>
    <row r="159" ht="43.5" customHeight="1">
      <c r="O159" s="12"/>
      <c r="P159" s="12"/>
      <c r="Q159" s="12"/>
      <c r="V159" s="12"/>
      <c r="W159" s="12"/>
      <c r="X159" s="12"/>
    </row>
    <row r="160" ht="43.5" customHeight="1">
      <c r="O160" s="12"/>
      <c r="P160" s="12"/>
      <c r="Q160" s="12"/>
      <c r="V160" s="12"/>
      <c r="W160" s="12"/>
      <c r="X160" s="12"/>
    </row>
    <row r="161" ht="43.5" customHeight="1">
      <c r="O161" s="12"/>
      <c r="P161" s="12"/>
      <c r="Q161" s="12"/>
      <c r="V161" s="12"/>
      <c r="W161" s="12"/>
      <c r="X161" s="12"/>
    </row>
    <row r="162" ht="43.5" customHeight="1">
      <c r="O162" s="12"/>
      <c r="P162" s="12"/>
      <c r="Q162" s="12"/>
      <c r="V162" s="12"/>
      <c r="W162" s="12"/>
      <c r="X162" s="12"/>
    </row>
    <row r="163" ht="43.5" customHeight="1">
      <c r="O163" s="12"/>
      <c r="P163" s="12"/>
      <c r="Q163" s="12"/>
      <c r="V163" s="12"/>
      <c r="W163" s="12"/>
      <c r="X163" s="12"/>
    </row>
    <row r="164" ht="43.5" customHeight="1">
      <c r="O164" s="12"/>
      <c r="P164" s="12"/>
      <c r="Q164" s="12"/>
      <c r="V164" s="12"/>
      <c r="W164" s="12"/>
      <c r="X164" s="12"/>
    </row>
    <row r="165" ht="43.5" customHeight="1">
      <c r="O165" s="12"/>
      <c r="P165" s="12"/>
      <c r="Q165" s="12"/>
      <c r="V165" s="12"/>
      <c r="W165" s="12"/>
      <c r="X165" s="12"/>
    </row>
    <row r="166" ht="43.5" customHeight="1">
      <c r="O166" s="12"/>
      <c r="P166" s="12"/>
      <c r="Q166" s="12"/>
      <c r="V166" s="12"/>
      <c r="W166" s="12"/>
      <c r="X166" s="12"/>
    </row>
    <row r="167" ht="43.5" customHeight="1">
      <c r="O167" s="12"/>
      <c r="P167" s="12"/>
      <c r="Q167" s="12"/>
      <c r="V167" s="12"/>
      <c r="W167" s="12"/>
      <c r="X167" s="12"/>
    </row>
    <row r="168" ht="43.5" customHeight="1">
      <c r="O168" s="12"/>
      <c r="P168" s="12"/>
      <c r="Q168" s="12"/>
      <c r="V168" s="12"/>
      <c r="W168" s="12"/>
      <c r="X168" s="12"/>
    </row>
    <row r="169" ht="43.5" customHeight="1">
      <c r="O169" s="12"/>
      <c r="P169" s="12"/>
      <c r="Q169" s="12"/>
      <c r="V169" s="12"/>
      <c r="W169" s="12"/>
      <c r="X169" s="12"/>
    </row>
    <row r="170" ht="43.5" customHeight="1">
      <c r="O170" s="12"/>
      <c r="P170" s="12"/>
      <c r="Q170" s="12"/>
      <c r="V170" s="12"/>
      <c r="W170" s="12"/>
      <c r="X170" s="12"/>
    </row>
    <row r="171" ht="43.5" customHeight="1">
      <c r="O171" s="12"/>
      <c r="P171" s="12"/>
      <c r="Q171" s="12"/>
      <c r="V171" s="12"/>
      <c r="W171" s="12"/>
      <c r="X171" s="12"/>
    </row>
    <row r="172" ht="43.5" customHeight="1">
      <c r="O172" s="12"/>
      <c r="P172" s="12"/>
      <c r="Q172" s="12"/>
      <c r="V172" s="12"/>
      <c r="W172" s="12"/>
      <c r="X172" s="12"/>
    </row>
    <row r="173" ht="43.5" customHeight="1">
      <c r="O173" s="12"/>
      <c r="P173" s="12"/>
      <c r="Q173" s="12"/>
      <c r="V173" s="12"/>
      <c r="W173" s="12"/>
      <c r="X173" s="12"/>
    </row>
    <row r="174" ht="43.5" customHeight="1">
      <c r="O174" s="12"/>
      <c r="P174" s="12"/>
      <c r="Q174" s="12"/>
      <c r="V174" s="12"/>
      <c r="W174" s="12"/>
      <c r="X174" s="12"/>
    </row>
    <row r="175" ht="43.5" customHeight="1">
      <c r="O175" s="12"/>
      <c r="P175" s="12"/>
      <c r="Q175" s="12"/>
      <c r="V175" s="12"/>
      <c r="W175" s="12"/>
      <c r="X175" s="12"/>
    </row>
    <row r="176" ht="43.5" customHeight="1">
      <c r="O176" s="12"/>
      <c r="P176" s="12"/>
      <c r="Q176" s="12"/>
      <c r="V176" s="12"/>
      <c r="W176" s="12"/>
      <c r="X176" s="12"/>
    </row>
    <row r="177" ht="43.5" customHeight="1">
      <c r="O177" s="12"/>
      <c r="P177" s="12"/>
      <c r="Q177" s="12"/>
      <c r="V177" s="12"/>
      <c r="W177" s="12"/>
      <c r="X177" s="12"/>
    </row>
    <row r="178" ht="43.5" customHeight="1">
      <c r="O178" s="12"/>
      <c r="P178" s="12"/>
      <c r="Q178" s="12"/>
      <c r="V178" s="12"/>
      <c r="W178" s="12"/>
      <c r="X178" s="12"/>
    </row>
    <row r="179" ht="43.5" customHeight="1">
      <c r="O179" s="12"/>
      <c r="P179" s="12"/>
      <c r="Q179" s="12"/>
      <c r="V179" s="12"/>
      <c r="W179" s="12"/>
      <c r="X179" s="12"/>
    </row>
    <row r="180" ht="43.5" customHeight="1">
      <c r="O180" s="12"/>
      <c r="P180" s="12"/>
      <c r="Q180" s="12"/>
      <c r="V180" s="12"/>
      <c r="W180" s="12"/>
      <c r="X180" s="12"/>
    </row>
    <row r="181" ht="43.5" customHeight="1">
      <c r="O181" s="12"/>
      <c r="P181" s="12"/>
      <c r="Q181" s="12"/>
      <c r="V181" s="12"/>
      <c r="W181" s="12"/>
      <c r="X181" s="12"/>
    </row>
    <row r="182" ht="43.5" customHeight="1">
      <c r="O182" s="12"/>
      <c r="P182" s="12"/>
      <c r="Q182" s="12"/>
      <c r="V182" s="12"/>
      <c r="W182" s="12"/>
      <c r="X182" s="12"/>
    </row>
    <row r="183" ht="43.5" customHeight="1">
      <c r="O183" s="12"/>
      <c r="P183" s="12"/>
      <c r="Q183" s="12"/>
      <c r="V183" s="12"/>
      <c r="W183" s="12"/>
      <c r="X183" s="12"/>
    </row>
    <row r="184" ht="43.5" customHeight="1">
      <c r="O184" s="12"/>
      <c r="P184" s="12"/>
      <c r="Q184" s="12"/>
      <c r="V184" s="12"/>
      <c r="W184" s="12"/>
      <c r="X184" s="12"/>
    </row>
    <row r="185" ht="43.5" customHeight="1">
      <c r="O185" s="12"/>
      <c r="P185" s="12"/>
      <c r="Q185" s="12"/>
      <c r="V185" s="12"/>
      <c r="W185" s="12"/>
      <c r="X185" s="12"/>
    </row>
    <row r="186" ht="43.5" customHeight="1">
      <c r="O186" s="12"/>
      <c r="P186" s="12"/>
      <c r="Q186" s="12"/>
      <c r="V186" s="12"/>
      <c r="W186" s="12"/>
      <c r="X186" s="12"/>
    </row>
    <row r="187" ht="43.5" customHeight="1">
      <c r="O187" s="12"/>
      <c r="P187" s="12"/>
      <c r="Q187" s="12"/>
      <c r="V187" s="12"/>
      <c r="W187" s="12"/>
      <c r="X187" s="12"/>
    </row>
    <row r="188" ht="43.5" customHeight="1">
      <c r="O188" s="12"/>
      <c r="P188" s="12"/>
      <c r="Q188" s="12"/>
      <c r="V188" s="12"/>
      <c r="W188" s="12"/>
      <c r="X188" s="12"/>
    </row>
    <row r="189" ht="43.5" customHeight="1">
      <c r="O189" s="12"/>
      <c r="P189" s="12"/>
      <c r="Q189" s="12"/>
      <c r="V189" s="12"/>
      <c r="W189" s="12"/>
      <c r="X189" s="12"/>
    </row>
    <row r="190" ht="43.5" customHeight="1">
      <c r="O190" s="12"/>
      <c r="P190" s="12"/>
      <c r="Q190" s="12"/>
      <c r="V190" s="12"/>
      <c r="W190" s="12"/>
      <c r="X190" s="12"/>
    </row>
    <row r="191" ht="43.5" customHeight="1">
      <c r="O191" s="12"/>
      <c r="P191" s="12"/>
      <c r="Q191" s="12"/>
      <c r="V191" s="12"/>
      <c r="W191" s="12"/>
      <c r="X191" s="12"/>
    </row>
    <row r="192" ht="43.5" customHeight="1">
      <c r="O192" s="12"/>
      <c r="P192" s="12"/>
      <c r="Q192" s="12"/>
      <c r="V192" s="12"/>
      <c r="W192" s="12"/>
      <c r="X192" s="12"/>
    </row>
    <row r="193" ht="43.5" customHeight="1">
      <c r="O193" s="12"/>
      <c r="P193" s="12"/>
      <c r="Q193" s="12"/>
      <c r="V193" s="12"/>
      <c r="W193" s="12"/>
      <c r="X193" s="12"/>
    </row>
    <row r="194" ht="43.5" customHeight="1">
      <c r="O194" s="12"/>
      <c r="P194" s="12"/>
      <c r="Q194" s="12"/>
      <c r="V194" s="12"/>
      <c r="W194" s="12"/>
      <c r="X194" s="12"/>
    </row>
    <row r="195" ht="43.5" customHeight="1">
      <c r="O195" s="12"/>
      <c r="P195" s="12"/>
      <c r="Q195" s="12"/>
      <c r="V195" s="12"/>
      <c r="W195" s="12"/>
      <c r="X195" s="12"/>
    </row>
    <row r="196" ht="43.5" customHeight="1">
      <c r="O196" s="12"/>
      <c r="P196" s="12"/>
      <c r="Q196" s="12"/>
      <c r="V196" s="12"/>
      <c r="W196" s="12"/>
      <c r="X196" s="12"/>
    </row>
    <row r="197" ht="43.5" customHeight="1">
      <c r="O197" s="12"/>
      <c r="P197" s="12"/>
      <c r="Q197" s="12"/>
      <c r="V197" s="12"/>
      <c r="W197" s="12"/>
      <c r="X197" s="12"/>
    </row>
    <row r="198" ht="43.5" customHeight="1">
      <c r="O198" s="12"/>
      <c r="P198" s="12"/>
      <c r="Q198" s="12"/>
      <c r="V198" s="12"/>
      <c r="W198" s="12"/>
      <c r="X198" s="12"/>
    </row>
    <row r="199" ht="43.5" customHeight="1">
      <c r="O199" s="12"/>
      <c r="P199" s="12"/>
      <c r="Q199" s="12"/>
      <c r="V199" s="12"/>
      <c r="W199" s="12"/>
      <c r="X199" s="12"/>
    </row>
    <row r="200" ht="43.5" customHeight="1">
      <c r="O200" s="12"/>
      <c r="P200" s="12"/>
      <c r="Q200" s="12"/>
      <c r="V200" s="12"/>
      <c r="W200" s="12"/>
      <c r="X200" s="12"/>
    </row>
    <row r="201" ht="43.5" customHeight="1">
      <c r="O201" s="12"/>
      <c r="P201" s="12"/>
      <c r="Q201" s="12"/>
      <c r="V201" s="12"/>
      <c r="W201" s="12"/>
      <c r="X201" s="12"/>
    </row>
    <row r="202" ht="43.5" customHeight="1">
      <c r="O202" s="12"/>
      <c r="P202" s="12"/>
      <c r="Q202" s="12"/>
      <c r="V202" s="12"/>
      <c r="W202" s="12"/>
      <c r="X202" s="12"/>
    </row>
    <row r="203" ht="43.5" customHeight="1">
      <c r="O203" s="12"/>
      <c r="P203" s="12"/>
      <c r="Q203" s="12"/>
      <c r="V203" s="12"/>
      <c r="W203" s="12"/>
      <c r="X203" s="12"/>
    </row>
    <row r="204" ht="43.5" customHeight="1">
      <c r="O204" s="12"/>
      <c r="P204" s="12"/>
      <c r="Q204" s="12"/>
      <c r="V204" s="12"/>
      <c r="W204" s="12"/>
      <c r="X204" s="12"/>
    </row>
    <row r="205" ht="43.5" customHeight="1">
      <c r="O205" s="12"/>
      <c r="P205" s="12"/>
      <c r="Q205" s="12"/>
      <c r="V205" s="12"/>
      <c r="W205" s="12"/>
      <c r="X205" s="12"/>
    </row>
    <row r="206" ht="43.5" customHeight="1">
      <c r="O206" s="12"/>
      <c r="P206" s="12"/>
      <c r="Q206" s="12"/>
      <c r="V206" s="12"/>
      <c r="W206" s="12"/>
      <c r="X206" s="12"/>
    </row>
    <row r="207" ht="43.5" customHeight="1">
      <c r="O207" s="12"/>
      <c r="P207" s="12"/>
      <c r="Q207" s="12"/>
      <c r="V207" s="12"/>
      <c r="W207" s="12"/>
      <c r="X207" s="12"/>
    </row>
    <row r="208" ht="43.5" customHeight="1">
      <c r="O208" s="12"/>
      <c r="P208" s="12"/>
      <c r="Q208" s="12"/>
      <c r="V208" s="12"/>
      <c r="W208" s="12"/>
      <c r="X208" s="12"/>
    </row>
    <row r="209" ht="43.5" customHeight="1">
      <c r="O209" s="12"/>
      <c r="P209" s="12"/>
      <c r="Q209" s="12"/>
      <c r="V209" s="12"/>
      <c r="W209" s="12"/>
      <c r="X209" s="12"/>
    </row>
    <row r="210" ht="43.5" customHeight="1">
      <c r="O210" s="12"/>
      <c r="P210" s="12"/>
      <c r="Q210" s="12"/>
      <c r="V210" s="12"/>
      <c r="W210" s="12"/>
      <c r="X210" s="12"/>
    </row>
    <row r="211" ht="43.5" customHeight="1">
      <c r="O211" s="12"/>
      <c r="P211" s="12"/>
      <c r="Q211" s="12"/>
      <c r="V211" s="12"/>
      <c r="W211" s="12"/>
      <c r="X211" s="12"/>
    </row>
    <row r="212" ht="43.5" customHeight="1">
      <c r="O212" s="12"/>
      <c r="P212" s="12"/>
      <c r="Q212" s="12"/>
      <c r="V212" s="12"/>
      <c r="W212" s="12"/>
      <c r="X212" s="12"/>
    </row>
    <row r="213" ht="43.5" customHeight="1">
      <c r="O213" s="12"/>
      <c r="P213" s="12"/>
      <c r="Q213" s="12"/>
      <c r="V213" s="12"/>
      <c r="W213" s="12"/>
      <c r="X213" s="12"/>
    </row>
    <row r="214" ht="43.5" customHeight="1">
      <c r="O214" s="12"/>
      <c r="P214" s="12"/>
      <c r="Q214" s="12"/>
      <c r="V214" s="12"/>
      <c r="W214" s="12"/>
      <c r="X214" s="12"/>
    </row>
    <row r="215" ht="43.5" customHeight="1">
      <c r="O215" s="12"/>
      <c r="P215" s="12"/>
      <c r="Q215" s="12"/>
      <c r="V215" s="12"/>
      <c r="W215" s="12"/>
      <c r="X215" s="12"/>
    </row>
    <row r="216" ht="43.5" customHeight="1">
      <c r="O216" s="12"/>
      <c r="P216" s="12"/>
      <c r="Q216" s="12"/>
      <c r="V216" s="12"/>
      <c r="W216" s="12"/>
      <c r="X216" s="12"/>
    </row>
    <row r="217" ht="43.5" customHeight="1">
      <c r="O217" s="12"/>
      <c r="P217" s="12"/>
      <c r="Q217" s="12"/>
      <c r="V217" s="12"/>
      <c r="W217" s="12"/>
      <c r="X217" s="12"/>
    </row>
    <row r="218" ht="43.5" customHeight="1">
      <c r="O218" s="12"/>
      <c r="P218" s="12"/>
      <c r="Q218" s="12"/>
      <c r="V218" s="12"/>
      <c r="W218" s="12"/>
      <c r="X218" s="12"/>
    </row>
    <row r="219" ht="43.5" customHeight="1">
      <c r="O219" s="12"/>
      <c r="P219" s="12"/>
      <c r="Q219" s="12"/>
      <c r="V219" s="12"/>
      <c r="W219" s="12"/>
      <c r="X219" s="12"/>
    </row>
    <row r="220" ht="43.5" customHeight="1">
      <c r="O220" s="12"/>
      <c r="P220" s="12"/>
      <c r="Q220" s="12"/>
      <c r="V220" s="12"/>
      <c r="W220" s="12"/>
      <c r="X220" s="12"/>
    </row>
    <row r="221" ht="43.5" customHeight="1">
      <c r="O221" s="12"/>
      <c r="P221" s="12"/>
      <c r="Q221" s="12"/>
      <c r="V221" s="12"/>
      <c r="W221" s="12"/>
      <c r="X221" s="12"/>
    </row>
    <row r="222" ht="43.5" customHeight="1">
      <c r="O222" s="12"/>
      <c r="P222" s="12"/>
      <c r="Q222" s="12"/>
      <c r="V222" s="12"/>
      <c r="W222" s="12"/>
      <c r="X222" s="12"/>
    </row>
    <row r="223" ht="43.5" customHeight="1">
      <c r="O223" s="12"/>
      <c r="P223" s="12"/>
      <c r="Q223" s="12"/>
      <c r="V223" s="12"/>
      <c r="W223" s="12"/>
      <c r="X223" s="12"/>
    </row>
    <row r="224" ht="43.5" customHeight="1">
      <c r="O224" s="12"/>
      <c r="P224" s="12"/>
      <c r="Q224" s="12"/>
      <c r="V224" s="12"/>
      <c r="W224" s="12"/>
      <c r="X224" s="12"/>
    </row>
    <row r="225" ht="43.5" customHeight="1">
      <c r="O225" s="12"/>
      <c r="P225" s="12"/>
      <c r="Q225" s="12"/>
      <c r="V225" s="12"/>
      <c r="W225" s="12"/>
      <c r="X225" s="12"/>
    </row>
    <row r="226" ht="43.5" customHeight="1">
      <c r="O226" s="12"/>
      <c r="P226" s="12"/>
      <c r="Q226" s="12"/>
      <c r="V226" s="12"/>
      <c r="W226" s="12"/>
      <c r="X226" s="12"/>
    </row>
    <row r="227" ht="43.5" customHeight="1">
      <c r="O227" s="12"/>
      <c r="P227" s="12"/>
      <c r="Q227" s="12"/>
      <c r="V227" s="12"/>
      <c r="W227" s="12"/>
      <c r="X227" s="12"/>
    </row>
    <row r="228" ht="43.5" customHeight="1">
      <c r="O228" s="12"/>
      <c r="P228" s="12"/>
      <c r="Q228" s="12"/>
      <c r="V228" s="12"/>
      <c r="W228" s="12"/>
      <c r="X228" s="12"/>
    </row>
    <row r="229" ht="43.5" customHeight="1">
      <c r="O229" s="12"/>
      <c r="P229" s="12"/>
      <c r="Q229" s="12"/>
      <c r="V229" s="12"/>
      <c r="W229" s="12"/>
      <c r="X229" s="12"/>
    </row>
    <row r="230" ht="43.5" customHeight="1">
      <c r="O230" s="12"/>
      <c r="P230" s="12"/>
      <c r="Q230" s="12"/>
      <c r="V230" s="12"/>
      <c r="W230" s="12"/>
      <c r="X230" s="12"/>
    </row>
    <row r="231" ht="43.5" customHeight="1">
      <c r="O231" s="12"/>
      <c r="P231" s="12"/>
      <c r="Q231" s="12"/>
      <c r="V231" s="12"/>
      <c r="W231" s="12"/>
      <c r="X231" s="12"/>
    </row>
    <row r="232" ht="43.5" customHeight="1">
      <c r="O232" s="12"/>
      <c r="P232" s="12"/>
      <c r="Q232" s="12"/>
      <c r="V232" s="12"/>
      <c r="W232" s="12"/>
      <c r="X232" s="12"/>
    </row>
    <row r="233" ht="43.5" customHeight="1">
      <c r="O233" s="12"/>
      <c r="P233" s="12"/>
      <c r="Q233" s="12"/>
      <c r="V233" s="12"/>
      <c r="W233" s="12"/>
      <c r="X233" s="12"/>
    </row>
    <row r="234" ht="43.5" customHeight="1">
      <c r="O234" s="12"/>
      <c r="P234" s="12"/>
      <c r="Q234" s="12"/>
      <c r="V234" s="12"/>
      <c r="W234" s="12"/>
      <c r="X234" s="12"/>
    </row>
    <row r="235" ht="43.5" customHeight="1">
      <c r="O235" s="12"/>
      <c r="P235" s="12"/>
      <c r="Q235" s="12"/>
      <c r="V235" s="12"/>
      <c r="W235" s="12"/>
      <c r="X235" s="12"/>
    </row>
    <row r="236" ht="43.5" customHeight="1">
      <c r="O236" s="12"/>
      <c r="P236" s="12"/>
      <c r="Q236" s="12"/>
      <c r="V236" s="12"/>
      <c r="W236" s="12"/>
      <c r="X236" s="12"/>
    </row>
    <row r="237" ht="43.5" customHeight="1">
      <c r="O237" s="12"/>
      <c r="P237" s="12"/>
      <c r="Q237" s="12"/>
      <c r="V237" s="12"/>
      <c r="W237" s="12"/>
      <c r="X237" s="12"/>
    </row>
    <row r="238" ht="43.5" customHeight="1">
      <c r="O238" s="12"/>
      <c r="P238" s="12"/>
      <c r="Q238" s="12"/>
      <c r="V238" s="12"/>
      <c r="W238" s="12"/>
      <c r="X238" s="12"/>
    </row>
    <row r="239" ht="43.5" customHeight="1">
      <c r="O239" s="12"/>
      <c r="P239" s="12"/>
      <c r="Q239" s="12"/>
      <c r="V239" s="12"/>
      <c r="W239" s="12"/>
      <c r="X239" s="12"/>
    </row>
    <row r="240" ht="43.5" customHeight="1">
      <c r="O240" s="12"/>
      <c r="P240" s="12"/>
      <c r="Q240" s="12"/>
      <c r="V240" s="12"/>
      <c r="W240" s="12"/>
      <c r="X240" s="12"/>
    </row>
    <row r="241" ht="43.5" customHeight="1">
      <c r="O241" s="12"/>
      <c r="P241" s="12"/>
      <c r="Q241" s="12"/>
      <c r="V241" s="12"/>
      <c r="W241" s="12"/>
      <c r="X241" s="12"/>
    </row>
    <row r="242" ht="43.5" customHeight="1">
      <c r="O242" s="12"/>
      <c r="P242" s="12"/>
      <c r="Q242" s="12"/>
      <c r="V242" s="12"/>
      <c r="W242" s="12"/>
      <c r="X242" s="12"/>
    </row>
    <row r="243" ht="43.5" customHeight="1">
      <c r="O243" s="12"/>
      <c r="P243" s="12"/>
      <c r="Q243" s="12"/>
      <c r="V243" s="12"/>
      <c r="W243" s="12"/>
      <c r="X243" s="12"/>
    </row>
    <row r="244" ht="43.5" customHeight="1">
      <c r="O244" s="12"/>
      <c r="P244" s="12"/>
      <c r="Q244" s="12"/>
      <c r="V244" s="12"/>
      <c r="W244" s="12"/>
      <c r="X244" s="12"/>
    </row>
    <row r="245" ht="43.5" customHeight="1">
      <c r="O245" s="12"/>
      <c r="P245" s="12"/>
      <c r="Q245" s="12"/>
      <c r="V245" s="12"/>
      <c r="W245" s="12"/>
      <c r="X245" s="12"/>
    </row>
    <row r="246" ht="43.5" customHeight="1">
      <c r="O246" s="12"/>
      <c r="P246" s="12"/>
      <c r="Q246" s="12"/>
      <c r="V246" s="12"/>
      <c r="W246" s="12"/>
      <c r="X246" s="12"/>
    </row>
    <row r="247" ht="43.5" customHeight="1">
      <c r="O247" s="12"/>
      <c r="P247" s="12"/>
      <c r="Q247" s="12"/>
      <c r="V247" s="12"/>
      <c r="W247" s="12"/>
      <c r="X247" s="12"/>
    </row>
    <row r="248" ht="43.5" customHeight="1">
      <c r="O248" s="12"/>
      <c r="P248" s="12"/>
      <c r="Q248" s="12"/>
      <c r="V248" s="12"/>
      <c r="W248" s="12"/>
      <c r="X248" s="12"/>
    </row>
    <row r="249" ht="43.5" customHeight="1">
      <c r="O249" s="12"/>
      <c r="P249" s="12"/>
      <c r="Q249" s="12"/>
      <c r="V249" s="12"/>
      <c r="W249" s="12"/>
      <c r="X249" s="12"/>
    </row>
    <row r="250" ht="43.5" customHeight="1">
      <c r="O250" s="12"/>
      <c r="P250" s="12"/>
      <c r="Q250" s="12"/>
      <c r="V250" s="12"/>
      <c r="W250" s="12"/>
      <c r="X250" s="12"/>
    </row>
    <row r="251" ht="43.5" customHeight="1">
      <c r="O251" s="12"/>
      <c r="P251" s="12"/>
      <c r="Q251" s="12"/>
      <c r="V251" s="12"/>
      <c r="W251" s="12"/>
      <c r="X251" s="12"/>
    </row>
    <row r="252" ht="43.5" customHeight="1">
      <c r="O252" s="12"/>
      <c r="P252" s="12"/>
      <c r="Q252" s="12"/>
      <c r="V252" s="12"/>
      <c r="W252" s="12"/>
      <c r="X252" s="12"/>
    </row>
    <row r="253" ht="43.5" customHeight="1">
      <c r="O253" s="12"/>
      <c r="P253" s="12"/>
      <c r="Q253" s="12"/>
      <c r="V253" s="12"/>
      <c r="W253" s="12"/>
      <c r="X253" s="12"/>
    </row>
    <row r="254" ht="43.5" customHeight="1">
      <c r="O254" s="12"/>
      <c r="P254" s="12"/>
      <c r="Q254" s="12"/>
      <c r="V254" s="12"/>
      <c r="W254" s="12"/>
      <c r="X254" s="12"/>
    </row>
    <row r="255" ht="43.5" customHeight="1">
      <c r="O255" s="12"/>
      <c r="P255" s="12"/>
      <c r="Q255" s="12"/>
      <c r="V255" s="12"/>
      <c r="W255" s="12"/>
      <c r="X255" s="12"/>
    </row>
    <row r="256" ht="43.5" customHeight="1">
      <c r="O256" s="12"/>
      <c r="P256" s="12"/>
      <c r="Q256" s="12"/>
      <c r="V256" s="12"/>
      <c r="W256" s="12"/>
      <c r="X256" s="12"/>
    </row>
    <row r="257" ht="43.5" customHeight="1">
      <c r="O257" s="12"/>
      <c r="P257" s="12"/>
      <c r="Q257" s="12"/>
      <c r="V257" s="12"/>
      <c r="W257" s="12"/>
      <c r="X257" s="12"/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:B1"/>
    <mergeCell ref="G2:J2"/>
    <mergeCell ref="K2:N2"/>
    <mergeCell ref="O2:Q2"/>
    <mergeCell ref="R2:U2"/>
    <mergeCell ref="V2:X2"/>
  </mergeCells>
  <conditionalFormatting sqref="D1 D3:D4 D11:D1000">
    <cfRule type="cellIs" dxfId="0" priority="1" operator="lessThan">
      <formula>0.25</formula>
    </cfRule>
  </conditionalFormatting>
  <conditionalFormatting sqref="D1 D3:D4 D11:D1000">
    <cfRule type="cellIs" dxfId="1" priority="2" operator="greaterThan">
      <formula>0.3</formula>
    </cfRule>
  </conditionalFormatting>
  <conditionalFormatting sqref="H4">
    <cfRule type="cellIs" dxfId="0" priority="3" operator="lessThan">
      <formula>0.25</formula>
    </cfRule>
  </conditionalFormatting>
  <conditionalFormatting sqref="H4">
    <cfRule type="cellIs" dxfId="1" priority="4" operator="greaterThan">
      <formula>0.3</formula>
    </cfRule>
  </conditionalFormatting>
  <conditionalFormatting sqref="L4">
    <cfRule type="cellIs" dxfId="0" priority="5" operator="lessThan">
      <formula>0.25</formula>
    </cfRule>
  </conditionalFormatting>
  <conditionalFormatting sqref="L4">
    <cfRule type="cellIs" dxfId="1" priority="6" operator="greaterThan">
      <formula>0.3</formula>
    </cfRule>
  </conditionalFormatting>
  <conditionalFormatting sqref="S4">
    <cfRule type="cellIs" dxfId="0" priority="7" operator="lessThan">
      <formula>0.25</formula>
    </cfRule>
  </conditionalFormatting>
  <conditionalFormatting sqref="S4">
    <cfRule type="cellIs" dxfId="1" priority="8" operator="greaterThan">
      <formula>0.3</formula>
    </cfRule>
  </conditionalFormatting>
  <dataValidations>
    <dataValidation type="list" allowBlank="1" showErrorMessage="1" sqref="B2">
      <formula1>$AO$5:$AO$71</formula1>
    </dataValidation>
    <dataValidation type="list" allowBlank="1" showErrorMessage="1" sqref="AO5:AO71">
      <formula1>$B$2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1.63"/>
    <col customWidth="1" min="13" max="13" width="7.63"/>
    <col customWidth="1" min="14" max="14" width="19.25"/>
    <col customWidth="1" min="15" max="15" width="18.63"/>
  </cols>
  <sheetData>
    <row r="1" ht="14.25" customHeight="1">
      <c r="A1" s="2" t="s">
        <v>0</v>
      </c>
      <c r="L1" s="3"/>
    </row>
    <row r="2" ht="14.25" customHeight="1">
      <c r="A2" s="5" t="str">
        <f>+Summary!B2</f>
        <v>Week Ending 04/19/2026</v>
      </c>
      <c r="L2" s="3"/>
    </row>
    <row r="3" ht="14.25" customHeight="1">
      <c r="A3" s="6" t="s">
        <v>1</v>
      </c>
      <c r="L3" s="3"/>
    </row>
    <row r="4" ht="14.25" customHeight="1">
      <c r="B4" s="7" t="s">
        <v>2</v>
      </c>
      <c r="D4" s="7" t="s">
        <v>3</v>
      </c>
      <c r="F4" s="7" t="s">
        <v>4</v>
      </c>
      <c r="H4" s="7" t="s">
        <v>5</v>
      </c>
      <c r="J4" s="7" t="s">
        <v>1</v>
      </c>
      <c r="L4" s="7" t="s">
        <v>7</v>
      </c>
    </row>
    <row r="5" ht="18.0" customHeight="1">
      <c r="A5" s="8" t="s">
        <v>8</v>
      </c>
      <c r="B5" s="9"/>
      <c r="C5" s="10"/>
      <c r="D5" s="9"/>
      <c r="E5" s="10"/>
      <c r="F5" s="9"/>
      <c r="G5" s="10"/>
      <c r="H5" s="9"/>
      <c r="I5" s="10"/>
      <c r="J5" s="9"/>
      <c r="K5" s="10"/>
      <c r="L5" s="3"/>
    </row>
    <row r="6" ht="16.5" hidden="1" customHeight="1">
      <c r="A6" s="11" t="s">
        <v>10</v>
      </c>
      <c r="B6" s="14" t="str">
        <f t="shared" ref="B6:B16" si="1">INDEX(INDIRECT("'"&amp;B$4&amp;"'!$1:$1048576"),MATCH($A6,INDIRECT("'"&amp;B$4&amp;"'!$A:$A"),0),MATCH($A$2,INDIRECT("'"&amp;B$4&amp;"'!$5:$5"),0))</f>
        <v>#N/A</v>
      </c>
      <c r="C6" s="15" t="str">
        <f>IFERROR(B6/B16, "NA")</f>
        <v>NA</v>
      </c>
      <c r="D6" s="14" t="str">
        <f t="shared" ref="D6:D16" si="2">INDEX(INDIRECT("'"&amp;D$4&amp;"'!$1:$1048576"),MATCH($A6,INDIRECT("'"&amp;D$4&amp;"'!$A:$A"),0),MATCH($A$2,INDIRECT("'"&amp;D$4&amp;"'!$5:$5"),0))</f>
        <v>#N/A</v>
      </c>
      <c r="E6" s="15" t="str">
        <f>IFERROR(D6/D16, "NA")</f>
        <v>NA</v>
      </c>
      <c r="F6" s="14" t="str">
        <f t="shared" ref="F6:F16" si="3">INDEX(INDIRECT("'"&amp;F$4&amp;"'!$1:$1048576"),MATCH($A6,INDIRECT("'"&amp;F$4&amp;"'!$A:$A"),0),MATCH($A$2,INDIRECT("'"&amp;F$4&amp;"'!$5:$5"),0))</f>
        <v>#N/A</v>
      </c>
      <c r="G6" s="15" t="str">
        <f>IFERROR(F6/F16, "NA")</f>
        <v>NA</v>
      </c>
      <c r="H6" s="14" t="str">
        <f t="shared" ref="H6:H16" si="4">INDEX(INDIRECT("'"&amp;H$4&amp;"'!$1:$1048576"),MATCH($A6,INDIRECT("'"&amp;H$4&amp;"'!$A:$A"),0),MATCH($A$2,INDIRECT("'"&amp;H$4&amp;"'!$5:$5"),0))</f>
        <v>#N/A</v>
      </c>
      <c r="I6" s="15" t="str">
        <f>IFERROR(H6/H16, "NA")</f>
        <v>NA</v>
      </c>
      <c r="J6" s="14" t="str">
        <f t="shared" ref="J6:J16" si="5">INDEX(INDIRECT("'"&amp;J$4&amp;"'!$1:$1048576"),MATCH($A6,INDIRECT("'"&amp;J$4&amp;"'!$A:$A"),0),MATCH($A$2,INDIRECT("'"&amp;J$4&amp;"'!$5:$5"),0))</f>
        <v>#N/A</v>
      </c>
      <c r="K6" s="15" t="str">
        <f>IFERROR(J6/J16, "NA")</f>
        <v>NA</v>
      </c>
      <c r="L6" s="14" t="str">
        <f t="shared" ref="L6:L16" si="6">+J6+H6+F6+D6+B6</f>
        <v>#N/A</v>
      </c>
      <c r="M6" s="15" t="str">
        <f>IFERROR(L6/L16, "NA")</f>
        <v>NA</v>
      </c>
      <c r="O6" s="27"/>
    </row>
    <row r="7" ht="16.5" hidden="1" customHeight="1">
      <c r="A7" s="11" t="s">
        <v>39</v>
      </c>
      <c r="B7" s="14" t="str">
        <f t="shared" si="1"/>
        <v>#N/A</v>
      </c>
      <c r="C7" s="15" t="str">
        <f>IFERROR(B7/B16, "NA")</f>
        <v>NA</v>
      </c>
      <c r="D7" s="14" t="str">
        <f t="shared" si="2"/>
        <v>#N/A</v>
      </c>
      <c r="E7" s="15" t="str">
        <f>IFERROR(D7/D16, "NA")</f>
        <v>NA</v>
      </c>
      <c r="F7" s="14" t="str">
        <f t="shared" si="3"/>
        <v>#N/A</v>
      </c>
      <c r="G7" s="15" t="str">
        <f>IFERROR(F7/F16, "NA")</f>
        <v>NA</v>
      </c>
      <c r="H7" s="14" t="str">
        <f t="shared" si="4"/>
        <v>#N/A</v>
      </c>
      <c r="I7" s="15" t="str">
        <f>IFERROR(H7/H16, "NA")</f>
        <v>NA</v>
      </c>
      <c r="J7" s="14" t="str">
        <f t="shared" si="5"/>
        <v>#N/A</v>
      </c>
      <c r="K7" s="15" t="str">
        <f>IFERROR(J7/J16, "NA")</f>
        <v>NA</v>
      </c>
      <c r="L7" s="14" t="str">
        <f t="shared" si="6"/>
        <v>#N/A</v>
      </c>
      <c r="M7" s="15" t="str">
        <f>IFERROR(L7/L16, "NA")</f>
        <v>NA</v>
      </c>
    </row>
    <row r="8" ht="16.5" hidden="1" customHeight="1">
      <c r="A8" s="11" t="s">
        <v>45</v>
      </c>
      <c r="B8" s="14" t="str">
        <f t="shared" si="1"/>
        <v>#N/A</v>
      </c>
      <c r="C8" s="15" t="str">
        <f>IFERROR(B8/B16, "NA")</f>
        <v>NA</v>
      </c>
      <c r="D8" s="14" t="str">
        <f t="shared" si="2"/>
        <v>#N/A</v>
      </c>
      <c r="E8" s="15" t="str">
        <f>IFERROR(D8/D16, "NA")</f>
        <v>NA</v>
      </c>
      <c r="F8" s="14" t="str">
        <f t="shared" si="3"/>
        <v>#N/A</v>
      </c>
      <c r="G8" s="15" t="str">
        <f>IFERROR(F8/F16, "NA")</f>
        <v>NA</v>
      </c>
      <c r="H8" s="14" t="str">
        <f t="shared" si="4"/>
        <v>#N/A</v>
      </c>
      <c r="I8" s="15" t="str">
        <f>IFERROR(H8/H16, "NA")</f>
        <v>NA</v>
      </c>
      <c r="J8" s="14" t="str">
        <f t="shared" si="5"/>
        <v>#N/A</v>
      </c>
      <c r="K8" s="15" t="str">
        <f>IFERROR(J8/J16, "NA")</f>
        <v>NA</v>
      </c>
      <c r="L8" s="14" t="str">
        <f t="shared" si="6"/>
        <v>#N/A</v>
      </c>
      <c r="M8" s="15" t="str">
        <f>IFERROR(L8/L16, "NA")</f>
        <v>NA</v>
      </c>
    </row>
    <row r="9" ht="16.5" hidden="1" customHeight="1">
      <c r="A9" s="11" t="s">
        <v>52</v>
      </c>
      <c r="B9" s="14" t="str">
        <f t="shared" si="1"/>
        <v>#N/A</v>
      </c>
      <c r="C9" s="15" t="str">
        <f>IFERROR(B9/B16, "NA")</f>
        <v>NA</v>
      </c>
      <c r="D9" s="14" t="str">
        <f t="shared" si="2"/>
        <v>#N/A</v>
      </c>
      <c r="E9" s="15" t="str">
        <f>IFERROR(D9/D16, "NA")</f>
        <v>NA</v>
      </c>
      <c r="F9" s="14" t="str">
        <f t="shared" si="3"/>
        <v>#N/A</v>
      </c>
      <c r="G9" s="15" t="str">
        <f>IFERROR(F9/F16, "NA")</f>
        <v>NA</v>
      </c>
      <c r="H9" s="14" t="str">
        <f t="shared" si="4"/>
        <v>#N/A</v>
      </c>
      <c r="I9" s="15" t="str">
        <f>IFERROR(H9/H16, "NA")</f>
        <v>NA</v>
      </c>
      <c r="J9" s="14" t="str">
        <f t="shared" si="5"/>
        <v>#N/A</v>
      </c>
      <c r="K9" s="15" t="str">
        <f>IFERROR(J9/J16, "NA")</f>
        <v>NA</v>
      </c>
      <c r="L9" s="14" t="str">
        <f t="shared" si="6"/>
        <v>#N/A</v>
      </c>
      <c r="M9" s="15" t="str">
        <f>IFERROR(L9/L16, "NA")</f>
        <v>NA</v>
      </c>
    </row>
    <row r="10" ht="16.5" hidden="1" customHeight="1">
      <c r="A10" s="11" t="s">
        <v>57</v>
      </c>
      <c r="B10" s="14" t="str">
        <f t="shared" si="1"/>
        <v>#N/A</v>
      </c>
      <c r="C10" s="15" t="str">
        <f>IFERROR(B10/B16, "NA")</f>
        <v>NA</v>
      </c>
      <c r="D10" s="14" t="str">
        <f t="shared" si="2"/>
        <v>#N/A</v>
      </c>
      <c r="E10" s="15" t="str">
        <f>IFERROR(D10/D16, "NA")</f>
        <v>NA</v>
      </c>
      <c r="F10" s="14" t="str">
        <f t="shared" si="3"/>
        <v>#N/A</v>
      </c>
      <c r="G10" s="15" t="str">
        <f>IFERROR(F10/F16, "NA")</f>
        <v>NA</v>
      </c>
      <c r="H10" s="14" t="str">
        <f t="shared" si="4"/>
        <v>#N/A</v>
      </c>
      <c r="I10" s="15" t="str">
        <f>IFERROR(H10/H16, "NA")</f>
        <v>NA</v>
      </c>
      <c r="J10" s="14" t="str">
        <f t="shared" si="5"/>
        <v>#N/A</v>
      </c>
      <c r="K10" s="15" t="str">
        <f>IFERROR(J10/J16, "NA")</f>
        <v>NA</v>
      </c>
      <c r="L10" s="14" t="str">
        <f t="shared" si="6"/>
        <v>#N/A</v>
      </c>
      <c r="M10" s="15" t="str">
        <f>IFERROR(L10/L16, "NA")</f>
        <v>NA</v>
      </c>
    </row>
    <row r="11" ht="16.5" hidden="1" customHeight="1">
      <c r="A11" s="11" t="s">
        <v>59</v>
      </c>
      <c r="B11" s="14" t="str">
        <f t="shared" si="1"/>
        <v>#N/A</v>
      </c>
      <c r="C11" s="15" t="str">
        <f>IFERROR(B11/B16, "NA")</f>
        <v>NA</v>
      </c>
      <c r="D11" s="14" t="str">
        <f t="shared" si="2"/>
        <v>#N/A</v>
      </c>
      <c r="E11" s="15" t="str">
        <f>IFERROR(D11/D16, "NA")</f>
        <v>NA</v>
      </c>
      <c r="F11" s="14" t="str">
        <f t="shared" si="3"/>
        <v>#N/A</v>
      </c>
      <c r="G11" s="15" t="str">
        <f>IFERROR(F11/F16, "NA")</f>
        <v>NA</v>
      </c>
      <c r="H11" s="14" t="str">
        <f t="shared" si="4"/>
        <v>#N/A</v>
      </c>
      <c r="I11" s="15" t="str">
        <f>IFERROR(H11/H16, "NA")</f>
        <v>NA</v>
      </c>
      <c r="J11" s="14" t="str">
        <f t="shared" si="5"/>
        <v>#N/A</v>
      </c>
      <c r="K11" s="15" t="str">
        <f>IFERROR(J11/J16, "NA")</f>
        <v>NA</v>
      </c>
      <c r="L11" s="14" t="str">
        <f t="shared" si="6"/>
        <v>#N/A</v>
      </c>
      <c r="M11" s="15" t="str">
        <f>IFERROR(L11/L16, "NA")</f>
        <v>NA</v>
      </c>
    </row>
    <row r="12" ht="16.5" hidden="1" customHeight="1">
      <c r="A12" s="11" t="s">
        <v>60</v>
      </c>
      <c r="B12" s="14" t="str">
        <f t="shared" si="1"/>
        <v>#N/A</v>
      </c>
      <c r="C12" s="15" t="str">
        <f>IFERROR(B12/B16, "NA")</f>
        <v>NA</v>
      </c>
      <c r="D12" s="14" t="str">
        <f t="shared" si="2"/>
        <v>#N/A</v>
      </c>
      <c r="E12" s="15" t="str">
        <f>IFERROR(D12/D16, "NA")</f>
        <v>NA</v>
      </c>
      <c r="F12" s="14" t="str">
        <f t="shared" si="3"/>
        <v>#N/A</v>
      </c>
      <c r="G12" s="15" t="str">
        <f>IFERROR(F12/F16, "NA")</f>
        <v>NA</v>
      </c>
      <c r="H12" s="14" t="str">
        <f t="shared" si="4"/>
        <v>#N/A</v>
      </c>
      <c r="I12" s="15" t="str">
        <f>IFERROR(H12/H16, "NA")</f>
        <v>NA</v>
      </c>
      <c r="J12" s="14" t="str">
        <f t="shared" si="5"/>
        <v>#N/A</v>
      </c>
      <c r="K12" s="15" t="str">
        <f>IFERROR(J12/J16, "NA")</f>
        <v>NA</v>
      </c>
      <c r="L12" s="14" t="str">
        <f t="shared" si="6"/>
        <v>#N/A</v>
      </c>
      <c r="M12" s="15" t="str">
        <f>IFERROR(L12/L16, "NA")</f>
        <v>NA</v>
      </c>
    </row>
    <row r="13" ht="16.5" hidden="1" customHeight="1">
      <c r="A13" s="11" t="s">
        <v>62</v>
      </c>
      <c r="B13" s="14" t="str">
        <f t="shared" si="1"/>
        <v>#N/A</v>
      </c>
      <c r="C13" s="15" t="str">
        <f>IFERROR(B13/B16, "NA")</f>
        <v>NA</v>
      </c>
      <c r="D13" s="14" t="str">
        <f t="shared" si="2"/>
        <v>#N/A</v>
      </c>
      <c r="E13" s="15" t="str">
        <f>IFERROR(D13/D16, "NA")</f>
        <v>NA</v>
      </c>
      <c r="F13" s="14" t="str">
        <f t="shared" si="3"/>
        <v>#N/A</v>
      </c>
      <c r="G13" s="15" t="str">
        <f>IFERROR(F13/F16, "NA")</f>
        <v>NA</v>
      </c>
      <c r="H13" s="14" t="str">
        <f t="shared" si="4"/>
        <v>#N/A</v>
      </c>
      <c r="I13" s="15" t="str">
        <f>IFERROR(H13/H16, "NA")</f>
        <v>NA</v>
      </c>
      <c r="J13" s="14" t="str">
        <f t="shared" si="5"/>
        <v>#N/A</v>
      </c>
      <c r="K13" s="15" t="str">
        <f>IFERROR(J13/J16, "NA")</f>
        <v>NA</v>
      </c>
      <c r="L13" s="14" t="str">
        <f t="shared" si="6"/>
        <v>#N/A</v>
      </c>
      <c r="M13" s="15" t="str">
        <f>IFERROR(L13/L16, "NA")</f>
        <v>NA</v>
      </c>
    </row>
    <row r="14" ht="16.5" hidden="1" customHeight="1">
      <c r="A14" s="11" t="s">
        <v>63</v>
      </c>
      <c r="B14" s="14" t="str">
        <f t="shared" si="1"/>
        <v>#N/A</v>
      </c>
      <c r="C14" s="15" t="str">
        <f>IFERROR(B14/B16, "NA")</f>
        <v>NA</v>
      </c>
      <c r="D14" s="14" t="str">
        <f t="shared" si="2"/>
        <v>#N/A</v>
      </c>
      <c r="E14" s="15" t="str">
        <f>IFERROR(D14/D16, "NA")</f>
        <v>NA</v>
      </c>
      <c r="F14" s="14" t="str">
        <f t="shared" si="3"/>
        <v>#N/A</v>
      </c>
      <c r="G14" s="15" t="str">
        <f>IFERROR(F14/F16, "NA")</f>
        <v>NA</v>
      </c>
      <c r="H14" s="14" t="str">
        <f t="shared" si="4"/>
        <v>#N/A</v>
      </c>
      <c r="I14" s="15" t="str">
        <f>IFERROR(H14/H16, "NA")</f>
        <v>NA</v>
      </c>
      <c r="J14" s="14" t="str">
        <f t="shared" si="5"/>
        <v>#N/A</v>
      </c>
      <c r="K14" s="15" t="str">
        <f>IFERROR(J14/J16, "NA")</f>
        <v>NA</v>
      </c>
      <c r="L14" s="14" t="str">
        <f t="shared" si="6"/>
        <v>#N/A</v>
      </c>
      <c r="M14" s="15" t="str">
        <f>IFERROR(L14/L16, "NA")</f>
        <v>NA</v>
      </c>
    </row>
    <row r="15" ht="16.5" hidden="1" customHeight="1">
      <c r="A15" s="11" t="s">
        <v>64</v>
      </c>
      <c r="B15" s="14" t="str">
        <f t="shared" si="1"/>
        <v>#N/A</v>
      </c>
      <c r="C15" s="15" t="str">
        <f>IFERROR(B15/B16, "NA")</f>
        <v>NA</v>
      </c>
      <c r="D15" s="14" t="str">
        <f t="shared" si="2"/>
        <v>#N/A</v>
      </c>
      <c r="E15" s="15" t="str">
        <f>IFERROR(D15/D16, "NA")</f>
        <v>NA</v>
      </c>
      <c r="F15" s="14" t="str">
        <f t="shared" si="3"/>
        <v>#N/A</v>
      </c>
      <c r="G15" s="15" t="str">
        <f>IFERROR(F15/F16, "NA")</f>
        <v>NA</v>
      </c>
      <c r="H15" s="14" t="str">
        <f t="shared" si="4"/>
        <v>#N/A</v>
      </c>
      <c r="I15" s="15" t="str">
        <f>IFERROR(H15/H16, "NA")</f>
        <v>NA</v>
      </c>
      <c r="J15" s="14" t="str">
        <f t="shared" si="5"/>
        <v>#N/A</v>
      </c>
      <c r="K15" s="15" t="str">
        <f>IFERROR(J15/J16, "NA")</f>
        <v>NA</v>
      </c>
      <c r="L15" s="14" t="str">
        <f t="shared" si="6"/>
        <v>#N/A</v>
      </c>
      <c r="M15" s="15" t="str">
        <f>IFERROR(L15/L16, "NA")</f>
        <v>NA</v>
      </c>
    </row>
    <row r="16" ht="16.5" customHeight="1">
      <c r="A16" s="68" t="s">
        <v>53</v>
      </c>
      <c r="B16" s="69">
        <f t="shared" si="1"/>
        <v>20138.64</v>
      </c>
      <c r="C16" s="71">
        <f>IFERROR(B16/B16, "NA")</f>
        <v>1</v>
      </c>
      <c r="D16" s="69">
        <f t="shared" si="2"/>
        <v>58151.51</v>
      </c>
      <c r="E16" s="71">
        <f>IFERROR(D16/D16, "NA")</f>
        <v>1</v>
      </c>
      <c r="F16" s="69">
        <f t="shared" si="3"/>
        <v>29415.91</v>
      </c>
      <c r="G16" s="71">
        <f>IFERROR(F16/F16, "NA")</f>
        <v>1</v>
      </c>
      <c r="H16" s="69">
        <f t="shared" si="4"/>
        <v>29632.43</v>
      </c>
      <c r="I16" s="71">
        <f>IFERROR(H16/H16, "NA")</f>
        <v>1</v>
      </c>
      <c r="J16" s="69">
        <f t="shared" si="5"/>
        <v>25850.78</v>
      </c>
      <c r="K16" s="71">
        <f>IFERROR(J16/J16, "NA")</f>
        <v>1</v>
      </c>
      <c r="L16" s="69">
        <f t="shared" si="6"/>
        <v>163189.27</v>
      </c>
      <c r="M16" s="71">
        <f>IFERROR(L16/L16, "NA")</f>
        <v>1</v>
      </c>
    </row>
    <row r="17" ht="3.75" customHeight="1">
      <c r="A17" s="72"/>
      <c r="B17" s="73"/>
      <c r="C17" s="74"/>
      <c r="D17" s="73"/>
      <c r="E17" s="74"/>
      <c r="F17" s="73"/>
      <c r="G17" s="74"/>
      <c r="H17" s="73"/>
      <c r="I17" s="74"/>
      <c r="J17" s="73"/>
      <c r="K17" s="74"/>
      <c r="L17" s="73"/>
      <c r="M17" s="74"/>
    </row>
    <row r="18" ht="16.5" customHeight="1">
      <c r="A18" s="8" t="s">
        <v>65</v>
      </c>
      <c r="B18" s="9"/>
      <c r="C18" s="10"/>
      <c r="D18" s="9"/>
      <c r="E18" s="10"/>
      <c r="F18" s="9"/>
      <c r="G18" s="10"/>
      <c r="H18" s="9"/>
      <c r="I18" s="10"/>
      <c r="J18" s="9"/>
      <c r="K18" s="10"/>
      <c r="L18" s="9"/>
      <c r="M18" s="10"/>
    </row>
    <row r="19" ht="16.5" customHeight="1">
      <c r="A19" s="8" t="s">
        <v>66</v>
      </c>
      <c r="B19" s="9"/>
      <c r="C19" s="10"/>
      <c r="D19" s="9"/>
      <c r="E19" s="10"/>
      <c r="F19" s="9"/>
      <c r="G19" s="10"/>
      <c r="H19" s="9"/>
      <c r="I19" s="10"/>
      <c r="J19" s="9"/>
      <c r="K19" s="10"/>
      <c r="L19" s="9"/>
      <c r="M19" s="10"/>
    </row>
    <row r="20" ht="16.5" hidden="1" customHeight="1">
      <c r="A20" s="11" t="s">
        <v>67</v>
      </c>
      <c r="B20" s="14"/>
      <c r="C20" s="15"/>
      <c r="D20" s="14"/>
      <c r="E20" s="15"/>
      <c r="F20" s="14"/>
      <c r="G20" s="15"/>
      <c r="H20" s="14"/>
      <c r="I20" s="15"/>
      <c r="J20" s="14"/>
      <c r="K20" s="15"/>
      <c r="L20" s="14"/>
      <c r="M20" s="15"/>
    </row>
    <row r="21" ht="16.5" customHeight="1">
      <c r="A21" s="8" t="s">
        <v>68</v>
      </c>
      <c r="B21" s="9"/>
      <c r="C21" s="10"/>
      <c r="D21" s="9"/>
      <c r="E21" s="10"/>
      <c r="F21" s="9"/>
      <c r="G21" s="10"/>
      <c r="H21" s="9"/>
      <c r="I21" s="10"/>
      <c r="J21" s="9"/>
      <c r="K21" s="10"/>
      <c r="L21" s="9"/>
      <c r="M21" s="10"/>
    </row>
    <row r="22" ht="16.5" hidden="1" customHeight="1">
      <c r="A22" s="11" t="s">
        <v>69</v>
      </c>
      <c r="B22" s="14">
        <f t="shared" ref="B22:B34" si="7">INDEX(INDIRECT("'"&amp;B$4&amp;"'!$1:$1048576"),MATCH($A22,INDIRECT("'"&amp;B$4&amp;"'!$A:$A"),0),MATCH($A$2,INDIRECT("'"&amp;B$4&amp;"'!$5:$5"),0))</f>
        <v>0</v>
      </c>
      <c r="C22" s="15">
        <f>IFERROR(B22/B16, "NA")</f>
        <v>0</v>
      </c>
      <c r="D22" s="14">
        <f t="shared" ref="D22:D34" si="8">INDEX(INDIRECT("'"&amp;D$4&amp;"'!$1:$1048576"),MATCH($A22,INDIRECT("'"&amp;D$4&amp;"'!$A:$A"),0),MATCH($A$2,INDIRECT("'"&amp;D$4&amp;"'!$5:$5"),0))</f>
        <v>0</v>
      </c>
      <c r="E22" s="15">
        <f>IFERROR(D22/D16, "NA")</f>
        <v>0</v>
      </c>
      <c r="F22" s="14">
        <f t="shared" ref="F22:F34" si="9">INDEX(INDIRECT("'"&amp;F$4&amp;"'!$1:$1048576"),MATCH($A22,INDIRECT("'"&amp;F$4&amp;"'!$A:$A"),0),MATCH($A$2,INDIRECT("'"&amp;F$4&amp;"'!$5:$5"),0))</f>
        <v>0</v>
      </c>
      <c r="G22" s="15">
        <f>IFERROR(F22/F16, "NA")</f>
        <v>0</v>
      </c>
      <c r="H22" s="14">
        <f t="shared" ref="H22:H34" si="10">INDEX(INDIRECT("'"&amp;H$4&amp;"'!$1:$1048576"),MATCH($A22,INDIRECT("'"&amp;H$4&amp;"'!$A:$A"),0),MATCH($A$2,INDIRECT("'"&amp;H$4&amp;"'!$5:$5"),0))</f>
        <v>0</v>
      </c>
      <c r="I22" s="15">
        <f>IFERROR(H22/H16, "NA")</f>
        <v>0</v>
      </c>
      <c r="J22" s="14">
        <f t="shared" ref="J22:J34" si="11">INDEX(INDIRECT("'"&amp;J$4&amp;"'!$1:$1048576"),MATCH($A22,INDIRECT("'"&amp;J$4&amp;"'!$A:$A"),0),MATCH($A$2,INDIRECT("'"&amp;J$4&amp;"'!$5:$5"),0))</f>
        <v>0</v>
      </c>
      <c r="K22" s="15">
        <f>IFERROR(J22/J16, "NA")</f>
        <v>0</v>
      </c>
      <c r="L22" s="14"/>
      <c r="M22" s="15">
        <f>IFERROR(L22/L16, "NA")</f>
        <v>0</v>
      </c>
    </row>
    <row r="23" ht="16.5" customHeight="1">
      <c r="A23" s="11" t="s">
        <v>70</v>
      </c>
      <c r="B23" s="14">
        <f t="shared" si="7"/>
        <v>908.66</v>
      </c>
      <c r="C23" s="15">
        <f>IFERROR(B23/B16, "NA")</f>
        <v>0.04512022659</v>
      </c>
      <c r="D23" s="14">
        <f t="shared" si="8"/>
        <v>2638.32</v>
      </c>
      <c r="E23" s="15">
        <f>IFERROR(D23/D16, "NA")</f>
        <v>0.0453697591</v>
      </c>
      <c r="F23" s="14">
        <f t="shared" si="9"/>
        <v>1368.44</v>
      </c>
      <c r="G23" s="15">
        <f>IFERROR(F23/F16, "NA")</f>
        <v>0.04652040341</v>
      </c>
      <c r="H23" s="14">
        <f t="shared" si="10"/>
        <v>1428.09</v>
      </c>
      <c r="I23" s="15">
        <f>IFERROR(H23/H16, "NA")</f>
        <v>0.04819348261</v>
      </c>
      <c r="J23" s="14">
        <f t="shared" si="11"/>
        <v>1039.86</v>
      </c>
      <c r="K23" s="15">
        <f>IFERROR(J23/J16, "NA")</f>
        <v>0.04022547869</v>
      </c>
      <c r="L23" s="14">
        <f t="shared" ref="L23:L34" si="12">+J23+H23+F23+D23+B23</f>
        <v>7383.37</v>
      </c>
      <c r="M23" s="15">
        <f>IFERROR(L23/L16, "NA")</f>
        <v>0.04524421244</v>
      </c>
      <c r="N23" s="83"/>
      <c r="O23" s="84"/>
    </row>
    <row r="24" ht="16.5" customHeight="1">
      <c r="A24" s="11" t="s">
        <v>71</v>
      </c>
      <c r="B24" s="14">
        <f t="shared" si="7"/>
        <v>34.51</v>
      </c>
      <c r="C24" s="15">
        <f>IFERROR(B24/B16, "NA")</f>
        <v>0.001713621178</v>
      </c>
      <c r="D24" s="14">
        <f t="shared" si="8"/>
        <v>1438.69</v>
      </c>
      <c r="E24" s="15">
        <f>IFERROR(D24/D16, "NA")</f>
        <v>0.02474037218</v>
      </c>
      <c r="F24" s="14">
        <f t="shared" si="9"/>
        <v>570.49</v>
      </c>
      <c r="G24" s="15">
        <f>IFERROR(F24/F16, "NA")</f>
        <v>0.01939392662</v>
      </c>
      <c r="H24" s="14">
        <f t="shared" si="10"/>
        <v>875.66</v>
      </c>
      <c r="I24" s="15">
        <f>IFERROR(H24/H16, "NA")</f>
        <v>0.02955073209</v>
      </c>
      <c r="J24" s="14">
        <f t="shared" si="11"/>
        <v>1107.06</v>
      </c>
      <c r="K24" s="15">
        <f>IFERROR(J24/J16, "NA")</f>
        <v>0.0428250134</v>
      </c>
      <c r="L24" s="14">
        <f t="shared" si="12"/>
        <v>4026.41</v>
      </c>
      <c r="M24" s="15">
        <f>IFERROR(L24/L16, "NA")</f>
        <v>0.02467325211</v>
      </c>
      <c r="N24" s="83"/>
      <c r="O24" s="84"/>
    </row>
    <row r="25" ht="16.5" customHeight="1">
      <c r="A25" s="11" t="s">
        <v>72</v>
      </c>
      <c r="B25" s="14">
        <f t="shared" si="7"/>
        <v>998.59</v>
      </c>
      <c r="C25" s="15">
        <f>IFERROR(B25/B16, "NA")</f>
        <v>0.04958577143</v>
      </c>
      <c r="D25" s="14">
        <f t="shared" si="8"/>
        <v>2255.4</v>
      </c>
      <c r="E25" s="15">
        <f>IFERROR(D25/D16, "NA")</f>
        <v>0.0387848914</v>
      </c>
      <c r="F25" s="14">
        <f t="shared" si="9"/>
        <v>1097.28</v>
      </c>
      <c r="G25" s="15">
        <f>IFERROR(F25/F16, "NA")</f>
        <v>0.03730226262</v>
      </c>
      <c r="H25" s="14">
        <f t="shared" si="10"/>
        <v>1248.4</v>
      </c>
      <c r="I25" s="15">
        <f>IFERROR(H25/H16, "NA")</f>
        <v>0.04212951823</v>
      </c>
      <c r="J25" s="14">
        <f t="shared" si="11"/>
        <v>1382.22</v>
      </c>
      <c r="K25" s="15">
        <f>IFERROR(J25/J16, "NA")</f>
        <v>0.05346917965</v>
      </c>
      <c r="L25" s="14">
        <f t="shared" si="12"/>
        <v>6981.89</v>
      </c>
      <c r="M25" s="15">
        <f>IFERROR(L25/L16, "NA")</f>
        <v>0.04278400167</v>
      </c>
      <c r="N25" s="83"/>
      <c r="O25" s="84"/>
    </row>
    <row r="26" ht="16.5" customHeight="1">
      <c r="A26" s="11" t="s">
        <v>74</v>
      </c>
      <c r="B26" s="14">
        <f t="shared" si="7"/>
        <v>415.75</v>
      </c>
      <c r="C26" s="15">
        <f>IFERROR(B26/B16, "NA")</f>
        <v>0.02064439307</v>
      </c>
      <c r="D26" s="14">
        <f t="shared" si="8"/>
        <v>1394.05</v>
      </c>
      <c r="E26" s="15">
        <f>IFERROR(D26/D16, "NA")</f>
        <v>0.02397272229</v>
      </c>
      <c r="F26" s="14">
        <f t="shared" si="9"/>
        <v>697.19</v>
      </c>
      <c r="G26" s="15">
        <f>IFERROR(F26/F16, "NA")</f>
        <v>0.02370111956</v>
      </c>
      <c r="H26" s="14">
        <f t="shared" si="10"/>
        <v>802.59</v>
      </c>
      <c r="I26" s="15">
        <f>IFERROR(H26/H16, "NA")</f>
        <v>0.02708485264</v>
      </c>
      <c r="J26" s="14">
        <f t="shared" si="11"/>
        <v>710.52</v>
      </c>
      <c r="K26" s="15">
        <f>IFERROR(J26/J16, "NA")</f>
        <v>0.02748543758</v>
      </c>
      <c r="L26" s="14">
        <f t="shared" si="12"/>
        <v>4020.1</v>
      </c>
      <c r="M26" s="15">
        <f>IFERROR(L26/L16, "NA")</f>
        <v>0.02463458535</v>
      </c>
      <c r="N26" s="83"/>
      <c r="O26" s="84"/>
    </row>
    <row r="27" ht="16.5" customHeight="1">
      <c r="A27" s="11" t="s">
        <v>76</v>
      </c>
      <c r="B27" s="14">
        <f t="shared" si="7"/>
        <v>9.23</v>
      </c>
      <c r="C27" s="15">
        <f>IFERROR(B27/B16, "NA")</f>
        <v>0.0004583229056</v>
      </c>
      <c r="D27" s="14">
        <f t="shared" si="8"/>
        <v>428.12</v>
      </c>
      <c r="E27" s="15">
        <f>IFERROR(D27/D16, "NA")</f>
        <v>0.007362147604</v>
      </c>
      <c r="F27" s="14">
        <f t="shared" si="9"/>
        <v>293.57</v>
      </c>
      <c r="G27" s="15">
        <f>IFERROR(F27/F16, "NA")</f>
        <v>0.009979973423</v>
      </c>
      <c r="H27" s="14">
        <f t="shared" si="10"/>
        <v>30.76</v>
      </c>
      <c r="I27" s="15">
        <f>IFERROR(H27/H16, "NA")</f>
        <v>0.001038051891</v>
      </c>
      <c r="J27" s="14">
        <f t="shared" si="11"/>
        <v>409.12</v>
      </c>
      <c r="K27" s="15">
        <f>IFERROR(J27/J16, "NA")</f>
        <v>0.01582621491</v>
      </c>
      <c r="L27" s="14">
        <f t="shared" si="12"/>
        <v>1170.8</v>
      </c>
      <c r="M27" s="15">
        <f>IFERROR(L27/L16, "NA")</f>
        <v>0.007174491313</v>
      </c>
      <c r="N27" s="83"/>
      <c r="O27" s="84"/>
    </row>
    <row r="28" ht="16.5" customHeight="1">
      <c r="A28" s="11" t="s">
        <v>77</v>
      </c>
      <c r="B28" s="14">
        <f t="shared" si="7"/>
        <v>101.49</v>
      </c>
      <c r="C28" s="88">
        <f>IFERROR(B28/B16, "NA")</f>
        <v>0.00503956573</v>
      </c>
      <c r="D28" s="14">
        <f t="shared" si="8"/>
        <v>801.58</v>
      </c>
      <c r="E28" s="15">
        <f>IFERROR(D28/D16, "NA")</f>
        <v>0.01378433681</v>
      </c>
      <c r="F28" s="14">
        <f t="shared" si="9"/>
        <v>319.3</v>
      </c>
      <c r="G28" s="15">
        <f>IFERROR(F28/F16, "NA")</f>
        <v>0.01085467014</v>
      </c>
      <c r="H28" s="14">
        <f t="shared" si="10"/>
        <v>180.83</v>
      </c>
      <c r="I28" s="15">
        <f>IFERROR(H28/H16, "NA")</f>
        <v>0.006102435744</v>
      </c>
      <c r="J28" s="14">
        <f t="shared" si="11"/>
        <v>99.2</v>
      </c>
      <c r="K28" s="15">
        <f>IFERROR(J28/J16, "NA")</f>
        <v>0.003837408388</v>
      </c>
      <c r="L28" s="14">
        <f t="shared" si="12"/>
        <v>1502.4</v>
      </c>
      <c r="M28" s="15">
        <f>IFERROR(L28/L16, "NA")</f>
        <v>0.009206487657</v>
      </c>
      <c r="N28" s="83"/>
      <c r="O28" s="84"/>
    </row>
    <row r="29" ht="16.5" customHeight="1">
      <c r="A29" s="11" t="s">
        <v>78</v>
      </c>
      <c r="B29" s="14">
        <f t="shared" si="7"/>
        <v>0</v>
      </c>
      <c r="C29" s="15">
        <f>IFERROR(B29/B16, "NA")</f>
        <v>0</v>
      </c>
      <c r="D29" s="14">
        <f t="shared" si="8"/>
        <v>0</v>
      </c>
      <c r="E29" s="15">
        <f>IFERROR(D29/D16, "NA")</f>
        <v>0</v>
      </c>
      <c r="F29" s="14">
        <f t="shared" si="9"/>
        <v>0</v>
      </c>
      <c r="G29" s="15">
        <f>IFERROR(F29/F16, "NA")</f>
        <v>0</v>
      </c>
      <c r="H29" s="14">
        <f t="shared" si="10"/>
        <v>0</v>
      </c>
      <c r="I29" s="15">
        <f>IFERROR(H29/H16, "NA")</f>
        <v>0</v>
      </c>
      <c r="J29" s="14">
        <f t="shared" si="11"/>
        <v>0</v>
      </c>
      <c r="K29" s="15">
        <f>IFERROR(J29/J16, "NA")</f>
        <v>0</v>
      </c>
      <c r="L29" s="14">
        <f t="shared" si="12"/>
        <v>0</v>
      </c>
      <c r="M29" s="15">
        <f>IFERROR(L29/L16, "NA")</f>
        <v>0</v>
      </c>
      <c r="N29" s="83"/>
      <c r="O29" s="84"/>
    </row>
    <row r="30" ht="16.5" customHeight="1">
      <c r="A30" s="11" t="s">
        <v>79</v>
      </c>
      <c r="B30" s="14">
        <f t="shared" si="7"/>
        <v>90.34</v>
      </c>
      <c r="C30" s="15">
        <f>IFERROR(B30/B16, "NA")</f>
        <v>0.004485903715</v>
      </c>
      <c r="D30" s="14">
        <f t="shared" si="8"/>
        <v>211.09</v>
      </c>
      <c r="E30" s="15">
        <f>IFERROR(D30/D16, "NA")</f>
        <v>0.003630000322</v>
      </c>
      <c r="F30" s="14">
        <f t="shared" si="9"/>
        <v>149.25</v>
      </c>
      <c r="G30" s="15">
        <f>IFERROR(F30/F16, "NA")</f>
        <v>0.005073784901</v>
      </c>
      <c r="H30" s="14">
        <f t="shared" si="10"/>
        <v>138.65</v>
      </c>
      <c r="I30" s="15">
        <f>IFERROR(H30/H16, "NA")</f>
        <v>0.004678995276</v>
      </c>
      <c r="J30" s="14">
        <f t="shared" si="11"/>
        <v>277.6</v>
      </c>
      <c r="K30" s="15">
        <f>IFERROR(J30/J16, "NA")</f>
        <v>0.01073855412</v>
      </c>
      <c r="L30" s="14">
        <f t="shared" si="12"/>
        <v>866.93</v>
      </c>
      <c r="M30" s="15">
        <f>IFERROR(L30/L16, "NA")</f>
        <v>0.005312420357</v>
      </c>
      <c r="N30" s="83"/>
      <c r="O30" s="84"/>
    </row>
    <row r="31" ht="16.5" customHeight="1">
      <c r="A31" s="11" t="s">
        <v>80</v>
      </c>
      <c r="B31" s="14">
        <f t="shared" si="7"/>
        <v>1187.78</v>
      </c>
      <c r="C31" s="15">
        <f>IFERROR(B31/B16, "NA")</f>
        <v>0.0589801496</v>
      </c>
      <c r="D31" s="14">
        <f t="shared" si="8"/>
        <v>2432.22</v>
      </c>
      <c r="E31" s="15">
        <f>IFERROR(D31/D16, "NA")</f>
        <v>0.0418255691</v>
      </c>
      <c r="F31" s="14">
        <f t="shared" si="9"/>
        <v>1831</v>
      </c>
      <c r="G31" s="15">
        <f>IFERROR(F31/F16, "NA")</f>
        <v>0.06224522716</v>
      </c>
      <c r="H31" s="14">
        <f t="shared" si="10"/>
        <v>1659.16</v>
      </c>
      <c r="I31" s="15">
        <f>IFERROR(H31/H16, "NA")</f>
        <v>0.05599135812</v>
      </c>
      <c r="J31" s="14">
        <f t="shared" si="11"/>
        <v>1818.07</v>
      </c>
      <c r="K31" s="15">
        <f>IFERROR(J31/J16, "NA")</f>
        <v>0.07032940592</v>
      </c>
      <c r="L31" s="14">
        <f t="shared" si="12"/>
        <v>8928.23</v>
      </c>
      <c r="M31" s="15">
        <f>IFERROR(L31/L16, "NA")</f>
        <v>0.05471088877</v>
      </c>
      <c r="N31" s="83"/>
      <c r="O31" s="84"/>
    </row>
    <row r="32" ht="16.5" hidden="1" customHeight="1">
      <c r="A32" s="11" t="s">
        <v>81</v>
      </c>
      <c r="B32" s="14">
        <f t="shared" si="7"/>
        <v>0</v>
      </c>
      <c r="C32" s="15">
        <f>IFERROR(B32/B16, "NA")</f>
        <v>0</v>
      </c>
      <c r="D32" s="14">
        <f t="shared" si="8"/>
        <v>0</v>
      </c>
      <c r="E32" s="15">
        <f>IFERROR(D32/D16, "NA")</f>
        <v>0</v>
      </c>
      <c r="F32" s="14">
        <f t="shared" si="9"/>
        <v>0</v>
      </c>
      <c r="G32" s="15">
        <f>IFERROR(F32/F16, "NA")</f>
        <v>0</v>
      </c>
      <c r="H32" s="14">
        <f t="shared" si="10"/>
        <v>0</v>
      </c>
      <c r="I32" s="15">
        <f>IFERROR(H32/H16, "NA")</f>
        <v>0</v>
      </c>
      <c r="J32" s="14">
        <f t="shared" si="11"/>
        <v>0</v>
      </c>
      <c r="K32" s="15">
        <f>IFERROR(J32/J16, "NA")</f>
        <v>0</v>
      </c>
      <c r="L32" s="14">
        <f t="shared" si="12"/>
        <v>0</v>
      </c>
      <c r="M32" s="15">
        <f>IFERROR(L32/L16, "NA")</f>
        <v>0</v>
      </c>
      <c r="N32" s="83"/>
      <c r="O32" s="84"/>
    </row>
    <row r="33" ht="16.5" customHeight="1">
      <c r="A33" s="11" t="s">
        <v>82</v>
      </c>
      <c r="B33" s="14">
        <f t="shared" si="7"/>
        <v>0</v>
      </c>
      <c r="C33" s="15">
        <f>IFERROR(B33/B16, "NA")</f>
        <v>0</v>
      </c>
      <c r="D33" s="14">
        <f t="shared" si="8"/>
        <v>0</v>
      </c>
      <c r="E33" s="15">
        <f>IFERROR(D33/D16, "NA")</f>
        <v>0</v>
      </c>
      <c r="F33" s="14">
        <f t="shared" si="9"/>
        <v>0</v>
      </c>
      <c r="G33" s="15">
        <f>IFERROR(F33/F16, "NA")</f>
        <v>0</v>
      </c>
      <c r="H33" s="14">
        <f t="shared" si="10"/>
        <v>0</v>
      </c>
      <c r="I33" s="15">
        <f>IFERROR(H33/H16, "NA")</f>
        <v>0</v>
      </c>
      <c r="J33" s="14">
        <f t="shared" si="11"/>
        <v>0</v>
      </c>
      <c r="K33" s="15">
        <f>IFERROR(J33/J16, "NA")</f>
        <v>0</v>
      </c>
      <c r="L33" s="14">
        <f t="shared" si="12"/>
        <v>0</v>
      </c>
      <c r="M33" s="15">
        <f>IFERROR(L33/L16, "NA")</f>
        <v>0</v>
      </c>
      <c r="N33" s="83"/>
      <c r="O33" s="84"/>
    </row>
    <row r="34" ht="16.5" customHeight="1">
      <c r="A34" s="68" t="s">
        <v>83</v>
      </c>
      <c r="B34" s="69">
        <f t="shared" si="7"/>
        <v>3746.35</v>
      </c>
      <c r="C34" s="71">
        <f>IFERROR(B34/B16, "NA")</f>
        <v>0.1860279542</v>
      </c>
      <c r="D34" s="69">
        <f t="shared" si="8"/>
        <v>11599.47</v>
      </c>
      <c r="E34" s="71">
        <f>IFERROR(D34/D16, "NA")</f>
        <v>0.1994697988</v>
      </c>
      <c r="F34" s="69">
        <f t="shared" si="9"/>
        <v>6326.52</v>
      </c>
      <c r="G34" s="71">
        <f>IFERROR(F34/F16, "NA")</f>
        <v>0.2150713678</v>
      </c>
      <c r="H34" s="69">
        <f t="shared" si="10"/>
        <v>6364.14</v>
      </c>
      <c r="I34" s="71">
        <f>IFERROR(H34/H16, "NA")</f>
        <v>0.2147694266</v>
      </c>
      <c r="J34" s="69">
        <f t="shared" si="11"/>
        <v>6843.65</v>
      </c>
      <c r="K34" s="71">
        <f>IFERROR(J34/J16, "NA")</f>
        <v>0.2647366927</v>
      </c>
      <c r="L34" s="69">
        <f t="shared" si="12"/>
        <v>34880.13</v>
      </c>
      <c r="M34" s="71">
        <f>IFERROR(L34/L16, "NA")</f>
        <v>0.2137403397</v>
      </c>
      <c r="N34" s="83"/>
      <c r="O34" s="84"/>
    </row>
    <row r="35" ht="16.5" customHeight="1">
      <c r="A35" s="8" t="s">
        <v>84</v>
      </c>
      <c r="B35" s="9"/>
      <c r="C35" s="10"/>
      <c r="D35" s="9"/>
      <c r="E35" s="10"/>
      <c r="F35" s="9"/>
      <c r="G35" s="10"/>
      <c r="H35" s="9"/>
      <c r="I35" s="10"/>
      <c r="J35" s="9"/>
      <c r="K35" s="10"/>
      <c r="L35" s="9"/>
      <c r="M35" s="10"/>
    </row>
    <row r="36" ht="16.5" hidden="1" customHeight="1">
      <c r="A36" s="11" t="s">
        <v>85</v>
      </c>
      <c r="B36" s="14">
        <f t="shared" ref="B36:B42" si="13">INDEX(INDIRECT("'"&amp;B$4&amp;"'!$1:$1048576"),MATCH($A36,INDIRECT("'"&amp;B$4&amp;"'!$A:$A"),0),MATCH($A$2,INDIRECT("'"&amp;B$4&amp;"'!$5:$5"),0))</f>
        <v>0</v>
      </c>
      <c r="C36" s="15">
        <f>IFERROR(B36/B16, "NA")</f>
        <v>0</v>
      </c>
      <c r="D36" s="14">
        <f t="shared" ref="D36:D42" si="14">INDEX(INDIRECT("'"&amp;D$4&amp;"'!$1:$1048576"),MATCH($A36,INDIRECT("'"&amp;D$4&amp;"'!$A:$A"),0),MATCH($A$2,INDIRECT("'"&amp;D$4&amp;"'!$5:$5"),0))</f>
        <v>0</v>
      </c>
      <c r="E36" s="15">
        <f>IFERROR(D36/D16, "NA")</f>
        <v>0</v>
      </c>
      <c r="F36" s="14">
        <f t="shared" ref="F36:F42" si="15">INDEX(INDIRECT("'"&amp;F$4&amp;"'!$1:$1048576"),MATCH($A36,INDIRECT("'"&amp;F$4&amp;"'!$A:$A"),0),MATCH($A$2,INDIRECT("'"&amp;F$4&amp;"'!$5:$5"),0))</f>
        <v>0</v>
      </c>
      <c r="G36" s="15">
        <f>IFERROR(F36/F16, "NA")</f>
        <v>0</v>
      </c>
      <c r="H36" s="14">
        <f t="shared" ref="H36:H42" si="16">INDEX(INDIRECT("'"&amp;H$4&amp;"'!$1:$1048576"),MATCH($A36,INDIRECT("'"&amp;H$4&amp;"'!$A:$A"),0),MATCH($A$2,INDIRECT("'"&amp;H$4&amp;"'!$5:$5"),0))</f>
        <v>0</v>
      </c>
      <c r="I36" s="15">
        <f>IFERROR(H36/H16, "NA")</f>
        <v>0</v>
      </c>
      <c r="J36" s="14">
        <f t="shared" ref="J36:J42" si="17">INDEX(INDIRECT("'"&amp;J$4&amp;"'!$1:$1048576"),MATCH($A36,INDIRECT("'"&amp;J$4&amp;"'!$A:$A"),0),MATCH($A$2,INDIRECT("'"&amp;J$4&amp;"'!$5:$5"),0))</f>
        <v>0</v>
      </c>
      <c r="K36" s="15">
        <f>IFERROR(J36/J16, "NA")</f>
        <v>0</v>
      </c>
      <c r="L36" s="14"/>
      <c r="M36" s="15">
        <f>IFERROR(L36/L16, "NA")</f>
        <v>0</v>
      </c>
    </row>
    <row r="37" ht="16.5" customHeight="1">
      <c r="A37" s="11" t="s">
        <v>88</v>
      </c>
      <c r="B37" s="14">
        <f t="shared" si="13"/>
        <v>280.72</v>
      </c>
      <c r="C37" s="15">
        <f>IFERROR(B37/B16, "NA")</f>
        <v>0.01393937227</v>
      </c>
      <c r="D37" s="14">
        <f t="shared" si="14"/>
        <v>539.43</v>
      </c>
      <c r="E37" s="15">
        <f>IFERROR(D37/D16, "NA")</f>
        <v>0.009276285345</v>
      </c>
      <c r="F37" s="14">
        <f t="shared" si="15"/>
        <v>390.27</v>
      </c>
      <c r="G37" s="15">
        <f>IFERROR(F37/F16, "NA")</f>
        <v>0.01326731011</v>
      </c>
      <c r="H37" s="14">
        <f t="shared" si="16"/>
        <v>366.16</v>
      </c>
      <c r="I37" s="15">
        <f>IFERROR(H37/H16, "NA")</f>
        <v>0.01235673213</v>
      </c>
      <c r="J37" s="14">
        <f t="shared" si="17"/>
        <v>608.24</v>
      </c>
      <c r="K37" s="15">
        <f>IFERROR(J37/J16, "NA")</f>
        <v>0.02352888385</v>
      </c>
      <c r="L37" s="14">
        <f t="shared" ref="L37:L42" si="18">+J37+H37+F37+D37+B37</f>
        <v>2184.82</v>
      </c>
      <c r="M37" s="15">
        <f>IFERROR(L37/L16, "NA")</f>
        <v>0.0133882577</v>
      </c>
    </row>
    <row r="38" ht="16.5" customHeight="1">
      <c r="A38" s="11" t="s">
        <v>89</v>
      </c>
      <c r="B38" s="14">
        <f t="shared" si="13"/>
        <v>12.18</v>
      </c>
      <c r="C38" s="15">
        <f>IFERROR(B38/B16, "NA")</f>
        <v>0.0006048074746</v>
      </c>
      <c r="D38" s="14">
        <f t="shared" si="14"/>
        <v>11.35</v>
      </c>
      <c r="E38" s="15">
        <f>IFERROR(D38/D16, "NA")</f>
        <v>0.0001951797984</v>
      </c>
      <c r="F38" s="14">
        <f t="shared" si="15"/>
        <v>17.8</v>
      </c>
      <c r="G38" s="15">
        <f>IFERROR(F38/F16, "NA")</f>
        <v>0.0006051147151</v>
      </c>
      <c r="H38" s="14">
        <f t="shared" si="16"/>
        <v>4.87</v>
      </c>
      <c r="I38" s="15">
        <f>IFERROR(H38/H16, "NA")</f>
        <v>0.0001643469672</v>
      </c>
      <c r="J38" s="14">
        <f t="shared" si="17"/>
        <v>0</v>
      </c>
      <c r="K38" s="15">
        <f>IFERROR(J38/J16, "NA")</f>
        <v>0</v>
      </c>
      <c r="L38" s="14">
        <f t="shared" si="18"/>
        <v>46.2</v>
      </c>
      <c r="M38" s="15">
        <f>IFERROR(L38/L16, "NA")</f>
        <v>0.0002831068489</v>
      </c>
    </row>
    <row r="39" ht="16.5" customHeight="1">
      <c r="A39" s="11" t="s">
        <v>90</v>
      </c>
      <c r="B39" s="14">
        <f t="shared" si="13"/>
        <v>-31.66</v>
      </c>
      <c r="C39" s="15">
        <f>IFERROR(B39/B16, "NA")</f>
        <v>-0.001572102188</v>
      </c>
      <c r="D39" s="14">
        <f t="shared" si="14"/>
        <v>1.6</v>
      </c>
      <c r="E39" s="15">
        <f>IFERROR(D39/D16, "NA")</f>
        <v>0.00002751433282</v>
      </c>
      <c r="F39" s="14">
        <f t="shared" si="15"/>
        <v>0</v>
      </c>
      <c r="G39" s="15">
        <f>IFERROR(F39/F16, "NA")</f>
        <v>0</v>
      </c>
      <c r="H39" s="14">
        <f t="shared" si="16"/>
        <v>0</v>
      </c>
      <c r="I39" s="15">
        <f>IFERROR(H39/H16, "NA")</f>
        <v>0</v>
      </c>
      <c r="J39" s="14">
        <f t="shared" si="17"/>
        <v>0</v>
      </c>
      <c r="K39" s="15">
        <f>IFERROR(J39/J16, "NA")</f>
        <v>0</v>
      </c>
      <c r="L39" s="14">
        <f t="shared" si="18"/>
        <v>-30.06</v>
      </c>
      <c r="M39" s="15">
        <f>IFERROR(L39/L16, "NA")</f>
        <v>-0.0001842032874</v>
      </c>
    </row>
    <row r="40" ht="16.5" customHeight="1">
      <c r="A40" s="11" t="s">
        <v>91</v>
      </c>
      <c r="B40" s="14">
        <f t="shared" si="13"/>
        <v>0</v>
      </c>
      <c r="C40" s="15">
        <f>IFERROR(B40/B16, "NA")</f>
        <v>0</v>
      </c>
      <c r="D40" s="14">
        <f t="shared" si="14"/>
        <v>2.68</v>
      </c>
      <c r="E40" s="15">
        <f>IFERROR(D40/D16, "NA")</f>
        <v>0.00004608650747</v>
      </c>
      <c r="F40" s="14">
        <f t="shared" si="15"/>
        <v>0</v>
      </c>
      <c r="G40" s="15">
        <f>IFERROR(F40/F16, "NA")</f>
        <v>0</v>
      </c>
      <c r="H40" s="14">
        <f t="shared" si="16"/>
        <v>0</v>
      </c>
      <c r="I40" s="15">
        <f>IFERROR(H40/H16, "NA")</f>
        <v>0</v>
      </c>
      <c r="J40" s="14">
        <f t="shared" si="17"/>
        <v>0</v>
      </c>
      <c r="K40" s="15">
        <f>IFERROR(J40/J16, "NA")</f>
        <v>0</v>
      </c>
      <c r="L40" s="14">
        <f t="shared" si="18"/>
        <v>2.68</v>
      </c>
      <c r="M40" s="15">
        <f>IFERROR(L40/L16, "NA")</f>
        <v>0.00001642264838</v>
      </c>
    </row>
    <row r="41" ht="16.5" customHeight="1">
      <c r="A41" s="68" t="s">
        <v>92</v>
      </c>
      <c r="B41" s="69">
        <f t="shared" si="13"/>
        <v>261.24</v>
      </c>
      <c r="C41" s="71">
        <f>IFERROR(B41/B16, "NA")</f>
        <v>0.01297207756</v>
      </c>
      <c r="D41" s="69">
        <f t="shared" si="14"/>
        <v>555.06</v>
      </c>
      <c r="E41" s="71">
        <f>IFERROR(D41/D16, "NA")</f>
        <v>0.009545065984</v>
      </c>
      <c r="F41" s="69">
        <f t="shared" si="15"/>
        <v>408.07</v>
      </c>
      <c r="G41" s="71">
        <f>IFERROR(F41/F16, "NA")</f>
        <v>0.01387242482</v>
      </c>
      <c r="H41" s="69">
        <f t="shared" si="16"/>
        <v>371.03</v>
      </c>
      <c r="I41" s="71">
        <f>IFERROR(H41/H16, "NA")</f>
        <v>0.0125210791</v>
      </c>
      <c r="J41" s="69">
        <f t="shared" si="17"/>
        <v>608.24</v>
      </c>
      <c r="K41" s="71">
        <f>IFERROR(J41/J16, "NA")</f>
        <v>0.02352888385</v>
      </c>
      <c r="L41" s="69">
        <f t="shared" si="18"/>
        <v>2203.64</v>
      </c>
      <c r="M41" s="71">
        <f>IFERROR(L41/L16, "NA")</f>
        <v>0.01350358391</v>
      </c>
    </row>
    <row r="42" ht="16.5" customHeight="1">
      <c r="A42" s="68" t="s">
        <v>93</v>
      </c>
      <c r="B42" s="69">
        <f t="shared" si="13"/>
        <v>4007.59</v>
      </c>
      <c r="C42" s="71">
        <f>IFERROR(B42/B16, "NA")</f>
        <v>0.1990000318</v>
      </c>
      <c r="D42" s="69">
        <f t="shared" si="14"/>
        <v>12154.53</v>
      </c>
      <c r="E42" s="71">
        <f>IFERROR(D42/D16, "NA")</f>
        <v>0.2090148648</v>
      </c>
      <c r="F42" s="69">
        <f t="shared" si="15"/>
        <v>6734.59</v>
      </c>
      <c r="G42" s="71">
        <f>IFERROR(F42/F16, "NA")</f>
        <v>0.2289437927</v>
      </c>
      <c r="H42" s="69">
        <f t="shared" si="16"/>
        <v>6735.17</v>
      </c>
      <c r="I42" s="71">
        <f>IFERROR(H42/H16, "NA")</f>
        <v>0.2272905057</v>
      </c>
      <c r="J42" s="69">
        <f t="shared" si="17"/>
        <v>7451.89</v>
      </c>
      <c r="K42" s="71">
        <f>IFERROR(J42/J16, "NA")</f>
        <v>0.2882655765</v>
      </c>
      <c r="L42" s="69">
        <f t="shared" si="18"/>
        <v>37083.77</v>
      </c>
      <c r="M42" s="71">
        <f>IFERROR(L42/L16, "NA")</f>
        <v>0.2272439236</v>
      </c>
    </row>
    <row r="43" ht="16.5" customHeight="1">
      <c r="A43" s="8" t="s">
        <v>94</v>
      </c>
      <c r="B43" s="9"/>
      <c r="C43" s="10"/>
      <c r="D43" s="9"/>
      <c r="E43" s="10"/>
      <c r="F43" s="9"/>
      <c r="G43" s="10"/>
      <c r="H43" s="9"/>
      <c r="I43" s="10"/>
      <c r="J43" s="9"/>
      <c r="K43" s="10"/>
      <c r="L43" s="9"/>
      <c r="M43" s="10"/>
    </row>
    <row r="44" ht="16.5" hidden="1" customHeight="1">
      <c r="A44" s="11" t="s">
        <v>95</v>
      </c>
      <c r="B44" s="14"/>
      <c r="C44" s="15"/>
      <c r="D44" s="14"/>
      <c r="E44" s="15"/>
      <c r="F44" s="14"/>
      <c r="G44" s="15"/>
      <c r="H44" s="14"/>
      <c r="I44" s="15"/>
      <c r="J44" s="14"/>
      <c r="K44" s="15"/>
      <c r="L44" s="14"/>
      <c r="M44" s="15"/>
    </row>
    <row r="45" ht="16.5" customHeight="1">
      <c r="A45" s="8" t="s">
        <v>96</v>
      </c>
      <c r="B45" s="9"/>
      <c r="C45" s="10"/>
      <c r="D45" s="9"/>
      <c r="E45" s="10"/>
      <c r="F45" s="9"/>
      <c r="G45" s="10"/>
      <c r="H45" s="9"/>
      <c r="I45" s="10"/>
      <c r="J45" s="9"/>
      <c r="K45" s="10"/>
      <c r="L45" s="9"/>
      <c r="M45" s="10"/>
    </row>
    <row r="46" ht="16.5" hidden="1" customHeight="1">
      <c r="A46" s="11" t="s">
        <v>97</v>
      </c>
      <c r="B46" s="14">
        <f t="shared" ref="B46:B51" si="19">INDEX(INDIRECT("'"&amp;B$4&amp;"'!$1:$1048576"),MATCH($A46,INDIRECT("'"&amp;B$4&amp;"'!$A:$A"),0),MATCH($A$2,INDIRECT("'"&amp;B$4&amp;"'!$5:$5"),0))</f>
        <v>0</v>
      </c>
      <c r="C46" s="15">
        <f>IFERROR(B46/B16, "NA")</f>
        <v>0</v>
      </c>
      <c r="D46" s="14">
        <f t="shared" ref="D46:D51" si="20">INDEX(INDIRECT("'"&amp;D$4&amp;"'!$1:$1048576"),MATCH($A46,INDIRECT("'"&amp;D$4&amp;"'!$A:$A"),0),MATCH($A$2,INDIRECT("'"&amp;D$4&amp;"'!$5:$5"),0))</f>
        <v>0</v>
      </c>
      <c r="E46" s="15">
        <f>IFERROR(D46/D16, "NA")</f>
        <v>0</v>
      </c>
      <c r="F46" s="14">
        <f t="shared" ref="F46:F51" si="21">INDEX(INDIRECT("'"&amp;F$4&amp;"'!$1:$1048576"),MATCH($A46,INDIRECT("'"&amp;F$4&amp;"'!$A:$A"),0),MATCH($A$2,INDIRECT("'"&amp;F$4&amp;"'!$5:$5"),0))</f>
        <v>0</v>
      </c>
      <c r="G46" s="15">
        <f>IFERROR(F46/F16, "NA")</f>
        <v>0</v>
      </c>
      <c r="H46" s="14">
        <f t="shared" ref="H46:H51" si="22">INDEX(INDIRECT("'"&amp;H$4&amp;"'!$1:$1048576"),MATCH($A46,INDIRECT("'"&amp;H$4&amp;"'!$A:$A"),0),MATCH($A$2,INDIRECT("'"&amp;H$4&amp;"'!$5:$5"),0))</f>
        <v>0</v>
      </c>
      <c r="I46" s="15">
        <f>IFERROR(H46/H16, "NA")</f>
        <v>0</v>
      </c>
      <c r="J46" s="14">
        <f t="shared" ref="J46:J51" si="23">INDEX(INDIRECT("'"&amp;J$4&amp;"'!$1:$1048576"),MATCH($A46,INDIRECT("'"&amp;J$4&amp;"'!$A:$A"),0),MATCH($A$2,INDIRECT("'"&amp;J$4&amp;"'!$5:$5"),0))</f>
        <v>0</v>
      </c>
      <c r="K46" s="15">
        <f>IFERROR(J46/J16, "NA")</f>
        <v>0</v>
      </c>
      <c r="L46" s="14"/>
      <c r="M46" s="15">
        <f>IFERROR(L46/L16, "NA")</f>
        <v>0</v>
      </c>
    </row>
    <row r="47" ht="16.5" customHeight="1">
      <c r="A47" s="11" t="s">
        <v>100</v>
      </c>
      <c r="B47" s="14">
        <f t="shared" si="19"/>
        <v>499.96</v>
      </c>
      <c r="C47" s="15">
        <f>IFERROR(B47/B16, "NA")</f>
        <v>0.02482590681</v>
      </c>
      <c r="D47" s="14">
        <f t="shared" si="20"/>
        <v>1124.55</v>
      </c>
      <c r="E47" s="15">
        <f>IFERROR(D47/D16, "NA")</f>
        <v>0.01933827686</v>
      </c>
      <c r="F47" s="14">
        <f t="shared" si="21"/>
        <v>802.92</v>
      </c>
      <c r="G47" s="15">
        <f>IFERROR(F47/F16, "NA")</f>
        <v>0.02729543298</v>
      </c>
      <c r="H47" s="14">
        <f t="shared" si="22"/>
        <v>744.37</v>
      </c>
      <c r="I47" s="15">
        <f>IFERROR(H47/H16, "NA")</f>
        <v>0.02512011334</v>
      </c>
      <c r="J47" s="14">
        <f t="shared" si="23"/>
        <v>674.11</v>
      </c>
      <c r="K47" s="15">
        <f>IFERROR(J47/J16, "NA")</f>
        <v>0.02607696944</v>
      </c>
      <c r="L47" s="14">
        <f t="shared" ref="L47:L48" si="24">+J47+H47+F47+D47+B47</f>
        <v>3845.91</v>
      </c>
      <c r="M47" s="15">
        <f>IFERROR(L47/L16, "NA")</f>
        <v>0.02356717448</v>
      </c>
    </row>
    <row r="48" ht="16.5" customHeight="1">
      <c r="A48" s="11" t="s">
        <v>101</v>
      </c>
      <c r="B48" s="14">
        <f t="shared" si="19"/>
        <v>179.64</v>
      </c>
      <c r="C48" s="15">
        <f>IFERROR(B48/B16, "NA")</f>
        <v>0.008920165413</v>
      </c>
      <c r="D48" s="14">
        <f t="shared" si="20"/>
        <v>972.12</v>
      </c>
      <c r="E48" s="15">
        <f>IFERROR(D48/D16, "NA")</f>
        <v>0.01671702076</v>
      </c>
      <c r="F48" s="14">
        <f t="shared" si="21"/>
        <v>315.3</v>
      </c>
      <c r="G48" s="15">
        <f>IFERROR(F48/F16, "NA")</f>
        <v>0.01071868931</v>
      </c>
      <c r="H48" s="14">
        <f t="shared" si="22"/>
        <v>315.08</v>
      </c>
      <c r="I48" s="15">
        <f>IFERROR(H48/H16, "NA")</f>
        <v>0.01063294505</v>
      </c>
      <c r="J48" s="14">
        <f t="shared" si="23"/>
        <v>364.19</v>
      </c>
      <c r="K48" s="15">
        <f>IFERROR(J48/J16, "NA")</f>
        <v>0.01408816291</v>
      </c>
      <c r="L48" s="14">
        <f t="shared" si="24"/>
        <v>2146.33</v>
      </c>
      <c r="M48" s="15">
        <f>IFERROR(L48/L16, "NA")</f>
        <v>0.0131523966</v>
      </c>
    </row>
    <row r="49" ht="16.5" hidden="1" customHeight="1">
      <c r="A49" s="11" t="s">
        <v>102</v>
      </c>
      <c r="B49" s="14">
        <f t="shared" si="19"/>
        <v>0</v>
      </c>
      <c r="C49" s="15">
        <f>IFERROR(B49/B16, "NA")</f>
        <v>0</v>
      </c>
      <c r="D49" s="14">
        <f t="shared" si="20"/>
        <v>0</v>
      </c>
      <c r="E49" s="15">
        <f>IFERROR(D49/D16, "NA")</f>
        <v>0</v>
      </c>
      <c r="F49" s="14">
        <f t="shared" si="21"/>
        <v>0</v>
      </c>
      <c r="G49" s="15">
        <f>IFERROR(F49/F16, "NA")</f>
        <v>0</v>
      </c>
      <c r="H49" s="14">
        <f t="shared" si="22"/>
        <v>0</v>
      </c>
      <c r="I49" s="15">
        <f>IFERROR(H49/H16, "NA")</f>
        <v>0</v>
      </c>
      <c r="J49" s="14">
        <f t="shared" si="23"/>
        <v>0</v>
      </c>
      <c r="K49" s="15">
        <f>IFERROR(J49/J16, "NA")</f>
        <v>0</v>
      </c>
      <c r="L49" s="14"/>
      <c r="M49" s="15">
        <f>IFERROR(L49/L16, "NA")</f>
        <v>0</v>
      </c>
    </row>
    <row r="50" ht="16.5" hidden="1" customHeight="1">
      <c r="A50" s="11" t="s">
        <v>103</v>
      </c>
      <c r="B50" s="14">
        <f t="shared" si="19"/>
        <v>0</v>
      </c>
      <c r="C50" s="15">
        <f>IFERROR(B50/B16, "NA")</f>
        <v>0</v>
      </c>
      <c r="D50" s="14">
        <f t="shared" si="20"/>
        <v>0</v>
      </c>
      <c r="E50" s="15">
        <f>IFERROR(D50/D16, "NA")</f>
        <v>0</v>
      </c>
      <c r="F50" s="14">
        <f t="shared" si="21"/>
        <v>0</v>
      </c>
      <c r="G50" s="15">
        <f>IFERROR(F50/F16, "NA")</f>
        <v>0</v>
      </c>
      <c r="H50" s="14">
        <f t="shared" si="22"/>
        <v>0</v>
      </c>
      <c r="I50" s="15">
        <f>IFERROR(H50/H16, "NA")</f>
        <v>0</v>
      </c>
      <c r="J50" s="14">
        <f t="shared" si="23"/>
        <v>0</v>
      </c>
      <c r="K50" s="15">
        <f>IFERROR(J50/J16, "NA")</f>
        <v>0</v>
      </c>
      <c r="L50" s="14"/>
      <c r="M50" s="15">
        <f>IFERROR(L50/L16, "NA")</f>
        <v>0</v>
      </c>
    </row>
    <row r="51" ht="16.5" customHeight="1">
      <c r="A51" s="68" t="s">
        <v>104</v>
      </c>
      <c r="B51" s="69">
        <f t="shared" si="19"/>
        <v>679.6</v>
      </c>
      <c r="C51" s="71">
        <f>IFERROR(B51/B16, "NA")</f>
        <v>0.03374607223</v>
      </c>
      <c r="D51" s="69">
        <f t="shared" si="20"/>
        <v>2096.67</v>
      </c>
      <c r="E51" s="71">
        <f>IFERROR(D51/D16, "NA")</f>
        <v>0.03605529762</v>
      </c>
      <c r="F51" s="69">
        <f t="shared" si="21"/>
        <v>1118.22</v>
      </c>
      <c r="G51" s="71">
        <f>IFERROR(F51/F16, "NA")</f>
        <v>0.03801412229</v>
      </c>
      <c r="H51" s="69">
        <f t="shared" si="22"/>
        <v>1059.45</v>
      </c>
      <c r="I51" s="71">
        <f>IFERROR(H51/H16, "NA")</f>
        <v>0.03575305839</v>
      </c>
      <c r="J51" s="69">
        <f t="shared" si="23"/>
        <v>1038.3</v>
      </c>
      <c r="K51" s="71">
        <f>IFERROR(J51/J16, "NA")</f>
        <v>0.04016513235</v>
      </c>
      <c r="L51" s="69">
        <f>+J51+H51+F51+D51+B51</f>
        <v>5992.24</v>
      </c>
      <c r="M51" s="71">
        <f>IFERROR(L51/L16, "NA")</f>
        <v>0.03671957108</v>
      </c>
    </row>
    <row r="52" ht="16.5" customHeight="1">
      <c r="A52" s="8" t="s">
        <v>105</v>
      </c>
      <c r="B52" s="9"/>
      <c r="C52" s="10"/>
      <c r="D52" s="9"/>
      <c r="E52" s="10"/>
      <c r="F52" s="9"/>
      <c r="G52" s="10"/>
      <c r="H52" s="9"/>
      <c r="I52" s="10"/>
      <c r="J52" s="9"/>
      <c r="K52" s="10"/>
      <c r="L52" s="9"/>
      <c r="M52" s="10"/>
    </row>
    <row r="53" ht="16.5" hidden="1" customHeight="1">
      <c r="A53" s="11" t="s">
        <v>106</v>
      </c>
      <c r="B53" s="14">
        <f t="shared" ref="B53:B64" si="25">INDEX(INDIRECT("'"&amp;B$4&amp;"'!$1:$1048576"),MATCH($A53,INDIRECT("'"&amp;B$4&amp;"'!$A:$A"),0),MATCH($A$2,INDIRECT("'"&amp;B$4&amp;"'!$5:$5"),0))</f>
        <v>0</v>
      </c>
      <c r="C53" s="15">
        <f>IFERROR(B53/B16, "NA")</f>
        <v>0</v>
      </c>
      <c r="D53" s="14">
        <f t="shared" ref="D53:D64" si="26">INDEX(INDIRECT("'"&amp;D$4&amp;"'!$1:$1048576"),MATCH($A53,INDIRECT("'"&amp;D$4&amp;"'!$A:$A"),0),MATCH($A$2,INDIRECT("'"&amp;D$4&amp;"'!$5:$5"),0))</f>
        <v>0</v>
      </c>
      <c r="E53" s="15">
        <f>IFERROR(D53/D16, "NA")</f>
        <v>0</v>
      </c>
      <c r="F53" s="14">
        <f t="shared" ref="F53:F64" si="27">INDEX(INDIRECT("'"&amp;F$4&amp;"'!$1:$1048576"),MATCH($A53,INDIRECT("'"&amp;F$4&amp;"'!$A:$A"),0),MATCH($A$2,INDIRECT("'"&amp;F$4&amp;"'!$5:$5"),0))</f>
        <v>0</v>
      </c>
      <c r="G53" s="15">
        <f>IFERROR(F53/F16, "NA")</f>
        <v>0</v>
      </c>
      <c r="H53" s="14">
        <f t="shared" ref="H53:H64" si="28">INDEX(INDIRECT("'"&amp;H$4&amp;"'!$1:$1048576"),MATCH($A53,INDIRECT("'"&amp;H$4&amp;"'!$A:$A"),0),MATCH($A$2,INDIRECT("'"&amp;H$4&amp;"'!$5:$5"),0))</f>
        <v>0</v>
      </c>
      <c r="I53" s="15">
        <f>IFERROR(H53/H16, "NA")</f>
        <v>0</v>
      </c>
      <c r="J53" s="14">
        <f t="shared" ref="J53:J64" si="29">INDEX(INDIRECT("'"&amp;J$4&amp;"'!$1:$1048576"),MATCH($A53,INDIRECT("'"&amp;J$4&amp;"'!$A:$A"),0),MATCH($A$2,INDIRECT("'"&amp;J$4&amp;"'!$5:$5"),0))</f>
        <v>0</v>
      </c>
      <c r="K53" s="15">
        <f>IFERROR(J53/J16, "NA")</f>
        <v>0</v>
      </c>
      <c r="L53" s="14"/>
      <c r="M53" s="15">
        <f>IFERROR(L53/L16, "NA")</f>
        <v>0</v>
      </c>
    </row>
    <row r="54" ht="16.5" customHeight="1">
      <c r="A54" s="11" t="s">
        <v>108</v>
      </c>
      <c r="B54" s="14">
        <f t="shared" si="25"/>
        <v>126.7</v>
      </c>
      <c r="C54" s="15">
        <f>IFERROR(B54/B16, "NA")</f>
        <v>0.006291388098</v>
      </c>
      <c r="D54" s="14">
        <f t="shared" si="26"/>
        <v>94.69</v>
      </c>
      <c r="E54" s="15">
        <f>IFERROR(D54/D16, "NA")</f>
        <v>0.001628332609</v>
      </c>
      <c r="F54" s="9">
        <f t="shared" si="27"/>
        <v>66.71</v>
      </c>
      <c r="G54" s="71">
        <f>IFERROR(F54/F16, "NA")</f>
        <v>0.002267820373</v>
      </c>
      <c r="H54" s="14">
        <f t="shared" si="28"/>
        <v>125.23</v>
      </c>
      <c r="I54" s="15">
        <f>IFERROR(H54/H16, "NA")</f>
        <v>0.004226113079</v>
      </c>
      <c r="J54" s="14">
        <f t="shared" si="29"/>
        <v>62.71</v>
      </c>
      <c r="K54" s="15">
        <f>IFERROR(J54/J16, "NA")</f>
        <v>0.002425845564</v>
      </c>
      <c r="L54" s="14">
        <f t="shared" ref="L54:L64" si="30">+J54+H54+F54+D54+B54</f>
        <v>476.04</v>
      </c>
      <c r="M54" s="15">
        <f>IFERROR(L54/L16, "NA")</f>
        <v>0.002917103557</v>
      </c>
    </row>
    <row r="55" ht="16.5" hidden="1" customHeight="1">
      <c r="A55" s="11" t="s">
        <v>109</v>
      </c>
      <c r="B55" s="14">
        <f t="shared" si="25"/>
        <v>0</v>
      </c>
      <c r="C55" s="15">
        <f>IFERROR(B55/B16, "NA")</f>
        <v>0</v>
      </c>
      <c r="D55" s="14">
        <f t="shared" si="26"/>
        <v>0</v>
      </c>
      <c r="E55" s="15">
        <f>IFERROR(D55/D16, "NA")</f>
        <v>0</v>
      </c>
      <c r="F55" s="14">
        <f t="shared" si="27"/>
        <v>0</v>
      </c>
      <c r="G55" s="15">
        <f>IFERROR(F55/F16, "NA")</f>
        <v>0</v>
      </c>
      <c r="H55" s="14">
        <f t="shared" si="28"/>
        <v>0</v>
      </c>
      <c r="I55" s="15">
        <f>IFERROR(H55/H16, "NA")</f>
        <v>0</v>
      </c>
      <c r="J55" s="14">
        <f t="shared" si="29"/>
        <v>0</v>
      </c>
      <c r="K55" s="15">
        <f>IFERROR(J55/J16, "NA")</f>
        <v>0</v>
      </c>
      <c r="L55" s="14">
        <f t="shared" si="30"/>
        <v>0</v>
      </c>
      <c r="M55" s="15">
        <f>IFERROR(L55/L16, "NA")</f>
        <v>0</v>
      </c>
    </row>
    <row r="56" ht="16.5" hidden="1" customHeight="1">
      <c r="A56" s="11" t="s">
        <v>110</v>
      </c>
      <c r="B56" s="14">
        <f t="shared" si="25"/>
        <v>0</v>
      </c>
      <c r="C56" s="15">
        <f>IFERROR(B56/B16, "NA")</f>
        <v>0</v>
      </c>
      <c r="D56" s="14">
        <f t="shared" si="26"/>
        <v>0</v>
      </c>
      <c r="E56" s="15">
        <f>IFERROR(D56/D16, "NA")</f>
        <v>0</v>
      </c>
      <c r="F56" s="14">
        <f t="shared" si="27"/>
        <v>0</v>
      </c>
      <c r="G56" s="15">
        <f>IFERROR(F56/F16, "NA")</f>
        <v>0</v>
      </c>
      <c r="H56" s="14">
        <f t="shared" si="28"/>
        <v>0</v>
      </c>
      <c r="I56" s="15">
        <f>IFERROR(H56/H16, "NA")</f>
        <v>0</v>
      </c>
      <c r="J56" s="14">
        <f t="shared" si="29"/>
        <v>0</v>
      </c>
      <c r="K56" s="15">
        <f>IFERROR(J56/J16, "NA")</f>
        <v>0</v>
      </c>
      <c r="L56" s="14">
        <f t="shared" si="30"/>
        <v>0</v>
      </c>
      <c r="M56" s="15">
        <f>IFERROR(L56/L16, "NA")</f>
        <v>0</v>
      </c>
    </row>
    <row r="57" ht="16.5" hidden="1" customHeight="1">
      <c r="A57" s="11" t="s">
        <v>111</v>
      </c>
      <c r="B57" s="14">
        <f t="shared" si="25"/>
        <v>0</v>
      </c>
      <c r="C57" s="15">
        <f>IFERROR(B57/B16, "NA")</f>
        <v>0</v>
      </c>
      <c r="D57" s="14">
        <f t="shared" si="26"/>
        <v>0</v>
      </c>
      <c r="E57" s="15">
        <f>IFERROR(D57/D16, "NA")</f>
        <v>0</v>
      </c>
      <c r="F57" s="14">
        <f t="shared" si="27"/>
        <v>0</v>
      </c>
      <c r="G57" s="15">
        <f>IFERROR(F57/F16, "NA")</f>
        <v>0</v>
      </c>
      <c r="H57" s="14">
        <f t="shared" si="28"/>
        <v>0</v>
      </c>
      <c r="I57" s="15">
        <f>IFERROR(H57/H16, "NA")</f>
        <v>0</v>
      </c>
      <c r="J57" s="14">
        <f t="shared" si="29"/>
        <v>0</v>
      </c>
      <c r="K57" s="15">
        <f>IFERROR(J57/J16, "NA")</f>
        <v>0</v>
      </c>
      <c r="L57" s="14">
        <f t="shared" si="30"/>
        <v>0</v>
      </c>
      <c r="M57" s="15">
        <f>IFERROR(L57/L16, "NA")</f>
        <v>0</v>
      </c>
    </row>
    <row r="58" ht="16.5" hidden="1" customHeight="1">
      <c r="A58" s="11" t="s">
        <v>112</v>
      </c>
      <c r="B58" s="14">
        <f t="shared" si="25"/>
        <v>0</v>
      </c>
      <c r="C58" s="15">
        <f>IFERROR(B58/B16, "NA")</f>
        <v>0</v>
      </c>
      <c r="D58" s="14">
        <f t="shared" si="26"/>
        <v>0</v>
      </c>
      <c r="E58" s="15">
        <f>IFERROR(D58/D16, "NA")</f>
        <v>0</v>
      </c>
      <c r="F58" s="14">
        <f t="shared" si="27"/>
        <v>0</v>
      </c>
      <c r="G58" s="15">
        <f>IFERROR(F58/F16, "NA")</f>
        <v>0</v>
      </c>
      <c r="H58" s="14">
        <f t="shared" si="28"/>
        <v>0</v>
      </c>
      <c r="I58" s="15">
        <f>IFERROR(H58/H16, "NA")</f>
        <v>0</v>
      </c>
      <c r="J58" s="14">
        <f t="shared" si="29"/>
        <v>0</v>
      </c>
      <c r="K58" s="15">
        <f>IFERROR(J58/J16, "NA")</f>
        <v>0</v>
      </c>
      <c r="L58" s="14">
        <f t="shared" si="30"/>
        <v>0</v>
      </c>
      <c r="M58" s="15">
        <f>IFERROR(L58/L16, "NA")</f>
        <v>0</v>
      </c>
    </row>
    <row r="59" ht="16.5" customHeight="1">
      <c r="A59" s="68" t="s">
        <v>113</v>
      </c>
      <c r="B59" s="69">
        <f t="shared" si="25"/>
        <v>126.7</v>
      </c>
      <c r="C59" s="71">
        <f>IFERROR(B59/B16, "NA")</f>
        <v>0.006291388098</v>
      </c>
      <c r="D59" s="69">
        <f t="shared" si="26"/>
        <v>94.69</v>
      </c>
      <c r="E59" s="71">
        <f>IFERROR(D59/D16, "NA")</f>
        <v>0.001628332609</v>
      </c>
      <c r="F59" s="69">
        <f t="shared" si="27"/>
        <v>66.71</v>
      </c>
      <c r="G59" s="71">
        <f>IFERROR(F59/F16, "NA")</f>
        <v>0.002267820373</v>
      </c>
      <c r="H59" s="69">
        <f t="shared" si="28"/>
        <v>125.23</v>
      </c>
      <c r="I59" s="71">
        <f>IFERROR(H59/H16, "NA")</f>
        <v>0.004226113079</v>
      </c>
      <c r="J59" s="69">
        <f t="shared" si="29"/>
        <v>62.71</v>
      </c>
      <c r="K59" s="71">
        <f>IFERROR(J59/J16, "NA")</f>
        <v>0.002425845564</v>
      </c>
      <c r="L59" s="69">
        <f t="shared" si="30"/>
        <v>476.04</v>
      </c>
      <c r="M59" s="71">
        <f>IFERROR(L59/L16, "NA")</f>
        <v>0.002917103557</v>
      </c>
    </row>
    <row r="60" ht="21.0" customHeight="1">
      <c r="A60" s="11" t="s">
        <v>114</v>
      </c>
      <c r="B60" s="14">
        <f t="shared" si="25"/>
        <v>0</v>
      </c>
      <c r="C60" s="15">
        <f>IFERROR(B60/B16, "NA")</f>
        <v>0</v>
      </c>
      <c r="D60" s="14">
        <f t="shared" si="26"/>
        <v>37.77</v>
      </c>
      <c r="E60" s="15">
        <f>IFERROR(D60/D16, "NA")</f>
        <v>0.0006495102191</v>
      </c>
      <c r="F60" s="14">
        <f t="shared" si="27"/>
        <v>54.61</v>
      </c>
      <c r="G60" s="15">
        <f>IFERROR(F60/F16, "NA")</f>
        <v>0.001856478348</v>
      </c>
      <c r="H60" s="14">
        <f t="shared" si="28"/>
        <v>44.72</v>
      </c>
      <c r="I60" s="15">
        <f>IFERROR(H60/H16, "NA")</f>
        <v>0.001509157366</v>
      </c>
      <c r="J60" s="14">
        <f t="shared" si="29"/>
        <v>60.63</v>
      </c>
      <c r="K60" s="15">
        <f>IFERROR(J60/J16, "NA")</f>
        <v>0.002345383776</v>
      </c>
      <c r="L60" s="14">
        <f t="shared" si="30"/>
        <v>197.73</v>
      </c>
      <c r="M60" s="15">
        <f>IFERROR(L60/L16, "NA")</f>
        <v>0.001211660546</v>
      </c>
    </row>
    <row r="61" ht="16.5" customHeight="1">
      <c r="A61" s="11" t="s">
        <v>115</v>
      </c>
      <c r="B61" s="14">
        <f t="shared" si="25"/>
        <v>21.75</v>
      </c>
      <c r="C61" s="15">
        <f>IFERROR(B61/B16, "NA")</f>
        <v>0.001080013347</v>
      </c>
      <c r="D61" s="14">
        <f t="shared" si="26"/>
        <v>49.56</v>
      </c>
      <c r="E61" s="15">
        <f>IFERROR(D61/D16, "NA")</f>
        <v>0.000852256459</v>
      </c>
      <c r="F61" s="14">
        <f t="shared" si="27"/>
        <v>27.75</v>
      </c>
      <c r="G61" s="15">
        <f>IFERROR(F61/F16, "NA")</f>
        <v>0.0009433670418</v>
      </c>
      <c r="H61" s="14">
        <f t="shared" si="28"/>
        <v>34</v>
      </c>
      <c r="I61" s="15">
        <f>IFERROR(H61/H16, "NA")</f>
        <v>0.001147391557</v>
      </c>
      <c r="J61" s="14">
        <f t="shared" si="29"/>
        <v>28.06</v>
      </c>
      <c r="K61" s="15">
        <f>IFERROR(J61/J16, "NA")</f>
        <v>0.001085460477</v>
      </c>
      <c r="L61" s="14">
        <f t="shared" si="30"/>
        <v>161.12</v>
      </c>
      <c r="M61" s="15">
        <f>IFERROR(L61/L16, "NA")</f>
        <v>0.0009873198158</v>
      </c>
    </row>
    <row r="62" ht="39.0" customHeight="1">
      <c r="A62" s="26" t="s">
        <v>116</v>
      </c>
      <c r="B62" s="14">
        <f t="shared" si="25"/>
        <v>-181.85</v>
      </c>
      <c r="C62" s="15">
        <f>IFERROR(B62/B16, "NA")</f>
        <v>-0.009029904701</v>
      </c>
      <c r="D62" s="14">
        <f t="shared" si="26"/>
        <v>-413.28</v>
      </c>
      <c r="E62" s="15">
        <f>IFERROR(D62/D16, "NA")</f>
        <v>-0.007106952167</v>
      </c>
      <c r="F62" s="14">
        <f t="shared" si="27"/>
        <v>-223.1</v>
      </c>
      <c r="G62" s="15">
        <f>IFERROR(F62/F16, "NA")</f>
        <v>-0.007584331064</v>
      </c>
      <c r="H62" s="14">
        <f t="shared" si="28"/>
        <v>-187.99</v>
      </c>
      <c r="I62" s="15">
        <f>IFERROR(H62/H16, "NA")</f>
        <v>-0.006344062907</v>
      </c>
      <c r="J62" s="14">
        <f t="shared" si="29"/>
        <v>-219.94</v>
      </c>
      <c r="K62" s="15">
        <f>IFERROR(J62/J16, "NA")</f>
        <v>-0.008508060492</v>
      </c>
      <c r="L62" s="14">
        <f t="shared" si="30"/>
        <v>-1226.16</v>
      </c>
      <c r="M62" s="15">
        <f>IFERROR(L62/L16, "NA")</f>
        <v>-0.007513729303</v>
      </c>
    </row>
    <row r="63" ht="16.5" customHeight="1">
      <c r="A63" s="68" t="s">
        <v>117</v>
      </c>
      <c r="B63" s="69">
        <f t="shared" si="25"/>
        <v>646.2</v>
      </c>
      <c r="C63" s="71">
        <f>IFERROR(B63/B16, "NA")</f>
        <v>0.03208756897</v>
      </c>
      <c r="D63" s="69">
        <f t="shared" si="26"/>
        <v>1865.41</v>
      </c>
      <c r="E63" s="71">
        <f>IFERROR(D63/D16, "NA")</f>
        <v>0.03207844474</v>
      </c>
      <c r="F63" s="69">
        <f t="shared" si="27"/>
        <v>1044.19</v>
      </c>
      <c r="G63" s="71">
        <f>IFERROR(F63/F16, "NA")</f>
        <v>0.03549745699</v>
      </c>
      <c r="H63" s="69">
        <f t="shared" si="28"/>
        <v>1075.41</v>
      </c>
      <c r="I63" s="71">
        <f>IFERROR(H63/H16, "NA")</f>
        <v>0.03629165748</v>
      </c>
      <c r="J63" s="69">
        <f t="shared" si="29"/>
        <v>969.76</v>
      </c>
      <c r="K63" s="71">
        <f>IFERROR(J63/J16, "NA")</f>
        <v>0.03751376167</v>
      </c>
      <c r="L63" s="69">
        <f t="shared" si="30"/>
        <v>5600.97</v>
      </c>
      <c r="M63" s="71">
        <f>IFERROR(L63/L16, "NA")</f>
        <v>0.0343219257</v>
      </c>
    </row>
    <row r="64" ht="16.5" customHeight="1">
      <c r="A64" s="68" t="s">
        <v>54</v>
      </c>
      <c r="B64" s="92">
        <f t="shared" si="25"/>
        <v>4653.79</v>
      </c>
      <c r="C64" s="94">
        <f>IFERROR(B64/B16, "NA")</f>
        <v>0.2310876008</v>
      </c>
      <c r="D64" s="92">
        <f t="shared" si="26"/>
        <v>14019.94</v>
      </c>
      <c r="E64" s="94">
        <f>IFERROR(D64/D16, "NA")</f>
        <v>0.2410933095</v>
      </c>
      <c r="F64" s="92">
        <f t="shared" si="27"/>
        <v>7778.78</v>
      </c>
      <c r="G64" s="94">
        <f>IFERROR(F64/F16, "NA")</f>
        <v>0.2644412497</v>
      </c>
      <c r="H64" s="92">
        <f t="shared" si="28"/>
        <v>7810.58</v>
      </c>
      <c r="I64" s="94">
        <f>IFERROR(H64/H16, "NA")</f>
        <v>0.2635821632</v>
      </c>
      <c r="J64" s="92">
        <f t="shared" si="29"/>
        <v>8421.65</v>
      </c>
      <c r="K64" s="94">
        <f>IFERROR(J64/J16, "NA")</f>
        <v>0.3257793382</v>
      </c>
      <c r="L64" s="92">
        <f t="shared" si="30"/>
        <v>42684.74</v>
      </c>
      <c r="M64" s="96">
        <f>IFERROR(L64/L16, "NA")</f>
        <v>0.2615658493</v>
      </c>
    </row>
    <row r="65" ht="3.75" customHeight="1">
      <c r="A65" s="72"/>
      <c r="B65" s="73"/>
      <c r="C65" s="74"/>
      <c r="D65" s="73"/>
      <c r="E65" s="74"/>
      <c r="F65" s="73"/>
      <c r="G65" s="74"/>
      <c r="H65" s="73"/>
      <c r="I65" s="74"/>
      <c r="J65" s="73"/>
      <c r="K65" s="74"/>
      <c r="L65" s="73"/>
      <c r="M65" s="74"/>
    </row>
    <row r="66" ht="16.5" customHeight="1">
      <c r="A66" s="53" t="s">
        <v>120</v>
      </c>
      <c r="B66" s="69">
        <f t="array" ref="B66">INDEX(INDIRECT("'"&amp;B$4&amp;"'!$1:$1048576"),MATCH($A66,INDIRECT("'"&amp;B$4&amp;"'!$A:$A"),0),MATCH($A$2,INDIRECT("'"&amp;B$4&amp;"'!$5:$5"),0))</f>
        <v>15484.85</v>
      </c>
      <c r="C66" s="98">
        <f>IFERROR(B66/B16, "NA")</f>
        <v>0.7689123992</v>
      </c>
      <c r="D66" s="99">
        <f t="array" ref="D66">INDEX(INDIRECT("'"&amp;D$4&amp;"'!$1:$1048576"),MATCH($A66,INDIRECT("'"&amp;D$4&amp;"'!$A:$A"),0),MATCH($A$2,INDIRECT("'"&amp;D$4&amp;"'!$5:$5"),0))</f>
        <v>44131.57</v>
      </c>
      <c r="E66" s="98">
        <f>IFERROR(D66/D16, "NA")</f>
        <v>0.7589066905</v>
      </c>
      <c r="F66" s="99">
        <f t="array" ref="F66">INDEX(INDIRECT("'"&amp;F$4&amp;"'!$1:$1048576"),MATCH($A66,INDIRECT("'"&amp;F$4&amp;"'!$A:$A"),0),MATCH($A$2,INDIRECT("'"&amp;F$4&amp;"'!$5:$5"),0))</f>
        <v>21637.13</v>
      </c>
      <c r="G66" s="98">
        <f>IFERROR(F66/F16, "NA")</f>
        <v>0.7355587503</v>
      </c>
      <c r="H66" s="99">
        <f t="array" ref="H66">INDEX(INDIRECT("'"&amp;H$4&amp;"'!$1:$1048576"),MATCH($A66,INDIRECT("'"&amp;H$4&amp;"'!$A:$A"),0),MATCH($A$2,INDIRECT("'"&amp;H$4&amp;"'!$5:$5"),0))</f>
        <v>21821.85</v>
      </c>
      <c r="I66" s="98">
        <f>IFERROR(H66/H16, "NA")</f>
        <v>0.7364178368</v>
      </c>
      <c r="J66" s="99">
        <f t="array" ref="J66">INDEX(INDIRECT("'"&amp;J$4&amp;"'!$1:$1048576"),MATCH($A66,INDIRECT("'"&amp;J$4&amp;"'!$A:$A"),0),MATCH($A$2,INDIRECT("'"&amp;J$4&amp;"'!$5:$5"),0))</f>
        <v>17429.13</v>
      </c>
      <c r="K66" s="98">
        <f>IFERROR(J66/J16, "NA")</f>
        <v>0.6742206618</v>
      </c>
      <c r="L66" s="99">
        <f>+J66+H66+F66+D66+B66</f>
        <v>120504.53</v>
      </c>
      <c r="M66" s="98">
        <f>IFERROR(L66/L16, "NA")</f>
        <v>0.7384341507</v>
      </c>
    </row>
    <row r="67" ht="3.75" customHeight="1">
      <c r="A67" s="100"/>
      <c r="B67" s="101"/>
      <c r="C67" s="74"/>
      <c r="D67" s="101"/>
      <c r="E67" s="74"/>
      <c r="F67" s="101"/>
      <c r="G67" s="74"/>
      <c r="H67" s="101"/>
      <c r="I67" s="74"/>
      <c r="J67" s="101"/>
      <c r="K67" s="74"/>
      <c r="L67" s="101"/>
      <c r="M67" s="74"/>
    </row>
    <row r="68" ht="16.5" customHeight="1">
      <c r="A68" s="8" t="s">
        <v>121</v>
      </c>
      <c r="B68" s="9"/>
      <c r="C68" s="10"/>
      <c r="D68" s="9"/>
      <c r="E68" s="10"/>
      <c r="F68" s="9"/>
      <c r="G68" s="10"/>
      <c r="H68" s="9"/>
      <c r="I68" s="10"/>
      <c r="J68" s="9"/>
      <c r="K68" s="10"/>
      <c r="L68" s="9"/>
      <c r="M68" s="10"/>
    </row>
    <row r="69" ht="16.5" customHeight="1">
      <c r="A69" s="8" t="s">
        <v>121</v>
      </c>
      <c r="B69" s="9"/>
      <c r="C69" s="10"/>
      <c r="D69" s="9"/>
      <c r="E69" s="10"/>
      <c r="F69" s="9"/>
      <c r="G69" s="10"/>
      <c r="H69" s="9"/>
      <c r="I69" s="10"/>
      <c r="J69" s="9"/>
      <c r="K69" s="10"/>
      <c r="L69" s="9"/>
      <c r="M69" s="10"/>
    </row>
    <row r="70" ht="16.5" hidden="1" customHeight="1">
      <c r="A70" s="11" t="s">
        <v>122</v>
      </c>
      <c r="B70" s="14"/>
      <c r="C70" s="15"/>
      <c r="D70" s="14"/>
      <c r="E70" s="15"/>
      <c r="F70" s="14"/>
      <c r="G70" s="15"/>
      <c r="H70" s="14"/>
      <c r="I70" s="15"/>
      <c r="J70" s="14"/>
      <c r="K70" s="15"/>
      <c r="L70" s="14"/>
      <c r="M70" s="15"/>
    </row>
    <row r="71" ht="16.5" customHeight="1">
      <c r="A71" s="8" t="s">
        <v>123</v>
      </c>
      <c r="B71" s="9"/>
      <c r="C71" s="10"/>
      <c r="D71" s="9"/>
      <c r="E71" s="10"/>
      <c r="F71" s="9"/>
      <c r="G71" s="10"/>
      <c r="H71" s="9"/>
      <c r="I71" s="10"/>
      <c r="J71" s="9"/>
      <c r="K71" s="10"/>
      <c r="L71" s="9"/>
      <c r="M71" s="10"/>
    </row>
    <row r="72" ht="16.5" hidden="1" customHeight="1">
      <c r="A72" s="11" t="s">
        <v>124</v>
      </c>
      <c r="B72" s="14">
        <f t="shared" ref="B72:B79" si="31">INDEX(INDIRECT("'"&amp;B$4&amp;"'!$1:$1048576"),MATCH($A72,INDIRECT("'"&amp;B$4&amp;"'!$A:$A"),0),MATCH($A$2,INDIRECT("'"&amp;B$4&amp;"'!$5:$5"),0))</f>
        <v>0</v>
      </c>
      <c r="C72" s="15">
        <f>IFERROR(B72/B16, "NA")</f>
        <v>0</v>
      </c>
      <c r="D72" s="14">
        <f t="shared" ref="D72:D79" si="32">INDEX(INDIRECT("'"&amp;D$4&amp;"'!$1:$1048576"),MATCH($A72,INDIRECT("'"&amp;D$4&amp;"'!$A:$A"),0),MATCH($A$2,INDIRECT("'"&amp;D$4&amp;"'!$5:$5"),0))</f>
        <v>0</v>
      </c>
      <c r="E72" s="15">
        <f>IFERROR(D72/D16, "NA")</f>
        <v>0</v>
      </c>
      <c r="F72" s="14">
        <f t="shared" ref="F72:F79" si="33">INDEX(INDIRECT("'"&amp;F$4&amp;"'!$1:$1048576"),MATCH($A72,INDIRECT("'"&amp;F$4&amp;"'!$A:$A"),0),MATCH($A$2,INDIRECT("'"&amp;F$4&amp;"'!$5:$5"),0))</f>
        <v>0</v>
      </c>
      <c r="G72" s="15">
        <f>IFERROR(F72/F16, "NA")</f>
        <v>0</v>
      </c>
      <c r="H72" s="14">
        <f t="shared" ref="H72:H79" si="34">INDEX(INDIRECT("'"&amp;H$4&amp;"'!$1:$1048576"),MATCH($A72,INDIRECT("'"&amp;H$4&amp;"'!$A:$A"),0),MATCH($A$2,INDIRECT("'"&amp;H$4&amp;"'!$5:$5"),0))</f>
        <v>0</v>
      </c>
      <c r="I72" s="15">
        <f>IFERROR(H72/H16, "NA")</f>
        <v>0</v>
      </c>
      <c r="J72" s="14">
        <f t="shared" ref="J72:J79" si="35">INDEX(INDIRECT("'"&amp;J$4&amp;"'!$1:$1048576"),MATCH($A72,INDIRECT("'"&amp;J$4&amp;"'!$A:$A"),0),MATCH($A$2,INDIRECT("'"&amp;J$4&amp;"'!$5:$5"),0))</f>
        <v>0</v>
      </c>
      <c r="K72" s="15">
        <f>IFERROR(J72/J16, "NA")</f>
        <v>0</v>
      </c>
      <c r="L72" s="14"/>
      <c r="M72" s="15">
        <f>IFERROR(L72/L16, "NA")</f>
        <v>0</v>
      </c>
    </row>
    <row r="73" ht="16.5" customHeight="1">
      <c r="A73" s="11" t="s">
        <v>125</v>
      </c>
      <c r="B73" s="14">
        <f t="shared" si="31"/>
        <v>1162.46</v>
      </c>
      <c r="C73" s="15">
        <f>IFERROR(B73/B16, "NA")</f>
        <v>0.0577228651</v>
      </c>
      <c r="D73" s="14">
        <f t="shared" si="32"/>
        <v>2519.23</v>
      </c>
      <c r="E73" s="15">
        <f>IFERROR(D73/D16, "NA")</f>
        <v>0.04332183292</v>
      </c>
      <c r="F73" s="14">
        <f t="shared" si="33"/>
        <v>1410</v>
      </c>
      <c r="G73" s="15">
        <f>IFERROR(F73/F16, "NA")</f>
        <v>0.04793324429</v>
      </c>
      <c r="H73" s="14">
        <f t="shared" si="34"/>
        <v>1461.54</v>
      </c>
      <c r="I73" s="15">
        <f>IFERROR(H73/H16, "NA")</f>
        <v>0.04932231342</v>
      </c>
      <c r="J73" s="14">
        <f t="shared" si="35"/>
        <v>1298.08</v>
      </c>
      <c r="K73" s="15">
        <f>IFERROR(J73/J16, "NA")</f>
        <v>0.05021434556</v>
      </c>
      <c r="L73" s="14">
        <f t="shared" ref="L73:L77" si="36">+J73+H73+F73+D73+B73</f>
        <v>7851.31</v>
      </c>
      <c r="M73" s="15">
        <f>IFERROR(L73/L16, "NA")</f>
        <v>0.04811168038</v>
      </c>
    </row>
    <row r="74" ht="16.5" hidden="1" customHeight="1">
      <c r="A74" s="11" t="s">
        <v>128</v>
      </c>
      <c r="B74" s="14">
        <f t="shared" si="31"/>
        <v>0</v>
      </c>
      <c r="C74" s="15">
        <f>IFERROR(B74/B16, "NA")</f>
        <v>0</v>
      </c>
      <c r="D74" s="14">
        <f t="shared" si="32"/>
        <v>0</v>
      </c>
      <c r="E74" s="15">
        <f>IFERROR(D74/D16, "NA")</f>
        <v>0</v>
      </c>
      <c r="F74" s="14">
        <f t="shared" si="33"/>
        <v>0</v>
      </c>
      <c r="G74" s="15">
        <f>IFERROR(F74/F16, "NA")</f>
        <v>0</v>
      </c>
      <c r="H74" s="14">
        <f t="shared" si="34"/>
        <v>0</v>
      </c>
      <c r="I74" s="15">
        <f>IFERROR(H74/H16, "NA")</f>
        <v>0</v>
      </c>
      <c r="J74" s="14">
        <f t="shared" si="35"/>
        <v>0</v>
      </c>
      <c r="K74" s="15">
        <f>IFERROR(J74/J16, "NA")</f>
        <v>0</v>
      </c>
      <c r="L74" s="14">
        <f t="shared" si="36"/>
        <v>0</v>
      </c>
      <c r="M74" s="15">
        <f>IFERROR(L74/L16, "NA")</f>
        <v>0</v>
      </c>
    </row>
    <row r="75" ht="16.5" customHeight="1">
      <c r="A75" s="11" t="s">
        <v>131</v>
      </c>
      <c r="B75" s="14">
        <f t="shared" si="31"/>
        <v>4643.7</v>
      </c>
      <c r="C75" s="15">
        <f>IFERROR(B75/B16, "NA")</f>
        <v>0.2305865739</v>
      </c>
      <c r="D75" s="14">
        <f t="shared" si="32"/>
        <v>7446.23</v>
      </c>
      <c r="E75" s="15">
        <f>IFERROR(D75/D16, "NA")</f>
        <v>0.1280487815</v>
      </c>
      <c r="F75" s="14">
        <f t="shared" si="33"/>
        <v>5483.73</v>
      </c>
      <c r="G75" s="15">
        <f>IFERROR(F75/F16, "NA")</f>
        <v>0.1864205459</v>
      </c>
      <c r="H75" s="14">
        <f t="shared" si="34"/>
        <v>5033.53</v>
      </c>
      <c r="I75" s="15">
        <f>IFERROR(H75/H16, "NA")</f>
        <v>0.1698655831</v>
      </c>
      <c r="J75" s="14">
        <f t="shared" si="35"/>
        <v>5271.82</v>
      </c>
      <c r="K75" s="15">
        <f>IFERROR(J75/J16, "NA")</f>
        <v>0.2039327247</v>
      </c>
      <c r="L75" s="14">
        <f t="shared" si="36"/>
        <v>27879.01</v>
      </c>
      <c r="M75" s="15">
        <f>IFERROR(L75/L16, "NA")</f>
        <v>0.1708384994</v>
      </c>
    </row>
    <row r="76" ht="16.5" customHeight="1">
      <c r="A76" s="11" t="s">
        <v>134</v>
      </c>
      <c r="B76" s="14">
        <f t="shared" si="31"/>
        <v>0</v>
      </c>
      <c r="C76" s="15">
        <f>IFERROR(B76/B16, "NA")</f>
        <v>0</v>
      </c>
      <c r="D76" s="14">
        <f t="shared" si="32"/>
        <v>462.13</v>
      </c>
      <c r="E76" s="15">
        <f>IFERROR(D76/D16, "NA")</f>
        <v>0.007946999141</v>
      </c>
      <c r="F76" s="14">
        <f t="shared" si="33"/>
        <v>57.18</v>
      </c>
      <c r="G76" s="15">
        <f>IFERROR(F76/F16, "NA")</f>
        <v>0.001943846034</v>
      </c>
      <c r="H76" s="14">
        <f t="shared" si="34"/>
        <v>44.94</v>
      </c>
      <c r="I76" s="15">
        <f>IFERROR(H76/H16, "NA")</f>
        <v>0.001516581664</v>
      </c>
      <c r="J76" s="14">
        <f t="shared" si="35"/>
        <v>23.78</v>
      </c>
      <c r="K76" s="15">
        <f>IFERROR(J76/J16, "NA")</f>
        <v>0.0009198948736</v>
      </c>
      <c r="L76" s="14">
        <f t="shared" si="36"/>
        <v>588.03</v>
      </c>
      <c r="M76" s="15">
        <f>IFERROR(L76/L16, "NA")</f>
        <v>0.003603361912</v>
      </c>
    </row>
    <row r="77" ht="16.5" customHeight="1">
      <c r="A77" s="68" t="s">
        <v>138</v>
      </c>
      <c r="B77" s="69">
        <f t="shared" si="31"/>
        <v>5806.16</v>
      </c>
      <c r="C77" s="71">
        <f>IFERROR(B77/B16, "NA")</f>
        <v>0.288309439</v>
      </c>
      <c r="D77" s="69">
        <f t="shared" si="32"/>
        <v>10427.59</v>
      </c>
      <c r="E77" s="71">
        <f>IFERROR(D77/D16, "NA")</f>
        <v>0.1793176136</v>
      </c>
      <c r="F77" s="69">
        <f t="shared" si="33"/>
        <v>6950.91</v>
      </c>
      <c r="G77" s="71">
        <f>IFERROR(F77/F16, "NA")</f>
        <v>0.2362976362</v>
      </c>
      <c r="H77" s="69">
        <f t="shared" si="34"/>
        <v>6540.01</v>
      </c>
      <c r="I77" s="71">
        <f>IFERROR(H77/H16, "NA")</f>
        <v>0.2207044782</v>
      </c>
      <c r="J77" s="69">
        <f t="shared" si="35"/>
        <v>6593.68</v>
      </c>
      <c r="K77" s="71">
        <f>IFERROR(J77/J16, "NA")</f>
        <v>0.2550669651</v>
      </c>
      <c r="L77" s="69">
        <f t="shared" si="36"/>
        <v>36318.35</v>
      </c>
      <c r="M77" s="71">
        <f>IFERROR(L77/L16, "NA")</f>
        <v>0.2225535417</v>
      </c>
    </row>
    <row r="78" ht="16.5" hidden="1" customHeight="1">
      <c r="A78" s="11" t="s">
        <v>143</v>
      </c>
      <c r="B78" s="14">
        <f t="shared" si="31"/>
        <v>0</v>
      </c>
      <c r="C78" s="15">
        <f>IFERROR(B78/B16, "NA")</f>
        <v>0</v>
      </c>
      <c r="D78" s="14">
        <f t="shared" si="32"/>
        <v>0</v>
      </c>
      <c r="E78" s="15">
        <f>IFERROR(D78/D16, "NA")</f>
        <v>0</v>
      </c>
      <c r="F78" s="14">
        <f t="shared" si="33"/>
        <v>0</v>
      </c>
      <c r="G78" s="15">
        <f>IFERROR(F78/F16, "NA")</f>
        <v>0</v>
      </c>
      <c r="H78" s="14">
        <f t="shared" si="34"/>
        <v>0</v>
      </c>
      <c r="I78" s="15">
        <f>IFERROR(H78/H16, "NA")</f>
        <v>0</v>
      </c>
      <c r="J78" s="14">
        <f t="shared" si="35"/>
        <v>0</v>
      </c>
      <c r="K78" s="15">
        <f>IFERROR(J78/J16, "NA")</f>
        <v>0</v>
      </c>
      <c r="L78" s="14"/>
      <c r="M78" s="15">
        <f>IFERROR(L78/L16, "NA")</f>
        <v>0</v>
      </c>
    </row>
    <row r="79" ht="16.5" customHeight="1">
      <c r="A79" s="11" t="s">
        <v>146</v>
      </c>
      <c r="B79" s="14">
        <f t="shared" si="31"/>
        <v>0</v>
      </c>
      <c r="C79" s="15">
        <f>IFERROR(B79/B16, "NA")</f>
        <v>0</v>
      </c>
      <c r="D79" s="14">
        <f t="shared" si="32"/>
        <v>0</v>
      </c>
      <c r="E79" s="15">
        <f>IFERROR(D79/D16, "NA")</f>
        <v>0</v>
      </c>
      <c r="F79" s="14">
        <f t="shared" si="33"/>
        <v>0</v>
      </c>
      <c r="G79" s="15">
        <f>IFERROR(F79/F16, "NA")</f>
        <v>0</v>
      </c>
      <c r="H79" s="14">
        <f t="shared" si="34"/>
        <v>0</v>
      </c>
      <c r="I79" s="15">
        <f>IFERROR(H79/H16, "NA")</f>
        <v>0</v>
      </c>
      <c r="J79" s="14">
        <f t="shared" si="35"/>
        <v>0</v>
      </c>
      <c r="K79" s="15">
        <f>IFERROR(J79/J16, "NA")</f>
        <v>0</v>
      </c>
      <c r="L79" s="14">
        <f>+J79+H79+F79+D79+B79</f>
        <v>0</v>
      </c>
      <c r="M79" s="15">
        <f>IFERROR(L79/L16, "NA")</f>
        <v>0</v>
      </c>
    </row>
    <row r="80" ht="16.5" customHeight="1">
      <c r="A80" s="8" t="s">
        <v>151</v>
      </c>
      <c r="B80" s="9"/>
      <c r="C80" s="10"/>
      <c r="D80" s="9"/>
      <c r="E80" s="10"/>
      <c r="F80" s="9"/>
      <c r="G80" s="10"/>
      <c r="H80" s="9"/>
      <c r="I80" s="10"/>
      <c r="J80" s="9"/>
      <c r="K80" s="10"/>
      <c r="L80" s="9"/>
      <c r="M80" s="10"/>
    </row>
    <row r="81" ht="16.5" customHeight="1">
      <c r="A81" s="11" t="s">
        <v>153</v>
      </c>
      <c r="B81" s="14">
        <f t="shared" ref="B81:B92" si="37">INDEX(INDIRECT("'"&amp;B$4&amp;"'!$1:$1048576"),MATCH($A81,INDIRECT("'"&amp;B$4&amp;"'!$A:$A"),0),MATCH($A$2,INDIRECT("'"&amp;B$4&amp;"'!$5:$5"),0))</f>
        <v>600.52</v>
      </c>
      <c r="C81" s="15">
        <f>IFERROR(B81/B16, "NA")</f>
        <v>0.02981929266</v>
      </c>
      <c r="D81" s="14">
        <f t="shared" ref="D81:D92" si="38">INDEX(INDIRECT("'"&amp;D$4&amp;"'!$1:$1048576"),MATCH($A81,INDIRECT("'"&amp;D$4&amp;"'!$A:$A"),0),MATCH($A$2,INDIRECT("'"&amp;D$4&amp;"'!$5:$5"),0))</f>
        <v>1005.18</v>
      </c>
      <c r="E81" s="15">
        <f>IFERROR(D81/D16, "NA")</f>
        <v>0.01728553566</v>
      </c>
      <c r="F81" s="14">
        <f t="shared" ref="F81:F92" si="39">INDEX(INDIRECT("'"&amp;F$4&amp;"'!$1:$1048576"),MATCH($A81,INDIRECT("'"&amp;F$4&amp;"'!$A:$A"),0),MATCH($A$2,INDIRECT("'"&amp;F$4&amp;"'!$5:$5"),0))</f>
        <v>608.25</v>
      </c>
      <c r="G81" s="15">
        <f>IFERROR(F81/F16, "NA")</f>
        <v>0.0206775857</v>
      </c>
      <c r="H81" s="14">
        <f t="shared" ref="H81:H92" si="40">INDEX(INDIRECT("'"&amp;H$4&amp;"'!$1:$1048576"),MATCH($A81,INDIRECT("'"&amp;H$4&amp;"'!$A:$A"),0),MATCH($A$2,INDIRECT("'"&amp;H$4&amp;"'!$5:$5"),0))</f>
        <v>586.34</v>
      </c>
      <c r="I81" s="15">
        <f>IFERROR(H81/H16, "NA")</f>
        <v>0.01978710487</v>
      </c>
      <c r="J81" s="14">
        <f t="shared" ref="J81:J92" si="41">INDEX(INDIRECT("'"&amp;J$4&amp;"'!$1:$1048576"),MATCH($A81,INDIRECT("'"&amp;J$4&amp;"'!$A:$A"),0),MATCH($A$2,INDIRECT("'"&amp;J$4&amp;"'!$5:$5"),0))</f>
        <v>622.3</v>
      </c>
      <c r="K81" s="15">
        <f>IFERROR(J81/J16, "NA")</f>
        <v>0.02407277459</v>
      </c>
      <c r="L81" s="14">
        <f t="shared" ref="L81:L92" si="42">+J81+H81+F81+D81+B81</f>
        <v>3422.59</v>
      </c>
      <c r="M81" s="15">
        <f>IFERROR(L81/L16, "NA")</f>
        <v>0.02097313138</v>
      </c>
    </row>
    <row r="82" ht="16.5" hidden="1" customHeight="1">
      <c r="A82" s="11" t="s">
        <v>158</v>
      </c>
      <c r="B82" s="14">
        <f t="shared" si="37"/>
        <v>0</v>
      </c>
      <c r="C82" s="15">
        <f>IFERROR(B82/B16, "NA")</f>
        <v>0</v>
      </c>
      <c r="D82" s="14">
        <f t="shared" si="38"/>
        <v>0</v>
      </c>
      <c r="E82" s="15">
        <f>IFERROR(D82/D16, "NA")</f>
        <v>0</v>
      </c>
      <c r="F82" s="14">
        <f t="shared" si="39"/>
        <v>0</v>
      </c>
      <c r="G82" s="15">
        <f>IFERROR(F82/F16, "NA")</f>
        <v>0</v>
      </c>
      <c r="H82" s="14">
        <f t="shared" si="40"/>
        <v>0</v>
      </c>
      <c r="I82" s="15">
        <f>IFERROR(H82/H16, "NA")</f>
        <v>0</v>
      </c>
      <c r="J82" s="14">
        <f t="shared" si="41"/>
        <v>0</v>
      </c>
      <c r="K82" s="15">
        <f>IFERROR(J82/J16, "NA")</f>
        <v>0</v>
      </c>
      <c r="L82" s="14">
        <f t="shared" si="42"/>
        <v>0</v>
      </c>
      <c r="M82" s="15">
        <f>IFERROR(L82/L16, "NA")</f>
        <v>0</v>
      </c>
    </row>
    <row r="83" ht="16.5" hidden="1" customHeight="1">
      <c r="A83" s="11" t="s">
        <v>160</v>
      </c>
      <c r="B83" s="14">
        <f t="shared" si="37"/>
        <v>0</v>
      </c>
      <c r="C83" s="15">
        <f>IFERROR(B83/B16, "NA")</f>
        <v>0</v>
      </c>
      <c r="D83" s="14">
        <f t="shared" si="38"/>
        <v>0</v>
      </c>
      <c r="E83" s="15">
        <f>IFERROR(D83/D16, "NA")</f>
        <v>0</v>
      </c>
      <c r="F83" s="14">
        <f t="shared" si="39"/>
        <v>0</v>
      </c>
      <c r="G83" s="15">
        <f>IFERROR(F83/F16, "NA")</f>
        <v>0</v>
      </c>
      <c r="H83" s="14">
        <f t="shared" si="40"/>
        <v>0</v>
      </c>
      <c r="I83" s="15">
        <f>IFERROR(H83/H16, "NA")</f>
        <v>0</v>
      </c>
      <c r="J83" s="14">
        <f t="shared" si="41"/>
        <v>0</v>
      </c>
      <c r="K83" s="15">
        <f>IFERROR(J83/J16, "NA")</f>
        <v>0</v>
      </c>
      <c r="L83" s="14">
        <f t="shared" si="42"/>
        <v>0</v>
      </c>
      <c r="M83" s="15">
        <f>IFERROR(L83/L16, "NA")</f>
        <v>0</v>
      </c>
    </row>
    <row r="84" ht="16.5" hidden="1" customHeight="1">
      <c r="A84" s="11" t="s">
        <v>163</v>
      </c>
      <c r="B84" s="14">
        <f t="shared" si="37"/>
        <v>0</v>
      </c>
      <c r="C84" s="15">
        <f>IFERROR(B84/B16, "NA")</f>
        <v>0</v>
      </c>
      <c r="D84" s="14">
        <f t="shared" si="38"/>
        <v>0</v>
      </c>
      <c r="E84" s="15">
        <f>IFERROR(D84/D16, "NA")</f>
        <v>0</v>
      </c>
      <c r="F84" s="14">
        <f t="shared" si="39"/>
        <v>0</v>
      </c>
      <c r="G84" s="15">
        <f>IFERROR(F84/F16, "NA")</f>
        <v>0</v>
      </c>
      <c r="H84" s="14">
        <f t="shared" si="40"/>
        <v>0</v>
      </c>
      <c r="I84" s="15">
        <f>IFERROR(H84/H16, "NA")</f>
        <v>0</v>
      </c>
      <c r="J84" s="14">
        <f t="shared" si="41"/>
        <v>0</v>
      </c>
      <c r="K84" s="15">
        <f>IFERROR(J84/J16, "NA")</f>
        <v>0</v>
      </c>
      <c r="L84" s="14">
        <f t="shared" si="42"/>
        <v>0</v>
      </c>
      <c r="M84" s="15">
        <f>IFERROR(L84/L16, "NA")</f>
        <v>0</v>
      </c>
    </row>
    <row r="85" ht="16.5" hidden="1" customHeight="1">
      <c r="A85" s="11" t="s">
        <v>167</v>
      </c>
      <c r="B85" s="14">
        <f t="shared" si="37"/>
        <v>0</v>
      </c>
      <c r="C85" s="15">
        <f>IFERROR(B85/B16, "NA")</f>
        <v>0</v>
      </c>
      <c r="D85" s="14">
        <f t="shared" si="38"/>
        <v>0</v>
      </c>
      <c r="E85" s="15">
        <f>IFERROR(D85/D16, "NA")</f>
        <v>0</v>
      </c>
      <c r="F85" s="14">
        <f t="shared" si="39"/>
        <v>0</v>
      </c>
      <c r="G85" s="15">
        <f>IFERROR(F85/F16, "NA")</f>
        <v>0</v>
      </c>
      <c r="H85" s="14">
        <f t="shared" si="40"/>
        <v>0</v>
      </c>
      <c r="I85" s="15">
        <f>IFERROR(H85/H16, "NA")</f>
        <v>0</v>
      </c>
      <c r="J85" s="14">
        <f t="shared" si="41"/>
        <v>0</v>
      </c>
      <c r="K85" s="15">
        <f>IFERROR(J85/J16, "NA")</f>
        <v>0</v>
      </c>
      <c r="L85" s="14">
        <f t="shared" si="42"/>
        <v>0</v>
      </c>
      <c r="M85" s="15">
        <f>IFERROR(L85/L16, "NA")</f>
        <v>0</v>
      </c>
    </row>
    <row r="86" ht="16.5" hidden="1" customHeight="1">
      <c r="A86" s="11" t="s">
        <v>169</v>
      </c>
      <c r="B86" s="14">
        <f t="shared" si="37"/>
        <v>0</v>
      </c>
      <c r="C86" s="15">
        <f>IFERROR(B86/B16, "NA")</f>
        <v>0</v>
      </c>
      <c r="D86" s="14">
        <f t="shared" si="38"/>
        <v>0</v>
      </c>
      <c r="E86" s="15">
        <f>IFERROR(D86/D16, "NA")</f>
        <v>0</v>
      </c>
      <c r="F86" s="14">
        <f t="shared" si="39"/>
        <v>0</v>
      </c>
      <c r="G86" s="15">
        <f>IFERROR(F86/F16, "NA")</f>
        <v>0</v>
      </c>
      <c r="H86" s="14">
        <f t="shared" si="40"/>
        <v>0</v>
      </c>
      <c r="I86" s="15">
        <f>IFERROR(H86/H16, "NA")</f>
        <v>0</v>
      </c>
      <c r="J86" s="14">
        <f t="shared" si="41"/>
        <v>0</v>
      </c>
      <c r="K86" s="15">
        <f>IFERROR(J86/J16, "NA")</f>
        <v>0</v>
      </c>
      <c r="L86" s="14">
        <f t="shared" si="42"/>
        <v>0</v>
      </c>
      <c r="M86" s="15">
        <f>IFERROR(L86/L16, "NA")</f>
        <v>0</v>
      </c>
    </row>
    <row r="87" ht="16.5" hidden="1" customHeight="1">
      <c r="A87" s="11" t="s">
        <v>172</v>
      </c>
      <c r="B87" s="14">
        <f t="shared" si="37"/>
        <v>0</v>
      </c>
      <c r="C87" s="15">
        <f>IFERROR(B87/B16, "NA")</f>
        <v>0</v>
      </c>
      <c r="D87" s="14">
        <f t="shared" si="38"/>
        <v>0</v>
      </c>
      <c r="E87" s="15">
        <f>IFERROR(D87/D16, "NA")</f>
        <v>0</v>
      </c>
      <c r="F87" s="14">
        <f t="shared" si="39"/>
        <v>0</v>
      </c>
      <c r="G87" s="15">
        <f>IFERROR(F87/F16, "NA")</f>
        <v>0</v>
      </c>
      <c r="H87" s="14">
        <f t="shared" si="40"/>
        <v>0</v>
      </c>
      <c r="I87" s="15">
        <f>IFERROR(H87/H16, "NA")</f>
        <v>0</v>
      </c>
      <c r="J87" s="14">
        <f t="shared" si="41"/>
        <v>0</v>
      </c>
      <c r="K87" s="15">
        <f>IFERROR(J87/J16, "NA")</f>
        <v>0</v>
      </c>
      <c r="L87" s="14">
        <f t="shared" si="42"/>
        <v>0</v>
      </c>
      <c r="M87" s="15">
        <f>IFERROR(L87/L16, "NA")</f>
        <v>0</v>
      </c>
    </row>
    <row r="88" ht="16.5" customHeight="1">
      <c r="A88" s="68" t="s">
        <v>176</v>
      </c>
      <c r="B88" s="69">
        <f t="shared" si="37"/>
        <v>600.52</v>
      </c>
      <c r="C88" s="71">
        <f>IFERROR(B88/B16, "NA")</f>
        <v>0.02981929266</v>
      </c>
      <c r="D88" s="69">
        <f t="shared" si="38"/>
        <v>1005.18</v>
      </c>
      <c r="E88" s="71">
        <f>IFERROR(D88/D16, "NA")</f>
        <v>0.01728553566</v>
      </c>
      <c r="F88" s="69">
        <f t="shared" si="39"/>
        <v>608.25</v>
      </c>
      <c r="G88" s="71">
        <f>IFERROR(F88/F16, "NA")</f>
        <v>0.0206775857</v>
      </c>
      <c r="H88" s="69">
        <f t="shared" si="40"/>
        <v>586.34</v>
      </c>
      <c r="I88" s="71">
        <f>IFERROR(H88/H16, "NA")</f>
        <v>0.01978710487</v>
      </c>
      <c r="J88" s="69">
        <f t="shared" si="41"/>
        <v>622.3</v>
      </c>
      <c r="K88" s="71">
        <f>IFERROR(J88/J16, "NA")</f>
        <v>0.02407277459</v>
      </c>
      <c r="L88" s="69">
        <f t="shared" si="42"/>
        <v>3422.59</v>
      </c>
      <c r="M88" s="71">
        <f>IFERROR(L88/L16, "NA")</f>
        <v>0.02097313138</v>
      </c>
    </row>
    <row r="89" ht="16.5" customHeight="1">
      <c r="A89" s="11" t="s">
        <v>179</v>
      </c>
      <c r="B89" s="14">
        <f t="shared" si="37"/>
        <v>0</v>
      </c>
      <c r="C89" s="15">
        <f>IFERROR(B89/B16, "NA")</f>
        <v>0</v>
      </c>
      <c r="D89" s="14">
        <f t="shared" si="38"/>
        <v>0</v>
      </c>
      <c r="E89" s="15">
        <f>IFERROR(D89/D16, "NA")</f>
        <v>0</v>
      </c>
      <c r="F89" s="14">
        <f t="shared" si="39"/>
        <v>0</v>
      </c>
      <c r="G89" s="15">
        <f>IFERROR(F89/F16, "NA")</f>
        <v>0</v>
      </c>
      <c r="H89" s="14">
        <f t="shared" si="40"/>
        <v>0</v>
      </c>
      <c r="I89" s="15">
        <f>IFERROR(H89/H16, "NA")</f>
        <v>0</v>
      </c>
      <c r="J89" s="14">
        <f t="shared" si="41"/>
        <v>0</v>
      </c>
      <c r="K89" s="15">
        <f>IFERROR(J89/J16, "NA")</f>
        <v>0</v>
      </c>
      <c r="L89" s="14">
        <f t="shared" si="42"/>
        <v>0</v>
      </c>
      <c r="M89" s="15">
        <f>IFERROR(L89/L16, "NA")</f>
        <v>0</v>
      </c>
    </row>
    <row r="90" ht="16.5" customHeight="1">
      <c r="A90" s="11" t="s">
        <v>181</v>
      </c>
      <c r="B90" s="14">
        <f t="shared" si="37"/>
        <v>35.73</v>
      </c>
      <c r="C90" s="15">
        <f>IFERROR(B90/B16, "NA")</f>
        <v>0.001774201237</v>
      </c>
      <c r="D90" s="14">
        <f t="shared" si="38"/>
        <v>-14.8</v>
      </c>
      <c r="E90" s="15">
        <f>IFERROR(D90/D16, "NA")</f>
        <v>-0.0002545075786</v>
      </c>
      <c r="F90" s="14">
        <f t="shared" si="39"/>
        <v>0</v>
      </c>
      <c r="G90" s="15">
        <f>IFERROR(F90/F16, "NA")</f>
        <v>0</v>
      </c>
      <c r="H90" s="14">
        <f t="shared" si="40"/>
        <v>-76.28</v>
      </c>
      <c r="I90" s="15">
        <f>IFERROR(H90/H16, "NA")</f>
        <v>-0.002574206705</v>
      </c>
      <c r="J90" s="14">
        <f t="shared" si="41"/>
        <v>0</v>
      </c>
      <c r="K90" s="15">
        <f>IFERROR(J90/J16, "NA")</f>
        <v>0</v>
      </c>
      <c r="L90" s="14">
        <f t="shared" si="42"/>
        <v>-55.35</v>
      </c>
      <c r="M90" s="15">
        <f>IFERROR(L90/L16, "NA")</f>
        <v>-0.0003391767118</v>
      </c>
    </row>
    <row r="91" ht="16.5" customHeight="1">
      <c r="A91" s="68" t="s">
        <v>55</v>
      </c>
      <c r="B91" s="69">
        <f t="shared" si="37"/>
        <v>6442.41</v>
      </c>
      <c r="C91" s="71">
        <f>IFERROR(B91/B16, "NA")</f>
        <v>0.3199029329</v>
      </c>
      <c r="D91" s="69">
        <f t="shared" si="38"/>
        <v>11417.97</v>
      </c>
      <c r="E91" s="71">
        <f>IFERROR(D91/D16, "NA")</f>
        <v>0.1963486417</v>
      </c>
      <c r="F91" s="69">
        <f t="shared" si="39"/>
        <v>7559.16</v>
      </c>
      <c r="G91" s="71">
        <f>IFERROR(F91/F16, "NA")</f>
        <v>0.2569752219</v>
      </c>
      <c r="H91" s="69">
        <f t="shared" si="40"/>
        <v>7050.07</v>
      </c>
      <c r="I91" s="71">
        <f>IFERROR(H91/H16, "NA")</f>
        <v>0.2379173763</v>
      </c>
      <c r="J91" s="69">
        <f t="shared" si="41"/>
        <v>7215.98</v>
      </c>
      <c r="K91" s="71">
        <f>IFERROR(J91/J16, "NA")</f>
        <v>0.2791397397</v>
      </c>
      <c r="L91" s="69">
        <f t="shared" si="42"/>
        <v>39685.59</v>
      </c>
      <c r="M91" s="71">
        <f>IFERROR(L91/L16, "NA")</f>
        <v>0.2431874963</v>
      </c>
    </row>
    <row r="92" ht="16.5" customHeight="1">
      <c r="A92" s="68" t="s">
        <v>55</v>
      </c>
      <c r="B92" s="92">
        <f t="shared" si="37"/>
        <v>6442.41</v>
      </c>
      <c r="C92" s="94">
        <f>IFERROR(B92/B16, "NA")</f>
        <v>0.3199029329</v>
      </c>
      <c r="D92" s="92">
        <f t="shared" si="38"/>
        <v>11417.97</v>
      </c>
      <c r="E92" s="94">
        <f>IFERROR(D92/D16, "NA")</f>
        <v>0.1963486417</v>
      </c>
      <c r="F92" s="92">
        <f t="shared" si="39"/>
        <v>7559.16</v>
      </c>
      <c r="G92" s="94">
        <f>IFERROR(F92/F16, "NA")</f>
        <v>0.2569752219</v>
      </c>
      <c r="H92" s="92">
        <f t="shared" si="40"/>
        <v>7050.07</v>
      </c>
      <c r="I92" s="94">
        <f>IFERROR(H92/H16, "NA")</f>
        <v>0.2379173763</v>
      </c>
      <c r="J92" s="92">
        <f t="shared" si="41"/>
        <v>7215.98</v>
      </c>
      <c r="K92" s="94">
        <f>IFERROR(J92/J16, "NA")</f>
        <v>0.2791397397</v>
      </c>
      <c r="L92" s="92">
        <f t="shared" si="42"/>
        <v>39685.59</v>
      </c>
      <c r="M92" s="96">
        <f>IFERROR(L92/L16, "NA")</f>
        <v>0.2431874963</v>
      </c>
    </row>
    <row r="93" ht="3.75" customHeight="1">
      <c r="A93" s="100"/>
      <c r="B93" s="101"/>
      <c r="C93" s="74"/>
      <c r="D93" s="101"/>
      <c r="E93" s="74"/>
      <c r="F93" s="101"/>
      <c r="G93" s="74"/>
      <c r="H93" s="101"/>
      <c r="I93" s="74"/>
      <c r="J93" s="101"/>
      <c r="K93" s="74"/>
      <c r="L93" s="101"/>
      <c r="M93" s="74"/>
    </row>
    <row r="94" ht="15.0" customHeight="1">
      <c r="A94" s="53" t="s">
        <v>56</v>
      </c>
      <c r="B94" s="99">
        <f t="array" ref="B94">INDEX(INDIRECT("'"&amp;B$4&amp;"'!$1:$1048576"),MATCH($A94,INDIRECT("'"&amp;B$4&amp;"'!$A:$A"),0),MATCH($A$2,INDIRECT("'"&amp;B$4&amp;"'!$5:$5"),0))</f>
        <v>9042.44</v>
      </c>
      <c r="C94" s="98">
        <f>IFERROR(B94/B16, "NA")</f>
        <v>0.4490094664</v>
      </c>
      <c r="D94" s="99">
        <f t="array" ref="D94">INDEX(INDIRECT("'"&amp;D$4&amp;"'!$1:$1048576"),MATCH($A94,INDIRECT("'"&amp;D$4&amp;"'!$A:$A"),0),MATCH($A$2,INDIRECT("'"&amp;D$4&amp;"'!$5:$5"),0))</f>
        <v>32713.6</v>
      </c>
      <c r="E94" s="98">
        <f>IFERROR(D94/D16, "NA")</f>
        <v>0.5625580488</v>
      </c>
      <c r="F94" s="99">
        <f t="array" ref="F94">INDEX(INDIRECT("'"&amp;F$4&amp;"'!$1:$1048576"),MATCH($A94,INDIRECT("'"&amp;F$4&amp;"'!$A:$A"),0),MATCH($A$2,INDIRECT("'"&amp;F$4&amp;"'!$5:$5"),0))</f>
        <v>14077.97</v>
      </c>
      <c r="G94" s="98">
        <f>IFERROR(F94/F16, "NA")</f>
        <v>0.4785835284</v>
      </c>
      <c r="H94" s="99">
        <f t="array" ref="H94">INDEX(INDIRECT("'"&amp;H$4&amp;"'!$1:$1048576"),MATCH($A94,INDIRECT("'"&amp;H$4&amp;"'!$A:$A"),0),MATCH($A$2,INDIRECT("'"&amp;H$4&amp;"'!$5:$5"),0))</f>
        <v>14771.78</v>
      </c>
      <c r="I94" s="98">
        <f>IFERROR(H94/H16, "NA")</f>
        <v>0.4985004605</v>
      </c>
      <c r="J94" s="99">
        <f t="array" ref="J94">INDEX(INDIRECT("'"&amp;J$4&amp;"'!$1:$1048576"),MATCH($A94,INDIRECT("'"&amp;J$4&amp;"'!$A:$A"),0),MATCH($A$2,INDIRECT("'"&amp;J$4&amp;"'!$5:$5"),0))</f>
        <v>10213.15</v>
      </c>
      <c r="K94" s="98">
        <f>IFERROR(J94/J16, "NA")</f>
        <v>0.3950809221</v>
      </c>
      <c r="L94" s="99">
        <f>+J94+H94+F94+D94+B94</f>
        <v>80818.94</v>
      </c>
      <c r="M94" s="117">
        <f>IFERROR(L94/L16, "NA")</f>
        <v>0.4952466544</v>
      </c>
    </row>
    <row r="95" ht="15.0" customHeight="1">
      <c r="A95" s="100"/>
      <c r="B95" s="101"/>
      <c r="C95" s="74"/>
      <c r="D95" s="101"/>
      <c r="E95" s="74"/>
      <c r="F95" s="101"/>
      <c r="G95" s="74"/>
      <c r="H95" s="101"/>
      <c r="I95" s="74"/>
      <c r="J95" s="101"/>
      <c r="K95" s="74"/>
      <c r="L95" s="3"/>
    </row>
    <row r="96" ht="15.0" customHeight="1">
      <c r="B96" s="3"/>
      <c r="D96" s="3"/>
      <c r="F96" s="3"/>
      <c r="H96" s="3"/>
      <c r="J96" s="3"/>
      <c r="L96" s="3"/>
    </row>
    <row r="97" ht="14.25" customHeight="1">
      <c r="B97" s="3"/>
      <c r="D97" s="3"/>
      <c r="F97" s="3"/>
      <c r="H97" s="3"/>
      <c r="J97" s="3"/>
      <c r="L97" s="3"/>
    </row>
    <row r="98" ht="14.25" customHeight="1">
      <c r="B98" s="3"/>
      <c r="D98" s="3"/>
      <c r="F98" s="3"/>
      <c r="H98" s="3"/>
      <c r="J98" s="3"/>
      <c r="L98" s="3"/>
    </row>
    <row r="99" ht="14.25" customHeight="1">
      <c r="B99" s="3"/>
      <c r="D99" s="3"/>
      <c r="F99" s="3"/>
      <c r="H99" s="3"/>
      <c r="J99" s="3"/>
      <c r="L99" s="3"/>
    </row>
    <row r="100" ht="14.25" customHeight="1">
      <c r="B100" s="3"/>
      <c r="D100" s="3"/>
      <c r="F100" s="3"/>
      <c r="H100" s="3"/>
      <c r="J100" s="3"/>
      <c r="L100" s="3"/>
    </row>
    <row r="101" ht="14.25" customHeight="1">
      <c r="B101" s="3"/>
      <c r="D101" s="3"/>
      <c r="F101" s="3"/>
      <c r="H101" s="3"/>
      <c r="J101" s="3"/>
      <c r="L101" s="3"/>
    </row>
    <row r="102" ht="14.25" customHeight="1">
      <c r="B102" s="3"/>
      <c r="D102" s="3"/>
      <c r="F102" s="3"/>
      <c r="H102" s="3"/>
      <c r="J102" s="3"/>
      <c r="L102" s="3"/>
    </row>
    <row r="103" ht="14.25" customHeight="1">
      <c r="B103" s="3"/>
      <c r="D103" s="3"/>
      <c r="F103" s="3"/>
      <c r="H103" s="3"/>
      <c r="J103" s="3"/>
      <c r="L103" s="3"/>
    </row>
    <row r="104" ht="14.25" customHeight="1">
      <c r="B104" s="3"/>
      <c r="D104" s="3"/>
      <c r="F104" s="3"/>
      <c r="H104" s="3"/>
      <c r="J104" s="3"/>
      <c r="L104" s="3"/>
    </row>
    <row r="105" ht="14.25" customHeight="1">
      <c r="B105" s="3"/>
      <c r="D105" s="3"/>
      <c r="F105" s="3"/>
      <c r="H105" s="3"/>
      <c r="J105" s="3"/>
      <c r="L105" s="3"/>
    </row>
    <row r="106" ht="14.25" customHeight="1">
      <c r="B106" s="3"/>
      <c r="D106" s="3"/>
      <c r="F106" s="3"/>
      <c r="H106" s="3"/>
      <c r="J106" s="3"/>
      <c r="L106" s="3"/>
    </row>
    <row r="107" ht="14.25" customHeight="1">
      <c r="B107" s="3"/>
      <c r="D107" s="3"/>
      <c r="F107" s="3"/>
      <c r="H107" s="3"/>
      <c r="J107" s="3"/>
      <c r="L107" s="3"/>
    </row>
    <row r="108" ht="14.25" customHeight="1">
      <c r="B108" s="3"/>
      <c r="D108" s="3"/>
      <c r="F108" s="3"/>
      <c r="H108" s="3"/>
      <c r="J108" s="3"/>
      <c r="L108" s="3"/>
    </row>
    <row r="109" ht="14.25" customHeight="1">
      <c r="B109" s="3"/>
      <c r="D109" s="3"/>
      <c r="F109" s="3"/>
      <c r="H109" s="3"/>
      <c r="J109" s="3"/>
      <c r="L109" s="3"/>
    </row>
    <row r="110" ht="14.25" customHeight="1">
      <c r="B110" s="3"/>
      <c r="D110" s="3"/>
      <c r="F110" s="3"/>
      <c r="H110" s="3"/>
      <c r="J110" s="3"/>
      <c r="L110" s="3"/>
    </row>
    <row r="111" ht="14.25" customHeight="1">
      <c r="B111" s="3"/>
      <c r="D111" s="3"/>
      <c r="F111" s="3"/>
      <c r="H111" s="3"/>
      <c r="J111" s="3"/>
      <c r="L111" s="3"/>
    </row>
    <row r="112" ht="14.25" customHeight="1">
      <c r="B112" s="3"/>
      <c r="D112" s="3"/>
      <c r="F112" s="3"/>
      <c r="H112" s="3"/>
      <c r="J112" s="3"/>
      <c r="L112" s="3"/>
    </row>
    <row r="113" ht="14.25" customHeight="1">
      <c r="B113" s="3"/>
      <c r="D113" s="3"/>
      <c r="F113" s="3"/>
      <c r="H113" s="3"/>
      <c r="J113" s="3"/>
      <c r="L113" s="3"/>
    </row>
    <row r="114" ht="14.25" customHeight="1">
      <c r="B114" s="3"/>
      <c r="D114" s="3"/>
      <c r="F114" s="3"/>
      <c r="H114" s="3"/>
      <c r="J114" s="3"/>
      <c r="L114" s="3"/>
    </row>
    <row r="115" ht="14.25" customHeight="1">
      <c r="B115" s="3"/>
      <c r="D115" s="3"/>
      <c r="F115" s="3"/>
      <c r="H115" s="3"/>
      <c r="J115" s="3"/>
      <c r="L115" s="3"/>
    </row>
    <row r="116" ht="14.25" customHeight="1">
      <c r="B116" s="3"/>
      <c r="D116" s="3"/>
      <c r="F116" s="3"/>
      <c r="H116" s="3"/>
      <c r="J116" s="3"/>
      <c r="L116" s="3"/>
    </row>
    <row r="117" ht="14.25" customHeight="1">
      <c r="B117" s="3"/>
      <c r="D117" s="3"/>
      <c r="F117" s="3"/>
      <c r="H117" s="3"/>
      <c r="J117" s="3"/>
      <c r="L117" s="3"/>
    </row>
    <row r="118" ht="14.25" customHeight="1">
      <c r="B118" s="3"/>
      <c r="D118" s="3"/>
      <c r="F118" s="3"/>
      <c r="H118" s="3"/>
      <c r="J118" s="3"/>
      <c r="L118" s="3"/>
    </row>
    <row r="119" ht="14.25" customHeight="1">
      <c r="B119" s="3"/>
      <c r="D119" s="3"/>
      <c r="F119" s="3"/>
      <c r="H119" s="3"/>
      <c r="J119" s="3"/>
      <c r="L119" s="3"/>
    </row>
    <row r="120" ht="14.25" customHeight="1">
      <c r="B120" s="3"/>
      <c r="D120" s="3"/>
      <c r="F120" s="3"/>
      <c r="H120" s="3"/>
      <c r="J120" s="3"/>
      <c r="L120" s="3"/>
    </row>
    <row r="121" ht="14.25" customHeight="1">
      <c r="B121" s="3"/>
      <c r="D121" s="3"/>
      <c r="F121" s="3"/>
      <c r="H121" s="3"/>
      <c r="J121" s="3"/>
      <c r="L121" s="3"/>
    </row>
    <row r="122" ht="14.25" customHeight="1">
      <c r="B122" s="3"/>
      <c r="D122" s="3"/>
      <c r="F122" s="3"/>
      <c r="H122" s="3"/>
      <c r="J122" s="3"/>
      <c r="L122" s="3"/>
    </row>
    <row r="123" ht="14.25" customHeight="1">
      <c r="B123" s="3"/>
      <c r="D123" s="3"/>
      <c r="F123" s="3"/>
      <c r="H123" s="3"/>
      <c r="J123" s="3"/>
      <c r="L123" s="3"/>
    </row>
    <row r="124" ht="14.25" customHeight="1">
      <c r="B124" s="3"/>
      <c r="D124" s="3"/>
      <c r="F124" s="3"/>
      <c r="H124" s="3"/>
      <c r="J124" s="3"/>
      <c r="L124" s="3"/>
    </row>
    <row r="125" ht="14.25" customHeight="1">
      <c r="B125" s="3"/>
      <c r="D125" s="3"/>
      <c r="F125" s="3"/>
      <c r="H125" s="3"/>
      <c r="J125" s="3"/>
      <c r="L125" s="3"/>
    </row>
    <row r="126" ht="14.25" customHeight="1">
      <c r="B126" s="3"/>
      <c r="D126" s="3"/>
      <c r="F126" s="3"/>
      <c r="H126" s="3"/>
      <c r="J126" s="3"/>
      <c r="L126" s="3"/>
    </row>
    <row r="127" ht="14.25" customHeight="1">
      <c r="B127" s="3"/>
      <c r="D127" s="3"/>
      <c r="F127" s="3"/>
      <c r="H127" s="3"/>
      <c r="J127" s="3"/>
      <c r="L127" s="3"/>
    </row>
    <row r="128" ht="14.25" customHeight="1">
      <c r="B128" s="3"/>
      <c r="D128" s="3"/>
      <c r="F128" s="3"/>
      <c r="H128" s="3"/>
      <c r="J128" s="3"/>
      <c r="L128" s="3"/>
    </row>
    <row r="129" ht="14.25" customHeight="1">
      <c r="B129" s="3"/>
      <c r="D129" s="3"/>
      <c r="F129" s="3"/>
      <c r="H129" s="3"/>
      <c r="J129" s="3"/>
      <c r="L129" s="3"/>
    </row>
    <row r="130" ht="14.25" customHeight="1">
      <c r="B130" s="3"/>
      <c r="D130" s="3"/>
      <c r="F130" s="3"/>
      <c r="H130" s="3"/>
      <c r="J130" s="3"/>
      <c r="L130" s="3"/>
    </row>
    <row r="131" ht="14.25" customHeight="1">
      <c r="B131" s="3"/>
      <c r="D131" s="3"/>
      <c r="F131" s="3"/>
      <c r="H131" s="3"/>
      <c r="J131" s="3"/>
      <c r="L131" s="3"/>
    </row>
    <row r="132" ht="14.25" customHeight="1">
      <c r="B132" s="3"/>
      <c r="D132" s="3"/>
      <c r="F132" s="3"/>
      <c r="H132" s="3"/>
      <c r="J132" s="3"/>
      <c r="L132" s="3"/>
    </row>
    <row r="133" ht="14.25" customHeight="1">
      <c r="B133" s="3"/>
      <c r="D133" s="3"/>
      <c r="F133" s="3"/>
      <c r="H133" s="3"/>
      <c r="J133" s="3"/>
      <c r="L133" s="3"/>
    </row>
    <row r="134" ht="14.25" customHeight="1">
      <c r="B134" s="3"/>
      <c r="D134" s="3"/>
      <c r="F134" s="3"/>
      <c r="H134" s="3"/>
      <c r="J134" s="3"/>
      <c r="L134" s="3"/>
    </row>
    <row r="135" ht="14.25" customHeight="1">
      <c r="B135" s="3"/>
      <c r="D135" s="3"/>
      <c r="F135" s="3"/>
      <c r="H135" s="3"/>
      <c r="J135" s="3"/>
      <c r="L135" s="3"/>
    </row>
    <row r="136" ht="14.25" customHeight="1">
      <c r="B136" s="3"/>
      <c r="D136" s="3"/>
      <c r="F136" s="3"/>
      <c r="H136" s="3"/>
      <c r="J136" s="3"/>
      <c r="L136" s="3"/>
    </row>
    <row r="137" ht="14.25" customHeight="1">
      <c r="B137" s="3"/>
      <c r="D137" s="3"/>
      <c r="F137" s="3"/>
      <c r="H137" s="3"/>
      <c r="J137" s="3"/>
      <c r="L137" s="3"/>
    </row>
    <row r="138" ht="14.25" customHeight="1">
      <c r="B138" s="3"/>
      <c r="D138" s="3"/>
      <c r="F138" s="3"/>
      <c r="H138" s="3"/>
      <c r="J138" s="3"/>
      <c r="L138" s="3"/>
    </row>
    <row r="139" ht="14.25" customHeight="1">
      <c r="B139" s="3"/>
      <c r="D139" s="3"/>
      <c r="F139" s="3"/>
      <c r="H139" s="3"/>
      <c r="J139" s="3"/>
      <c r="L139" s="3"/>
    </row>
    <row r="140" ht="14.25" customHeight="1">
      <c r="B140" s="3"/>
      <c r="D140" s="3"/>
      <c r="F140" s="3"/>
      <c r="H140" s="3"/>
      <c r="J140" s="3"/>
      <c r="L140" s="3"/>
    </row>
    <row r="141" ht="14.25" customHeight="1">
      <c r="B141" s="3"/>
      <c r="D141" s="3"/>
      <c r="F141" s="3"/>
      <c r="H141" s="3"/>
      <c r="J141" s="3"/>
      <c r="L141" s="3"/>
    </row>
    <row r="142" ht="14.25" customHeight="1">
      <c r="B142" s="3"/>
      <c r="D142" s="3"/>
      <c r="F142" s="3"/>
      <c r="H142" s="3"/>
      <c r="J142" s="3"/>
      <c r="L142" s="3"/>
    </row>
    <row r="143" ht="14.25" customHeight="1">
      <c r="B143" s="3"/>
      <c r="D143" s="3"/>
      <c r="F143" s="3"/>
      <c r="H143" s="3"/>
      <c r="J143" s="3"/>
      <c r="L143" s="3"/>
    </row>
    <row r="144" ht="14.25" customHeight="1">
      <c r="B144" s="3"/>
      <c r="D144" s="3"/>
      <c r="F144" s="3"/>
      <c r="H144" s="3"/>
      <c r="J144" s="3"/>
      <c r="L144" s="3"/>
    </row>
    <row r="145" ht="14.25" customHeight="1">
      <c r="B145" s="3"/>
      <c r="D145" s="3"/>
      <c r="F145" s="3"/>
      <c r="H145" s="3"/>
      <c r="J145" s="3"/>
      <c r="L145" s="3"/>
    </row>
    <row r="146" ht="14.25" customHeight="1">
      <c r="B146" s="3"/>
      <c r="D146" s="3"/>
      <c r="F146" s="3"/>
      <c r="H146" s="3"/>
      <c r="J146" s="3"/>
      <c r="L146" s="3"/>
    </row>
    <row r="147" ht="14.25" customHeight="1">
      <c r="B147" s="3"/>
      <c r="D147" s="3"/>
      <c r="F147" s="3"/>
      <c r="H147" s="3"/>
      <c r="J147" s="3"/>
      <c r="L147" s="3"/>
    </row>
    <row r="148" ht="14.25" customHeight="1">
      <c r="B148" s="3"/>
      <c r="D148" s="3"/>
      <c r="F148" s="3"/>
      <c r="H148" s="3"/>
      <c r="J148" s="3"/>
      <c r="L148" s="3"/>
    </row>
    <row r="149" ht="14.25" customHeight="1">
      <c r="B149" s="3"/>
      <c r="D149" s="3"/>
      <c r="F149" s="3"/>
      <c r="H149" s="3"/>
      <c r="J149" s="3"/>
      <c r="L149" s="3"/>
    </row>
    <row r="150" ht="14.25" customHeight="1">
      <c r="B150" s="3"/>
      <c r="D150" s="3"/>
      <c r="F150" s="3"/>
      <c r="H150" s="3"/>
      <c r="J150" s="3"/>
      <c r="L150" s="3"/>
    </row>
    <row r="151" ht="14.25" customHeight="1">
      <c r="B151" s="3"/>
      <c r="D151" s="3"/>
      <c r="F151" s="3"/>
      <c r="H151" s="3"/>
      <c r="J151" s="3"/>
      <c r="L151" s="3"/>
    </row>
    <row r="152" ht="14.25" customHeight="1">
      <c r="B152" s="3"/>
      <c r="D152" s="3"/>
      <c r="F152" s="3"/>
      <c r="H152" s="3"/>
      <c r="J152" s="3"/>
      <c r="L152" s="3"/>
    </row>
    <row r="153" ht="14.25" customHeight="1">
      <c r="B153" s="3"/>
      <c r="D153" s="3"/>
      <c r="F153" s="3"/>
      <c r="H153" s="3"/>
      <c r="J153" s="3"/>
      <c r="L153" s="3"/>
    </row>
    <row r="154" ht="14.25" customHeight="1">
      <c r="B154" s="3"/>
      <c r="D154" s="3"/>
      <c r="F154" s="3"/>
      <c r="H154" s="3"/>
      <c r="J154" s="3"/>
      <c r="L154" s="3"/>
    </row>
    <row r="155" ht="14.25" customHeight="1">
      <c r="B155" s="3"/>
      <c r="D155" s="3"/>
      <c r="F155" s="3"/>
      <c r="H155" s="3"/>
      <c r="J155" s="3"/>
      <c r="L155" s="3"/>
    </row>
    <row r="156" ht="14.25" customHeight="1">
      <c r="B156" s="3"/>
      <c r="D156" s="3"/>
      <c r="F156" s="3"/>
      <c r="H156" s="3"/>
      <c r="J156" s="3"/>
      <c r="L156" s="3"/>
    </row>
    <row r="157" ht="14.25" customHeight="1">
      <c r="B157" s="3"/>
      <c r="D157" s="3"/>
      <c r="F157" s="3"/>
      <c r="H157" s="3"/>
      <c r="J157" s="3"/>
      <c r="L157" s="3"/>
    </row>
    <row r="158" ht="14.25" customHeight="1">
      <c r="B158" s="3"/>
      <c r="D158" s="3"/>
      <c r="F158" s="3"/>
      <c r="H158" s="3"/>
      <c r="J158" s="3"/>
      <c r="L158" s="3"/>
    </row>
    <row r="159" ht="14.25" customHeight="1">
      <c r="B159" s="3"/>
      <c r="D159" s="3"/>
      <c r="F159" s="3"/>
      <c r="H159" s="3"/>
      <c r="J159" s="3"/>
      <c r="L159" s="3"/>
    </row>
    <row r="160" ht="14.25" customHeight="1">
      <c r="B160" s="3"/>
      <c r="D160" s="3"/>
      <c r="F160" s="3"/>
      <c r="H160" s="3"/>
      <c r="J160" s="3"/>
      <c r="L160" s="3"/>
    </row>
    <row r="161" ht="14.25" customHeight="1">
      <c r="B161" s="3"/>
      <c r="D161" s="3"/>
      <c r="F161" s="3"/>
      <c r="H161" s="3"/>
      <c r="J161" s="3"/>
      <c r="L161" s="3"/>
    </row>
    <row r="162" ht="14.25" customHeight="1">
      <c r="B162" s="3"/>
      <c r="D162" s="3"/>
      <c r="F162" s="3"/>
      <c r="H162" s="3"/>
      <c r="J162" s="3"/>
      <c r="L162" s="3"/>
    </row>
    <row r="163" ht="14.25" customHeight="1">
      <c r="B163" s="3"/>
      <c r="D163" s="3"/>
      <c r="F163" s="3"/>
      <c r="H163" s="3"/>
      <c r="J163" s="3"/>
      <c r="L163" s="3"/>
    </row>
    <row r="164" ht="14.25" customHeight="1">
      <c r="B164" s="3"/>
      <c r="D164" s="3"/>
      <c r="F164" s="3"/>
      <c r="H164" s="3"/>
      <c r="J164" s="3"/>
      <c r="L164" s="3"/>
    </row>
    <row r="165" ht="14.25" customHeight="1">
      <c r="B165" s="3"/>
      <c r="D165" s="3"/>
      <c r="F165" s="3"/>
      <c r="H165" s="3"/>
      <c r="J165" s="3"/>
      <c r="L165" s="3"/>
    </row>
    <row r="166" ht="14.25" customHeight="1">
      <c r="B166" s="3"/>
      <c r="D166" s="3"/>
      <c r="F166" s="3"/>
      <c r="H166" s="3"/>
      <c r="J166" s="3"/>
      <c r="L166" s="3"/>
    </row>
    <row r="167" ht="14.25" customHeight="1">
      <c r="B167" s="3"/>
      <c r="D167" s="3"/>
      <c r="F167" s="3"/>
      <c r="H167" s="3"/>
      <c r="J167" s="3"/>
      <c r="L167" s="3"/>
    </row>
    <row r="168" ht="14.25" customHeight="1">
      <c r="B168" s="3"/>
      <c r="D168" s="3"/>
      <c r="F168" s="3"/>
      <c r="H168" s="3"/>
      <c r="J168" s="3"/>
      <c r="L168" s="3"/>
    </row>
    <row r="169" ht="14.25" customHeight="1">
      <c r="B169" s="3"/>
      <c r="D169" s="3"/>
      <c r="F169" s="3"/>
      <c r="H169" s="3"/>
      <c r="J169" s="3"/>
      <c r="L169" s="3"/>
    </row>
    <row r="170" ht="14.25" customHeight="1">
      <c r="B170" s="3"/>
      <c r="D170" s="3"/>
      <c r="F170" s="3"/>
      <c r="H170" s="3"/>
      <c r="J170" s="3"/>
      <c r="L170" s="3"/>
    </row>
    <row r="171" ht="14.25" customHeight="1">
      <c r="B171" s="3"/>
      <c r="D171" s="3"/>
      <c r="F171" s="3"/>
      <c r="H171" s="3"/>
      <c r="J171" s="3"/>
      <c r="L171" s="3"/>
    </row>
    <row r="172" ht="14.25" customHeight="1">
      <c r="B172" s="3"/>
      <c r="D172" s="3"/>
      <c r="F172" s="3"/>
      <c r="H172" s="3"/>
      <c r="J172" s="3"/>
      <c r="L172" s="3"/>
    </row>
    <row r="173" ht="14.25" customHeight="1">
      <c r="B173" s="3"/>
      <c r="D173" s="3"/>
      <c r="F173" s="3"/>
      <c r="H173" s="3"/>
      <c r="J173" s="3"/>
      <c r="L173" s="3"/>
    </row>
    <row r="174" ht="14.25" customHeight="1">
      <c r="B174" s="3"/>
      <c r="D174" s="3"/>
      <c r="F174" s="3"/>
      <c r="H174" s="3"/>
      <c r="J174" s="3"/>
      <c r="L174" s="3"/>
    </row>
    <row r="175" ht="14.25" customHeight="1">
      <c r="B175" s="3"/>
      <c r="D175" s="3"/>
      <c r="F175" s="3"/>
      <c r="H175" s="3"/>
      <c r="J175" s="3"/>
      <c r="L175" s="3"/>
    </row>
    <row r="176" ht="14.25" customHeight="1">
      <c r="B176" s="3"/>
      <c r="D176" s="3"/>
      <c r="F176" s="3"/>
      <c r="H176" s="3"/>
      <c r="J176" s="3"/>
      <c r="L176" s="3"/>
    </row>
    <row r="177" ht="14.25" customHeight="1">
      <c r="B177" s="3"/>
      <c r="D177" s="3"/>
      <c r="F177" s="3"/>
      <c r="H177" s="3"/>
      <c r="J177" s="3"/>
      <c r="L177" s="3"/>
    </row>
    <row r="178" ht="14.25" customHeight="1">
      <c r="B178" s="3"/>
      <c r="D178" s="3"/>
      <c r="F178" s="3"/>
      <c r="H178" s="3"/>
      <c r="J178" s="3"/>
      <c r="L178" s="3"/>
    </row>
    <row r="179" ht="14.25" customHeight="1">
      <c r="B179" s="3"/>
      <c r="D179" s="3"/>
      <c r="F179" s="3"/>
      <c r="H179" s="3"/>
      <c r="J179" s="3"/>
      <c r="L179" s="3"/>
    </row>
    <row r="180" ht="14.25" customHeight="1">
      <c r="B180" s="3"/>
      <c r="D180" s="3"/>
      <c r="F180" s="3"/>
      <c r="H180" s="3"/>
      <c r="J180" s="3"/>
      <c r="L180" s="3"/>
    </row>
    <row r="181" ht="14.25" customHeight="1">
      <c r="B181" s="3"/>
      <c r="D181" s="3"/>
      <c r="F181" s="3"/>
      <c r="H181" s="3"/>
      <c r="J181" s="3"/>
      <c r="L181" s="3"/>
    </row>
    <row r="182" ht="14.25" customHeight="1">
      <c r="B182" s="3"/>
      <c r="D182" s="3"/>
      <c r="F182" s="3"/>
      <c r="H182" s="3"/>
      <c r="J182" s="3"/>
      <c r="L182" s="3"/>
    </row>
    <row r="183" ht="14.25" customHeight="1">
      <c r="B183" s="3"/>
      <c r="D183" s="3"/>
      <c r="F183" s="3"/>
      <c r="H183" s="3"/>
      <c r="J183" s="3"/>
      <c r="L183" s="3"/>
    </row>
    <row r="184" ht="14.25" customHeight="1">
      <c r="B184" s="3"/>
      <c r="D184" s="3"/>
      <c r="F184" s="3"/>
      <c r="H184" s="3"/>
      <c r="J184" s="3"/>
      <c r="L184" s="3"/>
    </row>
    <row r="185" ht="14.25" customHeight="1">
      <c r="B185" s="3"/>
      <c r="D185" s="3"/>
      <c r="F185" s="3"/>
      <c r="H185" s="3"/>
      <c r="J185" s="3"/>
      <c r="L185" s="3"/>
    </row>
    <row r="186" ht="14.25" customHeight="1">
      <c r="B186" s="3"/>
      <c r="D186" s="3"/>
      <c r="F186" s="3"/>
      <c r="H186" s="3"/>
      <c r="J186" s="3"/>
      <c r="L186" s="3"/>
    </row>
    <row r="187" ht="14.25" customHeight="1">
      <c r="B187" s="3"/>
      <c r="D187" s="3"/>
      <c r="F187" s="3"/>
      <c r="H187" s="3"/>
      <c r="J187" s="3"/>
      <c r="L187" s="3"/>
    </row>
    <row r="188" ht="14.25" customHeight="1">
      <c r="B188" s="3"/>
      <c r="D188" s="3"/>
      <c r="F188" s="3"/>
      <c r="H188" s="3"/>
      <c r="J188" s="3"/>
      <c r="L188" s="3"/>
    </row>
    <row r="189" ht="14.25" customHeight="1">
      <c r="B189" s="3"/>
      <c r="D189" s="3"/>
      <c r="F189" s="3"/>
      <c r="H189" s="3"/>
      <c r="J189" s="3"/>
      <c r="L189" s="3"/>
    </row>
    <row r="190" ht="14.25" customHeight="1">
      <c r="B190" s="3"/>
      <c r="D190" s="3"/>
      <c r="F190" s="3"/>
      <c r="H190" s="3"/>
      <c r="J190" s="3"/>
      <c r="L190" s="3"/>
    </row>
    <row r="191" ht="14.25" customHeight="1">
      <c r="B191" s="3"/>
      <c r="D191" s="3"/>
      <c r="F191" s="3"/>
      <c r="H191" s="3"/>
      <c r="J191" s="3"/>
      <c r="L191" s="3"/>
    </row>
    <row r="192" ht="14.25" customHeight="1">
      <c r="B192" s="3"/>
      <c r="D192" s="3"/>
      <c r="F192" s="3"/>
      <c r="H192" s="3"/>
      <c r="J192" s="3"/>
      <c r="L192" s="3"/>
    </row>
    <row r="193" ht="14.25" customHeight="1">
      <c r="B193" s="3"/>
      <c r="D193" s="3"/>
      <c r="F193" s="3"/>
      <c r="H193" s="3"/>
      <c r="J193" s="3"/>
      <c r="L193" s="3"/>
    </row>
    <row r="194" ht="14.25" customHeight="1">
      <c r="B194" s="3"/>
      <c r="D194" s="3"/>
      <c r="F194" s="3"/>
      <c r="H194" s="3"/>
      <c r="J194" s="3"/>
      <c r="L194" s="3"/>
    </row>
    <row r="195" ht="14.25" customHeight="1">
      <c r="B195" s="3"/>
      <c r="D195" s="3"/>
      <c r="F195" s="3"/>
      <c r="H195" s="3"/>
      <c r="J195" s="3"/>
      <c r="L195" s="3"/>
    </row>
    <row r="196" ht="14.25" customHeight="1">
      <c r="B196" s="3"/>
      <c r="D196" s="3"/>
      <c r="F196" s="3"/>
      <c r="H196" s="3"/>
      <c r="J196" s="3"/>
      <c r="L196" s="3"/>
    </row>
    <row r="197" ht="14.25" customHeight="1">
      <c r="B197" s="3"/>
      <c r="D197" s="3"/>
      <c r="F197" s="3"/>
      <c r="H197" s="3"/>
      <c r="J197" s="3"/>
      <c r="L197" s="3"/>
    </row>
    <row r="198" ht="14.25" customHeight="1">
      <c r="B198" s="3"/>
      <c r="D198" s="3"/>
      <c r="F198" s="3"/>
      <c r="H198" s="3"/>
      <c r="J198" s="3"/>
      <c r="L198" s="3"/>
    </row>
    <row r="199" ht="14.25" customHeight="1">
      <c r="B199" s="3"/>
      <c r="D199" s="3"/>
      <c r="F199" s="3"/>
      <c r="H199" s="3"/>
      <c r="J199" s="3"/>
      <c r="L199" s="3"/>
    </row>
    <row r="200" ht="14.25" customHeight="1">
      <c r="B200" s="3"/>
      <c r="D200" s="3"/>
      <c r="F200" s="3"/>
      <c r="H200" s="3"/>
      <c r="J200" s="3"/>
      <c r="L200" s="3"/>
    </row>
    <row r="201" ht="14.25" customHeight="1">
      <c r="B201" s="3"/>
      <c r="D201" s="3"/>
      <c r="F201" s="3"/>
      <c r="H201" s="3"/>
      <c r="J201" s="3"/>
      <c r="L201" s="3"/>
    </row>
    <row r="202" ht="14.25" customHeight="1">
      <c r="B202" s="3"/>
      <c r="D202" s="3"/>
      <c r="F202" s="3"/>
      <c r="H202" s="3"/>
      <c r="J202" s="3"/>
      <c r="L202" s="3"/>
    </row>
    <row r="203" ht="14.25" customHeight="1">
      <c r="B203" s="3"/>
      <c r="D203" s="3"/>
      <c r="F203" s="3"/>
      <c r="H203" s="3"/>
      <c r="J203" s="3"/>
      <c r="L203" s="3"/>
    </row>
    <row r="204" ht="14.25" customHeight="1">
      <c r="B204" s="3"/>
      <c r="D204" s="3"/>
      <c r="F204" s="3"/>
      <c r="H204" s="3"/>
      <c r="J204" s="3"/>
      <c r="L204" s="3"/>
    </row>
    <row r="205" ht="14.25" customHeight="1">
      <c r="B205" s="3"/>
      <c r="D205" s="3"/>
      <c r="F205" s="3"/>
      <c r="H205" s="3"/>
      <c r="J205" s="3"/>
      <c r="L205" s="3"/>
    </row>
    <row r="206" ht="14.25" customHeight="1">
      <c r="B206" s="3"/>
      <c r="D206" s="3"/>
      <c r="F206" s="3"/>
      <c r="H206" s="3"/>
      <c r="J206" s="3"/>
      <c r="L206" s="3"/>
    </row>
    <row r="207" ht="14.25" customHeight="1">
      <c r="B207" s="3"/>
      <c r="D207" s="3"/>
      <c r="F207" s="3"/>
      <c r="H207" s="3"/>
      <c r="J207" s="3"/>
      <c r="L207" s="3"/>
    </row>
    <row r="208" ht="14.25" customHeight="1">
      <c r="B208" s="3"/>
      <c r="D208" s="3"/>
      <c r="F208" s="3"/>
      <c r="H208" s="3"/>
      <c r="J208" s="3"/>
      <c r="L208" s="3"/>
    </row>
    <row r="209" ht="14.25" customHeight="1">
      <c r="B209" s="3"/>
      <c r="D209" s="3"/>
      <c r="F209" s="3"/>
      <c r="H209" s="3"/>
      <c r="J209" s="3"/>
      <c r="L209" s="3"/>
    </row>
    <row r="210" ht="14.25" customHeight="1">
      <c r="B210" s="3"/>
      <c r="D210" s="3"/>
      <c r="F210" s="3"/>
      <c r="H210" s="3"/>
      <c r="J210" s="3"/>
      <c r="L210" s="3"/>
    </row>
    <row r="211" ht="14.25" customHeight="1">
      <c r="B211" s="3"/>
      <c r="D211" s="3"/>
      <c r="F211" s="3"/>
      <c r="H211" s="3"/>
      <c r="J211" s="3"/>
      <c r="L211" s="3"/>
    </row>
    <row r="212" ht="14.25" customHeight="1">
      <c r="B212" s="3"/>
      <c r="D212" s="3"/>
      <c r="F212" s="3"/>
      <c r="H212" s="3"/>
      <c r="J212" s="3"/>
      <c r="L212" s="3"/>
    </row>
    <row r="213" ht="14.25" customHeight="1">
      <c r="B213" s="3"/>
      <c r="D213" s="3"/>
      <c r="F213" s="3"/>
      <c r="H213" s="3"/>
      <c r="J213" s="3"/>
      <c r="L213" s="3"/>
    </row>
    <row r="214" ht="14.25" customHeight="1">
      <c r="B214" s="3"/>
      <c r="D214" s="3"/>
      <c r="F214" s="3"/>
      <c r="H214" s="3"/>
      <c r="J214" s="3"/>
      <c r="L214" s="3"/>
    </row>
    <row r="215" ht="14.25" customHeight="1">
      <c r="B215" s="3"/>
      <c r="D215" s="3"/>
      <c r="F215" s="3"/>
      <c r="H215" s="3"/>
      <c r="J215" s="3"/>
      <c r="L215" s="3"/>
    </row>
    <row r="216" ht="14.25" customHeight="1">
      <c r="B216" s="3"/>
      <c r="D216" s="3"/>
      <c r="F216" s="3"/>
      <c r="H216" s="3"/>
      <c r="J216" s="3"/>
      <c r="L216" s="3"/>
    </row>
    <row r="217" ht="14.25" customHeight="1">
      <c r="B217" s="3"/>
      <c r="D217" s="3"/>
      <c r="F217" s="3"/>
      <c r="H217" s="3"/>
      <c r="J217" s="3"/>
      <c r="L217" s="3"/>
    </row>
    <row r="218" ht="14.25" customHeight="1">
      <c r="B218" s="3"/>
      <c r="D218" s="3"/>
      <c r="F218" s="3"/>
      <c r="H218" s="3"/>
      <c r="J218" s="3"/>
      <c r="L218" s="3"/>
    </row>
    <row r="219" ht="14.25" customHeight="1">
      <c r="B219" s="3"/>
      <c r="D219" s="3"/>
      <c r="F219" s="3"/>
      <c r="H219" s="3"/>
      <c r="J219" s="3"/>
      <c r="L219" s="3"/>
    </row>
    <row r="220" ht="14.25" customHeight="1">
      <c r="B220" s="3"/>
      <c r="D220" s="3"/>
      <c r="F220" s="3"/>
      <c r="H220" s="3"/>
      <c r="J220" s="3"/>
      <c r="L220" s="3"/>
    </row>
    <row r="221" ht="14.25" customHeight="1">
      <c r="B221" s="3"/>
      <c r="D221" s="3"/>
      <c r="F221" s="3"/>
      <c r="H221" s="3"/>
      <c r="J221" s="3"/>
      <c r="L221" s="3"/>
    </row>
    <row r="222" ht="14.25" customHeight="1">
      <c r="B222" s="3"/>
      <c r="D222" s="3"/>
      <c r="F222" s="3"/>
      <c r="H222" s="3"/>
      <c r="J222" s="3"/>
      <c r="L222" s="3"/>
    </row>
    <row r="223" ht="14.25" customHeight="1">
      <c r="B223" s="3"/>
      <c r="D223" s="3"/>
      <c r="F223" s="3"/>
      <c r="H223" s="3"/>
      <c r="J223" s="3"/>
      <c r="L223" s="3"/>
    </row>
    <row r="224" ht="14.25" customHeight="1">
      <c r="B224" s="3"/>
      <c r="D224" s="3"/>
      <c r="F224" s="3"/>
      <c r="H224" s="3"/>
      <c r="J224" s="3"/>
      <c r="L224" s="3"/>
    </row>
    <row r="225" ht="14.25" customHeight="1">
      <c r="B225" s="3"/>
      <c r="D225" s="3"/>
      <c r="F225" s="3"/>
      <c r="H225" s="3"/>
      <c r="J225" s="3"/>
      <c r="L225" s="3"/>
    </row>
    <row r="226" ht="14.25" customHeight="1">
      <c r="B226" s="3"/>
      <c r="D226" s="3"/>
      <c r="F226" s="3"/>
      <c r="H226" s="3"/>
      <c r="J226" s="3"/>
      <c r="L226" s="3"/>
    </row>
    <row r="227" ht="14.25" customHeight="1">
      <c r="B227" s="3"/>
      <c r="D227" s="3"/>
      <c r="F227" s="3"/>
      <c r="H227" s="3"/>
      <c r="J227" s="3"/>
      <c r="L227" s="3"/>
    </row>
    <row r="228" ht="14.25" customHeight="1">
      <c r="B228" s="3"/>
      <c r="D228" s="3"/>
      <c r="F228" s="3"/>
      <c r="H228" s="3"/>
      <c r="J228" s="3"/>
      <c r="L228" s="3"/>
    </row>
    <row r="229" ht="14.25" customHeight="1">
      <c r="B229" s="3"/>
      <c r="D229" s="3"/>
      <c r="F229" s="3"/>
      <c r="H229" s="3"/>
      <c r="J229" s="3"/>
      <c r="L229" s="3"/>
    </row>
    <row r="230" ht="14.25" customHeight="1">
      <c r="B230" s="3"/>
      <c r="D230" s="3"/>
      <c r="F230" s="3"/>
      <c r="H230" s="3"/>
      <c r="J230" s="3"/>
      <c r="L230" s="3"/>
    </row>
    <row r="231" ht="14.25" customHeight="1">
      <c r="B231" s="3"/>
      <c r="D231" s="3"/>
      <c r="F231" s="3"/>
      <c r="H231" s="3"/>
      <c r="J231" s="3"/>
      <c r="L231" s="3"/>
    </row>
    <row r="232" ht="14.25" customHeight="1">
      <c r="B232" s="3"/>
      <c r="D232" s="3"/>
      <c r="F232" s="3"/>
      <c r="H232" s="3"/>
      <c r="J232" s="3"/>
      <c r="L232" s="3"/>
    </row>
    <row r="233" ht="14.25" customHeight="1">
      <c r="B233" s="3"/>
      <c r="D233" s="3"/>
      <c r="F233" s="3"/>
      <c r="H233" s="3"/>
      <c r="J233" s="3"/>
      <c r="L233" s="3"/>
    </row>
    <row r="234" ht="14.25" customHeight="1">
      <c r="B234" s="3"/>
      <c r="D234" s="3"/>
      <c r="F234" s="3"/>
      <c r="H234" s="3"/>
      <c r="J234" s="3"/>
      <c r="L234" s="3"/>
    </row>
    <row r="235" ht="14.25" customHeight="1">
      <c r="B235" s="3"/>
      <c r="D235" s="3"/>
      <c r="F235" s="3"/>
      <c r="H235" s="3"/>
      <c r="J235" s="3"/>
      <c r="L235" s="3"/>
    </row>
    <row r="236" ht="14.25" customHeight="1">
      <c r="B236" s="3"/>
      <c r="D236" s="3"/>
      <c r="F236" s="3"/>
      <c r="H236" s="3"/>
      <c r="J236" s="3"/>
      <c r="L236" s="3"/>
    </row>
    <row r="237" ht="14.25" customHeight="1">
      <c r="B237" s="3"/>
      <c r="D237" s="3"/>
      <c r="F237" s="3"/>
      <c r="H237" s="3"/>
      <c r="J237" s="3"/>
      <c r="L237" s="3"/>
    </row>
    <row r="238" ht="14.25" customHeight="1">
      <c r="B238" s="3"/>
      <c r="D238" s="3"/>
      <c r="F238" s="3"/>
      <c r="H238" s="3"/>
      <c r="J238" s="3"/>
      <c r="L238" s="3"/>
    </row>
    <row r="239" ht="14.25" customHeight="1">
      <c r="B239" s="3"/>
      <c r="D239" s="3"/>
      <c r="F239" s="3"/>
      <c r="H239" s="3"/>
      <c r="J239" s="3"/>
      <c r="L239" s="3"/>
    </row>
    <row r="240" ht="14.25" customHeight="1">
      <c r="B240" s="3"/>
      <c r="D240" s="3"/>
      <c r="F240" s="3"/>
      <c r="H240" s="3"/>
      <c r="J240" s="3"/>
      <c r="L240" s="3"/>
    </row>
    <row r="241" ht="14.25" customHeight="1">
      <c r="B241" s="3"/>
      <c r="D241" s="3"/>
      <c r="F241" s="3"/>
      <c r="H241" s="3"/>
      <c r="J241" s="3"/>
      <c r="L241" s="3"/>
    </row>
    <row r="242" ht="14.25" customHeight="1">
      <c r="B242" s="3"/>
      <c r="D242" s="3"/>
      <c r="F242" s="3"/>
      <c r="H242" s="3"/>
      <c r="J242" s="3"/>
      <c r="L242" s="3"/>
    </row>
    <row r="243" ht="14.25" customHeight="1">
      <c r="B243" s="3"/>
      <c r="D243" s="3"/>
      <c r="F243" s="3"/>
      <c r="H243" s="3"/>
      <c r="J243" s="3"/>
      <c r="L243" s="3"/>
    </row>
    <row r="244" ht="14.25" customHeight="1">
      <c r="B244" s="3"/>
      <c r="D244" s="3"/>
      <c r="F244" s="3"/>
      <c r="H244" s="3"/>
      <c r="J244" s="3"/>
      <c r="L244" s="3"/>
    </row>
    <row r="245" ht="14.25" customHeight="1">
      <c r="B245" s="3"/>
      <c r="D245" s="3"/>
      <c r="F245" s="3"/>
      <c r="H245" s="3"/>
      <c r="J245" s="3"/>
      <c r="L245" s="3"/>
    </row>
    <row r="246" ht="14.25" customHeight="1">
      <c r="B246" s="3"/>
      <c r="D246" s="3"/>
      <c r="F246" s="3"/>
      <c r="H246" s="3"/>
      <c r="J246" s="3"/>
      <c r="L246" s="3"/>
    </row>
    <row r="247" ht="14.25" customHeight="1">
      <c r="B247" s="3"/>
      <c r="D247" s="3"/>
      <c r="F247" s="3"/>
      <c r="H247" s="3"/>
      <c r="J247" s="3"/>
      <c r="L247" s="3"/>
    </row>
    <row r="248" ht="14.25" customHeight="1">
      <c r="B248" s="3"/>
      <c r="D248" s="3"/>
      <c r="F248" s="3"/>
      <c r="H248" s="3"/>
      <c r="J248" s="3"/>
      <c r="L248" s="3"/>
    </row>
    <row r="249" ht="14.25" customHeight="1">
      <c r="B249" s="3"/>
      <c r="D249" s="3"/>
      <c r="F249" s="3"/>
      <c r="H249" s="3"/>
      <c r="J249" s="3"/>
      <c r="L249" s="3"/>
    </row>
    <row r="250" ht="14.25" customHeight="1">
      <c r="B250" s="3"/>
      <c r="D250" s="3"/>
      <c r="F250" s="3"/>
      <c r="H250" s="3"/>
      <c r="J250" s="3"/>
      <c r="L250" s="3"/>
    </row>
    <row r="251" ht="14.25" customHeight="1">
      <c r="B251" s="3"/>
      <c r="D251" s="3"/>
      <c r="F251" s="3"/>
      <c r="H251" s="3"/>
      <c r="J251" s="3"/>
      <c r="L251" s="3"/>
    </row>
    <row r="252" ht="14.25" customHeight="1">
      <c r="B252" s="3"/>
      <c r="D252" s="3"/>
      <c r="F252" s="3"/>
      <c r="H252" s="3"/>
      <c r="J252" s="3"/>
      <c r="L252" s="3"/>
    </row>
    <row r="253" ht="14.25" customHeight="1">
      <c r="B253" s="3"/>
      <c r="D253" s="3"/>
      <c r="F253" s="3"/>
      <c r="H253" s="3"/>
      <c r="J253" s="3"/>
      <c r="L253" s="3"/>
    </row>
    <row r="254" ht="14.25" customHeight="1">
      <c r="B254" s="3"/>
      <c r="D254" s="3"/>
      <c r="F254" s="3"/>
      <c r="H254" s="3"/>
      <c r="J254" s="3"/>
      <c r="L254" s="3"/>
    </row>
    <row r="255" ht="14.25" customHeight="1">
      <c r="B255" s="3"/>
      <c r="D255" s="3"/>
      <c r="F255" s="3"/>
      <c r="H255" s="3"/>
      <c r="J255" s="3"/>
      <c r="L255" s="3"/>
    </row>
    <row r="256" ht="14.25" customHeight="1">
      <c r="B256" s="3"/>
      <c r="D256" s="3"/>
      <c r="F256" s="3"/>
      <c r="H256" s="3"/>
      <c r="J256" s="3"/>
      <c r="L256" s="3"/>
    </row>
    <row r="257" ht="14.25" customHeight="1">
      <c r="B257" s="3"/>
      <c r="D257" s="3"/>
      <c r="F257" s="3"/>
      <c r="H257" s="3"/>
      <c r="J257" s="3"/>
      <c r="L257" s="3"/>
    </row>
    <row r="258" ht="14.25" customHeight="1">
      <c r="B258" s="3"/>
      <c r="D258" s="3"/>
      <c r="F258" s="3"/>
      <c r="H258" s="3"/>
      <c r="J258" s="3"/>
      <c r="L258" s="3"/>
    </row>
    <row r="259" ht="14.25" customHeight="1">
      <c r="B259" s="3"/>
      <c r="D259" s="3"/>
      <c r="F259" s="3"/>
      <c r="H259" s="3"/>
      <c r="J259" s="3"/>
      <c r="L259" s="3"/>
    </row>
    <row r="260" ht="14.25" customHeight="1">
      <c r="B260" s="3"/>
      <c r="D260" s="3"/>
      <c r="F260" s="3"/>
      <c r="H260" s="3"/>
      <c r="J260" s="3"/>
      <c r="L260" s="3"/>
    </row>
    <row r="261" ht="14.25" customHeight="1">
      <c r="B261" s="3"/>
      <c r="D261" s="3"/>
      <c r="F261" s="3"/>
      <c r="H261" s="3"/>
      <c r="J261" s="3"/>
      <c r="L261" s="3"/>
    </row>
    <row r="262" ht="14.25" customHeight="1">
      <c r="B262" s="3"/>
      <c r="D262" s="3"/>
      <c r="F262" s="3"/>
      <c r="H262" s="3"/>
      <c r="J262" s="3"/>
      <c r="L262" s="3"/>
    </row>
    <row r="263" ht="14.25" customHeight="1">
      <c r="B263" s="3"/>
      <c r="D263" s="3"/>
      <c r="F263" s="3"/>
      <c r="H263" s="3"/>
      <c r="J263" s="3"/>
      <c r="L263" s="3"/>
    </row>
    <row r="264" ht="14.25" customHeight="1">
      <c r="B264" s="3"/>
      <c r="D264" s="3"/>
      <c r="F264" s="3"/>
      <c r="H264" s="3"/>
      <c r="J264" s="3"/>
      <c r="L264" s="3"/>
    </row>
    <row r="265" ht="14.25" customHeight="1">
      <c r="B265" s="3"/>
      <c r="D265" s="3"/>
      <c r="F265" s="3"/>
      <c r="H265" s="3"/>
      <c r="J265" s="3"/>
      <c r="L265" s="3"/>
    </row>
    <row r="266" ht="14.25" customHeight="1">
      <c r="B266" s="3"/>
      <c r="D266" s="3"/>
      <c r="F266" s="3"/>
      <c r="H266" s="3"/>
      <c r="J266" s="3"/>
      <c r="L266" s="3"/>
    </row>
    <row r="267" ht="14.25" customHeight="1">
      <c r="B267" s="3"/>
      <c r="D267" s="3"/>
      <c r="F267" s="3"/>
      <c r="H267" s="3"/>
      <c r="J267" s="3"/>
      <c r="L267" s="3"/>
    </row>
    <row r="268" ht="14.25" customHeight="1">
      <c r="B268" s="3"/>
      <c r="D268" s="3"/>
      <c r="F268" s="3"/>
      <c r="H268" s="3"/>
      <c r="J268" s="3"/>
      <c r="L268" s="3"/>
    </row>
    <row r="269" ht="14.25" customHeight="1">
      <c r="B269" s="3"/>
      <c r="D269" s="3"/>
      <c r="F269" s="3"/>
      <c r="H269" s="3"/>
      <c r="J269" s="3"/>
      <c r="L269" s="3"/>
    </row>
    <row r="270" ht="14.25" customHeight="1">
      <c r="B270" s="3"/>
      <c r="D270" s="3"/>
      <c r="F270" s="3"/>
      <c r="H270" s="3"/>
      <c r="J270" s="3"/>
      <c r="L270" s="3"/>
    </row>
    <row r="271" ht="14.25" customHeight="1">
      <c r="B271" s="3"/>
      <c r="D271" s="3"/>
      <c r="F271" s="3"/>
      <c r="H271" s="3"/>
      <c r="J271" s="3"/>
      <c r="L271" s="3"/>
    </row>
    <row r="272" ht="14.25" customHeight="1">
      <c r="B272" s="3"/>
      <c r="D272" s="3"/>
      <c r="F272" s="3"/>
      <c r="H272" s="3"/>
      <c r="J272" s="3"/>
      <c r="L272" s="3"/>
    </row>
    <row r="273" ht="14.25" customHeight="1">
      <c r="B273" s="3"/>
      <c r="D273" s="3"/>
      <c r="F273" s="3"/>
      <c r="H273" s="3"/>
      <c r="J273" s="3"/>
      <c r="L273" s="3"/>
    </row>
    <row r="274" ht="14.25" customHeight="1">
      <c r="B274" s="3"/>
      <c r="D274" s="3"/>
      <c r="F274" s="3"/>
      <c r="H274" s="3"/>
      <c r="J274" s="3"/>
      <c r="L274" s="3"/>
    </row>
    <row r="275" ht="14.25" customHeight="1">
      <c r="B275" s="3"/>
      <c r="D275" s="3"/>
      <c r="F275" s="3"/>
      <c r="H275" s="3"/>
      <c r="J275" s="3"/>
      <c r="L275" s="3"/>
    </row>
    <row r="276" ht="14.25" customHeight="1">
      <c r="B276" s="3"/>
      <c r="D276" s="3"/>
      <c r="F276" s="3"/>
      <c r="H276" s="3"/>
      <c r="J276" s="3"/>
      <c r="L276" s="3"/>
    </row>
    <row r="277" ht="14.25" customHeight="1">
      <c r="B277" s="3"/>
      <c r="D277" s="3"/>
      <c r="F277" s="3"/>
      <c r="H277" s="3"/>
      <c r="J277" s="3"/>
      <c r="L277" s="3"/>
    </row>
    <row r="278" ht="14.25" customHeight="1">
      <c r="B278" s="3"/>
      <c r="D278" s="3"/>
      <c r="F278" s="3"/>
      <c r="H278" s="3"/>
      <c r="J278" s="3"/>
      <c r="L278" s="3"/>
    </row>
    <row r="279" ht="14.25" customHeight="1">
      <c r="B279" s="3"/>
      <c r="D279" s="3"/>
      <c r="F279" s="3"/>
      <c r="H279" s="3"/>
      <c r="J279" s="3"/>
      <c r="L279" s="3"/>
    </row>
    <row r="280" ht="14.25" customHeight="1">
      <c r="B280" s="3"/>
      <c r="D280" s="3"/>
      <c r="F280" s="3"/>
      <c r="H280" s="3"/>
      <c r="J280" s="3"/>
      <c r="L280" s="3"/>
    </row>
    <row r="281" ht="14.25" customHeight="1">
      <c r="B281" s="3"/>
      <c r="D281" s="3"/>
      <c r="F281" s="3"/>
      <c r="H281" s="3"/>
      <c r="J281" s="3"/>
      <c r="L281" s="3"/>
    </row>
    <row r="282" ht="14.25" customHeight="1">
      <c r="B282" s="3"/>
      <c r="D282" s="3"/>
      <c r="F282" s="3"/>
      <c r="H282" s="3"/>
      <c r="J282" s="3"/>
      <c r="L282" s="3"/>
    </row>
    <row r="283" ht="14.25" customHeight="1">
      <c r="B283" s="3"/>
      <c r="D283" s="3"/>
      <c r="F283" s="3"/>
      <c r="H283" s="3"/>
      <c r="J283" s="3"/>
      <c r="L283" s="3"/>
    </row>
    <row r="284" ht="14.25" customHeight="1">
      <c r="B284" s="3"/>
      <c r="D284" s="3"/>
      <c r="F284" s="3"/>
      <c r="H284" s="3"/>
      <c r="J284" s="3"/>
      <c r="L284" s="3"/>
    </row>
    <row r="285" ht="14.25" customHeight="1">
      <c r="B285" s="3"/>
      <c r="D285" s="3"/>
      <c r="F285" s="3"/>
      <c r="H285" s="3"/>
      <c r="J285" s="3"/>
      <c r="L285" s="3"/>
    </row>
    <row r="286" ht="14.25" customHeight="1">
      <c r="B286" s="3"/>
      <c r="D286" s="3"/>
      <c r="F286" s="3"/>
      <c r="H286" s="3"/>
      <c r="J286" s="3"/>
      <c r="L286" s="3"/>
    </row>
    <row r="287" ht="14.25" customHeight="1">
      <c r="B287" s="3"/>
      <c r="D287" s="3"/>
      <c r="F287" s="3"/>
      <c r="H287" s="3"/>
      <c r="J287" s="3"/>
      <c r="L287" s="3"/>
    </row>
    <row r="288" ht="14.25" customHeight="1">
      <c r="B288" s="3"/>
      <c r="D288" s="3"/>
      <c r="F288" s="3"/>
      <c r="H288" s="3"/>
      <c r="J288" s="3"/>
      <c r="L288" s="3"/>
    </row>
    <row r="289" ht="14.25" customHeight="1">
      <c r="B289" s="3"/>
      <c r="D289" s="3"/>
      <c r="F289" s="3"/>
      <c r="H289" s="3"/>
      <c r="J289" s="3"/>
      <c r="L289" s="3"/>
    </row>
    <row r="290" ht="14.25" customHeight="1">
      <c r="B290" s="3"/>
      <c r="D290" s="3"/>
      <c r="F290" s="3"/>
      <c r="H290" s="3"/>
      <c r="J290" s="3"/>
      <c r="L290" s="3"/>
    </row>
    <row r="291" ht="14.25" customHeight="1">
      <c r="B291" s="3"/>
      <c r="D291" s="3"/>
      <c r="F291" s="3"/>
      <c r="H291" s="3"/>
      <c r="J291" s="3"/>
      <c r="L291" s="3"/>
    </row>
    <row r="292" ht="14.25" customHeight="1">
      <c r="B292" s="3"/>
      <c r="D292" s="3"/>
      <c r="F292" s="3"/>
      <c r="H292" s="3"/>
      <c r="J292" s="3"/>
      <c r="L292" s="3"/>
    </row>
    <row r="293" ht="14.25" customHeight="1">
      <c r="B293" s="3"/>
      <c r="D293" s="3"/>
      <c r="F293" s="3"/>
      <c r="H293" s="3"/>
      <c r="J293" s="3"/>
      <c r="L293" s="3"/>
    </row>
    <row r="294" ht="14.25" customHeight="1">
      <c r="B294" s="3"/>
      <c r="D294" s="3"/>
      <c r="F294" s="3"/>
      <c r="H294" s="3"/>
      <c r="J294" s="3"/>
      <c r="L294" s="3"/>
    </row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9">
    <mergeCell ref="J4:K4"/>
    <mergeCell ref="L4:M4"/>
    <mergeCell ref="A1:K1"/>
    <mergeCell ref="A2:K2"/>
    <mergeCell ref="A3:K3"/>
    <mergeCell ref="B4:C4"/>
    <mergeCell ref="D4:E4"/>
    <mergeCell ref="F4:G4"/>
    <mergeCell ref="H4:I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5" t="s">
        <v>12</v>
      </c>
    </row>
    <row r="3" ht="14.25" customHeight="1">
      <c r="A3" s="6" t="s">
        <v>14</v>
      </c>
    </row>
    <row r="4" ht="14.25" customHeight="1"/>
    <row r="5" ht="13.5" customHeight="1">
      <c r="A5" s="17"/>
      <c r="B5" s="1" t="s">
        <v>16</v>
      </c>
      <c r="D5" s="1" t="s">
        <v>17</v>
      </c>
      <c r="F5" s="1" t="s">
        <v>18</v>
      </c>
      <c r="H5" s="1" t="s">
        <v>19</v>
      </c>
      <c r="J5" s="1" t="s">
        <v>20</v>
      </c>
      <c r="L5" s="1" t="s">
        <v>21</v>
      </c>
      <c r="N5" s="1" t="s">
        <v>22</v>
      </c>
      <c r="P5" s="1" t="s">
        <v>23</v>
      </c>
      <c r="R5" s="1" t="s">
        <v>25</v>
      </c>
      <c r="T5" s="1" t="s">
        <v>26</v>
      </c>
      <c r="V5" s="1" t="s">
        <v>27</v>
      </c>
      <c r="X5" s="1" t="s">
        <v>13</v>
      </c>
      <c r="Z5" s="1" t="s">
        <v>28</v>
      </c>
      <c r="AB5" s="1" t="s">
        <v>29</v>
      </c>
      <c r="AD5" s="21" t="s">
        <v>30</v>
      </c>
      <c r="AF5" s="21" t="s">
        <v>32</v>
      </c>
      <c r="AG5" s="1" t="s">
        <v>33</v>
      </c>
      <c r="AI5" s="21" t="s">
        <v>34</v>
      </c>
      <c r="AK5" s="21" t="s">
        <v>35</v>
      </c>
    </row>
    <row r="6" ht="16.5" customHeight="1">
      <c r="A6" s="22" t="s">
        <v>8</v>
      </c>
      <c r="B6" s="23"/>
      <c r="C6" s="10"/>
      <c r="D6" s="23"/>
      <c r="E6" s="10"/>
      <c r="F6" s="23"/>
      <c r="G6" s="10"/>
      <c r="H6" s="23"/>
      <c r="I6" s="10"/>
      <c r="J6" s="23"/>
      <c r="K6" s="10"/>
      <c r="L6" s="23"/>
      <c r="M6" s="10"/>
      <c r="N6" s="23"/>
      <c r="O6" s="10"/>
      <c r="P6" s="23"/>
      <c r="Q6" s="10"/>
      <c r="R6" s="23"/>
      <c r="S6" s="10"/>
      <c r="T6" s="23"/>
      <c r="U6" s="10"/>
      <c r="V6" s="23"/>
      <c r="W6" s="10"/>
      <c r="X6" s="23"/>
      <c r="Y6" s="10"/>
      <c r="Z6" s="23"/>
      <c r="AA6" s="10"/>
      <c r="AB6" s="23"/>
      <c r="AC6" s="10"/>
      <c r="AD6" s="24"/>
      <c r="AE6" s="25"/>
      <c r="AF6" s="24"/>
      <c r="AG6" s="23"/>
      <c r="AH6" s="10"/>
      <c r="AI6" s="24"/>
      <c r="AJ6" s="25"/>
      <c r="AK6" s="24"/>
      <c r="AL6" s="25"/>
    </row>
    <row r="7" ht="16.5" customHeight="1">
      <c r="A7" s="26" t="s">
        <v>8</v>
      </c>
      <c r="B7" s="28">
        <v>85469.09</v>
      </c>
      <c r="C7" s="15">
        <f>IFERROR(B7/B148, "NA")</f>
        <v>1</v>
      </c>
      <c r="D7" s="28">
        <v>121074.61</v>
      </c>
      <c r="E7" s="15">
        <f>IFERROR(D7/D148, "NA")</f>
        <v>1</v>
      </c>
      <c r="F7" s="28">
        <v>132332.88</v>
      </c>
      <c r="G7" s="15">
        <f>IFERROR(F7/F148, "NA")</f>
        <v>1</v>
      </c>
      <c r="H7" s="28">
        <v>143034.7</v>
      </c>
      <c r="I7" s="15">
        <f>IFERROR(H7/H148, "NA")</f>
        <v>1</v>
      </c>
      <c r="J7" s="28">
        <v>133849.52</v>
      </c>
      <c r="K7" s="15">
        <f>IFERROR(J7/J148, "NA")</f>
        <v>1</v>
      </c>
      <c r="L7" s="28">
        <v>154708.29</v>
      </c>
      <c r="M7" s="15">
        <f>IFERROR(L7/L148, "NA")</f>
        <v>1</v>
      </c>
      <c r="N7" s="28">
        <v>159691.35</v>
      </c>
      <c r="O7" s="15">
        <f>IFERROR(N7/N148, "NA")</f>
        <v>1</v>
      </c>
      <c r="P7" s="28">
        <v>172708.33</v>
      </c>
      <c r="Q7" s="15">
        <f>IFERROR(P7/P148, "NA")</f>
        <v>1</v>
      </c>
      <c r="R7" s="28">
        <v>168385.08</v>
      </c>
      <c r="S7" s="15">
        <f>IFERROR(R7/R148, "NA")</f>
        <v>1</v>
      </c>
      <c r="T7" s="28">
        <v>157110.66</v>
      </c>
      <c r="U7" s="15">
        <f>IFERROR(T7/T148, "NA")</f>
        <v>1</v>
      </c>
      <c r="V7" s="28">
        <v>156529.22</v>
      </c>
      <c r="W7" s="15">
        <f>IFERROR(V7/V148, "NA")</f>
        <v>1</v>
      </c>
      <c r="X7" s="28">
        <v>163189.27</v>
      </c>
      <c r="Y7" s="15">
        <f>IFERROR(X7/X148, "NA")</f>
        <v>1</v>
      </c>
      <c r="Z7" s="28">
        <v>476829.15</v>
      </c>
      <c r="AA7" s="15">
        <f>IFERROR(Z7/Z148, "NA")</f>
        <v>1</v>
      </c>
      <c r="AB7" s="57">
        <f t="shared" ref="AB7:AB9" si="1">IFERROR((R7+T7+V7+X7)/4, "NA")</f>
        <v>161303.5575</v>
      </c>
      <c r="AC7" s="15">
        <f>IFERROR(AB7/AB148, "NA")</f>
        <v>1</v>
      </c>
      <c r="AD7" s="61">
        <f t="shared" ref="AD7:AD9" si="2">IFERROR(X7-AB7, "NA")</f>
        <v>1885.7125</v>
      </c>
      <c r="AE7" s="62">
        <f>IFERROR(AD7/AD148, "NA")</f>
        <v>1</v>
      </c>
      <c r="AF7" s="61">
        <f t="shared" ref="AF7:AF9" si="3">IFERROR((X7-AB7)/AB7, "NA")</f>
        <v>0.01169045822</v>
      </c>
      <c r="AG7" s="57">
        <f t="shared" ref="AG7:AG9" si="4">IFERROR((J7+L7+N7+P7+R7+T7+V7+X7)/8, "NA")</f>
        <v>158271.465</v>
      </c>
      <c r="AH7" s="15">
        <f>IFERROR(AG7/AG148, "NA")</f>
        <v>1</v>
      </c>
      <c r="AI7" s="61">
        <f t="shared" ref="AI7:AI9" si="5">IFERROR(X7-AG7, "NA")</f>
        <v>4917.805</v>
      </c>
      <c r="AJ7" s="62">
        <f>IFERROR(AI7/AI148, "NA")</f>
        <v>1</v>
      </c>
      <c r="AK7" s="61">
        <f t="shared" ref="AK7:AK9" si="6">IFERROR((X7-AG7)/AG7, "NA")</f>
        <v>0.03107196234</v>
      </c>
      <c r="AL7" s="62">
        <f>IFERROR(AK7/AK148, "NA")</f>
        <v>1</v>
      </c>
    </row>
    <row r="8" ht="30.75" hidden="1" customHeight="1">
      <c r="A8" s="26" t="s">
        <v>61</v>
      </c>
      <c r="B8" s="28">
        <v>0.0</v>
      </c>
      <c r="C8" s="15">
        <f>IFERROR(B8/B148, "NA")</f>
        <v>0</v>
      </c>
      <c r="D8" s="28">
        <v>0.0</v>
      </c>
      <c r="E8" s="15">
        <f>IFERROR(D8/D148, "NA")</f>
        <v>0</v>
      </c>
      <c r="F8" s="28">
        <v>0.0</v>
      </c>
      <c r="G8" s="15">
        <f>IFERROR(F8/F148, "NA")</f>
        <v>0</v>
      </c>
      <c r="H8" s="28">
        <v>0.0</v>
      </c>
      <c r="I8" s="15">
        <f>IFERROR(H8/H148, "NA")</f>
        <v>0</v>
      </c>
      <c r="J8" s="28">
        <v>0.0</v>
      </c>
      <c r="K8" s="15">
        <f>IFERROR(J8/J148, "NA")</f>
        <v>0</v>
      </c>
      <c r="L8" s="28">
        <v>0.0</v>
      </c>
      <c r="M8" s="15">
        <f>IFERROR(L8/L148, "NA")</f>
        <v>0</v>
      </c>
      <c r="N8" s="28">
        <v>0.0</v>
      </c>
      <c r="O8" s="15">
        <f>IFERROR(N8/N148, "NA")</f>
        <v>0</v>
      </c>
      <c r="P8" s="28">
        <v>0.0</v>
      </c>
      <c r="Q8" s="15">
        <f>IFERROR(P8/P148, "NA")</f>
        <v>0</v>
      </c>
      <c r="R8" s="28">
        <v>0.0</v>
      </c>
      <c r="S8" s="15">
        <f>IFERROR(R8/R148, "NA")</f>
        <v>0</v>
      </c>
      <c r="T8" s="28">
        <v>0.0</v>
      </c>
      <c r="U8" s="15">
        <f>IFERROR(T8/T148, "NA")</f>
        <v>0</v>
      </c>
      <c r="V8" s="28">
        <v>0.0</v>
      </c>
      <c r="W8" s="15">
        <f>IFERROR(V8/V148, "NA")</f>
        <v>0</v>
      </c>
      <c r="X8" s="28">
        <v>0.0</v>
      </c>
      <c r="Y8" s="15">
        <f>IFERROR(X8/X148, "NA")</f>
        <v>0</v>
      </c>
      <c r="Z8" s="28">
        <v>0.0</v>
      </c>
      <c r="AA8" s="15">
        <f>IFERROR(Z8/Z148, "NA")</f>
        <v>0</v>
      </c>
      <c r="AB8" s="57">
        <f t="shared" si="1"/>
        <v>0</v>
      </c>
      <c r="AC8" s="15">
        <f>IFERROR(AB8/AB148, "NA")</f>
        <v>0</v>
      </c>
      <c r="AD8" s="61">
        <f t="shared" si="2"/>
        <v>0</v>
      </c>
      <c r="AE8" s="62">
        <f>IFERROR(AD8/AD148, "NA")</f>
        <v>0</v>
      </c>
      <c r="AF8" s="61" t="str">
        <f t="shared" si="3"/>
        <v>NA</v>
      </c>
      <c r="AG8" s="57">
        <f t="shared" si="4"/>
        <v>0</v>
      </c>
      <c r="AH8" s="15">
        <f>IFERROR(AG8/AG148, "NA")</f>
        <v>0</v>
      </c>
      <c r="AI8" s="61">
        <f t="shared" si="5"/>
        <v>0</v>
      </c>
      <c r="AJ8" s="62">
        <f>IFERROR(AI8/AI148, "NA")</f>
        <v>0</v>
      </c>
      <c r="AK8" s="61" t="str">
        <f t="shared" si="6"/>
        <v>NA</v>
      </c>
      <c r="AL8" s="62" t="str">
        <f>IFERROR(AK8/AK148, "NA")</f>
        <v>NA</v>
      </c>
    </row>
    <row r="9" ht="16.5" customHeight="1">
      <c r="A9" s="67" t="s">
        <v>53</v>
      </c>
      <c r="B9" s="70">
        <f>IFERROR(B7+B8, "NA")</f>
        <v>85469.09</v>
      </c>
      <c r="C9" s="71">
        <f>IFERROR(B9/B148, "NA")</f>
        <v>1</v>
      </c>
      <c r="D9" s="70">
        <f>IFERROR(D7+D8, "NA")</f>
        <v>121074.61</v>
      </c>
      <c r="E9" s="71">
        <f>IFERROR(D9/D148, "NA")</f>
        <v>1</v>
      </c>
      <c r="F9" s="70">
        <f>IFERROR(F7+F8, "NA")</f>
        <v>132332.88</v>
      </c>
      <c r="G9" s="71">
        <f>IFERROR(F9/F148, "NA")</f>
        <v>1</v>
      </c>
      <c r="H9" s="70">
        <f>IFERROR(H7+H8, "NA")</f>
        <v>143034.7</v>
      </c>
      <c r="I9" s="71">
        <f>IFERROR(H9/H148, "NA")</f>
        <v>1</v>
      </c>
      <c r="J9" s="70">
        <f>IFERROR(J7+J8, "NA")</f>
        <v>133849.52</v>
      </c>
      <c r="K9" s="71">
        <f>IFERROR(J9/J148, "NA")</f>
        <v>1</v>
      </c>
      <c r="L9" s="70">
        <f>IFERROR(L7+L8, "NA")</f>
        <v>154708.29</v>
      </c>
      <c r="M9" s="71">
        <f>IFERROR(L9/L148, "NA")</f>
        <v>1</v>
      </c>
      <c r="N9" s="70">
        <f>IFERROR(N7+N8, "NA")</f>
        <v>159691.35</v>
      </c>
      <c r="O9" s="71">
        <f>IFERROR(N9/N148, "NA")</f>
        <v>1</v>
      </c>
      <c r="P9" s="70">
        <f>IFERROR(P7+P8, "NA")</f>
        <v>172708.33</v>
      </c>
      <c r="Q9" s="71">
        <f>IFERROR(P9/P148, "NA")</f>
        <v>1</v>
      </c>
      <c r="R9" s="70">
        <f>IFERROR(R7+R8, "NA")</f>
        <v>168385.08</v>
      </c>
      <c r="S9" s="71">
        <f>IFERROR(R9/R148, "NA")</f>
        <v>1</v>
      </c>
      <c r="T9" s="70">
        <f>IFERROR(T7+T8, "NA")</f>
        <v>157110.66</v>
      </c>
      <c r="U9" s="71">
        <f>IFERROR(T9/T148, "NA")</f>
        <v>1</v>
      </c>
      <c r="V9" s="70">
        <f>IFERROR(V7+V8, "NA")</f>
        <v>156529.22</v>
      </c>
      <c r="W9" s="71">
        <f>IFERROR(V9/V148, "NA")</f>
        <v>1</v>
      </c>
      <c r="X9" s="70">
        <f>IFERROR(X7+X8, "NA")</f>
        <v>163189.27</v>
      </c>
      <c r="Y9" s="71">
        <f>IFERROR(X9/X148, "NA")</f>
        <v>1</v>
      </c>
      <c r="Z9" s="70">
        <f>IFERROR(Z7+Z8, "NA")</f>
        <v>476829.15</v>
      </c>
      <c r="AA9" s="71">
        <f>IFERROR(Z9/Z148, "NA")</f>
        <v>1</v>
      </c>
      <c r="AB9" s="70">
        <f t="shared" si="1"/>
        <v>161303.5575</v>
      </c>
      <c r="AC9" s="71">
        <f>IFERROR(AB9/AB148, "NA")</f>
        <v>1</v>
      </c>
      <c r="AD9" s="75">
        <f t="shared" si="2"/>
        <v>1885.7125</v>
      </c>
      <c r="AE9" s="76">
        <f>IFERROR(AD9/AD148, "NA")</f>
        <v>1</v>
      </c>
      <c r="AF9" s="75">
        <f t="shared" si="3"/>
        <v>0.01169045822</v>
      </c>
      <c r="AG9" s="70">
        <f t="shared" si="4"/>
        <v>158271.465</v>
      </c>
      <c r="AH9" s="71">
        <f>IFERROR(AG9/AG148, "NA")</f>
        <v>1</v>
      </c>
      <c r="AI9" s="75">
        <f t="shared" si="5"/>
        <v>4917.805</v>
      </c>
      <c r="AJ9" s="76">
        <f>IFERROR(AI9/AI148, "NA")</f>
        <v>1</v>
      </c>
      <c r="AK9" s="75">
        <f t="shared" si="6"/>
        <v>0.03107196234</v>
      </c>
      <c r="AL9" s="76">
        <f>IFERROR(AK9/AK148, "NA")</f>
        <v>1</v>
      </c>
    </row>
    <row r="10" ht="3.75" customHeight="1">
      <c r="A10" s="79"/>
      <c r="B10" s="80"/>
      <c r="C10" s="74"/>
      <c r="D10" s="80"/>
      <c r="E10" s="74"/>
      <c r="F10" s="80"/>
      <c r="G10" s="74"/>
      <c r="H10" s="80"/>
      <c r="I10" s="74"/>
      <c r="J10" s="80"/>
      <c r="K10" s="74"/>
      <c r="L10" s="80"/>
      <c r="M10" s="74"/>
      <c r="N10" s="80"/>
      <c r="O10" s="74"/>
      <c r="P10" s="80"/>
      <c r="Q10" s="74"/>
      <c r="R10" s="80"/>
      <c r="S10" s="74"/>
      <c r="T10" s="80"/>
      <c r="U10" s="74"/>
      <c r="V10" s="80"/>
      <c r="W10" s="74"/>
      <c r="X10" s="80"/>
      <c r="Y10" s="74"/>
      <c r="Z10" s="80"/>
      <c r="AA10" s="74"/>
      <c r="AB10" s="80"/>
      <c r="AC10" s="74"/>
      <c r="AD10" s="81"/>
      <c r="AE10" s="82"/>
      <c r="AF10" s="81"/>
      <c r="AG10" s="80"/>
      <c r="AH10" s="74"/>
      <c r="AI10" s="81"/>
      <c r="AJ10" s="82"/>
      <c r="AK10" s="81"/>
      <c r="AL10" s="82"/>
    </row>
    <row r="11" ht="16.5" customHeight="1">
      <c r="A11" s="22" t="s">
        <v>65</v>
      </c>
      <c r="B11" s="23"/>
      <c r="C11" s="10"/>
      <c r="D11" s="23"/>
      <c r="E11" s="10"/>
      <c r="F11" s="23"/>
      <c r="G11" s="10"/>
      <c r="H11" s="23"/>
      <c r="I11" s="10"/>
      <c r="J11" s="23"/>
      <c r="K11" s="10"/>
      <c r="L11" s="23"/>
      <c r="M11" s="10"/>
      <c r="N11" s="23"/>
      <c r="O11" s="10"/>
      <c r="P11" s="23"/>
      <c r="Q11" s="10"/>
      <c r="R11" s="23"/>
      <c r="S11" s="10"/>
      <c r="T11" s="23"/>
      <c r="U11" s="10"/>
      <c r="V11" s="23"/>
      <c r="W11" s="10"/>
      <c r="X11" s="23"/>
      <c r="Y11" s="10"/>
      <c r="Z11" s="23"/>
      <c r="AA11" s="10"/>
      <c r="AB11" s="23"/>
      <c r="AC11" s="10"/>
      <c r="AD11" s="24"/>
      <c r="AE11" s="25"/>
      <c r="AF11" s="24"/>
      <c r="AG11" s="23"/>
      <c r="AH11" s="10"/>
      <c r="AI11" s="24"/>
      <c r="AJ11" s="25"/>
      <c r="AK11" s="24"/>
      <c r="AL11" s="25"/>
    </row>
    <row r="12" ht="16.5" customHeight="1">
      <c r="A12" s="22" t="s">
        <v>66</v>
      </c>
      <c r="B12" s="23"/>
      <c r="C12" s="10"/>
      <c r="D12" s="23"/>
      <c r="E12" s="10"/>
      <c r="F12" s="23"/>
      <c r="G12" s="10"/>
      <c r="H12" s="23"/>
      <c r="I12" s="10"/>
      <c r="J12" s="23"/>
      <c r="K12" s="10"/>
      <c r="L12" s="23"/>
      <c r="M12" s="10"/>
      <c r="N12" s="23"/>
      <c r="O12" s="10"/>
      <c r="P12" s="23"/>
      <c r="Q12" s="10"/>
      <c r="R12" s="23"/>
      <c r="S12" s="10"/>
      <c r="T12" s="23"/>
      <c r="U12" s="10"/>
      <c r="V12" s="23"/>
      <c r="W12" s="10"/>
      <c r="X12" s="23"/>
      <c r="Y12" s="10"/>
      <c r="Z12" s="23"/>
      <c r="AA12" s="10"/>
      <c r="AB12" s="23"/>
      <c r="AC12" s="10"/>
      <c r="AD12" s="24"/>
      <c r="AE12" s="25"/>
      <c r="AF12" s="24"/>
      <c r="AG12" s="23"/>
      <c r="AH12" s="10"/>
      <c r="AI12" s="24"/>
      <c r="AJ12" s="25"/>
      <c r="AK12" s="24"/>
      <c r="AL12" s="25"/>
    </row>
    <row r="13" ht="16.5" hidden="1" customHeight="1">
      <c r="A13" s="26" t="s">
        <v>67</v>
      </c>
      <c r="B13" s="28">
        <v>0.0</v>
      </c>
      <c r="C13" s="15">
        <f>IFERROR(B13/B148, "NA")</f>
        <v>0</v>
      </c>
      <c r="D13" s="28">
        <v>0.0</v>
      </c>
      <c r="E13" s="15">
        <f>IFERROR(D13/D148, "NA")</f>
        <v>0</v>
      </c>
      <c r="F13" s="28">
        <v>0.0</v>
      </c>
      <c r="G13" s="15">
        <f>IFERROR(F13/F148, "NA")</f>
        <v>0</v>
      </c>
      <c r="H13" s="28">
        <v>0.0</v>
      </c>
      <c r="I13" s="15">
        <f>IFERROR(H13/H148, "NA")</f>
        <v>0</v>
      </c>
      <c r="J13" s="28">
        <v>0.0</v>
      </c>
      <c r="K13" s="15">
        <f>IFERROR(J13/J148, "NA")</f>
        <v>0</v>
      </c>
      <c r="L13" s="28">
        <v>0.0</v>
      </c>
      <c r="M13" s="15">
        <f>IFERROR(L13/L148, "NA")</f>
        <v>0</v>
      </c>
      <c r="N13" s="28">
        <v>0.0</v>
      </c>
      <c r="O13" s="15">
        <f>IFERROR(N13/N148, "NA")</f>
        <v>0</v>
      </c>
      <c r="P13" s="28">
        <v>0.0</v>
      </c>
      <c r="Q13" s="15">
        <f>IFERROR(P13/P148, "NA")</f>
        <v>0</v>
      </c>
      <c r="R13" s="28">
        <v>0.0</v>
      </c>
      <c r="S13" s="15">
        <f>IFERROR(R13/R148, "NA")</f>
        <v>0</v>
      </c>
      <c r="T13" s="28">
        <v>0.0</v>
      </c>
      <c r="U13" s="15">
        <f>IFERROR(T13/T148, "NA")</f>
        <v>0</v>
      </c>
      <c r="V13" s="28">
        <v>0.0</v>
      </c>
      <c r="W13" s="15">
        <f>IFERROR(V13/V148, "NA")</f>
        <v>0</v>
      </c>
      <c r="X13" s="28">
        <v>0.0</v>
      </c>
      <c r="Y13" s="15">
        <f>IFERROR(X13/X148, "NA")</f>
        <v>0</v>
      </c>
      <c r="Z13" s="28">
        <v>0.0</v>
      </c>
      <c r="AA13" s="15">
        <f>IFERROR(Z13/Z148, "NA")</f>
        <v>0</v>
      </c>
      <c r="AB13" s="57">
        <f>IFERROR((R13+T13+V13+X13)/4, "NA")</f>
        <v>0</v>
      </c>
      <c r="AC13" s="15">
        <f>IFERROR(AB13/AB148, "NA")</f>
        <v>0</v>
      </c>
      <c r="AD13" s="61">
        <f>IFERROR(X13-AB13, "NA")</f>
        <v>0</v>
      </c>
      <c r="AE13" s="62">
        <f>IFERROR(AD13/AD148, "NA")</f>
        <v>0</v>
      </c>
      <c r="AF13" s="61" t="str">
        <f>IFERROR((X13-AB13)/AB13, "NA")</f>
        <v>NA</v>
      </c>
      <c r="AG13" s="57">
        <f>IFERROR((J13+L13+N13+P13+R13+T13+V13+X13)/8, "NA")</f>
        <v>0</v>
      </c>
      <c r="AH13" s="15">
        <f>IFERROR(AG13/AG148, "NA")</f>
        <v>0</v>
      </c>
      <c r="AI13" s="61">
        <f>IFERROR(X13-AG13, "NA")</f>
        <v>0</v>
      </c>
      <c r="AJ13" s="62">
        <f>IFERROR(AI13/AI148, "NA")</f>
        <v>0</v>
      </c>
      <c r="AK13" s="61" t="str">
        <f>IFERROR((X13-AG13)/AG13, "NA")</f>
        <v>NA</v>
      </c>
      <c r="AL13" s="62" t="str">
        <f>IFERROR(AK13/AK148, "NA")</f>
        <v>NA</v>
      </c>
    </row>
    <row r="14" ht="16.5" customHeight="1">
      <c r="A14" s="22" t="s">
        <v>68</v>
      </c>
      <c r="B14" s="23"/>
      <c r="C14" s="10"/>
      <c r="D14" s="23"/>
      <c r="E14" s="10"/>
      <c r="F14" s="23"/>
      <c r="G14" s="10"/>
      <c r="H14" s="23"/>
      <c r="I14" s="10"/>
      <c r="J14" s="23"/>
      <c r="K14" s="10"/>
      <c r="L14" s="23"/>
      <c r="M14" s="10"/>
      <c r="N14" s="23"/>
      <c r="O14" s="10"/>
      <c r="P14" s="23"/>
      <c r="Q14" s="10"/>
      <c r="R14" s="23"/>
      <c r="S14" s="10"/>
      <c r="T14" s="23"/>
      <c r="U14" s="10"/>
      <c r="V14" s="23"/>
      <c r="W14" s="10"/>
      <c r="X14" s="23"/>
      <c r="Y14" s="10"/>
      <c r="Z14" s="23"/>
      <c r="AA14" s="10"/>
      <c r="AB14" s="23"/>
      <c r="AC14" s="10"/>
      <c r="AD14" s="24"/>
      <c r="AE14" s="25"/>
      <c r="AF14" s="24"/>
      <c r="AG14" s="23"/>
      <c r="AH14" s="10"/>
      <c r="AI14" s="24"/>
      <c r="AJ14" s="25"/>
      <c r="AK14" s="24"/>
      <c r="AL14" s="25"/>
    </row>
    <row r="15" ht="16.5" hidden="1" customHeight="1">
      <c r="A15" s="26" t="s">
        <v>69</v>
      </c>
      <c r="B15" s="28">
        <v>0.0</v>
      </c>
      <c r="C15" s="15">
        <f>IFERROR(B15/B148, "NA")</f>
        <v>0</v>
      </c>
      <c r="D15" s="28">
        <v>0.0</v>
      </c>
      <c r="E15" s="15">
        <f>IFERROR(D15/D148, "NA")</f>
        <v>0</v>
      </c>
      <c r="F15" s="28">
        <v>0.0</v>
      </c>
      <c r="G15" s="15">
        <f>IFERROR(F15/F148, "NA")</f>
        <v>0</v>
      </c>
      <c r="H15" s="28">
        <v>0.0</v>
      </c>
      <c r="I15" s="15">
        <f>IFERROR(H15/H148, "NA")</f>
        <v>0</v>
      </c>
      <c r="J15" s="28">
        <v>0.0</v>
      </c>
      <c r="K15" s="15">
        <f>IFERROR(J15/J148, "NA")</f>
        <v>0</v>
      </c>
      <c r="L15" s="28">
        <v>0.0</v>
      </c>
      <c r="M15" s="15">
        <f>IFERROR(L15/L148, "NA")</f>
        <v>0</v>
      </c>
      <c r="N15" s="28">
        <v>0.0</v>
      </c>
      <c r="O15" s="15">
        <f>IFERROR(N15/N148, "NA")</f>
        <v>0</v>
      </c>
      <c r="P15" s="28">
        <v>0.0</v>
      </c>
      <c r="Q15" s="15">
        <f>IFERROR(P15/P148, "NA")</f>
        <v>0</v>
      </c>
      <c r="R15" s="28">
        <v>0.0</v>
      </c>
      <c r="S15" s="15">
        <f>IFERROR(R15/R148, "NA")</f>
        <v>0</v>
      </c>
      <c r="T15" s="28">
        <v>0.0</v>
      </c>
      <c r="U15" s="15">
        <f>IFERROR(T15/T148, "NA")</f>
        <v>0</v>
      </c>
      <c r="V15" s="28">
        <v>0.0</v>
      </c>
      <c r="W15" s="15">
        <f>IFERROR(V15/V148, "NA")</f>
        <v>0</v>
      </c>
      <c r="X15" s="28">
        <v>0.0</v>
      </c>
      <c r="Y15" s="15">
        <f>IFERROR(X15/X148, "NA")</f>
        <v>0</v>
      </c>
      <c r="Z15" s="28">
        <v>0.0</v>
      </c>
      <c r="AA15" s="15">
        <f>IFERROR(Z15/Z148, "NA")</f>
        <v>0</v>
      </c>
      <c r="AB15" s="57">
        <f t="shared" ref="AB15:AB27" si="7">IFERROR((R15+T15+V15+X15)/4, "NA")</f>
        <v>0</v>
      </c>
      <c r="AC15" s="15">
        <f>IFERROR(AB15/AB148, "NA")</f>
        <v>0</v>
      </c>
      <c r="AD15" s="61">
        <f t="shared" ref="AD15:AD27" si="8">IFERROR(X15-AB15, "NA")</f>
        <v>0</v>
      </c>
      <c r="AE15" s="62">
        <f>IFERROR(AD15/AD148, "NA")</f>
        <v>0</v>
      </c>
      <c r="AF15" s="61" t="str">
        <f t="shared" ref="AF15:AF27" si="9">IFERROR((X15-AB15)/AB15, "NA")</f>
        <v>NA</v>
      </c>
      <c r="AG15" s="57">
        <f t="shared" ref="AG15:AG27" si="10">IFERROR((J15+L15+N15+P15+R15+T15+V15+X15)/8, "NA")</f>
        <v>0</v>
      </c>
      <c r="AH15" s="15">
        <f>IFERROR(AG15/AG148, "NA")</f>
        <v>0</v>
      </c>
      <c r="AI15" s="61">
        <f t="shared" ref="AI15:AI27" si="11">IFERROR(X15-AG15, "NA")</f>
        <v>0</v>
      </c>
      <c r="AJ15" s="62">
        <f>IFERROR(AI15/AI148, "NA")</f>
        <v>0</v>
      </c>
      <c r="AK15" s="61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6" t="s">
        <v>70</v>
      </c>
      <c r="B16" s="28">
        <v>4416.49</v>
      </c>
      <c r="C16" s="15">
        <f>IFERROR(B16/B148, "NA")</f>
        <v>0.05167353484</v>
      </c>
      <c r="D16" s="28">
        <v>5862.7</v>
      </c>
      <c r="E16" s="15">
        <f>IFERROR(D16/D148, "NA")</f>
        <v>0.04842220842</v>
      </c>
      <c r="F16" s="28">
        <v>5705.26</v>
      </c>
      <c r="G16" s="15">
        <f>IFERROR(F16/F148, "NA")</f>
        <v>0.04311294366</v>
      </c>
      <c r="H16" s="28">
        <v>6565.12</v>
      </c>
      <c r="I16" s="15">
        <f>IFERROR(H16/H148, "NA")</f>
        <v>0.04589879239</v>
      </c>
      <c r="J16" s="28">
        <v>6383.35</v>
      </c>
      <c r="K16" s="15">
        <f>IFERROR(J16/J148, "NA")</f>
        <v>0.04769049601</v>
      </c>
      <c r="L16" s="28">
        <v>7337.48</v>
      </c>
      <c r="M16" s="15">
        <f>IFERROR(L16/L148, "NA")</f>
        <v>0.04742783984</v>
      </c>
      <c r="N16" s="28">
        <v>8175.91</v>
      </c>
      <c r="O16" s="15">
        <f>IFERROR(N16/N148, "NA")</f>
        <v>0.05119820203</v>
      </c>
      <c r="P16" s="28">
        <v>8017.31</v>
      </c>
      <c r="Q16" s="15">
        <f>IFERROR(P16/P148, "NA")</f>
        <v>0.04642109619</v>
      </c>
      <c r="R16" s="28">
        <v>8496.81</v>
      </c>
      <c r="S16" s="15">
        <f>IFERROR(R16/R148, "NA")</f>
        <v>0.05046058713</v>
      </c>
      <c r="T16" s="28">
        <v>7271.2</v>
      </c>
      <c r="U16" s="15">
        <f>IFERROR(T16/T148, "NA")</f>
        <v>0.04628075523</v>
      </c>
      <c r="V16" s="28">
        <v>8275.89</v>
      </c>
      <c r="W16" s="15">
        <f>IFERROR(V16/V148, "NA")</f>
        <v>0.05287121472</v>
      </c>
      <c r="X16" s="28">
        <v>7383.37</v>
      </c>
      <c r="Y16" s="15">
        <f>IFERROR(X16/X148, "NA")</f>
        <v>0.04524421244</v>
      </c>
      <c r="Z16" s="28">
        <v>22930.46</v>
      </c>
      <c r="AA16" s="15">
        <f>IFERROR(Z16/Z148, "NA")</f>
        <v>0.04808946768</v>
      </c>
      <c r="AB16" s="57">
        <f t="shared" si="7"/>
        <v>7856.8175</v>
      </c>
      <c r="AC16" s="15">
        <f>IFERROR(AB16/AB148, "NA")</f>
        <v>0.04870827167</v>
      </c>
      <c r="AD16" s="61">
        <f t="shared" si="8"/>
        <v>-473.4475</v>
      </c>
      <c r="AE16" s="62">
        <f>IFERROR(AD16/AD148, "NA")</f>
        <v>-0.2510708817</v>
      </c>
      <c r="AF16" s="61">
        <f t="shared" si="9"/>
        <v>-0.06025944983</v>
      </c>
      <c r="AG16" s="57">
        <f t="shared" si="10"/>
        <v>7667.665</v>
      </c>
      <c r="AH16" s="15">
        <f>IFERROR(AG16/AG148, "NA")</f>
        <v>0.04844628815</v>
      </c>
      <c r="AI16" s="61">
        <f t="shared" si="11"/>
        <v>-284.295</v>
      </c>
      <c r="AJ16" s="62">
        <f>IFERROR(AI16/AI148, "NA")</f>
        <v>-0.05780932754</v>
      </c>
      <c r="AK16" s="61">
        <f t="shared" si="12"/>
        <v>-0.03707712843</v>
      </c>
      <c r="AL16" s="62">
        <f>IFERROR(AK16/AK148, "NA")</f>
        <v>-1.193266393</v>
      </c>
    </row>
    <row r="17" ht="16.5" customHeight="1">
      <c r="A17" s="26" t="s">
        <v>71</v>
      </c>
      <c r="B17" s="28">
        <v>2455.09</v>
      </c>
      <c r="C17" s="15">
        <f>IFERROR(B17/B148, "NA")</f>
        <v>0.02872488756</v>
      </c>
      <c r="D17" s="28">
        <v>3220.45</v>
      </c>
      <c r="E17" s="15">
        <f>IFERROR(D17/D148, "NA")</f>
        <v>0.02659888807</v>
      </c>
      <c r="F17" s="28">
        <v>3309.78</v>
      </c>
      <c r="G17" s="15">
        <f>IFERROR(F17/F148, "NA")</f>
        <v>0.02501101767</v>
      </c>
      <c r="H17" s="28">
        <v>3970.04</v>
      </c>
      <c r="I17" s="15">
        <f>IFERROR(H17/H148, "NA")</f>
        <v>0.02775578234</v>
      </c>
      <c r="J17" s="28">
        <v>3805.02</v>
      </c>
      <c r="K17" s="15">
        <f>IFERROR(J17/J148, "NA")</f>
        <v>0.02842759541</v>
      </c>
      <c r="L17" s="28">
        <v>3693.74</v>
      </c>
      <c r="M17" s="15">
        <f>IFERROR(L17/L148, "NA")</f>
        <v>0.02387551436</v>
      </c>
      <c r="N17" s="28">
        <v>4471.02</v>
      </c>
      <c r="O17" s="15">
        <f>IFERROR(N17/N148, "NA")</f>
        <v>0.02799788467</v>
      </c>
      <c r="P17" s="28">
        <v>4446.8</v>
      </c>
      <c r="Q17" s="15">
        <f>IFERROR(P17/P148, "NA")</f>
        <v>0.02574745526</v>
      </c>
      <c r="R17" s="28">
        <v>4543.57</v>
      </c>
      <c r="S17" s="15">
        <f>IFERROR(R17/R148, "NA")</f>
        <v>0.02698321015</v>
      </c>
      <c r="T17" s="28">
        <v>4252.69</v>
      </c>
      <c r="U17" s="15">
        <f>IFERROR(T17/T148, "NA")</f>
        <v>0.02706811874</v>
      </c>
      <c r="V17" s="28">
        <v>4569.51</v>
      </c>
      <c r="W17" s="15">
        <f>IFERROR(V17/V148, "NA")</f>
        <v>0.02919269642</v>
      </c>
      <c r="X17" s="28">
        <v>4026.41</v>
      </c>
      <c r="Y17" s="15">
        <f>IFERROR(X17/X148, "NA")</f>
        <v>0.02467325211</v>
      </c>
      <c r="Z17" s="28">
        <v>12848.61</v>
      </c>
      <c r="AA17" s="15">
        <f>IFERROR(Z17/Z148, "NA")</f>
        <v>0.0269459407</v>
      </c>
      <c r="AB17" s="57">
        <f t="shared" si="7"/>
        <v>4348.045</v>
      </c>
      <c r="AC17" s="15">
        <f>IFERROR(AB17/AB148, "NA")</f>
        <v>0.02695566711</v>
      </c>
      <c r="AD17" s="61">
        <f t="shared" si="8"/>
        <v>-321.635</v>
      </c>
      <c r="AE17" s="62">
        <f>IFERROR(AD17/AD148, "NA")</f>
        <v>-0.1705641767</v>
      </c>
      <c r="AF17" s="61">
        <f t="shared" si="9"/>
        <v>-0.07397232549</v>
      </c>
      <c r="AG17" s="57">
        <f t="shared" si="10"/>
        <v>4226.095</v>
      </c>
      <c r="AH17" s="15">
        <f>IFERROR(AG17/AG148, "NA")</f>
        <v>0.02670155988</v>
      </c>
      <c r="AI17" s="61">
        <f t="shared" si="11"/>
        <v>-199.685</v>
      </c>
      <c r="AJ17" s="62">
        <f>IFERROR(AI17/AI148, "NA")</f>
        <v>-0.04060449733</v>
      </c>
      <c r="AK17" s="61">
        <f t="shared" si="12"/>
        <v>-0.04725047591</v>
      </c>
      <c r="AL17" s="62">
        <f>IFERROR(AK17/AK148, "NA")</f>
        <v>-1.520678849</v>
      </c>
    </row>
    <row r="18" ht="16.5" customHeight="1">
      <c r="A18" s="26" t="s">
        <v>72</v>
      </c>
      <c r="B18" s="28">
        <v>2890.33</v>
      </c>
      <c r="C18" s="15">
        <f>IFERROR(B18/B148, "NA")</f>
        <v>0.03381725487</v>
      </c>
      <c r="D18" s="28">
        <v>4187.94</v>
      </c>
      <c r="E18" s="15">
        <f>IFERROR(D18/D148, "NA")</f>
        <v>0.03458974594</v>
      </c>
      <c r="F18" s="28">
        <v>4270.1</v>
      </c>
      <c r="G18" s="15">
        <f>IFERROR(F18/F148, "NA")</f>
        <v>0.03226786873</v>
      </c>
      <c r="H18" s="28">
        <v>4954.0</v>
      </c>
      <c r="I18" s="15">
        <f>IFERROR(H18/H148, "NA")</f>
        <v>0.03463495222</v>
      </c>
      <c r="J18" s="28">
        <v>4688.74</v>
      </c>
      <c r="K18" s="15">
        <f>IFERROR(J18/J148, "NA")</f>
        <v>0.03502993511</v>
      </c>
      <c r="L18" s="28">
        <v>5927.36</v>
      </c>
      <c r="M18" s="15">
        <f>IFERROR(L18/L148, "NA")</f>
        <v>0.03831313758</v>
      </c>
      <c r="N18" s="28">
        <v>6153.79</v>
      </c>
      <c r="O18" s="15">
        <f>IFERROR(N18/N148, "NA")</f>
        <v>0.03853552494</v>
      </c>
      <c r="P18" s="28">
        <v>6981.43</v>
      </c>
      <c r="Q18" s="15">
        <f>IFERROR(P18/P148, "NA")</f>
        <v>0.04042323842</v>
      </c>
      <c r="R18" s="28">
        <v>6581.67</v>
      </c>
      <c r="S18" s="15">
        <f>IFERROR(R18/R148, "NA")</f>
        <v>0.03908701412</v>
      </c>
      <c r="T18" s="28">
        <v>5783.57</v>
      </c>
      <c r="U18" s="15">
        <f>IFERROR(T18/T148, "NA")</f>
        <v>0.03681207882</v>
      </c>
      <c r="V18" s="28">
        <v>6633.42</v>
      </c>
      <c r="W18" s="15">
        <f>IFERROR(V18/V148, "NA")</f>
        <v>0.04237815789</v>
      </c>
      <c r="X18" s="28">
        <v>6981.89</v>
      </c>
      <c r="Y18" s="15">
        <f>IFERROR(X18/X148, "NA")</f>
        <v>0.04278400167</v>
      </c>
      <c r="Z18" s="28">
        <v>19398.88</v>
      </c>
      <c r="AA18" s="15">
        <f>IFERROR(Z18/Z148, "NA")</f>
        <v>0.04068308324</v>
      </c>
      <c r="AB18" s="57">
        <f t="shared" si="7"/>
        <v>6495.1375</v>
      </c>
      <c r="AC18" s="15">
        <f>IFERROR(AB18/AB148, "NA")</f>
        <v>0.04026654837</v>
      </c>
      <c r="AD18" s="61">
        <f t="shared" si="8"/>
        <v>486.7525</v>
      </c>
      <c r="AE18" s="62">
        <f>IFERROR(AD18/AD148, "NA")</f>
        <v>0.2581265702</v>
      </c>
      <c r="AF18" s="61">
        <f t="shared" si="9"/>
        <v>0.07494106168</v>
      </c>
      <c r="AG18" s="57">
        <f t="shared" si="10"/>
        <v>6216.48375</v>
      </c>
      <c r="AH18" s="15">
        <f>IFERROR(AG18/AG148, "NA")</f>
        <v>0.03927735015</v>
      </c>
      <c r="AI18" s="61">
        <f t="shared" si="11"/>
        <v>765.40625</v>
      </c>
      <c r="AJ18" s="62">
        <f>IFERROR(AI18/AI148, "NA")</f>
        <v>0.1556398129</v>
      </c>
      <c r="AK18" s="61">
        <f t="shared" si="12"/>
        <v>0.1231252716</v>
      </c>
      <c r="AL18" s="62">
        <f>IFERROR(AK18/AK148, "NA")</f>
        <v>3.962584346</v>
      </c>
    </row>
    <row r="19" ht="16.5" customHeight="1">
      <c r="A19" s="26" t="s">
        <v>74</v>
      </c>
      <c r="B19" s="28">
        <v>1720.88</v>
      </c>
      <c r="C19" s="15">
        <f>IFERROR(B19/B148, "NA")</f>
        <v>0.02013453051</v>
      </c>
      <c r="D19" s="28">
        <v>2699.56</v>
      </c>
      <c r="E19" s="15">
        <f>IFERROR(D19/D148, "NA")</f>
        <v>0.02229666484</v>
      </c>
      <c r="F19" s="28">
        <v>2848.35</v>
      </c>
      <c r="G19" s="15">
        <f>IFERROR(F19/F148, "NA")</f>
        <v>0.02152412915</v>
      </c>
      <c r="H19" s="28">
        <v>3117.63</v>
      </c>
      <c r="I19" s="15">
        <f>IFERROR(H19/H148, "NA")</f>
        <v>0.02179631935</v>
      </c>
      <c r="J19" s="28">
        <v>2873.32</v>
      </c>
      <c r="K19" s="15">
        <f>IFERROR(J19/J148, "NA")</f>
        <v>0.02146679346</v>
      </c>
      <c r="L19" s="28">
        <v>3352.24</v>
      </c>
      <c r="M19" s="15">
        <f>IFERROR(L19/L148, "NA")</f>
        <v>0.02166813427</v>
      </c>
      <c r="N19" s="28">
        <v>3430.17</v>
      </c>
      <c r="O19" s="15">
        <f>IFERROR(N19/N148, "NA")</f>
        <v>0.02147999876</v>
      </c>
      <c r="P19" s="28">
        <v>3793.99</v>
      </c>
      <c r="Q19" s="15">
        <f>IFERROR(P19/P148, "NA")</f>
        <v>0.02196761442</v>
      </c>
      <c r="R19" s="28">
        <v>3801.3</v>
      </c>
      <c r="S19" s="15">
        <f>IFERROR(R19/R148, "NA")</f>
        <v>0.0225750405</v>
      </c>
      <c r="T19" s="28">
        <v>3714.75</v>
      </c>
      <c r="U19" s="15">
        <f>IFERROR(T19/T148, "NA")</f>
        <v>0.02364416266</v>
      </c>
      <c r="V19" s="28">
        <v>3524.14</v>
      </c>
      <c r="W19" s="15">
        <f>IFERROR(V19/V148, "NA")</f>
        <v>0.02251426283</v>
      </c>
      <c r="X19" s="28">
        <v>4020.1</v>
      </c>
      <c r="Y19" s="15">
        <f>IFERROR(X19/X148, "NA")</f>
        <v>0.02463458535</v>
      </c>
      <c r="Z19" s="28">
        <v>11258.99</v>
      </c>
      <c r="AA19" s="15">
        <f>IFERROR(Z19/Z148, "NA")</f>
        <v>0.02361220995</v>
      </c>
      <c r="AB19" s="57">
        <f t="shared" si="7"/>
        <v>3765.0725</v>
      </c>
      <c r="AC19" s="15">
        <f>IFERROR(AB19/AB148, "NA")</f>
        <v>0.02334153418</v>
      </c>
      <c r="AD19" s="61">
        <f t="shared" si="8"/>
        <v>255.0275</v>
      </c>
      <c r="AE19" s="62">
        <f>IFERROR(AD19/AD148, "NA")</f>
        <v>0.1352419841</v>
      </c>
      <c r="AF19" s="61">
        <f t="shared" si="9"/>
        <v>0.06773508345</v>
      </c>
      <c r="AG19" s="57">
        <f t="shared" si="10"/>
        <v>3563.75125</v>
      </c>
      <c r="AH19" s="15">
        <f>IFERROR(AG19/AG148, "NA")</f>
        <v>0.02251670097</v>
      </c>
      <c r="AI19" s="61">
        <f t="shared" si="11"/>
        <v>456.34875</v>
      </c>
      <c r="AJ19" s="62">
        <f>IFERROR(AI19/AI148, "NA")</f>
        <v>0.09279521046</v>
      </c>
      <c r="AK19" s="61">
        <f t="shared" si="12"/>
        <v>0.128052919</v>
      </c>
      <c r="AL19" s="62">
        <f>IFERROR(AK19/AK148, "NA")</f>
        <v>4.121172572</v>
      </c>
    </row>
    <row r="20" ht="16.5" customHeight="1">
      <c r="A20" s="26" t="s">
        <v>76</v>
      </c>
      <c r="B20" s="28">
        <v>892.52</v>
      </c>
      <c r="C20" s="15">
        <f>IFERROR(B20/B148, "NA")</f>
        <v>0.01044260563</v>
      </c>
      <c r="D20" s="28">
        <v>1344.86</v>
      </c>
      <c r="E20" s="15">
        <f>IFERROR(D20/D148, "NA")</f>
        <v>0.01110769632</v>
      </c>
      <c r="F20" s="28">
        <v>1555.18</v>
      </c>
      <c r="G20" s="15">
        <f>IFERROR(F20/F148, "NA")</f>
        <v>0.01175203018</v>
      </c>
      <c r="H20" s="28">
        <v>1532.14</v>
      </c>
      <c r="I20" s="15">
        <f>IFERROR(H20/H148, "NA")</f>
        <v>0.01071166647</v>
      </c>
      <c r="J20" s="28">
        <v>1598.27</v>
      </c>
      <c r="K20" s="15">
        <f>IFERROR(J20/J148, "NA")</f>
        <v>0.0119407974</v>
      </c>
      <c r="L20" s="28">
        <v>1414.54</v>
      </c>
      <c r="M20" s="15">
        <f>IFERROR(L20/L148, "NA")</f>
        <v>0.009143272154</v>
      </c>
      <c r="N20" s="28">
        <v>1725.59</v>
      </c>
      <c r="O20" s="15">
        <f>IFERROR(N20/N148, "NA")</f>
        <v>0.01080578253</v>
      </c>
      <c r="P20" s="28">
        <v>1625.61</v>
      </c>
      <c r="Q20" s="15">
        <f>IFERROR(P20/P148, "NA")</f>
        <v>0.009412458565</v>
      </c>
      <c r="R20" s="28">
        <v>1653.79</v>
      </c>
      <c r="S20" s="15">
        <f>IFERROR(R20/R148, "NA")</f>
        <v>0.009821475869</v>
      </c>
      <c r="T20" s="28">
        <v>1705.49</v>
      </c>
      <c r="U20" s="15">
        <f>IFERROR(T20/T148, "NA")</f>
        <v>0.01085534234</v>
      </c>
      <c r="V20" s="28">
        <v>1763.03</v>
      </c>
      <c r="W20" s="15">
        <f>IFERROR(V20/V148, "NA")</f>
        <v>0.01126326446</v>
      </c>
      <c r="X20" s="28">
        <v>1170.8</v>
      </c>
      <c r="Y20" s="15">
        <f>IFERROR(X20/X148, "NA")</f>
        <v>0.007174491313</v>
      </c>
      <c r="Z20" s="28">
        <v>4639.32</v>
      </c>
      <c r="AA20" s="15">
        <f>IFERROR(Z20/Z148, "NA")</f>
        <v>0.009729522618</v>
      </c>
      <c r="AB20" s="57">
        <f t="shared" si="7"/>
        <v>1573.2775</v>
      </c>
      <c r="AC20" s="15">
        <f>IFERROR(AB20/AB148, "NA")</f>
        <v>0.00975352016</v>
      </c>
      <c r="AD20" s="61">
        <f t="shared" si="8"/>
        <v>-402.4775</v>
      </c>
      <c r="AE20" s="62">
        <f>IFERROR(AD20/AD148, "NA")</f>
        <v>-0.21343524</v>
      </c>
      <c r="AF20" s="61">
        <f t="shared" si="9"/>
        <v>-0.2558210487</v>
      </c>
      <c r="AG20" s="57">
        <f t="shared" si="10"/>
        <v>1582.14</v>
      </c>
      <c r="AH20" s="15">
        <f>IFERROR(AG20/AG148, "NA")</f>
        <v>0.009996369213</v>
      </c>
      <c r="AI20" s="61">
        <f t="shared" si="11"/>
        <v>-411.34</v>
      </c>
      <c r="AJ20" s="62">
        <f>IFERROR(AI20/AI148, "NA")</f>
        <v>-0.0836430074</v>
      </c>
      <c r="AK20" s="61">
        <f t="shared" si="12"/>
        <v>-0.2599896343</v>
      </c>
      <c r="AL20" s="62">
        <f>IFERROR(AK20/AK148, "NA")</f>
        <v>-8.367338742</v>
      </c>
    </row>
    <row r="21" ht="16.5" customHeight="1">
      <c r="A21" s="26" t="s">
        <v>77</v>
      </c>
      <c r="B21" s="28">
        <v>723.48</v>
      </c>
      <c r="C21" s="15">
        <f>IFERROR(B21/B148, "NA")</f>
        <v>0.00846481459</v>
      </c>
      <c r="D21" s="28">
        <v>677.95</v>
      </c>
      <c r="E21" s="15">
        <f>IFERROR(D21/D148, "NA")</f>
        <v>0.005599439883</v>
      </c>
      <c r="F21" s="28">
        <v>1357.06</v>
      </c>
      <c r="G21" s="15">
        <f>IFERROR(F21/F148, "NA")</f>
        <v>0.01025489659</v>
      </c>
      <c r="H21" s="28">
        <v>1159.04</v>
      </c>
      <c r="I21" s="15">
        <f>IFERROR(H21/H148, "NA")</f>
        <v>0.008103208522</v>
      </c>
      <c r="J21" s="28">
        <v>1167.5</v>
      </c>
      <c r="K21" s="15">
        <f>IFERROR(J21/J148, "NA")</f>
        <v>0.008722481784</v>
      </c>
      <c r="L21" s="28">
        <v>1687.73</v>
      </c>
      <c r="M21" s="15">
        <f>IFERROR(L21/L148, "NA")</f>
        <v>0.01090911159</v>
      </c>
      <c r="N21" s="28">
        <v>869.93</v>
      </c>
      <c r="O21" s="15">
        <f>IFERROR(N21/N148, "NA")</f>
        <v>0.005447571205</v>
      </c>
      <c r="P21" s="28">
        <v>1337.36</v>
      </c>
      <c r="Q21" s="15">
        <f>IFERROR(P21/P148, "NA")</f>
        <v>0.007743459739</v>
      </c>
      <c r="R21" s="28">
        <v>1039.89</v>
      </c>
      <c r="S21" s="15">
        <f>IFERROR(R21/R148, "NA")</f>
        <v>0.00617566592</v>
      </c>
      <c r="T21" s="28">
        <v>1026.4</v>
      </c>
      <c r="U21" s="15">
        <f>IFERROR(T21/T148, "NA")</f>
        <v>0.006532974911</v>
      </c>
      <c r="V21" s="28">
        <v>1066.38</v>
      </c>
      <c r="W21" s="15">
        <f>IFERROR(V21/V148, "NA")</f>
        <v>0.006812657726</v>
      </c>
      <c r="X21" s="28">
        <v>1502.4</v>
      </c>
      <c r="Y21" s="15">
        <f>IFERROR(X21/X148, "NA")</f>
        <v>0.009206487657</v>
      </c>
      <c r="Z21" s="28">
        <v>3595.18</v>
      </c>
      <c r="AA21" s="15">
        <f>IFERROR(Z21/Z148, "NA")</f>
        <v>0.007539765553</v>
      </c>
      <c r="AB21" s="57">
        <f t="shared" si="7"/>
        <v>1158.7675</v>
      </c>
      <c r="AC21" s="15">
        <f>IFERROR(AB21/AB148, "NA")</f>
        <v>0.007183769025</v>
      </c>
      <c r="AD21" s="61">
        <f t="shared" si="8"/>
        <v>343.6325</v>
      </c>
      <c r="AE21" s="62">
        <f>IFERROR(AD21/AD148, "NA")</f>
        <v>0.1822295286</v>
      </c>
      <c r="AF21" s="61">
        <f t="shared" si="9"/>
        <v>0.2965499982</v>
      </c>
      <c r="AG21" s="57">
        <f t="shared" si="10"/>
        <v>1212.19875</v>
      </c>
      <c r="AH21" s="15">
        <f>IFERROR(AG21/AG148, "NA")</f>
        <v>0.007658984833</v>
      </c>
      <c r="AI21" s="61">
        <f t="shared" si="11"/>
        <v>290.20125</v>
      </c>
      <c r="AJ21" s="62">
        <f>IFERROR(AI21/AI148, "NA")</f>
        <v>0.05901032066</v>
      </c>
      <c r="AK21" s="61">
        <f t="shared" si="12"/>
        <v>0.2394007171</v>
      </c>
      <c r="AL21" s="62">
        <f>IFERROR(AK21/AK148, "NA")</f>
        <v>7.704718307</v>
      </c>
    </row>
    <row r="22" ht="16.5" hidden="1" customHeight="1">
      <c r="A22" s="26" t="s">
        <v>78</v>
      </c>
      <c r="B22" s="28">
        <v>0.0</v>
      </c>
      <c r="C22" s="15">
        <f>IFERROR(B22/B148, "NA")</f>
        <v>0</v>
      </c>
      <c r="D22" s="28">
        <v>0.0</v>
      </c>
      <c r="E22" s="15">
        <f>IFERROR(D22/D148, "NA")</f>
        <v>0</v>
      </c>
      <c r="F22" s="28">
        <v>0.0</v>
      </c>
      <c r="G22" s="15">
        <f>IFERROR(F22/F148, "NA")</f>
        <v>0</v>
      </c>
      <c r="H22" s="28">
        <v>0.0</v>
      </c>
      <c r="I22" s="15">
        <f>IFERROR(H22/H148, "NA")</f>
        <v>0</v>
      </c>
      <c r="J22" s="28">
        <v>0.0</v>
      </c>
      <c r="K22" s="15">
        <f>IFERROR(J22/J148, "NA")</f>
        <v>0</v>
      </c>
      <c r="L22" s="28">
        <v>0.0</v>
      </c>
      <c r="M22" s="15">
        <f>IFERROR(L22/L148, "NA")</f>
        <v>0</v>
      </c>
      <c r="N22" s="28">
        <v>0.0</v>
      </c>
      <c r="O22" s="15">
        <f>IFERROR(N22/N148, "NA")</f>
        <v>0</v>
      </c>
      <c r="P22" s="28">
        <v>0.0</v>
      </c>
      <c r="Q22" s="15">
        <f>IFERROR(P22/P148, "NA")</f>
        <v>0</v>
      </c>
      <c r="R22" s="28">
        <v>0.0</v>
      </c>
      <c r="S22" s="15">
        <f>IFERROR(R22/R148, "NA")</f>
        <v>0</v>
      </c>
      <c r="T22" s="28">
        <v>0.0</v>
      </c>
      <c r="U22" s="15">
        <f>IFERROR(T22/T148, "NA")</f>
        <v>0</v>
      </c>
      <c r="V22" s="28">
        <v>0.0</v>
      </c>
      <c r="W22" s="15">
        <f>IFERROR(V22/V148, "NA")</f>
        <v>0</v>
      </c>
      <c r="X22" s="28">
        <v>0.0</v>
      </c>
      <c r="Y22" s="15">
        <f>IFERROR(X22/X148, "NA")</f>
        <v>0</v>
      </c>
      <c r="Z22" s="28">
        <v>0.0</v>
      </c>
      <c r="AA22" s="15">
        <f>IFERROR(Z22/Z148, "NA")</f>
        <v>0</v>
      </c>
      <c r="AB22" s="57">
        <f t="shared" si="7"/>
        <v>0</v>
      </c>
      <c r="AC22" s="15">
        <f>IFERROR(AB22/AB148, "NA")</f>
        <v>0</v>
      </c>
      <c r="AD22" s="61">
        <f t="shared" si="8"/>
        <v>0</v>
      </c>
      <c r="AE22" s="62">
        <f>IFERROR(AD22/AD148, "NA")</f>
        <v>0</v>
      </c>
      <c r="AF22" s="61" t="str">
        <f t="shared" si="9"/>
        <v>NA</v>
      </c>
      <c r="AG22" s="57">
        <f t="shared" si="10"/>
        <v>0</v>
      </c>
      <c r="AH22" s="15">
        <f>IFERROR(AG22/AG148, "NA")</f>
        <v>0</v>
      </c>
      <c r="AI22" s="61">
        <f t="shared" si="11"/>
        <v>0</v>
      </c>
      <c r="AJ22" s="62">
        <f>IFERROR(AI22/AI148, "NA")</f>
        <v>0</v>
      </c>
      <c r="AK22" s="61" t="str">
        <f t="shared" si="12"/>
        <v>NA</v>
      </c>
      <c r="AL22" s="62" t="str">
        <f>IFERROR(AK22/AK148, "NA")</f>
        <v>NA</v>
      </c>
    </row>
    <row r="23" ht="16.5" customHeight="1">
      <c r="A23" s="26" t="s">
        <v>79</v>
      </c>
      <c r="B23" s="28">
        <v>615.18</v>
      </c>
      <c r="C23" s="15">
        <f>IFERROR(B23/B148, "NA")</f>
        <v>0.007197689831</v>
      </c>
      <c r="D23" s="28">
        <v>470.76</v>
      </c>
      <c r="E23" s="15">
        <f>IFERROR(D23/D148, "NA")</f>
        <v>0.003888181015</v>
      </c>
      <c r="F23" s="28">
        <v>559.36</v>
      </c>
      <c r="G23" s="15">
        <f>IFERROR(F23/F148, "NA")</f>
        <v>0.004226916243</v>
      </c>
      <c r="H23" s="28">
        <v>690.92</v>
      </c>
      <c r="I23" s="15">
        <f>IFERROR(H23/H148, "NA")</f>
        <v>0.004830436251</v>
      </c>
      <c r="J23" s="28">
        <v>859.81</v>
      </c>
      <c r="K23" s="15">
        <f>IFERROR(J23/J148, "NA")</f>
        <v>0.006423706264</v>
      </c>
      <c r="L23" s="28">
        <v>576.54</v>
      </c>
      <c r="M23" s="15">
        <f>IFERROR(L23/L148, "NA")</f>
        <v>0.003726626414</v>
      </c>
      <c r="N23" s="28">
        <v>643.13</v>
      </c>
      <c r="O23" s="15">
        <f>IFERROR(N23/N148, "NA")</f>
        <v>0.004027331474</v>
      </c>
      <c r="P23" s="28">
        <v>924.0</v>
      </c>
      <c r="Q23" s="15">
        <f>IFERROR(P23/P148, "NA")</f>
        <v>0.005350060417</v>
      </c>
      <c r="R23" s="28">
        <v>561.86</v>
      </c>
      <c r="S23" s="15">
        <f>IFERROR(R23/R148, "NA")</f>
        <v>0.003336756439</v>
      </c>
      <c r="T23" s="28">
        <v>646.1</v>
      </c>
      <c r="U23" s="15">
        <f>IFERROR(T23/T148, "NA")</f>
        <v>0.004112388045</v>
      </c>
      <c r="V23" s="28">
        <v>928.27</v>
      </c>
      <c r="W23" s="15">
        <f>IFERROR(V23/V148, "NA")</f>
        <v>0.005930330452</v>
      </c>
      <c r="X23" s="28">
        <v>866.93</v>
      </c>
      <c r="Y23" s="15">
        <f>IFERROR(X23/X148, "NA")</f>
        <v>0.005312420357</v>
      </c>
      <c r="Z23" s="28">
        <v>2441.3</v>
      </c>
      <c r="AA23" s="15">
        <f>IFERROR(Z23/Z148, "NA")</f>
        <v>0.005119863163</v>
      </c>
      <c r="AB23" s="57">
        <f t="shared" si="7"/>
        <v>750.79</v>
      </c>
      <c r="AC23" s="15">
        <f>IFERROR(AB23/AB148, "NA")</f>
        <v>0.004654516067</v>
      </c>
      <c r="AD23" s="61">
        <f t="shared" si="8"/>
        <v>116.14</v>
      </c>
      <c r="AE23" s="62">
        <f>IFERROR(AD23/AD148, "NA")</f>
        <v>0.06158945226</v>
      </c>
      <c r="AF23" s="61">
        <f t="shared" si="9"/>
        <v>0.1546903928</v>
      </c>
      <c r="AG23" s="57">
        <f t="shared" si="10"/>
        <v>750.83</v>
      </c>
      <c r="AH23" s="15">
        <f>IFERROR(AG23/AG148, "NA")</f>
        <v>0.004743937892</v>
      </c>
      <c r="AI23" s="61">
        <f t="shared" si="11"/>
        <v>116.1</v>
      </c>
      <c r="AJ23" s="62">
        <f>IFERROR(AI23/AI148, "NA")</f>
        <v>0.02360809345</v>
      </c>
      <c r="AK23" s="61">
        <f t="shared" si="12"/>
        <v>0.1546288774</v>
      </c>
      <c r="AL23" s="62">
        <f>IFERROR(AK23/AK148, "NA")</f>
        <v>4.976476081</v>
      </c>
    </row>
    <row r="24" ht="16.5" customHeight="1">
      <c r="A24" s="26" t="s">
        <v>80</v>
      </c>
      <c r="B24" s="28">
        <v>6515.72</v>
      </c>
      <c r="C24" s="15">
        <f>IFERROR(B24/B148, "NA")</f>
        <v>0.07623481191</v>
      </c>
      <c r="D24" s="28">
        <v>8843.61</v>
      </c>
      <c r="E24" s="15">
        <f>IFERROR(D24/D148, "NA")</f>
        <v>0.07304264701</v>
      </c>
      <c r="F24" s="28">
        <v>8681.26</v>
      </c>
      <c r="G24" s="15">
        <f>IFERROR(F24/F148, "NA")</f>
        <v>0.06560168569</v>
      </c>
      <c r="H24" s="28">
        <v>9880.43</v>
      </c>
      <c r="I24" s="15">
        <f>IFERROR(H24/H148, "NA")</f>
        <v>0.06907715401</v>
      </c>
      <c r="J24" s="28">
        <v>8914.42</v>
      </c>
      <c r="K24" s="15">
        <f>IFERROR(J24/J148, "NA")</f>
        <v>0.06660031355</v>
      </c>
      <c r="L24" s="28">
        <v>9836.99</v>
      </c>
      <c r="M24" s="15">
        <f>IFERROR(L24/L148, "NA")</f>
        <v>0.06358411692</v>
      </c>
      <c r="N24" s="28">
        <v>9805.0</v>
      </c>
      <c r="O24" s="15">
        <f>IFERROR(N24/N148, "NA")</f>
        <v>0.06139969385</v>
      </c>
      <c r="P24" s="28">
        <v>10397.86</v>
      </c>
      <c r="Q24" s="15">
        <f>IFERROR(P24/P148, "NA")</f>
        <v>0.0602047394</v>
      </c>
      <c r="R24" s="28">
        <v>10494.76</v>
      </c>
      <c r="S24" s="15">
        <f>IFERROR(R24/R148, "NA")</f>
        <v>0.06232594954</v>
      </c>
      <c r="T24" s="28">
        <v>10327.96</v>
      </c>
      <c r="U24" s="15">
        <f>IFERROR(T24/T148, "NA")</f>
        <v>0.0657368507</v>
      </c>
      <c r="V24" s="28">
        <v>9424.85</v>
      </c>
      <c r="W24" s="15">
        <f>IFERROR(V24/V148, "NA")</f>
        <v>0.06021144167</v>
      </c>
      <c r="X24" s="28">
        <v>8928.23</v>
      </c>
      <c r="Y24" s="15">
        <f>IFERROR(X24/X148, "NA")</f>
        <v>0.05471088877</v>
      </c>
      <c r="Z24" s="28">
        <v>28681.04</v>
      </c>
      <c r="AA24" s="15">
        <f>IFERROR(Z24/Z148, "NA")</f>
        <v>0.06014951057</v>
      </c>
      <c r="AB24" s="57">
        <f t="shared" si="7"/>
        <v>9793.95</v>
      </c>
      <c r="AC24" s="15">
        <f>IFERROR(AB24/AB148, "NA")</f>
        <v>0.06071750773</v>
      </c>
      <c r="AD24" s="61">
        <f t="shared" si="8"/>
        <v>-865.72</v>
      </c>
      <c r="AE24" s="62">
        <f>IFERROR(AD24/AD148, "NA")</f>
        <v>-0.4590943741</v>
      </c>
      <c r="AF24" s="61">
        <f t="shared" si="9"/>
        <v>-0.08839334487</v>
      </c>
      <c r="AG24" s="57">
        <f t="shared" si="10"/>
        <v>9766.25875</v>
      </c>
      <c r="AH24" s="15">
        <f>IFERROR(AG24/AG148, "NA")</f>
        <v>0.06170574557</v>
      </c>
      <c r="AI24" s="61">
        <f t="shared" si="11"/>
        <v>-838.02875</v>
      </c>
      <c r="AJ24" s="62">
        <f>IFERROR(AI24/AI148, "NA")</f>
        <v>-0.1704070719</v>
      </c>
      <c r="AK24" s="61">
        <f t="shared" si="12"/>
        <v>-0.08580857537</v>
      </c>
      <c r="AL24" s="62">
        <f>IFERROR(AK24/AK148, "NA")</f>
        <v>-2.761607858</v>
      </c>
    </row>
    <row r="25" ht="16.5" hidden="1" customHeight="1">
      <c r="A25" s="26" t="s">
        <v>81</v>
      </c>
      <c r="B25" s="28">
        <v>0.0</v>
      </c>
      <c r="C25" s="15">
        <f>IFERROR(B25/B148, "NA")</f>
        <v>0</v>
      </c>
      <c r="D25" s="28">
        <v>0.0</v>
      </c>
      <c r="E25" s="15">
        <f>IFERROR(D25/D148, "NA")</f>
        <v>0</v>
      </c>
      <c r="F25" s="28">
        <v>0.0</v>
      </c>
      <c r="G25" s="15">
        <f>IFERROR(F25/F148, "NA")</f>
        <v>0</v>
      </c>
      <c r="H25" s="28">
        <v>0.0</v>
      </c>
      <c r="I25" s="15">
        <f>IFERROR(H25/H148, "NA")</f>
        <v>0</v>
      </c>
      <c r="J25" s="28">
        <v>0.0</v>
      </c>
      <c r="K25" s="15">
        <f>IFERROR(J25/J148, "NA")</f>
        <v>0</v>
      </c>
      <c r="L25" s="28">
        <v>0.0</v>
      </c>
      <c r="M25" s="15">
        <f>IFERROR(L25/L148, "NA")</f>
        <v>0</v>
      </c>
      <c r="N25" s="28">
        <v>0.0</v>
      </c>
      <c r="O25" s="15">
        <f>IFERROR(N25/N148, "NA")</f>
        <v>0</v>
      </c>
      <c r="P25" s="28">
        <v>0.0</v>
      </c>
      <c r="Q25" s="15">
        <f>IFERROR(P25/P148, "NA")</f>
        <v>0</v>
      </c>
      <c r="R25" s="28">
        <v>0.0</v>
      </c>
      <c r="S25" s="15">
        <f>IFERROR(R25/R148, "NA")</f>
        <v>0</v>
      </c>
      <c r="T25" s="28">
        <v>0.0</v>
      </c>
      <c r="U25" s="15">
        <f>IFERROR(T25/T148, "NA")</f>
        <v>0</v>
      </c>
      <c r="V25" s="28">
        <v>0.0</v>
      </c>
      <c r="W25" s="15">
        <f>IFERROR(V25/V148, "NA")</f>
        <v>0</v>
      </c>
      <c r="X25" s="28">
        <v>0.0</v>
      </c>
      <c r="Y25" s="15">
        <f>IFERROR(X25/X148, "NA")</f>
        <v>0</v>
      </c>
      <c r="Z25" s="28">
        <v>0.0</v>
      </c>
      <c r="AA25" s="15">
        <f>IFERROR(Z25/Z148, "NA")</f>
        <v>0</v>
      </c>
      <c r="AB25" s="57">
        <f t="shared" si="7"/>
        <v>0</v>
      </c>
      <c r="AC25" s="15">
        <f>IFERROR(AB25/AB148, "NA")</f>
        <v>0</v>
      </c>
      <c r="AD25" s="61">
        <f t="shared" si="8"/>
        <v>0</v>
      </c>
      <c r="AE25" s="62">
        <f>IFERROR(AD25/AD148, "NA")</f>
        <v>0</v>
      </c>
      <c r="AF25" s="61" t="str">
        <f t="shared" si="9"/>
        <v>NA</v>
      </c>
      <c r="AG25" s="57">
        <f t="shared" si="10"/>
        <v>0</v>
      </c>
      <c r="AH25" s="15">
        <f>IFERROR(AG25/AG148, "NA")</f>
        <v>0</v>
      </c>
      <c r="AI25" s="61">
        <f t="shared" si="11"/>
        <v>0</v>
      </c>
      <c r="AJ25" s="62">
        <f>IFERROR(AI25/AI148, "NA")</f>
        <v>0</v>
      </c>
      <c r="AK25" s="61" t="str">
        <f t="shared" si="12"/>
        <v>NA</v>
      </c>
      <c r="AL25" s="62" t="str">
        <f>IFERROR(AK25/AK148, "NA")</f>
        <v>NA</v>
      </c>
    </row>
    <row r="26" ht="16.5" customHeight="1">
      <c r="A26" s="26" t="s">
        <v>82</v>
      </c>
      <c r="B26" s="28">
        <v>0.0</v>
      </c>
      <c r="C26" s="15">
        <f>IFERROR(B26/B148, "NA")</f>
        <v>0</v>
      </c>
      <c r="D26" s="28">
        <v>0.0</v>
      </c>
      <c r="E26" s="15">
        <f>IFERROR(D26/D148, "NA")</f>
        <v>0</v>
      </c>
      <c r="F26" s="28">
        <v>-2.97</v>
      </c>
      <c r="G26" s="15">
        <f>IFERROR(F26/F148, "NA")</f>
        <v>-0.00002244340182</v>
      </c>
      <c r="H26" s="28">
        <v>2.97</v>
      </c>
      <c r="I26" s="15">
        <f>IFERROR(H26/H148, "NA")</f>
        <v>0.00002076419219</v>
      </c>
      <c r="J26" s="28">
        <v>0.0</v>
      </c>
      <c r="K26" s="15">
        <f>IFERROR(J26/J148, "NA")</f>
        <v>0</v>
      </c>
      <c r="L26" s="28">
        <v>0.0</v>
      </c>
      <c r="M26" s="15">
        <f>IFERROR(L26/L148, "NA")</f>
        <v>0</v>
      </c>
      <c r="N26" s="28">
        <v>0.0</v>
      </c>
      <c r="O26" s="15">
        <f>IFERROR(N26/N148, "NA")</f>
        <v>0</v>
      </c>
      <c r="P26" s="28">
        <v>0.0</v>
      </c>
      <c r="Q26" s="15">
        <f>IFERROR(P26/P148, "NA")</f>
        <v>0</v>
      </c>
      <c r="R26" s="28">
        <v>0.0</v>
      </c>
      <c r="S26" s="15">
        <f>IFERROR(R26/R148, "NA")</f>
        <v>0</v>
      </c>
      <c r="T26" s="28">
        <v>0.0</v>
      </c>
      <c r="U26" s="15">
        <f>IFERROR(T26/T148, "NA")</f>
        <v>0</v>
      </c>
      <c r="V26" s="28">
        <v>0.0</v>
      </c>
      <c r="W26" s="15">
        <f>IFERROR(V26/V148, "NA")</f>
        <v>0</v>
      </c>
      <c r="X26" s="28">
        <v>0.0</v>
      </c>
      <c r="Y26" s="15">
        <f>IFERROR(X26/X148, "NA")</f>
        <v>0</v>
      </c>
      <c r="Z26" s="28">
        <v>0.0</v>
      </c>
      <c r="AA26" s="15">
        <f>IFERROR(Z26/Z148, "NA")</f>
        <v>0</v>
      </c>
      <c r="AB26" s="57">
        <f t="shared" si="7"/>
        <v>0</v>
      </c>
      <c r="AC26" s="15">
        <f>IFERROR(AB26/AB148, "NA")</f>
        <v>0</v>
      </c>
      <c r="AD26" s="61">
        <f t="shared" si="8"/>
        <v>0</v>
      </c>
      <c r="AE26" s="62">
        <f>IFERROR(AD26/AD148, "NA")</f>
        <v>0</v>
      </c>
      <c r="AF26" s="61" t="str">
        <f t="shared" si="9"/>
        <v>NA</v>
      </c>
      <c r="AG26" s="57">
        <f t="shared" si="10"/>
        <v>0</v>
      </c>
      <c r="AH26" s="15">
        <f>IFERROR(AG26/AG148, "NA")</f>
        <v>0</v>
      </c>
      <c r="AI26" s="61">
        <f t="shared" si="11"/>
        <v>0</v>
      </c>
      <c r="AJ26" s="62">
        <f>IFERROR(AI26/AI148, "NA")</f>
        <v>0</v>
      </c>
      <c r="AK26" s="61" t="str">
        <f t="shared" si="12"/>
        <v>NA</v>
      </c>
      <c r="AL26" s="62" t="str">
        <f>IFERROR(AK26/AK148, "NA")</f>
        <v>NA</v>
      </c>
    </row>
    <row r="27" ht="16.5" customHeight="1">
      <c r="A27" s="67" t="s">
        <v>83</v>
      </c>
      <c r="B27" s="70">
        <f>IFERROR(B15+B16+B17+B18+B19+B20+B21+B22+B23+B24+B25+B26, "NA")</f>
        <v>20229.69</v>
      </c>
      <c r="C27" s="71">
        <f>IFERROR(B27/B148, "NA")</f>
        <v>0.2366901297</v>
      </c>
      <c r="D27" s="70">
        <f>IFERROR(D15+D16+D17+D18+D19+D20+D21+D22+D23+D24+D25+D26, "NA")</f>
        <v>27307.83</v>
      </c>
      <c r="E27" s="71">
        <f>IFERROR(D27/D148, "NA")</f>
        <v>0.2255454715</v>
      </c>
      <c r="F27" s="70">
        <f>IFERROR(F15+F16+F17+F18+F19+F20+F21+F22+F23+F24+F25+F26, "NA")</f>
        <v>28283.38</v>
      </c>
      <c r="G27" s="71">
        <f>IFERROR(F27/F148, "NA")</f>
        <v>0.2137290445</v>
      </c>
      <c r="H27" s="70">
        <f>IFERROR(H15+H16+H17+H18+H19+H20+H21+H22+H23+H24+H25+H26, "NA")</f>
        <v>31872.29</v>
      </c>
      <c r="I27" s="71">
        <f>IFERROR(H27/H148, "NA")</f>
        <v>0.2228290757</v>
      </c>
      <c r="J27" s="70">
        <f>IFERROR(J15+J16+J17+J18+J19+J20+J21+J22+J23+J24+J25+J26, "NA")</f>
        <v>30290.43</v>
      </c>
      <c r="K27" s="71">
        <f>IFERROR(J27/J148, "NA")</f>
        <v>0.226302119</v>
      </c>
      <c r="L27" s="70">
        <f>IFERROR(L15+L16+L17+L18+L19+L20+L21+L22+L23+L24+L25+L26, "NA")</f>
        <v>33826.62</v>
      </c>
      <c r="M27" s="71">
        <f>IFERROR(L27/L148, "NA")</f>
        <v>0.2186477531</v>
      </c>
      <c r="N27" s="70">
        <f>IFERROR(N15+N16+N17+N18+N19+N20+N21+N22+N23+N24+N25+N26, "NA")</f>
        <v>35274.54</v>
      </c>
      <c r="O27" s="71">
        <f>IFERROR(N27/N148, "NA")</f>
        <v>0.2208919895</v>
      </c>
      <c r="P27" s="70">
        <f>IFERROR(P15+P16+P17+P18+P19+P20+P21+P22+P23+P24+P25+P26, "NA")</f>
        <v>37524.36</v>
      </c>
      <c r="Q27" s="71">
        <f>IFERROR(P27/P148, "NA")</f>
        <v>0.2172701224</v>
      </c>
      <c r="R27" s="70">
        <f>IFERROR(R15+R16+R17+R18+R19+R20+R21+R22+R23+R24+R25+R26, "NA")</f>
        <v>37173.65</v>
      </c>
      <c r="S27" s="71">
        <f>IFERROR(R27/R148, "NA")</f>
        <v>0.2207656997</v>
      </c>
      <c r="T27" s="70">
        <f>IFERROR(T15+T16+T17+T18+T19+T20+T21+T22+T23+T24+T25+T26, "NA")</f>
        <v>34728.16</v>
      </c>
      <c r="U27" s="71">
        <f>IFERROR(T27/T148, "NA")</f>
        <v>0.2210426715</v>
      </c>
      <c r="V27" s="70">
        <f>IFERROR(V15+V16+V17+V18+V19+V20+V21+V22+V23+V24+V25+V26, "NA")</f>
        <v>36185.49</v>
      </c>
      <c r="W27" s="71">
        <f>IFERROR(V27/V148, "NA")</f>
        <v>0.2311740262</v>
      </c>
      <c r="X27" s="70">
        <f>IFERROR(X15+X16+X17+X18+X19+X20+X21+X22+X23+X24+X25+X26, "NA")</f>
        <v>34880.13</v>
      </c>
      <c r="Y27" s="71">
        <f>IFERROR(X27/X148, "NA")</f>
        <v>0.2137403397</v>
      </c>
      <c r="Z27" s="70">
        <f>IFERROR(Z15+Z16+Z17+Z18+Z19+Z20+Z21+Z22+Z23+Z24+Z25+Z26, "NA")</f>
        <v>105793.78</v>
      </c>
      <c r="AA27" s="71">
        <f>IFERROR(Z27/Z148, "NA")</f>
        <v>0.2218693635</v>
      </c>
      <c r="AB27" s="70">
        <f t="shared" si="7"/>
        <v>35741.8575</v>
      </c>
      <c r="AC27" s="71">
        <f>IFERROR(AB27/AB148, "NA")</f>
        <v>0.2215813343</v>
      </c>
      <c r="AD27" s="75">
        <f t="shared" si="8"/>
        <v>-861.7275</v>
      </c>
      <c r="AE27" s="76">
        <f>IFERROR(AD27/AD148, "NA")</f>
        <v>-0.4569771373</v>
      </c>
      <c r="AF27" s="75">
        <f t="shared" si="9"/>
        <v>-0.02410975703</v>
      </c>
      <c r="AG27" s="70">
        <f t="shared" si="10"/>
        <v>34985.4225</v>
      </c>
      <c r="AH27" s="71">
        <f>IFERROR(AG27/AG148, "NA")</f>
        <v>0.2210469367</v>
      </c>
      <c r="AI27" s="75">
        <f t="shared" si="11"/>
        <v>-105.2925</v>
      </c>
      <c r="AJ27" s="76">
        <f>IFERROR(AI27/AI148, "NA")</f>
        <v>-0.02141046666</v>
      </c>
      <c r="AK27" s="75">
        <f t="shared" si="12"/>
        <v>-0.003009610646</v>
      </c>
      <c r="AL27" s="76">
        <f>IFERROR(AK27/AK148, "NA")</f>
        <v>-0.09685936835</v>
      </c>
    </row>
    <row r="28" ht="16.5" customHeight="1">
      <c r="A28" s="22" t="s">
        <v>84</v>
      </c>
      <c r="B28" s="23"/>
      <c r="C28" s="10"/>
      <c r="D28" s="23"/>
      <c r="E28" s="10"/>
      <c r="F28" s="23"/>
      <c r="G28" s="10"/>
      <c r="H28" s="23"/>
      <c r="I28" s="10"/>
      <c r="J28" s="23"/>
      <c r="K28" s="10"/>
      <c r="L28" s="23"/>
      <c r="M28" s="10"/>
      <c r="N28" s="23"/>
      <c r="O28" s="10"/>
      <c r="P28" s="23"/>
      <c r="Q28" s="10"/>
      <c r="R28" s="23"/>
      <c r="S28" s="10"/>
      <c r="T28" s="23"/>
      <c r="U28" s="10"/>
      <c r="V28" s="23"/>
      <c r="W28" s="10"/>
      <c r="X28" s="23"/>
      <c r="Y28" s="10"/>
      <c r="Z28" s="23"/>
      <c r="AA28" s="10"/>
      <c r="AB28" s="23"/>
      <c r="AC28" s="10"/>
      <c r="AD28" s="24"/>
      <c r="AE28" s="25"/>
      <c r="AF28" s="24"/>
      <c r="AG28" s="23"/>
      <c r="AH28" s="10"/>
      <c r="AI28" s="24"/>
      <c r="AJ28" s="25"/>
      <c r="AK28" s="24"/>
      <c r="AL28" s="25"/>
    </row>
    <row r="29" ht="16.5" hidden="1" customHeight="1">
      <c r="A29" s="26" t="s">
        <v>85</v>
      </c>
      <c r="B29" s="28">
        <v>0.0</v>
      </c>
      <c r="C29" s="15">
        <f>IFERROR(B29/B148, "NA")</f>
        <v>0</v>
      </c>
      <c r="D29" s="28">
        <v>0.0</v>
      </c>
      <c r="E29" s="15">
        <f>IFERROR(D29/D148, "NA")</f>
        <v>0</v>
      </c>
      <c r="F29" s="28">
        <v>0.0</v>
      </c>
      <c r="G29" s="15">
        <f>IFERROR(F29/F148, "NA")</f>
        <v>0</v>
      </c>
      <c r="H29" s="28">
        <v>0.0</v>
      </c>
      <c r="I29" s="15">
        <f>IFERROR(H29/H148, "NA")</f>
        <v>0</v>
      </c>
      <c r="J29" s="28">
        <v>0.0</v>
      </c>
      <c r="K29" s="15">
        <f>IFERROR(J29/J148, "NA")</f>
        <v>0</v>
      </c>
      <c r="L29" s="28">
        <v>0.0</v>
      </c>
      <c r="M29" s="15">
        <f>IFERROR(L29/L148, "NA")</f>
        <v>0</v>
      </c>
      <c r="N29" s="28">
        <v>0.0</v>
      </c>
      <c r="O29" s="15">
        <f>IFERROR(N29/N148, "NA")</f>
        <v>0</v>
      </c>
      <c r="P29" s="28">
        <v>0.0</v>
      </c>
      <c r="Q29" s="15">
        <f>IFERROR(P29/P148, "NA")</f>
        <v>0</v>
      </c>
      <c r="R29" s="28">
        <v>0.0</v>
      </c>
      <c r="S29" s="15">
        <f>IFERROR(R29/R148, "NA")</f>
        <v>0</v>
      </c>
      <c r="T29" s="28">
        <v>0.0</v>
      </c>
      <c r="U29" s="15">
        <f>IFERROR(T29/T148, "NA")</f>
        <v>0</v>
      </c>
      <c r="V29" s="28">
        <v>0.0</v>
      </c>
      <c r="W29" s="15">
        <f>IFERROR(V29/V148, "NA")</f>
        <v>0</v>
      </c>
      <c r="X29" s="28">
        <v>0.0</v>
      </c>
      <c r="Y29" s="15">
        <f>IFERROR(X29/X148, "NA")</f>
        <v>0</v>
      </c>
      <c r="Z29" s="28">
        <v>0.0</v>
      </c>
      <c r="AA29" s="15">
        <f>IFERROR(Z29/Z148, "NA")</f>
        <v>0</v>
      </c>
      <c r="AB29" s="57">
        <f t="shared" ref="AB29:AB35" si="13">IFERROR((R29+T29+V29+X29)/4, "NA")</f>
        <v>0</v>
      </c>
      <c r="AC29" s="15">
        <f>IFERROR(AB29/AB148, "NA")</f>
        <v>0</v>
      </c>
      <c r="AD29" s="61">
        <f t="shared" ref="AD29:AD35" si="14">IFERROR(X29-AB29, "NA")</f>
        <v>0</v>
      </c>
      <c r="AE29" s="62">
        <f>IFERROR(AD29/AD148, "NA")</f>
        <v>0</v>
      </c>
      <c r="AF29" s="61" t="str">
        <f t="shared" ref="AF29:AF35" si="15">IFERROR((X29-AB29)/AB29, "NA")</f>
        <v>NA</v>
      </c>
      <c r="AG29" s="57">
        <f t="shared" ref="AG29:AG35" si="16">IFERROR((J29+L29+N29+P29+R29+T29+V29+X29)/8, "NA")</f>
        <v>0</v>
      </c>
      <c r="AH29" s="15">
        <f>IFERROR(AG29/AG148, "NA")</f>
        <v>0</v>
      </c>
      <c r="AI29" s="61">
        <f t="shared" ref="AI29:AI35" si="17">IFERROR(X29-AG29, "NA")</f>
        <v>0</v>
      </c>
      <c r="AJ29" s="62">
        <f>IFERROR(AI29/AI148, "NA")</f>
        <v>0</v>
      </c>
      <c r="AK29" s="61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6" t="s">
        <v>88</v>
      </c>
      <c r="B30" s="28">
        <v>1101.27</v>
      </c>
      <c r="C30" s="15">
        <f>IFERROR(B30/B148, "NA")</f>
        <v>0.01288500907</v>
      </c>
      <c r="D30" s="28">
        <v>1336.91</v>
      </c>
      <c r="E30" s="15">
        <f>IFERROR(D30/D148, "NA")</f>
        <v>0.01104203433</v>
      </c>
      <c r="F30" s="28">
        <v>1732.1</v>
      </c>
      <c r="G30" s="15">
        <f>IFERROR(F30/F148, "NA")</f>
        <v>0.01308896172</v>
      </c>
      <c r="H30" s="28">
        <v>1175.47</v>
      </c>
      <c r="I30" s="15">
        <f>IFERROR(H30/H148, "NA")</f>
        <v>0.008218075754</v>
      </c>
      <c r="J30" s="28">
        <v>1425.05</v>
      </c>
      <c r="K30" s="15">
        <f>IFERROR(J30/J148, "NA")</f>
        <v>0.01064665753</v>
      </c>
      <c r="L30" s="28">
        <v>1846.0</v>
      </c>
      <c r="M30" s="15">
        <f>IFERROR(L30/L148, "NA")</f>
        <v>0.01193213369</v>
      </c>
      <c r="N30" s="28">
        <v>1843.37</v>
      </c>
      <c r="O30" s="15">
        <f>IFERROR(N30/N148, "NA")</f>
        <v>0.01154333031</v>
      </c>
      <c r="P30" s="28">
        <v>1774.06</v>
      </c>
      <c r="Q30" s="15">
        <f>IFERROR(P30/P148, "NA")</f>
        <v>0.0102720002</v>
      </c>
      <c r="R30" s="28">
        <v>1964.69</v>
      </c>
      <c r="S30" s="15">
        <f>IFERROR(R30/R148, "NA")</f>
        <v>0.01166783898</v>
      </c>
      <c r="T30" s="28">
        <v>2051.15</v>
      </c>
      <c r="U30" s="15">
        <f>IFERROR(T30/T148, "NA")</f>
        <v>0.01305544767</v>
      </c>
      <c r="V30" s="28">
        <v>1785.86</v>
      </c>
      <c r="W30" s="15">
        <f>IFERROR(V30/V148, "NA")</f>
        <v>0.01140911582</v>
      </c>
      <c r="X30" s="28">
        <v>2184.82</v>
      </c>
      <c r="Y30" s="15">
        <f>IFERROR(X30/X148, "NA")</f>
        <v>0.0133882577</v>
      </c>
      <c r="Z30" s="28">
        <v>6021.83</v>
      </c>
      <c r="AA30" s="15">
        <f>IFERROR(Z30/Z148, "NA")</f>
        <v>0.01262890492</v>
      </c>
      <c r="AB30" s="57">
        <f t="shared" si="13"/>
        <v>1996.63</v>
      </c>
      <c r="AC30" s="15">
        <f>IFERROR(AB30/AB148, "NA")</f>
        <v>0.0123780903</v>
      </c>
      <c r="AD30" s="61">
        <f t="shared" si="14"/>
        <v>188.19</v>
      </c>
      <c r="AE30" s="62">
        <f>IFERROR(AD30/AD148, "NA")</f>
        <v>0.09979782178</v>
      </c>
      <c r="AF30" s="61">
        <f t="shared" si="15"/>
        <v>0.09425381768</v>
      </c>
      <c r="AG30" s="57">
        <f t="shared" si="16"/>
        <v>1859.375</v>
      </c>
      <c r="AH30" s="15">
        <f>IFERROR(AG30/AG148, "NA")</f>
        <v>0.01174801156</v>
      </c>
      <c r="AI30" s="61">
        <f t="shared" si="17"/>
        <v>325.445</v>
      </c>
      <c r="AJ30" s="62">
        <f>IFERROR(AI30/AI148, "NA")</f>
        <v>0.06617688176</v>
      </c>
      <c r="AK30" s="61">
        <f t="shared" si="18"/>
        <v>0.1750292437</v>
      </c>
      <c r="AL30" s="62">
        <f>IFERROR(AK30/AK148, "NA")</f>
        <v>5.633028316</v>
      </c>
    </row>
    <row r="31" ht="16.5" customHeight="1">
      <c r="A31" s="26" t="s">
        <v>89</v>
      </c>
      <c r="B31" s="28">
        <v>-21.53</v>
      </c>
      <c r="C31" s="15">
        <f>IFERROR(B31/B148, "NA")</f>
        <v>-0.0002519039339</v>
      </c>
      <c r="D31" s="28">
        <v>16.07</v>
      </c>
      <c r="E31" s="15">
        <f>IFERROR(D31/D148, "NA")</f>
        <v>0.0001327280757</v>
      </c>
      <c r="F31" s="28">
        <v>58.3</v>
      </c>
      <c r="G31" s="15">
        <f>IFERROR(F31/F148, "NA")</f>
        <v>0.0004405556654</v>
      </c>
      <c r="H31" s="28">
        <v>30.3</v>
      </c>
      <c r="I31" s="15">
        <f>IFERROR(H31/H148, "NA")</f>
        <v>0.0002118367082</v>
      </c>
      <c r="J31" s="28">
        <v>52.03</v>
      </c>
      <c r="K31" s="15">
        <f>IFERROR(J31/J148, "NA")</f>
        <v>0.000388720109</v>
      </c>
      <c r="L31" s="28">
        <v>27.02</v>
      </c>
      <c r="M31" s="15">
        <f>IFERROR(L31/L148, "NA")</f>
        <v>0.0001746512743</v>
      </c>
      <c r="N31" s="28">
        <v>87.41</v>
      </c>
      <c r="O31" s="15">
        <f>IFERROR(N31/N148, "NA")</f>
        <v>0.0005473684079</v>
      </c>
      <c r="P31" s="28">
        <v>59.97</v>
      </c>
      <c r="Q31" s="15">
        <f>IFERROR(P31/P148, "NA")</f>
        <v>0.0003472328173</v>
      </c>
      <c r="R31" s="28">
        <v>85.16</v>
      </c>
      <c r="S31" s="15">
        <f>IFERROR(R31/R148, "NA")</f>
        <v>0.0005057455209</v>
      </c>
      <c r="T31" s="28">
        <v>93.63</v>
      </c>
      <c r="U31" s="15">
        <f>IFERROR(T31/T148, "NA")</f>
        <v>0.0005959493773</v>
      </c>
      <c r="V31" s="28">
        <v>88.87</v>
      </c>
      <c r="W31" s="15">
        <f>IFERROR(V31/V148, "NA")</f>
        <v>0.0005677534201</v>
      </c>
      <c r="X31" s="28">
        <v>46.2</v>
      </c>
      <c r="Y31" s="15">
        <f>IFERROR(X31/X148, "NA")</f>
        <v>0.0002831068489</v>
      </c>
      <c r="Z31" s="28">
        <v>228.7</v>
      </c>
      <c r="AA31" s="15">
        <f>IFERROR(Z31/Z148, "NA")</f>
        <v>0.0004796267175</v>
      </c>
      <c r="AB31" s="57">
        <f t="shared" si="13"/>
        <v>78.465</v>
      </c>
      <c r="AC31" s="15">
        <f>IFERROR(AB31/AB148, "NA")</f>
        <v>0.0004864430842</v>
      </c>
      <c r="AD31" s="61">
        <f t="shared" si="14"/>
        <v>-32.265</v>
      </c>
      <c r="AE31" s="62">
        <f>IFERROR(AD31/AD148, "NA")</f>
        <v>-0.01711024348</v>
      </c>
      <c r="AF31" s="61">
        <f t="shared" si="15"/>
        <v>-0.411202447</v>
      </c>
      <c r="AG31" s="57">
        <f t="shared" si="16"/>
        <v>67.53625</v>
      </c>
      <c r="AH31" s="15">
        <f>IFERROR(AG31/AG148, "NA")</f>
        <v>0.0004267114732</v>
      </c>
      <c r="AI31" s="61">
        <f t="shared" si="17"/>
        <v>-21.33625</v>
      </c>
      <c r="AJ31" s="62">
        <f>IFERROR(AI31/AI148, "NA")</f>
        <v>-0.004338571782</v>
      </c>
      <c r="AK31" s="61">
        <f t="shared" si="18"/>
        <v>-0.3159229303</v>
      </c>
      <c r="AL31" s="62">
        <f>IFERROR(AK31/AK148, "NA")</f>
        <v>-10.16745987</v>
      </c>
    </row>
    <row r="32" ht="16.5" customHeight="1">
      <c r="A32" s="26" t="s">
        <v>90</v>
      </c>
      <c r="B32" s="28">
        <v>-13.35</v>
      </c>
      <c r="C32" s="15">
        <f>IFERROR(B32/B148, "NA")</f>
        <v>-0.0001561968192</v>
      </c>
      <c r="D32" s="28">
        <v>7.14</v>
      </c>
      <c r="E32" s="15">
        <f>IFERROR(D32/D148, "NA")</f>
        <v>0.00005897190171</v>
      </c>
      <c r="F32" s="28">
        <v>2.78</v>
      </c>
      <c r="G32" s="15">
        <f>IFERROR(F32/F148, "NA")</f>
        <v>0.00002100762864</v>
      </c>
      <c r="H32" s="28">
        <v>68.5</v>
      </c>
      <c r="I32" s="15">
        <f>IFERROR(H32/H148, "NA")</f>
        <v>0.0004789047693</v>
      </c>
      <c r="J32" s="28">
        <v>-64.89</v>
      </c>
      <c r="K32" s="15">
        <f>IFERROR(J32/J148, "NA")</f>
        <v>-0.0004847981524</v>
      </c>
      <c r="L32" s="28">
        <v>62.44</v>
      </c>
      <c r="M32" s="15">
        <f>IFERROR(L32/L148, "NA")</f>
        <v>0.0004035982816</v>
      </c>
      <c r="N32" s="28">
        <v>82.66</v>
      </c>
      <c r="O32" s="15">
        <f>IFERROR(N32/N148, "NA")</f>
        <v>0.0005176235281</v>
      </c>
      <c r="P32" s="28">
        <v>71.02</v>
      </c>
      <c r="Q32" s="15">
        <f>IFERROR(P32/P148, "NA")</f>
        <v>0.0004112135182</v>
      </c>
      <c r="R32" s="28">
        <v>-14.93</v>
      </c>
      <c r="S32" s="15">
        <f>IFERROR(R32/R148, "NA")</f>
        <v>-0.00008866581291</v>
      </c>
      <c r="T32" s="28">
        <v>-47.73</v>
      </c>
      <c r="U32" s="15">
        <f>IFERROR(T32/T148, "NA")</f>
        <v>-0.0003037986092</v>
      </c>
      <c r="V32" s="28">
        <v>78.11</v>
      </c>
      <c r="W32" s="15">
        <f>IFERROR(V32/V148, "NA")</f>
        <v>0.0004990122611</v>
      </c>
      <c r="X32" s="28">
        <v>-30.06</v>
      </c>
      <c r="Y32" s="15">
        <f>IFERROR(X32/X148, "NA")</f>
        <v>-0.0001842032874</v>
      </c>
      <c r="Z32" s="28">
        <v>0.319999999999993</v>
      </c>
      <c r="AA32" s="15">
        <f>IFERROR(Z32/Z148, "NA")</f>
        <v>0.0000006710999107</v>
      </c>
      <c r="AB32" s="57">
        <f t="shared" si="13"/>
        <v>-3.6525</v>
      </c>
      <c r="AC32" s="15">
        <f>IFERROR(AB32/AB148, "NA")</f>
        <v>-0.00002264364194</v>
      </c>
      <c r="AD32" s="61">
        <f t="shared" si="14"/>
        <v>-26.4075</v>
      </c>
      <c r="AE32" s="62">
        <f>IFERROR(AD32/AD148, "NA")</f>
        <v>-0.01400399053</v>
      </c>
      <c r="AF32" s="61">
        <f t="shared" si="15"/>
        <v>7.229979466</v>
      </c>
      <c r="AG32" s="57">
        <f t="shared" si="16"/>
        <v>17.0775</v>
      </c>
      <c r="AH32" s="15">
        <f>IFERROR(AG32/AG148, "NA")</f>
        <v>0.0001079000564</v>
      </c>
      <c r="AI32" s="61">
        <f t="shared" si="17"/>
        <v>-47.1375</v>
      </c>
      <c r="AJ32" s="62">
        <f>IFERROR(AI32/AI148, "NA")</f>
        <v>-0.009585068948</v>
      </c>
      <c r="AK32" s="61">
        <f t="shared" si="18"/>
        <v>-2.760210804</v>
      </c>
      <c r="AL32" s="62">
        <f>IFERROR(AK32/AK148, "NA")</f>
        <v>-88.83284466</v>
      </c>
    </row>
    <row r="33" ht="16.5" customHeight="1">
      <c r="A33" s="26" t="s">
        <v>91</v>
      </c>
      <c r="B33" s="28">
        <v>-13.76</v>
      </c>
      <c r="C33" s="15">
        <f>IFERROR(B33/B148, "NA")</f>
        <v>-0.0001609938751</v>
      </c>
      <c r="D33" s="28">
        <v>13.6</v>
      </c>
      <c r="E33" s="15">
        <f>IFERROR(D33/D148, "NA")</f>
        <v>0.0001123274318</v>
      </c>
      <c r="F33" s="28">
        <v>15.71</v>
      </c>
      <c r="G33" s="15">
        <f>IFERROR(F33/F148, "NA")</f>
        <v>0.0001187157719</v>
      </c>
      <c r="H33" s="28">
        <v>9.68</v>
      </c>
      <c r="I33" s="15">
        <f>IFERROR(H33/H148, "NA")</f>
        <v>0.00006767588564</v>
      </c>
      <c r="J33" s="28">
        <v>19.24</v>
      </c>
      <c r="K33" s="15">
        <f>IFERROR(J33/J148, "NA")</f>
        <v>0.0001437435114</v>
      </c>
      <c r="L33" s="28">
        <v>14.34</v>
      </c>
      <c r="M33" s="15">
        <f>IFERROR(L33/L148, "NA")</f>
        <v>0.00009269057269</v>
      </c>
      <c r="N33" s="28">
        <v>6.67</v>
      </c>
      <c r="O33" s="15">
        <f>IFERROR(N33/N148, "NA")</f>
        <v>0.00004176807322</v>
      </c>
      <c r="P33" s="28">
        <v>54.33</v>
      </c>
      <c r="Q33" s="15">
        <f>IFERROR(P33/P148, "NA")</f>
        <v>0.0003145766044</v>
      </c>
      <c r="R33" s="28">
        <v>7.7</v>
      </c>
      <c r="S33" s="15">
        <f>IFERROR(R33/R148, "NA")</f>
        <v>0.00004572851704</v>
      </c>
      <c r="T33" s="28">
        <v>72.78</v>
      </c>
      <c r="U33" s="15">
        <f>IFERROR(T33/T148, "NA")</f>
        <v>0.0004632403683</v>
      </c>
      <c r="V33" s="28">
        <v>6.42</v>
      </c>
      <c r="W33" s="15">
        <f>IFERROR(V33/V148, "NA")</f>
        <v>0.00004101470639</v>
      </c>
      <c r="X33" s="28">
        <v>2.68</v>
      </c>
      <c r="Y33" s="15">
        <f>IFERROR(X33/X148, "NA")</f>
        <v>0.00001642264838</v>
      </c>
      <c r="Z33" s="28">
        <v>81.88</v>
      </c>
      <c r="AA33" s="15">
        <f>IFERROR(Z33/Z148, "NA")</f>
        <v>0.0001717176897</v>
      </c>
      <c r="AB33" s="57">
        <f t="shared" si="13"/>
        <v>22.395</v>
      </c>
      <c r="AC33" s="15">
        <f>IFERROR(AB33/AB148, "NA")</f>
        <v>0.0001388376075</v>
      </c>
      <c r="AD33" s="61">
        <f t="shared" si="14"/>
        <v>-19.715</v>
      </c>
      <c r="AE33" s="62">
        <f>IFERROR(AD33/AD148, "NA")</f>
        <v>-0.01045493414</v>
      </c>
      <c r="AF33" s="61">
        <f t="shared" si="15"/>
        <v>-0.8803304309</v>
      </c>
      <c r="AG33" s="57">
        <f t="shared" si="16"/>
        <v>23.02</v>
      </c>
      <c r="AH33" s="15">
        <f>IFERROR(AG33/AG148, "NA")</f>
        <v>0.0001454463064</v>
      </c>
      <c r="AI33" s="61">
        <f t="shared" si="17"/>
        <v>-20.34</v>
      </c>
      <c r="AJ33" s="62">
        <f>IFERROR(AI33/AI148, "NA")</f>
        <v>-0.004135991565</v>
      </c>
      <c r="AK33" s="61">
        <f t="shared" si="18"/>
        <v>-0.8835794961</v>
      </c>
      <c r="AL33" s="62">
        <f>IFERROR(AK33/AK148, "NA")</f>
        <v>-28.43655275</v>
      </c>
    </row>
    <row r="34" ht="16.5" customHeight="1">
      <c r="A34" s="67" t="s">
        <v>92</v>
      </c>
      <c r="B34" s="70">
        <f>IFERROR(B29+B30+B31+B32+B33, "NA")</f>
        <v>1052.63</v>
      </c>
      <c r="C34" s="71">
        <f>IFERROR(B34/B148, "NA")</f>
        <v>0.01231591444</v>
      </c>
      <c r="D34" s="70">
        <f>IFERROR(D29+D30+D31+D32+D33, "NA")</f>
        <v>1373.72</v>
      </c>
      <c r="E34" s="71">
        <f>IFERROR(D34/D148, "NA")</f>
        <v>0.01134606174</v>
      </c>
      <c r="F34" s="70">
        <f>IFERROR(F29+F30+F31+F32+F33, "NA")</f>
        <v>1808.89</v>
      </c>
      <c r="G34" s="71">
        <f>IFERROR(F34/F148, "NA")</f>
        <v>0.01366924078</v>
      </c>
      <c r="H34" s="70">
        <f>IFERROR(H29+H30+H31+H32+H33, "NA")</f>
        <v>1283.95</v>
      </c>
      <c r="I34" s="71">
        <f>IFERROR(H34/H148, "NA")</f>
        <v>0.008976493117</v>
      </c>
      <c r="J34" s="70">
        <f>IFERROR(J29+J30+J31+J32+J33, "NA")</f>
        <v>1431.43</v>
      </c>
      <c r="K34" s="71">
        <f>IFERROR(J34/J148, "NA")</f>
        <v>0.010694323</v>
      </c>
      <c r="L34" s="70">
        <f>IFERROR(L29+L30+L31+L32+L33, "NA")</f>
        <v>1949.8</v>
      </c>
      <c r="M34" s="71">
        <f>IFERROR(L34/L148, "NA")</f>
        <v>0.01260307382</v>
      </c>
      <c r="N34" s="70">
        <f>IFERROR(N29+N30+N31+N32+N33, "NA")</f>
        <v>2020.11</v>
      </c>
      <c r="O34" s="71">
        <f>IFERROR(N34/N148, "NA")</f>
        <v>0.01265009031</v>
      </c>
      <c r="P34" s="70">
        <f>IFERROR(P29+P30+P31+P32+P33, "NA")</f>
        <v>1959.38</v>
      </c>
      <c r="Q34" s="71">
        <f>IFERROR(P34/P148, "NA")</f>
        <v>0.01134502314</v>
      </c>
      <c r="R34" s="70">
        <f>IFERROR(R29+R30+R31+R32+R33, "NA")</f>
        <v>2042.62</v>
      </c>
      <c r="S34" s="71">
        <f>IFERROR(R34/R148, "NA")</f>
        <v>0.0121306472</v>
      </c>
      <c r="T34" s="70">
        <f>IFERROR(T29+T30+T31+T32+T33, "NA")</f>
        <v>2169.83</v>
      </c>
      <c r="U34" s="71">
        <f>IFERROR(T34/T148, "NA")</f>
        <v>0.01381083881</v>
      </c>
      <c r="V34" s="70">
        <f>IFERROR(V29+V30+V31+V32+V33, "NA")</f>
        <v>1959.26</v>
      </c>
      <c r="W34" s="71">
        <f>IFERROR(V34/V148, "NA")</f>
        <v>0.01251689621</v>
      </c>
      <c r="X34" s="70">
        <f>IFERROR(X29+X30+X31+X32+X33, "NA")</f>
        <v>2203.64</v>
      </c>
      <c r="Y34" s="71">
        <f>IFERROR(X34/X148, "NA")</f>
        <v>0.01350358391</v>
      </c>
      <c r="Z34" s="70">
        <f>IFERROR(Z29+Z30+Z31+Z32+Z33, "NA")</f>
        <v>6332.73</v>
      </c>
      <c r="AA34" s="71">
        <f>IFERROR(Z34/Z148, "NA")</f>
        <v>0.01328092043</v>
      </c>
      <c r="AB34" s="70">
        <f t="shared" si="13"/>
        <v>2093.8375</v>
      </c>
      <c r="AC34" s="71">
        <f>IFERROR(AB34/AB148, "NA")</f>
        <v>0.01298072735</v>
      </c>
      <c r="AD34" s="75">
        <f t="shared" si="14"/>
        <v>109.8025</v>
      </c>
      <c r="AE34" s="76">
        <f>IFERROR(AD34/AD148, "NA")</f>
        <v>0.05822865363</v>
      </c>
      <c r="AF34" s="75">
        <f t="shared" si="15"/>
        <v>0.05244079352</v>
      </c>
      <c r="AG34" s="70">
        <f t="shared" si="16"/>
        <v>1967.00875</v>
      </c>
      <c r="AH34" s="71">
        <f>IFERROR(AG34/AG148, "NA")</f>
        <v>0.01242806939</v>
      </c>
      <c r="AI34" s="75">
        <f t="shared" si="17"/>
        <v>236.63125</v>
      </c>
      <c r="AJ34" s="76">
        <f>IFERROR(AI34/AI148, "NA")</f>
        <v>0.04811724946</v>
      </c>
      <c r="AK34" s="75">
        <f t="shared" si="18"/>
        <v>0.1203000495</v>
      </c>
      <c r="AL34" s="76">
        <f>IFERROR(AK34/AK148, "NA")</f>
        <v>3.871659221</v>
      </c>
    </row>
    <row r="35" ht="16.5" customHeight="1">
      <c r="A35" s="67" t="s">
        <v>93</v>
      </c>
      <c r="B35" s="70">
        <f>IFERROR(B13+B15+B16+B17+B18+B19+B20+B21+B22+B23+B24+B25+B26+B29+B30+B31+B32+B33, "NA")</f>
        <v>21282.32</v>
      </c>
      <c r="C35" s="71">
        <f>IFERROR(B35/B148, "NA")</f>
        <v>0.2490060442</v>
      </c>
      <c r="D35" s="70">
        <f>IFERROR(D13+D15+D16+D17+D18+D19+D20+D21+D22+D23+D24+D25+D26+D29+D30+D31+D32+D33, "NA")</f>
        <v>28681.55</v>
      </c>
      <c r="E35" s="71">
        <f>IFERROR(D35/D148, "NA")</f>
        <v>0.2368915332</v>
      </c>
      <c r="F35" s="70">
        <f>IFERROR(F13+F15+F16+F17+F18+F19+F20+F21+F22+F23+F24+F25+F26+F29+F30+F31+F32+F33, "NA")</f>
        <v>30092.27</v>
      </c>
      <c r="G35" s="71">
        <f>IFERROR(F35/F148, "NA")</f>
        <v>0.2273982853</v>
      </c>
      <c r="H35" s="70">
        <f>IFERROR(H13+H15+H16+H17+H18+H19+H20+H21+H22+H23+H24+H25+H26+H29+H30+H31+H32+H33, "NA")</f>
        <v>33156.24</v>
      </c>
      <c r="I35" s="71">
        <f>IFERROR(H35/H148, "NA")</f>
        <v>0.2318055689</v>
      </c>
      <c r="J35" s="70">
        <f>IFERROR(J13+J15+J16+J17+J18+J19+J20+J21+J22+J23+J24+J25+J26+J29+J30+J31+J32+J33, "NA")</f>
        <v>31721.86</v>
      </c>
      <c r="K35" s="71">
        <f>IFERROR(J35/J148, "NA")</f>
        <v>0.236996442</v>
      </c>
      <c r="L35" s="70">
        <f>IFERROR(L13+L15+L16+L17+L18+L19+L20+L21+L22+L23+L24+L25+L26+L29+L30+L31+L32+L33, "NA")</f>
        <v>35776.42</v>
      </c>
      <c r="M35" s="71">
        <f>IFERROR(L35/L148, "NA")</f>
        <v>0.231250827</v>
      </c>
      <c r="N35" s="70">
        <f>IFERROR(N13+N15+N16+N17+N18+N19+N20+N21+N22+N23+N24+N25+N26+N29+N30+N31+N32+N33, "NA")</f>
        <v>37294.65</v>
      </c>
      <c r="O35" s="71">
        <f>IFERROR(N35/N148, "NA")</f>
        <v>0.2335420798</v>
      </c>
      <c r="P35" s="70">
        <f>IFERROR(P13+P15+P16+P17+P18+P19+P20+P21+P22+P23+P24+P25+P26+P29+P30+P31+P32+P33, "NA")</f>
        <v>39483.74</v>
      </c>
      <c r="Q35" s="71">
        <f>IFERROR(P35/P148, "NA")</f>
        <v>0.2286151455</v>
      </c>
      <c r="R35" s="70">
        <f>IFERROR(R13+R15+R16+R17+R18+R19+R20+R21+R22+R23+R24+R25+R26+R29+R30+R31+R32+R33, "NA")</f>
        <v>39216.27</v>
      </c>
      <c r="S35" s="71">
        <f>IFERROR(R35/R148, "NA")</f>
        <v>0.2328963469</v>
      </c>
      <c r="T35" s="70">
        <f>IFERROR(T13+T15+T16+T17+T18+T19+T20+T21+T22+T23+T24+T25+T26+T29+T30+T31+T32+T33, "NA")</f>
        <v>36897.99</v>
      </c>
      <c r="U35" s="71">
        <f>IFERROR(T35/T148, "NA")</f>
        <v>0.2348535103</v>
      </c>
      <c r="V35" s="70">
        <f>IFERROR(V13+V15+V16+V17+V18+V19+V20+V21+V22+V23+V24+V25+V26+V29+V30+V31+V32+V33, "NA")</f>
        <v>38144.75</v>
      </c>
      <c r="W35" s="71">
        <f>IFERROR(V35/V148, "NA")</f>
        <v>0.2436909224</v>
      </c>
      <c r="X35" s="70">
        <f>IFERROR(X13+X15+X16+X17+X18+X19+X20+X21+X22+X23+X24+X25+X26+X29+X30+X31+X32+X33, "NA")</f>
        <v>37083.77</v>
      </c>
      <c r="Y35" s="71">
        <f>IFERROR(X35/X148, "NA")</f>
        <v>0.2272439236</v>
      </c>
      <c r="Z35" s="70">
        <f>IFERROR(Z13+Z15+Z16+Z17+Z18+Z19+Z20+Z21+Z22+Z23+Z24+Z25+Z26+Z29+Z30+Z31+Z32+Z33, "NA")</f>
        <v>112126.51</v>
      </c>
      <c r="AA35" s="71">
        <f>IFERROR(Z35/Z148, "NA")</f>
        <v>0.2351502839</v>
      </c>
      <c r="AB35" s="70">
        <f t="shared" si="13"/>
        <v>37835.695</v>
      </c>
      <c r="AC35" s="71">
        <f>IFERROR(AB35/AB148, "NA")</f>
        <v>0.2345620617</v>
      </c>
      <c r="AD35" s="75">
        <f t="shared" si="14"/>
        <v>-751.925</v>
      </c>
      <c r="AE35" s="76">
        <f>IFERROR(AD35/AD148, "NA")</f>
        <v>-0.3987484837</v>
      </c>
      <c r="AF35" s="75">
        <f t="shared" si="15"/>
        <v>-0.01987342905</v>
      </c>
      <c r="AG35" s="70">
        <f t="shared" si="16"/>
        <v>36952.43125</v>
      </c>
      <c r="AH35" s="71">
        <f>IFERROR(AG35/AG148, "NA")</f>
        <v>0.2334750061</v>
      </c>
      <c r="AI35" s="75">
        <f t="shared" si="17"/>
        <v>131.33875</v>
      </c>
      <c r="AJ35" s="76">
        <f>IFERROR(AI35/AI148, "NA")</f>
        <v>0.0267067828</v>
      </c>
      <c r="AK35" s="75">
        <f t="shared" si="18"/>
        <v>0.003554265459</v>
      </c>
      <c r="AL35" s="76">
        <f>IFERROR(AK35/AK148, "NA")</f>
        <v>0.1143881876</v>
      </c>
    </row>
    <row r="36" ht="16.5" customHeight="1">
      <c r="A36" s="22" t="s">
        <v>94</v>
      </c>
      <c r="B36" s="23"/>
      <c r="C36" s="10"/>
      <c r="D36" s="23"/>
      <c r="E36" s="10"/>
      <c r="F36" s="23"/>
      <c r="G36" s="10"/>
      <c r="H36" s="23"/>
      <c r="I36" s="10"/>
      <c r="J36" s="23"/>
      <c r="K36" s="10"/>
      <c r="L36" s="23"/>
      <c r="M36" s="10"/>
      <c r="N36" s="23"/>
      <c r="O36" s="10"/>
      <c r="P36" s="23"/>
      <c r="Q36" s="10"/>
      <c r="R36" s="23"/>
      <c r="S36" s="10"/>
      <c r="T36" s="23"/>
      <c r="U36" s="10"/>
      <c r="V36" s="23"/>
      <c r="W36" s="10"/>
      <c r="X36" s="23"/>
      <c r="Y36" s="10"/>
      <c r="Z36" s="23"/>
      <c r="AA36" s="10"/>
      <c r="AB36" s="23"/>
      <c r="AC36" s="10"/>
      <c r="AD36" s="24"/>
      <c r="AE36" s="25"/>
      <c r="AF36" s="24"/>
      <c r="AG36" s="23"/>
      <c r="AH36" s="10"/>
      <c r="AI36" s="24"/>
      <c r="AJ36" s="25"/>
      <c r="AK36" s="24"/>
      <c r="AL36" s="25"/>
    </row>
    <row r="37" ht="16.5" hidden="1" customHeight="1">
      <c r="A37" s="26" t="s">
        <v>95</v>
      </c>
      <c r="B37" s="28">
        <v>0.0</v>
      </c>
      <c r="C37" s="15">
        <f>IFERROR(B37/B148, "NA")</f>
        <v>0</v>
      </c>
      <c r="D37" s="28">
        <v>0.0</v>
      </c>
      <c r="E37" s="15">
        <f>IFERROR(D37/D148, "NA")</f>
        <v>0</v>
      </c>
      <c r="F37" s="28">
        <v>0.0</v>
      </c>
      <c r="G37" s="15">
        <f>IFERROR(F37/F148, "NA")</f>
        <v>0</v>
      </c>
      <c r="H37" s="28">
        <v>0.0</v>
      </c>
      <c r="I37" s="15">
        <f>IFERROR(H37/H148, "NA")</f>
        <v>0</v>
      </c>
      <c r="J37" s="28">
        <v>0.0</v>
      </c>
      <c r="K37" s="15">
        <f>IFERROR(J37/J148, "NA")</f>
        <v>0</v>
      </c>
      <c r="L37" s="28">
        <v>0.0</v>
      </c>
      <c r="M37" s="15">
        <f>IFERROR(L37/L148, "NA")</f>
        <v>0</v>
      </c>
      <c r="N37" s="28">
        <v>0.0</v>
      </c>
      <c r="O37" s="15">
        <f>IFERROR(N37/N148, "NA")</f>
        <v>0</v>
      </c>
      <c r="P37" s="28">
        <v>0.0</v>
      </c>
      <c r="Q37" s="15">
        <f>IFERROR(P37/P148, "NA")</f>
        <v>0</v>
      </c>
      <c r="R37" s="28">
        <v>0.0</v>
      </c>
      <c r="S37" s="15">
        <f>IFERROR(R37/R148, "NA")</f>
        <v>0</v>
      </c>
      <c r="T37" s="28">
        <v>0.0</v>
      </c>
      <c r="U37" s="15">
        <f>IFERROR(T37/T148, "NA")</f>
        <v>0</v>
      </c>
      <c r="V37" s="28">
        <v>0.0</v>
      </c>
      <c r="W37" s="15">
        <f>IFERROR(V37/V148, "NA")</f>
        <v>0</v>
      </c>
      <c r="X37" s="28">
        <v>0.0</v>
      </c>
      <c r="Y37" s="15">
        <f>IFERROR(X37/X148, "NA")</f>
        <v>0</v>
      </c>
      <c r="Z37" s="28">
        <v>0.0</v>
      </c>
      <c r="AA37" s="15">
        <f>IFERROR(Z37/Z148, "NA")</f>
        <v>0</v>
      </c>
      <c r="AB37" s="57">
        <f>IFERROR((R37+T37+V37+X37)/4, "NA")</f>
        <v>0</v>
      </c>
      <c r="AC37" s="15">
        <f>IFERROR(AB37/AB148, "NA")</f>
        <v>0</v>
      </c>
      <c r="AD37" s="61">
        <f>IFERROR(X37-AB37, "NA")</f>
        <v>0</v>
      </c>
      <c r="AE37" s="62">
        <f>IFERROR(AD37/AD148, "NA")</f>
        <v>0</v>
      </c>
      <c r="AF37" s="61" t="str">
        <f>IFERROR((X37-AB37)/AB37, "NA")</f>
        <v>NA</v>
      </c>
      <c r="AG37" s="57">
        <f>IFERROR((J37+L37+N37+P37+R37+T37+V37+X37)/8, "NA")</f>
        <v>0</v>
      </c>
      <c r="AH37" s="15">
        <f>IFERROR(AG37/AG148, "NA")</f>
        <v>0</v>
      </c>
      <c r="AI37" s="61">
        <f>IFERROR(X37-AG37, "NA")</f>
        <v>0</v>
      </c>
      <c r="AJ37" s="62">
        <f>IFERROR(AI37/AI148, "NA")</f>
        <v>0</v>
      </c>
      <c r="AK37" s="61" t="str">
        <f>IFERROR((X37-AG37)/AG37, "NA")</f>
        <v>NA</v>
      </c>
      <c r="AL37" s="62" t="str">
        <f>IFERROR(AK37/AK148, "NA")</f>
        <v>NA</v>
      </c>
    </row>
    <row r="38" ht="16.5" customHeight="1">
      <c r="A38" s="22" t="s">
        <v>96</v>
      </c>
      <c r="B38" s="23"/>
      <c r="C38" s="10"/>
      <c r="D38" s="23"/>
      <c r="E38" s="10"/>
      <c r="F38" s="23"/>
      <c r="G38" s="10"/>
      <c r="H38" s="23"/>
      <c r="I38" s="10"/>
      <c r="J38" s="23"/>
      <c r="K38" s="10"/>
      <c r="L38" s="23"/>
      <c r="M38" s="10"/>
      <c r="N38" s="23"/>
      <c r="O38" s="10"/>
      <c r="P38" s="23"/>
      <c r="Q38" s="10"/>
      <c r="R38" s="23"/>
      <c r="S38" s="10"/>
      <c r="T38" s="23"/>
      <c r="U38" s="10"/>
      <c r="V38" s="23"/>
      <c r="W38" s="10"/>
      <c r="X38" s="23"/>
      <c r="Y38" s="10"/>
      <c r="Z38" s="23"/>
      <c r="AA38" s="10"/>
      <c r="AB38" s="23"/>
      <c r="AC38" s="10"/>
      <c r="AD38" s="24"/>
      <c r="AE38" s="25"/>
      <c r="AF38" s="24"/>
      <c r="AG38" s="23"/>
      <c r="AH38" s="10"/>
      <c r="AI38" s="24"/>
      <c r="AJ38" s="25"/>
      <c r="AK38" s="24"/>
      <c r="AL38" s="25"/>
    </row>
    <row r="39" ht="16.5" hidden="1" customHeight="1">
      <c r="A39" s="26" t="s">
        <v>97</v>
      </c>
      <c r="B39" s="28">
        <v>0.0</v>
      </c>
      <c r="C39" s="15">
        <f>IFERROR(B39/B148, "NA")</f>
        <v>0</v>
      </c>
      <c r="D39" s="28">
        <v>0.0</v>
      </c>
      <c r="E39" s="15">
        <f>IFERROR(D39/D148, "NA")</f>
        <v>0</v>
      </c>
      <c r="F39" s="28">
        <v>0.0</v>
      </c>
      <c r="G39" s="15">
        <f>IFERROR(F39/F148, "NA")</f>
        <v>0</v>
      </c>
      <c r="H39" s="28">
        <v>0.0</v>
      </c>
      <c r="I39" s="15">
        <f>IFERROR(H39/H148, "NA")</f>
        <v>0</v>
      </c>
      <c r="J39" s="28">
        <v>0.0</v>
      </c>
      <c r="K39" s="15">
        <f>IFERROR(J39/J148, "NA")</f>
        <v>0</v>
      </c>
      <c r="L39" s="28">
        <v>0.0</v>
      </c>
      <c r="M39" s="15">
        <f>IFERROR(L39/L148, "NA")</f>
        <v>0</v>
      </c>
      <c r="N39" s="28">
        <v>0.0</v>
      </c>
      <c r="O39" s="15">
        <f>IFERROR(N39/N148, "NA")</f>
        <v>0</v>
      </c>
      <c r="P39" s="28">
        <v>0.0</v>
      </c>
      <c r="Q39" s="15">
        <f>IFERROR(P39/P148, "NA")</f>
        <v>0</v>
      </c>
      <c r="R39" s="28">
        <v>0.0</v>
      </c>
      <c r="S39" s="15">
        <f>IFERROR(R39/R148, "NA")</f>
        <v>0</v>
      </c>
      <c r="T39" s="28">
        <v>0.0</v>
      </c>
      <c r="U39" s="15">
        <f>IFERROR(T39/T148, "NA")</f>
        <v>0</v>
      </c>
      <c r="V39" s="28">
        <v>0.0</v>
      </c>
      <c r="W39" s="15">
        <f>IFERROR(V39/V148, "NA")</f>
        <v>0</v>
      </c>
      <c r="X39" s="28">
        <v>0.0</v>
      </c>
      <c r="Y39" s="15">
        <f>IFERROR(X39/X148, "NA")</f>
        <v>0</v>
      </c>
      <c r="Z39" s="28">
        <v>0.0</v>
      </c>
      <c r="AA39" s="15">
        <f>IFERROR(Z39/Z148, "NA")</f>
        <v>0</v>
      </c>
      <c r="AB39" s="57">
        <f t="shared" ref="AB39:AB44" si="19">IFERROR((R39+T39+V39+X39)/4, "NA")</f>
        <v>0</v>
      </c>
      <c r="AC39" s="15">
        <f>IFERROR(AB39/AB148, "NA")</f>
        <v>0</v>
      </c>
      <c r="AD39" s="61">
        <f t="shared" ref="AD39:AD44" si="20">IFERROR(X39-AB39, "NA")</f>
        <v>0</v>
      </c>
      <c r="AE39" s="62">
        <f>IFERROR(AD39/AD148, "NA")</f>
        <v>0</v>
      </c>
      <c r="AF39" s="61" t="str">
        <f t="shared" ref="AF39:AF44" si="21">IFERROR((X39-AB39)/AB39, "NA")</f>
        <v>NA</v>
      </c>
      <c r="AG39" s="57">
        <f t="shared" ref="AG39:AG44" si="22">IFERROR((J39+L39+N39+P39+R39+T39+V39+X39)/8, "NA")</f>
        <v>0</v>
      </c>
      <c r="AH39" s="15">
        <f>IFERROR(AG39/AG148, "NA")</f>
        <v>0</v>
      </c>
      <c r="AI39" s="61">
        <f t="shared" ref="AI39:AI44" si="23">IFERROR(X39-AG39, "NA")</f>
        <v>0</v>
      </c>
      <c r="AJ39" s="62">
        <f>IFERROR(AI39/AI148, "NA")</f>
        <v>0</v>
      </c>
      <c r="AK39" s="61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6" t="s">
        <v>100</v>
      </c>
      <c r="B40" s="28">
        <v>1998.17</v>
      </c>
      <c r="C40" s="15">
        <f>IFERROR(B40/B148, "NA")</f>
        <v>0.02337886129</v>
      </c>
      <c r="D40" s="28">
        <v>3437.23</v>
      </c>
      <c r="E40" s="15">
        <f>IFERROR(D40/D148, "NA")</f>
        <v>0.0283893543</v>
      </c>
      <c r="F40" s="28">
        <v>3996.76</v>
      </c>
      <c r="G40" s="15">
        <f>IFERROR(F40/F148, "NA")</f>
        <v>0.03020232009</v>
      </c>
      <c r="H40" s="28">
        <v>4236.04</v>
      </c>
      <c r="I40" s="15">
        <f>IFERROR(H40/H148, "NA")</f>
        <v>0.02961547093</v>
      </c>
      <c r="J40" s="28">
        <v>3480.29</v>
      </c>
      <c r="K40" s="15">
        <f>IFERROR(J40/J148, "NA")</f>
        <v>0.02600151274</v>
      </c>
      <c r="L40" s="28">
        <v>4398.43</v>
      </c>
      <c r="M40" s="15">
        <f>IFERROR(L40/L148, "NA")</f>
        <v>0.02843047389</v>
      </c>
      <c r="N40" s="28">
        <v>4359.18</v>
      </c>
      <c r="O40" s="15">
        <f>IFERROR(N40/N148, "NA")</f>
        <v>0.02729753365</v>
      </c>
      <c r="P40" s="28">
        <v>4717.47</v>
      </c>
      <c r="Q40" s="15">
        <f>IFERROR(P40/P148, "NA")</f>
        <v>0.02731466398</v>
      </c>
      <c r="R40" s="28">
        <v>4526.04</v>
      </c>
      <c r="S40" s="15">
        <f>IFERROR(R40/R148, "NA")</f>
        <v>0.02687910354</v>
      </c>
      <c r="T40" s="28">
        <v>4959.16</v>
      </c>
      <c r="U40" s="15">
        <f>IFERROR(T40/T148, "NA")</f>
        <v>0.03156475824</v>
      </c>
      <c r="V40" s="28">
        <v>4335.81</v>
      </c>
      <c r="W40" s="15">
        <f>IFERROR(V40/V148, "NA")</f>
        <v>0.02769968444</v>
      </c>
      <c r="X40" s="28">
        <v>3845.91</v>
      </c>
      <c r="Y40" s="15">
        <f>IFERROR(X40/X148, "NA")</f>
        <v>0.02356717448</v>
      </c>
      <c r="Z40" s="28">
        <v>13140.88</v>
      </c>
      <c r="AA40" s="15">
        <f>IFERROR(Z40/Z148, "NA")</f>
        <v>0.02755888561</v>
      </c>
      <c r="AB40" s="57">
        <f t="shared" si="19"/>
        <v>4416.73</v>
      </c>
      <c r="AC40" s="15">
        <f>IFERROR(AB40/AB148, "NA")</f>
        <v>0.02738147917</v>
      </c>
      <c r="AD40" s="61">
        <f t="shared" si="20"/>
        <v>-570.82</v>
      </c>
      <c r="AE40" s="62">
        <f>IFERROR(AD40/AD148, "NA")</f>
        <v>-0.3027078624</v>
      </c>
      <c r="AF40" s="61">
        <f t="shared" si="21"/>
        <v>-0.1292404109</v>
      </c>
      <c r="AG40" s="57">
        <f t="shared" si="22"/>
        <v>4327.78625</v>
      </c>
      <c r="AH40" s="15">
        <f>IFERROR(AG40/AG148, "NA")</f>
        <v>0.02734407147</v>
      </c>
      <c r="AI40" s="61">
        <f t="shared" si="23"/>
        <v>-481.87625</v>
      </c>
      <c r="AJ40" s="62">
        <f>IFERROR(AI40/AI148, "NA")</f>
        <v>-0.09798604255</v>
      </c>
      <c r="AK40" s="61">
        <f t="shared" si="24"/>
        <v>-0.1113447435</v>
      </c>
      <c r="AL40" s="62">
        <f>IFERROR(AK40/AK148, "NA")</f>
        <v>-3.583447428</v>
      </c>
    </row>
    <row r="41" ht="16.5" customHeight="1">
      <c r="A41" s="26" t="s">
        <v>101</v>
      </c>
      <c r="B41" s="28">
        <v>1140.77</v>
      </c>
      <c r="C41" s="15">
        <f>IFERROR(B41/B148, "NA")</f>
        <v>0.01334716445</v>
      </c>
      <c r="D41" s="28">
        <v>2554.01</v>
      </c>
      <c r="E41" s="15">
        <f>IFERROR(D41/D148, "NA")</f>
        <v>0.02109451354</v>
      </c>
      <c r="F41" s="28">
        <v>1567.52</v>
      </c>
      <c r="G41" s="15">
        <f>IFERROR(F41/F148, "NA")</f>
        <v>0.01184527987</v>
      </c>
      <c r="H41" s="28">
        <v>2073.81</v>
      </c>
      <c r="I41" s="15">
        <f>IFERROR(H41/H148, "NA")</f>
        <v>0.01449864963</v>
      </c>
      <c r="J41" s="28">
        <v>1767.4</v>
      </c>
      <c r="K41" s="15">
        <f>IFERROR(J41/J148, "NA")</f>
        <v>0.01320438056</v>
      </c>
      <c r="L41" s="28">
        <v>2180.78</v>
      </c>
      <c r="M41" s="15">
        <f>IFERROR(L41/L148, "NA")</f>
        <v>0.0140960772</v>
      </c>
      <c r="N41" s="28">
        <v>2110.58</v>
      </c>
      <c r="O41" s="15">
        <f>IFERROR(N41/N148, "NA")</f>
        <v>0.01321662069</v>
      </c>
      <c r="P41" s="28">
        <v>2230.85</v>
      </c>
      <c r="Q41" s="15">
        <f>IFERROR(P41/P148, "NA")</f>
        <v>0.01291686394</v>
      </c>
      <c r="R41" s="28">
        <v>2168.47</v>
      </c>
      <c r="S41" s="15">
        <f>IFERROR(R41/R148, "NA")</f>
        <v>0.01287804121</v>
      </c>
      <c r="T41" s="28">
        <v>1640.2</v>
      </c>
      <c r="U41" s="15">
        <f>IFERROR(T41/T148, "NA")</f>
        <v>0.01043977538</v>
      </c>
      <c r="V41" s="28">
        <v>1729.99</v>
      </c>
      <c r="W41" s="15">
        <f>IFERROR(V41/V148, "NA")</f>
        <v>0.01105218566</v>
      </c>
      <c r="X41" s="28">
        <v>2146.33</v>
      </c>
      <c r="Y41" s="15">
        <f>IFERROR(X41/X148, "NA")</f>
        <v>0.0131523966</v>
      </c>
      <c r="Z41" s="28">
        <v>5516.52</v>
      </c>
      <c r="AA41" s="15">
        <f>IFERROR(Z41/Z148, "NA")</f>
        <v>0.01156917525</v>
      </c>
      <c r="AB41" s="57">
        <f t="shared" si="19"/>
        <v>1921.2475</v>
      </c>
      <c r="AC41" s="15">
        <f>IFERROR(AB41/AB148, "NA")</f>
        <v>0.01191075714</v>
      </c>
      <c r="AD41" s="61">
        <f t="shared" si="20"/>
        <v>225.0825</v>
      </c>
      <c r="AE41" s="62">
        <f>IFERROR(AD41/AD148, "NA")</f>
        <v>0.1193620449</v>
      </c>
      <c r="AF41" s="61">
        <f t="shared" si="21"/>
        <v>0.1171543489</v>
      </c>
      <c r="AG41" s="57">
        <f t="shared" si="22"/>
        <v>1996.825</v>
      </c>
      <c r="AH41" s="15">
        <f>IFERROR(AG41/AG148, "NA")</f>
        <v>0.01261645616</v>
      </c>
      <c r="AI41" s="61">
        <f t="shared" si="23"/>
        <v>149.505</v>
      </c>
      <c r="AJ41" s="62">
        <f>IFERROR(AI41/AI148, "NA")</f>
        <v>0.03040075806</v>
      </c>
      <c r="AK41" s="61">
        <f t="shared" si="24"/>
        <v>0.07487135828</v>
      </c>
      <c r="AL41" s="62">
        <f>IFERROR(AK41/AK148, "NA")</f>
        <v>2.409611516</v>
      </c>
    </row>
    <row r="42" ht="16.5" customHeight="1">
      <c r="A42" s="26" t="s">
        <v>102</v>
      </c>
      <c r="B42" s="28">
        <v>28.19</v>
      </c>
      <c r="C42" s="15">
        <f>IFERROR(B42/B148, "NA")</f>
        <v>0.0003298268415</v>
      </c>
      <c r="D42" s="28">
        <v>0.0</v>
      </c>
      <c r="E42" s="15">
        <f>IFERROR(D42/D148, "NA")</f>
        <v>0</v>
      </c>
      <c r="F42" s="28">
        <v>0.0</v>
      </c>
      <c r="G42" s="15">
        <f>IFERROR(F42/F148, "NA")</f>
        <v>0</v>
      </c>
      <c r="H42" s="28">
        <v>0.0</v>
      </c>
      <c r="I42" s="15">
        <f>IFERROR(H42/H148, "NA")</f>
        <v>0</v>
      </c>
      <c r="J42" s="28">
        <v>0.0</v>
      </c>
      <c r="K42" s="15">
        <f>IFERROR(J42/J148, "NA")</f>
        <v>0</v>
      </c>
      <c r="L42" s="28">
        <v>0.0</v>
      </c>
      <c r="M42" s="15">
        <f>IFERROR(L42/L148, "NA")</f>
        <v>0</v>
      </c>
      <c r="N42" s="28">
        <v>108.14</v>
      </c>
      <c r="O42" s="15">
        <f>IFERROR(N42/N148, "NA")</f>
        <v>0.0006771813251</v>
      </c>
      <c r="P42" s="28">
        <v>0.0</v>
      </c>
      <c r="Q42" s="15">
        <f>IFERROR(P42/P148, "NA")</f>
        <v>0</v>
      </c>
      <c r="R42" s="28">
        <v>60.58</v>
      </c>
      <c r="S42" s="15">
        <f>IFERROR(R42/R148, "NA")</f>
        <v>0.0003597705925</v>
      </c>
      <c r="T42" s="28">
        <v>0.0</v>
      </c>
      <c r="U42" s="15">
        <f>IFERROR(T42/T148, "NA")</f>
        <v>0</v>
      </c>
      <c r="V42" s="28">
        <v>0.0</v>
      </c>
      <c r="W42" s="15">
        <f>IFERROR(V42/V148, "NA")</f>
        <v>0</v>
      </c>
      <c r="X42" s="28">
        <v>0.0</v>
      </c>
      <c r="Y42" s="15">
        <f>IFERROR(X42/X148, "NA")</f>
        <v>0</v>
      </c>
      <c r="Z42" s="28">
        <v>0.0</v>
      </c>
      <c r="AA42" s="15">
        <f>IFERROR(Z42/Z148, "NA")</f>
        <v>0</v>
      </c>
      <c r="AB42" s="57">
        <f t="shared" si="19"/>
        <v>15.145</v>
      </c>
      <c r="AC42" s="15">
        <f>IFERROR(AB42/AB148, "NA")</f>
        <v>0.00009389129561</v>
      </c>
      <c r="AD42" s="61">
        <f t="shared" si="20"/>
        <v>-15.145</v>
      </c>
      <c r="AE42" s="62">
        <f>IFERROR(AD42/AD148, "NA")</f>
        <v>-0.008031446999</v>
      </c>
      <c r="AF42" s="61">
        <f t="shared" si="21"/>
        <v>-1</v>
      </c>
      <c r="AG42" s="57">
        <f t="shared" si="22"/>
        <v>21.09</v>
      </c>
      <c r="AH42" s="15">
        <f>IFERROR(AG42/AG148, "NA")</f>
        <v>0.0001332520679</v>
      </c>
      <c r="AI42" s="61">
        <f t="shared" si="23"/>
        <v>-21.09</v>
      </c>
      <c r="AJ42" s="62">
        <f>IFERROR(AI42/AI148, "NA")</f>
        <v>-0.004288498629</v>
      </c>
      <c r="AK42" s="61">
        <f t="shared" si="24"/>
        <v>-1</v>
      </c>
      <c r="AL42" s="62">
        <f>IFERROR(AK42/AK148, "NA")</f>
        <v>-32.18335518</v>
      </c>
    </row>
    <row r="43" ht="16.5" hidden="1" customHeight="1">
      <c r="A43" s="26" t="s">
        <v>103</v>
      </c>
      <c r="B43" s="28">
        <v>0.0</v>
      </c>
      <c r="C43" s="15">
        <f>IFERROR(B43/B148, "NA")</f>
        <v>0</v>
      </c>
      <c r="D43" s="28">
        <v>0.0</v>
      </c>
      <c r="E43" s="15">
        <f>IFERROR(D43/D148, "NA")</f>
        <v>0</v>
      </c>
      <c r="F43" s="28">
        <v>0.0</v>
      </c>
      <c r="G43" s="15">
        <f>IFERROR(F43/F148, "NA")</f>
        <v>0</v>
      </c>
      <c r="H43" s="28">
        <v>0.0</v>
      </c>
      <c r="I43" s="15">
        <f>IFERROR(H43/H148, "NA")</f>
        <v>0</v>
      </c>
      <c r="J43" s="28">
        <v>0.0</v>
      </c>
      <c r="K43" s="15">
        <f>IFERROR(J43/J148, "NA")</f>
        <v>0</v>
      </c>
      <c r="L43" s="28">
        <v>0.0</v>
      </c>
      <c r="M43" s="15">
        <f>IFERROR(L43/L148, "NA")</f>
        <v>0</v>
      </c>
      <c r="N43" s="28">
        <v>0.0</v>
      </c>
      <c r="O43" s="15">
        <f>IFERROR(N43/N148, "NA")</f>
        <v>0</v>
      </c>
      <c r="P43" s="28">
        <v>0.0</v>
      </c>
      <c r="Q43" s="15">
        <f>IFERROR(P43/P148, "NA")</f>
        <v>0</v>
      </c>
      <c r="R43" s="28">
        <v>0.0</v>
      </c>
      <c r="S43" s="15">
        <f>IFERROR(R43/R148, "NA")</f>
        <v>0</v>
      </c>
      <c r="T43" s="28">
        <v>0.0</v>
      </c>
      <c r="U43" s="15">
        <f>IFERROR(T43/T148, "NA")</f>
        <v>0</v>
      </c>
      <c r="V43" s="28">
        <v>0.0</v>
      </c>
      <c r="W43" s="15">
        <f>IFERROR(V43/V148, "NA")</f>
        <v>0</v>
      </c>
      <c r="X43" s="28">
        <v>0.0</v>
      </c>
      <c r="Y43" s="15">
        <f>IFERROR(X43/X148, "NA")</f>
        <v>0</v>
      </c>
      <c r="Z43" s="28">
        <v>0.0</v>
      </c>
      <c r="AA43" s="15">
        <f>IFERROR(Z43/Z148, "NA")</f>
        <v>0</v>
      </c>
      <c r="AB43" s="57">
        <f t="shared" si="19"/>
        <v>0</v>
      </c>
      <c r="AC43" s="15">
        <f>IFERROR(AB43/AB148, "NA")</f>
        <v>0</v>
      </c>
      <c r="AD43" s="61">
        <f t="shared" si="20"/>
        <v>0</v>
      </c>
      <c r="AE43" s="62">
        <f>IFERROR(AD43/AD148, "NA")</f>
        <v>0</v>
      </c>
      <c r="AF43" s="61" t="str">
        <f t="shared" si="21"/>
        <v>NA</v>
      </c>
      <c r="AG43" s="57">
        <f t="shared" si="22"/>
        <v>0</v>
      </c>
      <c r="AH43" s="15">
        <f>IFERROR(AG43/AG148, "NA")</f>
        <v>0</v>
      </c>
      <c r="AI43" s="61">
        <f t="shared" si="23"/>
        <v>0</v>
      </c>
      <c r="AJ43" s="62">
        <f>IFERROR(AI43/AI148, "NA")</f>
        <v>0</v>
      </c>
      <c r="AK43" s="61" t="str">
        <f t="shared" si="24"/>
        <v>NA</v>
      </c>
      <c r="AL43" s="62" t="str">
        <f>IFERROR(AK43/AK148, "NA")</f>
        <v>NA</v>
      </c>
    </row>
    <row r="44" ht="16.5" customHeight="1">
      <c r="A44" s="67" t="s">
        <v>104</v>
      </c>
      <c r="B44" s="70">
        <f>IFERROR(B39+B40+B41+B42+B43, "NA")</f>
        <v>3167.13</v>
      </c>
      <c r="C44" s="71">
        <f>IFERROR(B44/B148, "NA")</f>
        <v>0.03705585259</v>
      </c>
      <c r="D44" s="70">
        <f>IFERROR(D39+D40+D41+D42+D43, "NA")</f>
        <v>5991.24</v>
      </c>
      <c r="E44" s="71">
        <f>IFERROR(D44/D148, "NA")</f>
        <v>0.04948386784</v>
      </c>
      <c r="F44" s="70">
        <f>IFERROR(F39+F40+F41+F42+F43, "NA")</f>
        <v>5564.28</v>
      </c>
      <c r="G44" s="71">
        <f>IFERROR(F44/F148, "NA")</f>
        <v>0.04204759996</v>
      </c>
      <c r="H44" s="70">
        <f>IFERROR(H39+H40+H41+H42+H43, "NA")</f>
        <v>6309.85</v>
      </c>
      <c r="I44" s="71">
        <f>IFERROR(H44/H148, "NA")</f>
        <v>0.04411412056</v>
      </c>
      <c r="J44" s="70">
        <f>IFERROR(J39+J40+J41+J42+J43, "NA")</f>
        <v>5247.69</v>
      </c>
      <c r="K44" s="71">
        <f>IFERROR(J44/J148, "NA")</f>
        <v>0.0392058933</v>
      </c>
      <c r="L44" s="70">
        <f>IFERROR(L39+L40+L41+L42+L43, "NA")</f>
        <v>6579.21</v>
      </c>
      <c r="M44" s="71">
        <f>IFERROR(L44/L148, "NA")</f>
        <v>0.0425265511</v>
      </c>
      <c r="N44" s="70">
        <f>IFERROR(N39+N40+N41+N42+N43, "NA")</f>
        <v>6577.9</v>
      </c>
      <c r="O44" s="71">
        <f>IFERROR(N44/N148, "NA")</f>
        <v>0.04119133566</v>
      </c>
      <c r="P44" s="70">
        <f>IFERROR(P39+P40+P41+P42+P43, "NA")</f>
        <v>6948.32</v>
      </c>
      <c r="Q44" s="71">
        <f>IFERROR(P44/P148, "NA")</f>
        <v>0.04023152792</v>
      </c>
      <c r="R44" s="70">
        <f>IFERROR(R39+R40+R41+R42+R43, "NA")</f>
        <v>6755.09</v>
      </c>
      <c r="S44" s="71">
        <f>IFERROR(R44/R148, "NA")</f>
        <v>0.04011691535</v>
      </c>
      <c r="T44" s="70">
        <f>IFERROR(T39+T40+T41+T42+T43, "NA")</f>
        <v>6599.36</v>
      </c>
      <c r="U44" s="71">
        <f>IFERROR(T44/T148, "NA")</f>
        <v>0.04200453362</v>
      </c>
      <c r="V44" s="70">
        <f>IFERROR(V39+V40+V41+V42+V43, "NA")</f>
        <v>6065.8</v>
      </c>
      <c r="W44" s="71">
        <f>IFERROR(V44/V148, "NA")</f>
        <v>0.0387518701</v>
      </c>
      <c r="X44" s="70">
        <f>IFERROR(X39+X40+X41+X42+X43, "NA")</f>
        <v>5992.24</v>
      </c>
      <c r="Y44" s="71">
        <f>IFERROR(X44/X148, "NA")</f>
        <v>0.03671957108</v>
      </c>
      <c r="Z44" s="70">
        <f>IFERROR(Z39+Z40+Z41+Z42+Z43, "NA")</f>
        <v>18657.4</v>
      </c>
      <c r="AA44" s="71">
        <f>IFERROR(Z44/Z148, "NA")</f>
        <v>0.03912806086</v>
      </c>
      <c r="AB44" s="70">
        <f t="shared" si="19"/>
        <v>6353.1225</v>
      </c>
      <c r="AC44" s="71">
        <f>IFERROR(AB44/AB148, "NA")</f>
        <v>0.03938612761</v>
      </c>
      <c r="AD44" s="75">
        <f t="shared" si="20"/>
        <v>-360.8825</v>
      </c>
      <c r="AE44" s="76">
        <f>IFERROR(AD44/AD148, "NA")</f>
        <v>-0.1913772646</v>
      </c>
      <c r="AF44" s="75">
        <f t="shared" si="21"/>
        <v>-0.05680395742</v>
      </c>
      <c r="AG44" s="70">
        <f t="shared" si="22"/>
        <v>6345.70125</v>
      </c>
      <c r="AH44" s="71">
        <f>IFERROR(AG44/AG148, "NA")</f>
        <v>0.0400937797</v>
      </c>
      <c r="AI44" s="75">
        <f t="shared" si="23"/>
        <v>-353.46125</v>
      </c>
      <c r="AJ44" s="76">
        <f>IFERROR(AI44/AI148, "NA")</f>
        <v>-0.07187378312</v>
      </c>
      <c r="AK44" s="75">
        <f t="shared" si="24"/>
        <v>-0.05570089673</v>
      </c>
      <c r="AL44" s="76">
        <f>IFERROR(AK44/AK148, "NA")</f>
        <v>-1.792641743</v>
      </c>
    </row>
    <row r="45" ht="16.5" customHeight="1">
      <c r="A45" s="22" t="s">
        <v>105</v>
      </c>
      <c r="B45" s="23"/>
      <c r="C45" s="10"/>
      <c r="D45" s="23"/>
      <c r="E45" s="10"/>
      <c r="F45" s="23"/>
      <c r="G45" s="10"/>
      <c r="H45" s="23"/>
      <c r="I45" s="10"/>
      <c r="J45" s="23"/>
      <c r="K45" s="10"/>
      <c r="L45" s="23"/>
      <c r="M45" s="10"/>
      <c r="N45" s="23"/>
      <c r="O45" s="10"/>
      <c r="P45" s="23"/>
      <c r="Q45" s="10"/>
      <c r="R45" s="23"/>
      <c r="S45" s="10"/>
      <c r="T45" s="23"/>
      <c r="U45" s="10"/>
      <c r="V45" s="23"/>
      <c r="W45" s="10"/>
      <c r="X45" s="23"/>
      <c r="Y45" s="10"/>
      <c r="Z45" s="23"/>
      <c r="AA45" s="10"/>
      <c r="AB45" s="23"/>
      <c r="AC45" s="10"/>
      <c r="AD45" s="24"/>
      <c r="AE45" s="25"/>
      <c r="AF45" s="24"/>
      <c r="AG45" s="23"/>
      <c r="AH45" s="10"/>
      <c r="AI45" s="24"/>
      <c r="AJ45" s="25"/>
      <c r="AK45" s="24"/>
      <c r="AL45" s="25"/>
    </row>
    <row r="46" ht="16.5" hidden="1" customHeight="1">
      <c r="A46" s="26" t="s">
        <v>106</v>
      </c>
      <c r="B46" s="28">
        <v>0.0</v>
      </c>
      <c r="C46" s="15">
        <f>IFERROR(B46/B148, "NA")</f>
        <v>0</v>
      </c>
      <c r="D46" s="28">
        <v>0.0</v>
      </c>
      <c r="E46" s="15">
        <f>IFERROR(D46/D148, "NA")</f>
        <v>0</v>
      </c>
      <c r="F46" s="28">
        <v>0.0</v>
      </c>
      <c r="G46" s="15">
        <f>IFERROR(F46/F148, "NA")</f>
        <v>0</v>
      </c>
      <c r="H46" s="28">
        <v>0.0</v>
      </c>
      <c r="I46" s="15">
        <f>IFERROR(H46/H148, "NA")</f>
        <v>0</v>
      </c>
      <c r="J46" s="28">
        <v>0.0</v>
      </c>
      <c r="K46" s="15">
        <f>IFERROR(J46/J148, "NA")</f>
        <v>0</v>
      </c>
      <c r="L46" s="28">
        <v>0.0</v>
      </c>
      <c r="M46" s="15">
        <f>IFERROR(L46/L148, "NA")</f>
        <v>0</v>
      </c>
      <c r="N46" s="28">
        <v>0.0</v>
      </c>
      <c r="O46" s="15">
        <f>IFERROR(N46/N148, "NA")</f>
        <v>0</v>
      </c>
      <c r="P46" s="28">
        <v>0.0</v>
      </c>
      <c r="Q46" s="15">
        <f>IFERROR(P46/P148, "NA")</f>
        <v>0</v>
      </c>
      <c r="R46" s="28">
        <v>0.0</v>
      </c>
      <c r="S46" s="15">
        <f>IFERROR(R46/R148, "NA")</f>
        <v>0</v>
      </c>
      <c r="T46" s="28">
        <v>0.0</v>
      </c>
      <c r="U46" s="15">
        <f>IFERROR(T46/T148, "NA")</f>
        <v>0</v>
      </c>
      <c r="V46" s="28">
        <v>0.0</v>
      </c>
      <c r="W46" s="15">
        <f>IFERROR(V46/V148, "NA")</f>
        <v>0</v>
      </c>
      <c r="X46" s="28">
        <v>0.0</v>
      </c>
      <c r="Y46" s="15">
        <f>IFERROR(X46/X148, "NA")</f>
        <v>0</v>
      </c>
      <c r="Z46" s="28">
        <v>0.0</v>
      </c>
      <c r="AA46" s="15">
        <f>IFERROR(Z46/Z148, "NA")</f>
        <v>0</v>
      </c>
      <c r="AB46" s="57">
        <f t="shared" ref="AB46:AB57" si="25">IFERROR((R46+T46+V46+X46)/4, "NA")</f>
        <v>0</v>
      </c>
      <c r="AC46" s="15">
        <f>IFERROR(AB46/AB148, "NA")</f>
        <v>0</v>
      </c>
      <c r="AD46" s="61">
        <f t="shared" ref="AD46:AD57" si="26">IFERROR(X46-AB46, "NA")</f>
        <v>0</v>
      </c>
      <c r="AE46" s="62">
        <f>IFERROR(AD46/AD148, "NA")</f>
        <v>0</v>
      </c>
      <c r="AF46" s="61" t="str">
        <f t="shared" ref="AF46:AF57" si="27">IFERROR((X46-AB46)/AB46, "NA")</f>
        <v>NA</v>
      </c>
      <c r="AG46" s="57">
        <f t="shared" ref="AG46:AG57" si="28">IFERROR((J46+L46+N46+P46+R46+T46+V46+X46)/8, "NA")</f>
        <v>0</v>
      </c>
      <c r="AH46" s="15">
        <f>IFERROR(AG46/AG148, "NA")</f>
        <v>0</v>
      </c>
      <c r="AI46" s="61">
        <f t="shared" ref="AI46:AI57" si="29">IFERROR(X46-AG46, "NA")</f>
        <v>0</v>
      </c>
      <c r="AJ46" s="62">
        <f>IFERROR(AI46/AI148, "NA")</f>
        <v>0</v>
      </c>
      <c r="AK46" s="61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6" t="s">
        <v>108</v>
      </c>
      <c r="B47" s="28">
        <v>275.3</v>
      </c>
      <c r="C47" s="15">
        <f>IFERROR(B47/B148, "NA")</f>
        <v>0.003221047516</v>
      </c>
      <c r="D47" s="28">
        <v>255.65</v>
      </c>
      <c r="E47" s="15">
        <f>IFERROR(D47/D148, "NA")</f>
        <v>0.002111507937</v>
      </c>
      <c r="F47" s="28">
        <v>417.1</v>
      </c>
      <c r="G47" s="15">
        <f>IFERROR(F47/F148, "NA")</f>
        <v>0.003151899966</v>
      </c>
      <c r="H47" s="28">
        <v>352.24</v>
      </c>
      <c r="I47" s="15">
        <f>IFERROR(H47/H148, "NA")</f>
        <v>0.002462619211</v>
      </c>
      <c r="J47" s="28">
        <v>365.85</v>
      </c>
      <c r="K47" s="15">
        <f>IFERROR(J47/J148, "NA")</f>
        <v>0.002733293328</v>
      </c>
      <c r="L47" s="28">
        <v>306.65</v>
      </c>
      <c r="M47" s="15">
        <f>IFERROR(L47/L148, "NA")</f>
        <v>0.001982117442</v>
      </c>
      <c r="N47" s="28">
        <v>414.87</v>
      </c>
      <c r="O47" s="15">
        <f>IFERROR(N47/N148, "NA")</f>
        <v>0.002597949106</v>
      </c>
      <c r="P47" s="28">
        <v>361.12</v>
      </c>
      <c r="Q47" s="15">
        <f>IFERROR(P47/P148, "NA")</f>
        <v>0.002090924045</v>
      </c>
      <c r="R47" s="28">
        <v>369.42</v>
      </c>
      <c r="S47" s="15">
        <f>IFERROR(R47/R148, "NA")</f>
        <v>0.00219389984</v>
      </c>
      <c r="T47" s="28">
        <v>435.33</v>
      </c>
      <c r="U47" s="15">
        <f>IFERROR(T47/T148, "NA")</f>
        <v>0.00277084954</v>
      </c>
      <c r="V47" s="28">
        <v>404.14</v>
      </c>
      <c r="W47" s="15">
        <f>IFERROR(V47/V148, "NA")</f>
        <v>0.002581882156</v>
      </c>
      <c r="X47" s="28">
        <v>476.04</v>
      </c>
      <c r="Y47" s="15">
        <f>IFERROR(X47/X148, "NA")</f>
        <v>0.002917103557</v>
      </c>
      <c r="Z47" s="28">
        <v>1315.51</v>
      </c>
      <c r="AA47" s="15">
        <f>IFERROR(Z47/Z148, "NA")</f>
        <v>0.002758870761</v>
      </c>
      <c r="AB47" s="57">
        <f t="shared" si="25"/>
        <v>421.2325</v>
      </c>
      <c r="AC47" s="15">
        <f>IFERROR(AB47/AB148, "NA")</f>
        <v>0.002611427215</v>
      </c>
      <c r="AD47" s="61">
        <f t="shared" si="26"/>
        <v>54.8075</v>
      </c>
      <c r="AE47" s="62">
        <f>IFERROR(AD47/AD148, "NA")</f>
        <v>0.02906461086</v>
      </c>
      <c r="AF47" s="61">
        <f t="shared" si="27"/>
        <v>0.1301122302</v>
      </c>
      <c r="AG47" s="57">
        <f t="shared" si="28"/>
        <v>391.6775</v>
      </c>
      <c r="AH47" s="15">
        <f>IFERROR(AG47/AG148, "NA")</f>
        <v>0.002474719622</v>
      </c>
      <c r="AI47" s="61">
        <f t="shared" si="29"/>
        <v>84.3625</v>
      </c>
      <c r="AJ47" s="62">
        <f>IFERROR(AI47/AI148, "NA")</f>
        <v>0.01715450287</v>
      </c>
      <c r="AK47" s="61">
        <f t="shared" si="30"/>
        <v>0.2153876595</v>
      </c>
      <c r="AL47" s="62">
        <f>IFERROR(AK47/AK148, "NA")</f>
        <v>6.931897546</v>
      </c>
    </row>
    <row r="48" ht="16.5" customHeight="1">
      <c r="A48" s="26" t="s">
        <v>109</v>
      </c>
      <c r="B48" s="28">
        <v>0.0</v>
      </c>
      <c r="C48" s="15">
        <f>IFERROR(B48/B148, "NA")</f>
        <v>0</v>
      </c>
      <c r="D48" s="28">
        <v>0.0</v>
      </c>
      <c r="E48" s="15">
        <f>IFERROR(D48/D148, "NA")</f>
        <v>0</v>
      </c>
      <c r="F48" s="28">
        <v>0.0</v>
      </c>
      <c r="G48" s="15">
        <f>IFERROR(F48/F148, "NA")</f>
        <v>0</v>
      </c>
      <c r="H48" s="28">
        <v>0.0</v>
      </c>
      <c r="I48" s="15">
        <f>IFERROR(H48/H148, "NA")</f>
        <v>0</v>
      </c>
      <c r="J48" s="28">
        <v>2.33</v>
      </c>
      <c r="K48" s="15">
        <f>IFERROR(J48/J148, "NA")</f>
        <v>0.00001740760819</v>
      </c>
      <c r="L48" s="28">
        <v>0.0</v>
      </c>
      <c r="M48" s="15">
        <f>IFERROR(L48/L148, "NA")</f>
        <v>0</v>
      </c>
      <c r="N48" s="28">
        <v>0.0</v>
      </c>
      <c r="O48" s="15">
        <f>IFERROR(N48/N148, "NA")</f>
        <v>0</v>
      </c>
      <c r="P48" s="28">
        <v>0.0</v>
      </c>
      <c r="Q48" s="15">
        <f>IFERROR(P48/P148, "NA")</f>
        <v>0</v>
      </c>
      <c r="R48" s="28">
        <v>7.28</v>
      </c>
      <c r="S48" s="15">
        <f>IFERROR(R48/R148, "NA")</f>
        <v>0.00004323423429</v>
      </c>
      <c r="T48" s="28">
        <v>0.0</v>
      </c>
      <c r="U48" s="15">
        <f>IFERROR(T48/T148, "NA")</f>
        <v>0</v>
      </c>
      <c r="V48" s="28">
        <v>0.0</v>
      </c>
      <c r="W48" s="15">
        <f>IFERROR(V48/V148, "NA")</f>
        <v>0</v>
      </c>
      <c r="X48" s="28">
        <v>0.0</v>
      </c>
      <c r="Y48" s="15">
        <f>IFERROR(X48/X148, "NA")</f>
        <v>0</v>
      </c>
      <c r="Z48" s="28">
        <v>0.0</v>
      </c>
      <c r="AA48" s="15">
        <f>IFERROR(Z48/Z148, "NA")</f>
        <v>0</v>
      </c>
      <c r="AB48" s="57">
        <f t="shared" si="25"/>
        <v>1.82</v>
      </c>
      <c r="AC48" s="15">
        <f>IFERROR(AB48/AB148, "NA")</f>
        <v>0.00001128307415</v>
      </c>
      <c r="AD48" s="61">
        <f t="shared" si="26"/>
        <v>-1.82</v>
      </c>
      <c r="AE48" s="62">
        <f>IFERROR(AD48/AD148, "NA")</f>
        <v>-0.0009651524291</v>
      </c>
      <c r="AF48" s="61">
        <f t="shared" si="27"/>
        <v>-1</v>
      </c>
      <c r="AG48" s="57">
        <f t="shared" si="28"/>
        <v>1.20125</v>
      </c>
      <c r="AH48" s="15">
        <f>IFERROR(AG48/AG148, "NA")</f>
        <v>0.000007589807803</v>
      </c>
      <c r="AI48" s="61">
        <f t="shared" si="29"/>
        <v>-1.20125</v>
      </c>
      <c r="AJ48" s="62">
        <f>IFERROR(AI48/AI148, "NA")</f>
        <v>-0.0002442654802</v>
      </c>
      <c r="AK48" s="61">
        <f t="shared" si="30"/>
        <v>-1</v>
      </c>
      <c r="AL48" s="62">
        <f>IFERROR(AK48/AK148, "NA")</f>
        <v>-32.18335518</v>
      </c>
    </row>
    <row r="49" ht="16.5" customHeight="1">
      <c r="A49" s="26" t="s">
        <v>110</v>
      </c>
      <c r="B49" s="28">
        <v>0.0</v>
      </c>
      <c r="C49" s="15">
        <f>IFERROR(B49/B148, "NA")</f>
        <v>0</v>
      </c>
      <c r="D49" s="28">
        <v>0.0</v>
      </c>
      <c r="E49" s="15">
        <f>IFERROR(D49/D148, "NA")</f>
        <v>0</v>
      </c>
      <c r="F49" s="28">
        <v>0.0</v>
      </c>
      <c r="G49" s="15">
        <f>IFERROR(F49/F148, "NA")</f>
        <v>0</v>
      </c>
      <c r="H49" s="28">
        <v>0.0</v>
      </c>
      <c r="I49" s="15">
        <f>IFERROR(H49/H148, "NA")</f>
        <v>0</v>
      </c>
      <c r="J49" s="28">
        <v>0.0</v>
      </c>
      <c r="K49" s="15">
        <f>IFERROR(J49/J148, "NA")</f>
        <v>0</v>
      </c>
      <c r="L49" s="28">
        <v>0.0</v>
      </c>
      <c r="M49" s="15">
        <f>IFERROR(L49/L148, "NA")</f>
        <v>0</v>
      </c>
      <c r="N49" s="28">
        <v>0.0</v>
      </c>
      <c r="O49" s="15">
        <f>IFERROR(N49/N148, "NA")</f>
        <v>0</v>
      </c>
      <c r="P49" s="28">
        <v>1.4</v>
      </c>
      <c r="Q49" s="15">
        <f>IFERROR(P49/P148, "NA")</f>
        <v>0.000008106152147</v>
      </c>
      <c r="R49" s="28">
        <v>0.0</v>
      </c>
      <c r="S49" s="15">
        <f>IFERROR(R49/R148, "NA")</f>
        <v>0</v>
      </c>
      <c r="T49" s="28">
        <v>0.0</v>
      </c>
      <c r="U49" s="15">
        <f>IFERROR(T49/T148, "NA")</f>
        <v>0</v>
      </c>
      <c r="V49" s="28">
        <v>0.0</v>
      </c>
      <c r="W49" s="15">
        <f>IFERROR(V49/V148, "NA")</f>
        <v>0</v>
      </c>
      <c r="X49" s="28">
        <v>0.0</v>
      </c>
      <c r="Y49" s="15">
        <f>IFERROR(X49/X148, "NA")</f>
        <v>0</v>
      </c>
      <c r="Z49" s="28">
        <v>0.0</v>
      </c>
      <c r="AA49" s="15">
        <f>IFERROR(Z49/Z148, "NA")</f>
        <v>0</v>
      </c>
      <c r="AB49" s="57">
        <f t="shared" si="25"/>
        <v>0</v>
      </c>
      <c r="AC49" s="15">
        <f>IFERROR(AB49/AB148, "NA")</f>
        <v>0</v>
      </c>
      <c r="AD49" s="61">
        <f t="shared" si="26"/>
        <v>0</v>
      </c>
      <c r="AE49" s="62">
        <f>IFERROR(AD49/AD148, "NA")</f>
        <v>0</v>
      </c>
      <c r="AF49" s="61" t="str">
        <f t="shared" si="27"/>
        <v>NA</v>
      </c>
      <c r="AG49" s="57">
        <f t="shared" si="28"/>
        <v>0.175</v>
      </c>
      <c r="AH49" s="15">
        <f>IFERROR(AG49/AG148, "NA")</f>
        <v>0.000001105695205</v>
      </c>
      <c r="AI49" s="61">
        <f t="shared" si="29"/>
        <v>-0.175</v>
      </c>
      <c r="AJ49" s="62">
        <f>IFERROR(AI49/AI148, "NA")</f>
        <v>-0.00003558498151</v>
      </c>
      <c r="AK49" s="61">
        <f t="shared" si="30"/>
        <v>-1</v>
      </c>
      <c r="AL49" s="62">
        <f>IFERROR(AK49/AK148, "NA")</f>
        <v>-32.18335518</v>
      </c>
    </row>
    <row r="50" ht="16.5" hidden="1" customHeight="1">
      <c r="A50" s="26" t="s">
        <v>111</v>
      </c>
      <c r="B50" s="28">
        <v>0.0</v>
      </c>
      <c r="C50" s="15">
        <f>IFERROR(B50/B148, "NA")</f>
        <v>0</v>
      </c>
      <c r="D50" s="28">
        <v>0.0</v>
      </c>
      <c r="E50" s="15">
        <f>IFERROR(D50/D148, "NA")</f>
        <v>0</v>
      </c>
      <c r="F50" s="28">
        <v>0.0</v>
      </c>
      <c r="G50" s="15">
        <f>IFERROR(F50/F148, "NA")</f>
        <v>0</v>
      </c>
      <c r="H50" s="28">
        <v>0.0</v>
      </c>
      <c r="I50" s="15">
        <f>IFERROR(H50/H148, "NA")</f>
        <v>0</v>
      </c>
      <c r="J50" s="28">
        <v>0.0</v>
      </c>
      <c r="K50" s="15">
        <f>IFERROR(J50/J148, "NA")</f>
        <v>0</v>
      </c>
      <c r="L50" s="28">
        <v>0.0</v>
      </c>
      <c r="M50" s="15">
        <f>IFERROR(L50/L148, "NA")</f>
        <v>0</v>
      </c>
      <c r="N50" s="28">
        <v>0.0</v>
      </c>
      <c r="O50" s="15">
        <f>IFERROR(N50/N148, "NA")</f>
        <v>0</v>
      </c>
      <c r="P50" s="28">
        <v>0.0</v>
      </c>
      <c r="Q50" s="15">
        <f>IFERROR(P50/P148, "NA")</f>
        <v>0</v>
      </c>
      <c r="R50" s="28">
        <v>0.0</v>
      </c>
      <c r="S50" s="15">
        <f>IFERROR(R50/R148, "NA")</f>
        <v>0</v>
      </c>
      <c r="T50" s="28">
        <v>0.0</v>
      </c>
      <c r="U50" s="15">
        <f>IFERROR(T50/T148, "NA")</f>
        <v>0</v>
      </c>
      <c r="V50" s="28">
        <v>0.0</v>
      </c>
      <c r="W50" s="15">
        <f>IFERROR(V50/V148, "NA")</f>
        <v>0</v>
      </c>
      <c r="X50" s="28">
        <v>0.0</v>
      </c>
      <c r="Y50" s="15">
        <f>IFERROR(X50/X148, "NA")</f>
        <v>0</v>
      </c>
      <c r="Z50" s="28">
        <v>0.0</v>
      </c>
      <c r="AA50" s="15">
        <f>IFERROR(Z50/Z148, "NA")</f>
        <v>0</v>
      </c>
      <c r="AB50" s="57">
        <f t="shared" si="25"/>
        <v>0</v>
      </c>
      <c r="AC50" s="15">
        <f>IFERROR(AB50/AB148, "NA")</f>
        <v>0</v>
      </c>
      <c r="AD50" s="61">
        <f t="shared" si="26"/>
        <v>0</v>
      </c>
      <c r="AE50" s="62">
        <f>IFERROR(AD50/AD148, "NA")</f>
        <v>0</v>
      </c>
      <c r="AF50" s="61" t="str">
        <f t="shared" si="27"/>
        <v>NA</v>
      </c>
      <c r="AG50" s="57">
        <f t="shared" si="28"/>
        <v>0</v>
      </c>
      <c r="AH50" s="15">
        <f>IFERROR(AG50/AG148, "NA")</f>
        <v>0</v>
      </c>
      <c r="AI50" s="61">
        <f t="shared" si="29"/>
        <v>0</v>
      </c>
      <c r="AJ50" s="62">
        <f>IFERROR(AI50/AI148, "NA")</f>
        <v>0</v>
      </c>
      <c r="AK50" s="61" t="str">
        <f t="shared" si="30"/>
        <v>NA</v>
      </c>
      <c r="AL50" s="62" t="str">
        <f>IFERROR(AK50/AK148, "NA")</f>
        <v>NA</v>
      </c>
    </row>
    <row r="51" ht="16.5" hidden="1" customHeight="1">
      <c r="A51" s="26" t="s">
        <v>112</v>
      </c>
      <c r="B51" s="28">
        <v>0.0</v>
      </c>
      <c r="C51" s="15">
        <f>IFERROR(B51/B148, "NA")</f>
        <v>0</v>
      </c>
      <c r="D51" s="28">
        <v>0.0</v>
      </c>
      <c r="E51" s="15">
        <f>IFERROR(D51/D148, "NA")</f>
        <v>0</v>
      </c>
      <c r="F51" s="28">
        <v>0.0</v>
      </c>
      <c r="G51" s="15">
        <f>IFERROR(F51/F148, "NA")</f>
        <v>0</v>
      </c>
      <c r="H51" s="28">
        <v>0.0</v>
      </c>
      <c r="I51" s="15">
        <f>IFERROR(H51/H148, "NA")</f>
        <v>0</v>
      </c>
      <c r="J51" s="28">
        <v>0.0</v>
      </c>
      <c r="K51" s="15">
        <f>IFERROR(J51/J148, "NA")</f>
        <v>0</v>
      </c>
      <c r="L51" s="28">
        <v>0.0</v>
      </c>
      <c r="M51" s="15">
        <f>IFERROR(L51/L148, "NA")</f>
        <v>0</v>
      </c>
      <c r="N51" s="28">
        <v>0.0</v>
      </c>
      <c r="O51" s="15">
        <f>IFERROR(N51/N148, "NA")</f>
        <v>0</v>
      </c>
      <c r="P51" s="28">
        <v>0.0</v>
      </c>
      <c r="Q51" s="15">
        <f>IFERROR(P51/P148, "NA")</f>
        <v>0</v>
      </c>
      <c r="R51" s="28">
        <v>0.0</v>
      </c>
      <c r="S51" s="15">
        <f>IFERROR(R51/R148, "NA")</f>
        <v>0</v>
      </c>
      <c r="T51" s="28">
        <v>0.0</v>
      </c>
      <c r="U51" s="15">
        <f>IFERROR(T51/T148, "NA")</f>
        <v>0</v>
      </c>
      <c r="V51" s="28">
        <v>0.0</v>
      </c>
      <c r="W51" s="15">
        <f>IFERROR(V51/V148, "NA")</f>
        <v>0</v>
      </c>
      <c r="X51" s="28">
        <v>0.0</v>
      </c>
      <c r="Y51" s="15">
        <f>IFERROR(X51/X148, "NA")</f>
        <v>0</v>
      </c>
      <c r="Z51" s="28">
        <v>0.0</v>
      </c>
      <c r="AA51" s="15">
        <f>IFERROR(Z51/Z148, "NA")</f>
        <v>0</v>
      </c>
      <c r="AB51" s="57">
        <f t="shared" si="25"/>
        <v>0</v>
      </c>
      <c r="AC51" s="15">
        <f>IFERROR(AB51/AB148, "NA")</f>
        <v>0</v>
      </c>
      <c r="AD51" s="61">
        <f t="shared" si="26"/>
        <v>0</v>
      </c>
      <c r="AE51" s="62">
        <f>IFERROR(AD51/AD148, "NA")</f>
        <v>0</v>
      </c>
      <c r="AF51" s="61" t="str">
        <f t="shared" si="27"/>
        <v>NA</v>
      </c>
      <c r="AG51" s="57">
        <f t="shared" si="28"/>
        <v>0</v>
      </c>
      <c r="AH51" s="15">
        <f>IFERROR(AG51/AG148, "NA")</f>
        <v>0</v>
      </c>
      <c r="AI51" s="61">
        <f t="shared" si="29"/>
        <v>0</v>
      </c>
      <c r="AJ51" s="62">
        <f>IFERROR(AI51/AI148, "NA")</f>
        <v>0</v>
      </c>
      <c r="AK51" s="61" t="str">
        <f t="shared" si="30"/>
        <v>NA</v>
      </c>
      <c r="AL51" s="62" t="str">
        <f>IFERROR(AK51/AK148, "NA")</f>
        <v>NA</v>
      </c>
    </row>
    <row r="52" ht="16.5" customHeight="1">
      <c r="A52" s="67" t="s">
        <v>113</v>
      </c>
      <c r="B52" s="70">
        <f>IFERROR(B46+B47+B48+B49+B50+B51, "NA")</f>
        <v>275.3</v>
      </c>
      <c r="C52" s="71">
        <f>IFERROR(B52/B148, "NA")</f>
        <v>0.003221047516</v>
      </c>
      <c r="D52" s="70">
        <f>IFERROR(D46+D47+D48+D49+D50+D51, "NA")</f>
        <v>255.65</v>
      </c>
      <c r="E52" s="71">
        <f>IFERROR(D52/D148, "NA")</f>
        <v>0.002111507937</v>
      </c>
      <c r="F52" s="70">
        <f>IFERROR(F46+F47+F48+F49+F50+F51, "NA")</f>
        <v>417.1</v>
      </c>
      <c r="G52" s="71">
        <f>IFERROR(F52/F148, "NA")</f>
        <v>0.003151899966</v>
      </c>
      <c r="H52" s="70">
        <f>IFERROR(H46+H47+H48+H49+H50+H51, "NA")</f>
        <v>352.24</v>
      </c>
      <c r="I52" s="71">
        <f>IFERROR(H52/H148, "NA")</f>
        <v>0.002462619211</v>
      </c>
      <c r="J52" s="70">
        <f>IFERROR(J46+J47+J48+J49+J50+J51, "NA")</f>
        <v>368.18</v>
      </c>
      <c r="K52" s="71">
        <f>IFERROR(J52/J148, "NA")</f>
        <v>0.002750700936</v>
      </c>
      <c r="L52" s="70">
        <f>IFERROR(L46+L47+L48+L49+L50+L51, "NA")</f>
        <v>306.65</v>
      </c>
      <c r="M52" s="71">
        <f>IFERROR(L52/L148, "NA")</f>
        <v>0.001982117442</v>
      </c>
      <c r="N52" s="70">
        <f>IFERROR(N46+N47+N48+N49+N50+N51, "NA")</f>
        <v>414.87</v>
      </c>
      <c r="O52" s="71">
        <f>IFERROR(N52/N148, "NA")</f>
        <v>0.002597949106</v>
      </c>
      <c r="P52" s="70">
        <f>IFERROR(P46+P47+P48+P49+P50+P51, "NA")</f>
        <v>362.52</v>
      </c>
      <c r="Q52" s="71">
        <f>IFERROR(P52/P148, "NA")</f>
        <v>0.002099030197</v>
      </c>
      <c r="R52" s="70">
        <f>IFERROR(R46+R47+R48+R49+R50+R51, "NA")</f>
        <v>376.7</v>
      </c>
      <c r="S52" s="71">
        <f>IFERROR(R52/R148, "NA")</f>
        <v>0.002237134074</v>
      </c>
      <c r="T52" s="70">
        <f>IFERROR(T46+T47+T48+T49+T50+T51, "NA")</f>
        <v>435.33</v>
      </c>
      <c r="U52" s="71">
        <f>IFERROR(T52/T148, "NA")</f>
        <v>0.00277084954</v>
      </c>
      <c r="V52" s="70">
        <f>IFERROR(V46+V47+V48+V49+V50+V51, "NA")</f>
        <v>404.14</v>
      </c>
      <c r="W52" s="71">
        <f>IFERROR(V52/V148, "NA")</f>
        <v>0.002581882156</v>
      </c>
      <c r="X52" s="70">
        <f>IFERROR(X46+X47+X48+X49+X50+X51, "NA")</f>
        <v>476.04</v>
      </c>
      <c r="Y52" s="71">
        <f>IFERROR(X52/X148, "NA")</f>
        <v>0.002917103557</v>
      </c>
      <c r="Z52" s="70">
        <f>IFERROR(Z46+Z47+Z48+Z49+Z50+Z51, "NA")</f>
        <v>1315.51</v>
      </c>
      <c r="AA52" s="71">
        <f>IFERROR(Z52/Z148, "NA")</f>
        <v>0.002758870761</v>
      </c>
      <c r="AB52" s="70">
        <f t="shared" si="25"/>
        <v>423.0525</v>
      </c>
      <c r="AC52" s="71">
        <f>IFERROR(AB52/AB148, "NA")</f>
        <v>0.00262271029</v>
      </c>
      <c r="AD52" s="75">
        <f t="shared" si="26"/>
        <v>52.9875</v>
      </c>
      <c r="AE52" s="76">
        <f>IFERROR(AD52/AD148, "NA")</f>
        <v>0.02809945843</v>
      </c>
      <c r="AF52" s="75">
        <f t="shared" si="27"/>
        <v>0.1252504122</v>
      </c>
      <c r="AG52" s="70">
        <f t="shared" si="28"/>
        <v>393.05375</v>
      </c>
      <c r="AH52" s="71">
        <f>IFERROR(AG52/AG148, "NA")</f>
        <v>0.002483415125</v>
      </c>
      <c r="AI52" s="75">
        <f t="shared" si="29"/>
        <v>82.98625</v>
      </c>
      <c r="AJ52" s="76">
        <f>IFERROR(AI52/AI148, "NA")</f>
        <v>0.01687465241</v>
      </c>
      <c r="AK52" s="75">
        <f t="shared" si="30"/>
        <v>0.2111320653</v>
      </c>
      <c r="AL52" s="76">
        <f>IFERROR(AK52/AK148, "NA")</f>
        <v>6.794938246</v>
      </c>
    </row>
    <row r="53" ht="16.5" customHeight="1">
      <c r="A53" s="26" t="s">
        <v>114</v>
      </c>
      <c r="B53" s="28">
        <v>128.76</v>
      </c>
      <c r="C53" s="15">
        <f>IFERROR(B53/B148, "NA")</f>
        <v>0.001506509546</v>
      </c>
      <c r="D53" s="28">
        <v>122.67</v>
      </c>
      <c r="E53" s="15">
        <f>IFERROR(D53/D148, "NA")</f>
        <v>0.001013176916</v>
      </c>
      <c r="F53" s="28">
        <v>303.54</v>
      </c>
      <c r="G53" s="15">
        <f>IFERROR(F53/F148, "NA")</f>
        <v>0.002293761006</v>
      </c>
      <c r="H53" s="28">
        <v>179.94</v>
      </c>
      <c r="I53" s="15">
        <f>IFERROR(H53/H148, "NA")</f>
        <v>0.001258016411</v>
      </c>
      <c r="J53" s="28">
        <v>152.95</v>
      </c>
      <c r="K53" s="15">
        <f>IFERROR(J53/J148, "NA")</f>
        <v>0.001142701147</v>
      </c>
      <c r="L53" s="28">
        <v>247.32</v>
      </c>
      <c r="M53" s="15">
        <f>IFERROR(L53/L148, "NA")</f>
        <v>0.001598621509</v>
      </c>
      <c r="N53" s="28">
        <v>237.23</v>
      </c>
      <c r="O53" s="15">
        <f>IFERROR(N53/N148, "NA")</f>
        <v>0.001485553225</v>
      </c>
      <c r="P53" s="28">
        <v>244.64</v>
      </c>
      <c r="Q53" s="15">
        <f>IFERROR(P53/P148, "NA")</f>
        <v>0.001416492187</v>
      </c>
      <c r="R53" s="28">
        <v>167.68</v>
      </c>
      <c r="S53" s="15">
        <f>IFERROR(R53/R148, "NA")</f>
        <v>0.0009958126931</v>
      </c>
      <c r="T53" s="28">
        <v>210.44</v>
      </c>
      <c r="U53" s="15">
        <f>IFERROR(T53/T148, "NA")</f>
        <v>0.001339438075</v>
      </c>
      <c r="V53" s="28">
        <v>235.71</v>
      </c>
      <c r="W53" s="15">
        <f>IFERROR(V53/V148, "NA")</f>
        <v>0.001505853029</v>
      </c>
      <c r="X53" s="28">
        <v>197.73</v>
      </c>
      <c r="Y53" s="15">
        <f>IFERROR(X53/X148, "NA")</f>
        <v>0.001211660546</v>
      </c>
      <c r="Z53" s="28">
        <v>643.88</v>
      </c>
      <c r="AA53" s="15">
        <f>IFERROR(Z53/Z148, "NA")</f>
        <v>0.001350336908</v>
      </c>
      <c r="AB53" s="57">
        <f t="shared" si="25"/>
        <v>202.89</v>
      </c>
      <c r="AC53" s="15">
        <f>IFERROR(AB53/AB148, "NA")</f>
        <v>0.001257814788</v>
      </c>
      <c r="AD53" s="61">
        <f t="shared" si="26"/>
        <v>-5.16</v>
      </c>
      <c r="AE53" s="62">
        <f>IFERROR(AD53/AD148, "NA")</f>
        <v>-0.002736366228</v>
      </c>
      <c r="AF53" s="61">
        <f t="shared" si="27"/>
        <v>-0.02543250037</v>
      </c>
      <c r="AG53" s="57">
        <f t="shared" si="28"/>
        <v>211.7125</v>
      </c>
      <c r="AH53" s="15">
        <f>IFERROR(AG53/AG148, "NA")</f>
        <v>0.001337654264</v>
      </c>
      <c r="AI53" s="61">
        <f t="shared" si="29"/>
        <v>-13.9825</v>
      </c>
      <c r="AJ53" s="62">
        <f>IFERROR(AI53/AI148, "NA")</f>
        <v>-0.002843240023</v>
      </c>
      <c r="AK53" s="61">
        <f t="shared" si="30"/>
        <v>-0.06604475409</v>
      </c>
      <c r="AL53" s="62">
        <f>IFERROR(AK53/AK148, "NA")</f>
        <v>-2.125541778</v>
      </c>
    </row>
    <row r="54" ht="16.5" customHeight="1">
      <c r="A54" s="26" t="s">
        <v>115</v>
      </c>
      <c r="B54" s="28">
        <v>21.31</v>
      </c>
      <c r="C54" s="15">
        <f>IFERROR(B54/B148, "NA")</f>
        <v>0.0002493299039</v>
      </c>
      <c r="D54" s="28">
        <v>36.0</v>
      </c>
      <c r="E54" s="15">
        <f>IFERROR(D54/D148, "NA")</f>
        <v>0.0002973373195</v>
      </c>
      <c r="F54" s="28">
        <v>36.31</v>
      </c>
      <c r="G54" s="15">
        <f>IFERROR(F54/F148, "NA")</f>
        <v>0.0002743838115</v>
      </c>
      <c r="H54" s="28">
        <v>45.62</v>
      </c>
      <c r="I54" s="15">
        <f>IFERROR(H54/H148, "NA")</f>
        <v>0.000318943585</v>
      </c>
      <c r="J54" s="28">
        <v>49.24</v>
      </c>
      <c r="K54" s="15">
        <f>IFERROR(J54/J148, "NA")</f>
        <v>0.0003678758056</v>
      </c>
      <c r="L54" s="28">
        <v>45.0</v>
      </c>
      <c r="M54" s="15">
        <f>IFERROR(L54/L148, "NA")</f>
        <v>0.000290869998</v>
      </c>
      <c r="N54" s="28">
        <v>63.93</v>
      </c>
      <c r="O54" s="15">
        <f>IFERROR(N54/N148, "NA")</f>
        <v>0.0004003347708</v>
      </c>
      <c r="P54" s="28">
        <v>141.31</v>
      </c>
      <c r="Q54" s="15">
        <f>IFERROR(P54/P148, "NA")</f>
        <v>0.000818200257</v>
      </c>
      <c r="R54" s="28">
        <v>681.49</v>
      </c>
      <c r="S54" s="15">
        <f>IFERROR(R54/R148, "NA")</f>
        <v>0.004047211309</v>
      </c>
      <c r="T54" s="28">
        <v>138.62</v>
      </c>
      <c r="U54" s="15">
        <f>IFERROR(T54/T148, "NA")</f>
        <v>0.0008823080496</v>
      </c>
      <c r="V54" s="28">
        <v>145.31</v>
      </c>
      <c r="W54" s="15">
        <f>IFERROR(V54/V148, "NA")</f>
        <v>0.0009283250757</v>
      </c>
      <c r="X54" s="28">
        <v>161.12</v>
      </c>
      <c r="Y54" s="15">
        <f>IFERROR(X54/X148, "NA")</f>
        <v>0.0009873198158</v>
      </c>
      <c r="Z54" s="28">
        <v>445.05</v>
      </c>
      <c r="AA54" s="15">
        <f>IFERROR(Z54/Z148, "NA")</f>
        <v>0.0009333531727</v>
      </c>
      <c r="AB54" s="57">
        <f t="shared" si="25"/>
        <v>281.635</v>
      </c>
      <c r="AC54" s="15">
        <f>IFERROR(AB54/AB148, "NA")</f>
        <v>0.00174599373</v>
      </c>
      <c r="AD54" s="61">
        <f t="shared" si="26"/>
        <v>-120.515</v>
      </c>
      <c r="AE54" s="62">
        <f>IFERROR(AD54/AD148, "NA")</f>
        <v>-0.06390953022</v>
      </c>
      <c r="AF54" s="61">
        <f t="shared" si="27"/>
        <v>-0.4279120138</v>
      </c>
      <c r="AG54" s="57">
        <f t="shared" si="28"/>
        <v>178.2525</v>
      </c>
      <c r="AH54" s="15">
        <f>IFERROR(AG54/AG148, "NA")</f>
        <v>0.001126245341</v>
      </c>
      <c r="AI54" s="61">
        <f t="shared" si="29"/>
        <v>-17.1325</v>
      </c>
      <c r="AJ54" s="62">
        <f>IFERROR(AI54/AI148, "NA")</f>
        <v>-0.00348376969</v>
      </c>
      <c r="AK54" s="61">
        <f t="shared" si="30"/>
        <v>-0.09611365899</v>
      </c>
      <c r="AL54" s="62">
        <f>IFERROR(AK54/AK148, "NA")</f>
        <v>-3.093260025</v>
      </c>
    </row>
    <row r="55" ht="16.5" customHeight="1">
      <c r="A55" s="26" t="s">
        <v>116</v>
      </c>
      <c r="B55" s="28">
        <v>-880.61</v>
      </c>
      <c r="C55" s="15">
        <f>IFERROR(B55/B148, "NA")</f>
        <v>-0.010303257</v>
      </c>
      <c r="D55" s="28">
        <v>-1023.32</v>
      </c>
      <c r="E55" s="15">
        <f>IFERROR(D55/D148, "NA")</f>
        <v>-0.008451978495</v>
      </c>
      <c r="F55" s="28">
        <v>-1085.72</v>
      </c>
      <c r="G55" s="15">
        <f>IFERROR(F55/F148, "NA")</f>
        <v>-0.008204461355</v>
      </c>
      <c r="H55" s="28">
        <v>-1135.82</v>
      </c>
      <c r="I55" s="15">
        <f>IFERROR(H55/H148, "NA")</f>
        <v>-0.007940870292</v>
      </c>
      <c r="J55" s="28">
        <v>-1118.74</v>
      </c>
      <c r="K55" s="15">
        <f>IFERROR(J55/J148, "NA")</f>
        <v>-0.008358192095</v>
      </c>
      <c r="L55" s="28">
        <v>-1165.41</v>
      </c>
      <c r="M55" s="15">
        <f>IFERROR(L55/L148, "NA")</f>
        <v>-0.007532951208</v>
      </c>
      <c r="N55" s="28">
        <v>-1458.87</v>
      </c>
      <c r="O55" s="15">
        <f>IFERROR(N55/N148, "NA")</f>
        <v>-0.009135560567</v>
      </c>
      <c r="P55" s="28">
        <v>-1381.35</v>
      </c>
      <c r="Q55" s="15">
        <f>IFERROR(P55/P148, "NA")</f>
        <v>-0.00799816662</v>
      </c>
      <c r="R55" s="28">
        <v>-1245.01</v>
      </c>
      <c r="S55" s="15">
        <f>IFERROR(R55/R148, "NA")</f>
        <v>-0.007393826104</v>
      </c>
      <c r="T55" s="28">
        <v>-1038.59</v>
      </c>
      <c r="U55" s="15">
        <f>IFERROR(T55/T148, "NA")</f>
        <v>-0.006610563535</v>
      </c>
      <c r="V55" s="28">
        <v>-1281.64</v>
      </c>
      <c r="W55" s="15">
        <f>IFERROR(V55/V148, "NA")</f>
        <v>-0.008187864221</v>
      </c>
      <c r="X55" s="28">
        <v>-1226.16</v>
      </c>
      <c r="Y55" s="15">
        <f>IFERROR(X55/X148, "NA")</f>
        <v>-0.007513729303</v>
      </c>
      <c r="Z55" s="28">
        <v>-3546.39</v>
      </c>
      <c r="AA55" s="15">
        <f>IFERROR(Z55/Z148, "NA")</f>
        <v>-0.007437443789</v>
      </c>
      <c r="AB55" s="57">
        <f t="shared" si="25"/>
        <v>-1197.85</v>
      </c>
      <c r="AC55" s="15">
        <f>IFERROR(AB55/AB148, "NA")</f>
        <v>-0.007426060643</v>
      </c>
      <c r="AD55" s="61">
        <f t="shared" si="26"/>
        <v>-28.31</v>
      </c>
      <c r="AE55" s="62">
        <f>IFERROR(AD55/AD148, "NA")</f>
        <v>-0.015012893</v>
      </c>
      <c r="AF55" s="61">
        <f t="shared" si="27"/>
        <v>0.02363401094</v>
      </c>
      <c r="AG55" s="57">
        <f t="shared" si="28"/>
        <v>-1239.47125</v>
      </c>
      <c r="AH55" s="15">
        <f>IFERROR(AG55/AG148, "NA")</f>
        <v>-0.007831299533</v>
      </c>
      <c r="AI55" s="61">
        <f t="shared" si="29"/>
        <v>13.31125</v>
      </c>
      <c r="AJ55" s="62">
        <f>IFERROR(AI55/AI148, "NA")</f>
        <v>0.002706746201</v>
      </c>
      <c r="AK55" s="61">
        <f t="shared" si="30"/>
        <v>-0.01073945846</v>
      </c>
      <c r="AL55" s="62">
        <f>IFERROR(AK55/AK148, "NA")</f>
        <v>-0.345631806</v>
      </c>
    </row>
    <row r="56" ht="16.5" customHeight="1">
      <c r="A56" s="67" t="s">
        <v>117</v>
      </c>
      <c r="B56" s="70">
        <f>IFERROR(B37+B39+B40+B41+B42+B43+B46+B47+B48+B49+B50+B51+B53+B54+B55, "NA")</f>
        <v>2711.89</v>
      </c>
      <c r="C56" s="71">
        <f>IFERROR(B56/B148, "NA")</f>
        <v>0.03172948255</v>
      </c>
      <c r="D56" s="70">
        <f>IFERROR(D37+D39+D40+D41+D42+D43+D46+D47+D48+D49+D50+D51+D53+D54+D55, "NA")</f>
        <v>5382.24</v>
      </c>
      <c r="E56" s="71">
        <f>IFERROR(D56/D148, "NA")</f>
        <v>0.04445391152</v>
      </c>
      <c r="F56" s="70">
        <f>IFERROR(F37+F39+F40+F41+F42+F43+F46+F47+F48+F49+F50+F51+F53+F54+F55, "NA")</f>
        <v>5235.51</v>
      </c>
      <c r="G56" s="71">
        <f>IFERROR(F56/F148, "NA")</f>
        <v>0.03956318339</v>
      </c>
      <c r="H56" s="70">
        <f>IFERROR(H37+H39+H40+H41+H42+H43+H46+H47+H48+H49+H50+H51+H53+H54+H55, "NA")</f>
        <v>5751.83</v>
      </c>
      <c r="I56" s="71">
        <f>IFERROR(H56/H148, "NA")</f>
        <v>0.04021282947</v>
      </c>
      <c r="J56" s="70">
        <f>IFERROR(J37+J39+J40+J41+J42+J43+J46+J47+J48+J49+J50+J51+J53+J54+J55, "NA")</f>
        <v>4699.32</v>
      </c>
      <c r="K56" s="71">
        <f>IFERROR(J56/J148, "NA")</f>
        <v>0.0351089791</v>
      </c>
      <c r="L56" s="70">
        <f>IFERROR(L37+L39+L40+L41+L42+L43+L46+L47+L48+L49+L50+L51+L53+L54+L55, "NA")</f>
        <v>6012.77</v>
      </c>
      <c r="M56" s="71">
        <f>IFERROR(L56/L148, "NA")</f>
        <v>0.03886520884</v>
      </c>
      <c r="N56" s="70">
        <f>IFERROR(N37+N39+N40+N41+N42+N43+N46+N47+N48+N49+N50+N51+N53+N54+N55, "NA")</f>
        <v>5835.06</v>
      </c>
      <c r="O56" s="71">
        <f>IFERROR(N56/N148, "NA")</f>
        <v>0.0365396122</v>
      </c>
      <c r="P56" s="70">
        <f>IFERROR(P37+P39+P40+P41+P42+P43+P46+P47+P48+P49+P50+P51+P53+P54+P55, "NA")</f>
        <v>6315.44</v>
      </c>
      <c r="Q56" s="71">
        <f>IFERROR(P56/P148, "NA")</f>
        <v>0.03656708394</v>
      </c>
      <c r="R56" s="70">
        <f>IFERROR(R37+R39+R40+R41+R42+R43+R46+R47+R48+R49+R50+R51+R53+R54+R55, "NA")</f>
        <v>6735.95</v>
      </c>
      <c r="S56" s="71">
        <f>IFERROR(R56/R148, "NA")</f>
        <v>0.04000324732</v>
      </c>
      <c r="T56" s="70">
        <f>IFERROR(T37+T39+T40+T41+T42+T43+T46+T47+T48+T49+T50+T51+T53+T54+T55, "NA")</f>
        <v>6345.16</v>
      </c>
      <c r="U56" s="71">
        <f>IFERROR(T56/T148, "NA")</f>
        <v>0.04038656575</v>
      </c>
      <c r="V56" s="70">
        <f>IFERROR(V37+V39+V40+V41+V42+V43+V46+V47+V48+V49+V50+V51+V53+V54+V55, "NA")</f>
        <v>5569.32</v>
      </c>
      <c r="W56" s="71">
        <f>IFERROR(V56/V148, "NA")</f>
        <v>0.03558006614</v>
      </c>
      <c r="X56" s="70">
        <f>IFERROR(X37+X39+X40+X41+X42+X43+X46+X47+X48+X49+X50+X51+X53+X54+X55, "NA")</f>
        <v>5600.97</v>
      </c>
      <c r="Y56" s="71">
        <f>IFERROR(X56/X148, "NA")</f>
        <v>0.0343219257</v>
      </c>
      <c r="Z56" s="70">
        <f>IFERROR(Z37+Z39+Z40+Z41+Z42+Z43+Z46+Z47+Z48+Z49+Z50+Z51+Z53+Z54+Z55, "NA")</f>
        <v>17515.45</v>
      </c>
      <c r="AA56" s="71">
        <f>IFERROR(Z56/Z148, "NA")</f>
        <v>0.03673317791</v>
      </c>
      <c r="AB56" s="70">
        <f t="shared" si="25"/>
        <v>6062.85</v>
      </c>
      <c r="AC56" s="71">
        <f>IFERROR(AB56/AB148, "NA")</f>
        <v>0.03758658578</v>
      </c>
      <c r="AD56" s="75">
        <f t="shared" si="26"/>
        <v>-461.88</v>
      </c>
      <c r="AE56" s="76">
        <f>IFERROR(AD56/AD148, "NA")</f>
        <v>-0.2449365956</v>
      </c>
      <c r="AF56" s="75">
        <f t="shared" si="27"/>
        <v>-0.07618199362</v>
      </c>
      <c r="AG56" s="70">
        <f t="shared" si="28"/>
        <v>5889.24875</v>
      </c>
      <c r="AH56" s="71">
        <f>IFERROR(AG56/AG148, "NA")</f>
        <v>0.03720979489</v>
      </c>
      <c r="AI56" s="75">
        <f t="shared" si="29"/>
        <v>-288.27875</v>
      </c>
      <c r="AJ56" s="76">
        <f>IFERROR(AI56/AI148, "NA")</f>
        <v>-0.05861939422</v>
      </c>
      <c r="AK56" s="75">
        <f t="shared" si="30"/>
        <v>-0.04895000402</v>
      </c>
      <c r="AL56" s="76">
        <f>IFERROR(AK56/AK148, "NA")</f>
        <v>-1.575375365</v>
      </c>
    </row>
    <row r="57" ht="16.5" customHeight="1">
      <c r="A57" s="67" t="s">
        <v>54</v>
      </c>
      <c r="B57" s="118">
        <f>IFERROR(B13+B15+B16+B17+B18+B19+B20+B21+B22+B23+B24+B25+B26+B29+B30+B31+B32+B33+B37+B39+B40+B41+B42+B43+B46+B47+B48+B49+B50+B51+B53+B54+B55, "NA")</f>
        <v>23994.21</v>
      </c>
      <c r="C57" s="94">
        <f>IFERROR(B57/B148, "NA")</f>
        <v>0.2807355267</v>
      </c>
      <c r="D57" s="118">
        <f>IFERROR(D13+D15+D16+D17+D18+D19+D20+D21+D22+D23+D24+D25+D26+D29+D30+D31+D32+D33+D37+D39+D40+D41+D42+D43+D46+D47+D48+D49+D50+D51+D53+D54+D55, "NA")</f>
        <v>34063.79</v>
      </c>
      <c r="E57" s="94">
        <f>IFERROR(D57/D148, "NA")</f>
        <v>0.2813454448</v>
      </c>
      <c r="F57" s="118">
        <f>IFERROR(F13+F15+F16+F17+F18+F19+F20+F21+F22+F23+F24+F25+F26+F29+F30+F31+F32+F33+F37+F39+F40+F41+F42+F43+F46+F47+F48+F49+F50+F51+F53+F54+F55, "NA")</f>
        <v>35327.78</v>
      </c>
      <c r="G57" s="94">
        <f>IFERROR(F57/F148, "NA")</f>
        <v>0.2669614687</v>
      </c>
      <c r="H57" s="118">
        <f>IFERROR(H13+H15+H16+H17+H18+H19+H20+H21+H22+H23+H24+H25+H26+H29+H30+H31+H32+H33+H37+H39+H40+H41+H42+H43+H46+H47+H48+H49+H50+H51+H53+H54+H55, "NA")</f>
        <v>38908.07</v>
      </c>
      <c r="I57" s="94">
        <f>IFERROR(H57/H148, "NA")</f>
        <v>0.2720183983</v>
      </c>
      <c r="J57" s="118">
        <f>IFERROR(J13+J15+J16+J17+J18+J19+J20+J21+J22+J23+J24+J25+J26+J29+J30+J31+J32+J33+J37+J39+J40+J41+J42+J43+J46+J47+J48+J49+J50+J51+J53+J54+J55, "NA")</f>
        <v>36421.18</v>
      </c>
      <c r="K57" s="94">
        <f>IFERROR(J57/J148, "NA")</f>
        <v>0.2721054211</v>
      </c>
      <c r="L57" s="118">
        <f>IFERROR(L13+L15+L16+L17+L18+L19+L20+L21+L22+L23+L24+L25+L26+L29+L30+L31+L32+L33+L37+L39+L40+L41+L42+L43+L46+L47+L48+L49+L50+L51+L53+L54+L55, "NA")</f>
        <v>41789.19</v>
      </c>
      <c r="M57" s="94">
        <f>IFERROR(L57/L148, "NA")</f>
        <v>0.2701160358</v>
      </c>
      <c r="N57" s="118">
        <f>IFERROR(N13+N15+N16+N17+N18+N19+N20+N21+N22+N23+N24+N25+N26+N29+N30+N31+N32+N33+N37+N39+N40+N41+N42+N43+N46+N47+N48+N49+N50+N51+N53+N54+N55, "NA")</f>
        <v>43129.71</v>
      </c>
      <c r="O57" s="94">
        <f>IFERROR(N57/N148, "NA")</f>
        <v>0.270081692</v>
      </c>
      <c r="P57" s="118">
        <f>IFERROR(P13+P15+P16+P17+P18+P19+P20+P21+P22+P23+P24+P25+P26+P29+P30+P31+P32+P33+P37+P39+P40+P41+P42+P43+P46+P47+P48+P49+P50+P51+P53+P54+P55, "NA")</f>
        <v>45799.18</v>
      </c>
      <c r="Q57" s="94">
        <f>IFERROR(P57/P148, "NA")</f>
        <v>0.2651822295</v>
      </c>
      <c r="R57" s="118">
        <f>IFERROR(R13+R15+R16+R17+R18+R19+R20+R21+R22+R23+R24+R25+R26+R29+R30+R31+R32+R33+R37+R39+R40+R41+R42+R43+R46+R47+R48+R49+R50+R51+R53+R54+R55, "NA")</f>
        <v>45952.22</v>
      </c>
      <c r="S57" s="94">
        <f>IFERROR(R57/R148, "NA")</f>
        <v>0.2728995942</v>
      </c>
      <c r="T57" s="118">
        <f>IFERROR(T13+T15+T16+T17+T18+T19+T20+T21+T22+T23+T24+T25+T26+T29+T30+T31+T32+T33+T37+T39+T40+T41+T42+T43+T46+T47+T48+T49+T50+T51+T53+T54+T55, "NA")</f>
        <v>43243.15</v>
      </c>
      <c r="U57" s="94">
        <f>IFERROR(T57/T148, "NA")</f>
        <v>0.275240076</v>
      </c>
      <c r="V57" s="118">
        <f>IFERROR(V13+V15+V16+V17+V18+V19+V20+V21+V22+V23+V24+V25+V26+V29+V30+V31+V32+V33+V37+V39+V40+V41+V42+V43+V46+V47+V48+V49+V50+V51+V53+V54+V55, "NA")</f>
        <v>43714.07</v>
      </c>
      <c r="W57" s="94">
        <f>IFERROR(V57/V148, "NA")</f>
        <v>0.2792709885</v>
      </c>
      <c r="X57" s="118">
        <f>IFERROR(X13+X15+X16+X17+X18+X19+X20+X21+X22+X23+X24+X25+X26+X29+X30+X31+X32+X33+X37+X39+X40+X41+X42+X43+X46+X47+X48+X49+X50+X51+X53+X54+X55, "NA")</f>
        <v>42684.74</v>
      </c>
      <c r="Y57" s="94">
        <f>IFERROR(X57/X148, "NA")</f>
        <v>0.2615658493</v>
      </c>
      <c r="Z57" s="118">
        <f>IFERROR(Z13+Z15+Z16+Z17+Z18+Z19+Z20+Z21+Z22+Z23+Z24+Z25+Z26+Z29+Z30+Z31+Z32+Z33+Z37+Z39+Z40+Z41+Z42+Z43+Z46+Z47+Z48+Z49+Z50+Z51+Z53+Z54+Z55, "NA")</f>
        <v>129641.96</v>
      </c>
      <c r="AA57" s="94">
        <f>IFERROR(Z57/Z148, "NA")</f>
        <v>0.2718834618</v>
      </c>
      <c r="AB57" s="118">
        <f t="shared" si="25"/>
        <v>43898.545</v>
      </c>
      <c r="AC57" s="94">
        <f>IFERROR(AB57/AB148, "NA")</f>
        <v>0.2721486474</v>
      </c>
      <c r="AD57" s="119">
        <f t="shared" si="26"/>
        <v>-1213.805</v>
      </c>
      <c r="AE57" s="120">
        <f>IFERROR(AD57/AD148, "NA")</f>
        <v>-0.6436850792</v>
      </c>
      <c r="AF57" s="119">
        <f t="shared" si="27"/>
        <v>-0.02765023305</v>
      </c>
      <c r="AG57" s="118">
        <f t="shared" si="28"/>
        <v>42841.68</v>
      </c>
      <c r="AH57" s="94">
        <f>IFERROR(AG57/AG148, "NA")</f>
        <v>0.270684801</v>
      </c>
      <c r="AI57" s="119">
        <f t="shared" si="29"/>
        <v>-156.94</v>
      </c>
      <c r="AJ57" s="120">
        <f>IFERROR(AI57/AI148, "NA")</f>
        <v>-0.03191261142</v>
      </c>
      <c r="AK57" s="119">
        <f t="shared" si="30"/>
        <v>-0.003663255036</v>
      </c>
      <c r="AL57" s="120">
        <f>IFERROR(AK57/AK148, "NA")</f>
        <v>-0.1178958379</v>
      </c>
    </row>
    <row r="58" ht="3.75" customHeight="1">
      <c r="A58" s="79"/>
      <c r="B58" s="80"/>
      <c r="C58" s="74"/>
      <c r="D58" s="80"/>
      <c r="E58" s="74"/>
      <c r="F58" s="80"/>
      <c r="G58" s="74"/>
      <c r="H58" s="80"/>
      <c r="I58" s="74"/>
      <c r="J58" s="80"/>
      <c r="K58" s="74"/>
      <c r="L58" s="80"/>
      <c r="M58" s="74"/>
      <c r="N58" s="80"/>
      <c r="O58" s="74"/>
      <c r="P58" s="80"/>
      <c r="Q58" s="74"/>
      <c r="R58" s="80"/>
      <c r="S58" s="74"/>
      <c r="T58" s="80"/>
      <c r="U58" s="74"/>
      <c r="V58" s="80"/>
      <c r="W58" s="74"/>
      <c r="X58" s="80"/>
      <c r="Y58" s="74"/>
      <c r="Z58" s="80"/>
      <c r="AA58" s="74"/>
      <c r="AB58" s="80"/>
      <c r="AC58" s="74"/>
      <c r="AD58" s="81"/>
      <c r="AE58" s="82"/>
      <c r="AF58" s="81"/>
      <c r="AG58" s="80"/>
      <c r="AH58" s="74"/>
      <c r="AI58" s="81"/>
      <c r="AJ58" s="82"/>
      <c r="AK58" s="81"/>
      <c r="AL58" s="82"/>
    </row>
    <row r="59" ht="16.5" customHeight="1">
      <c r="A59" s="121" t="s">
        <v>120</v>
      </c>
      <c r="B59" s="122">
        <f>IFERROR(B9-B57, "NA")</f>
        <v>61474.88</v>
      </c>
      <c r="C59" s="98">
        <f>IFERROR(B59/B148, "NA")</f>
        <v>0.7192644733</v>
      </c>
      <c r="D59" s="122">
        <f>IFERROR(D9-D57, "NA")</f>
        <v>87010.82</v>
      </c>
      <c r="E59" s="98">
        <f>IFERROR(D59/D148, "NA")</f>
        <v>0.7186545552</v>
      </c>
      <c r="F59" s="122">
        <f>IFERROR(F9-F57, "NA")</f>
        <v>97005.1</v>
      </c>
      <c r="G59" s="98">
        <f>IFERROR(F59/F148, "NA")</f>
        <v>0.7330385313</v>
      </c>
      <c r="H59" s="122">
        <f>IFERROR(H9-H57, "NA")</f>
        <v>104126.63</v>
      </c>
      <c r="I59" s="98">
        <f>IFERROR(H59/H148, "NA")</f>
        <v>0.7279816017</v>
      </c>
      <c r="J59" s="122">
        <f>IFERROR(J9-J57, "NA")</f>
        <v>97428.34</v>
      </c>
      <c r="K59" s="98">
        <f>IFERROR(J59/J148, "NA")</f>
        <v>0.7278945789</v>
      </c>
      <c r="L59" s="122">
        <f>IFERROR(L9-L57, "NA")</f>
        <v>112919.1</v>
      </c>
      <c r="M59" s="98">
        <f>IFERROR(L59/L148, "NA")</f>
        <v>0.7298839642</v>
      </c>
      <c r="N59" s="122">
        <f>IFERROR(N9-N57, "NA")</f>
        <v>116561.64</v>
      </c>
      <c r="O59" s="98">
        <f>IFERROR(N59/N148, "NA")</f>
        <v>0.729918308</v>
      </c>
      <c r="P59" s="122">
        <f>IFERROR(P9-P57, "NA")</f>
        <v>126909.15</v>
      </c>
      <c r="Q59" s="98">
        <f>IFERROR(P59/P148, "NA")</f>
        <v>0.7348177705</v>
      </c>
      <c r="R59" s="122">
        <f>IFERROR(R9-R57, "NA")</f>
        <v>122432.86</v>
      </c>
      <c r="S59" s="98">
        <f>IFERROR(R59/R148, "NA")</f>
        <v>0.7271004058</v>
      </c>
      <c r="T59" s="122">
        <f>IFERROR(T9-T57, "NA")</f>
        <v>113867.51</v>
      </c>
      <c r="U59" s="98">
        <f>IFERROR(T59/T148, "NA")</f>
        <v>0.724759924</v>
      </c>
      <c r="V59" s="122">
        <f>IFERROR(V9-V57, "NA")</f>
        <v>112815.15</v>
      </c>
      <c r="W59" s="98">
        <f>IFERROR(V59/V148, "NA")</f>
        <v>0.7207290115</v>
      </c>
      <c r="X59" s="122">
        <f>IFERROR(X9-X57, "NA")</f>
        <v>120504.53</v>
      </c>
      <c r="Y59" s="98">
        <f>IFERROR(X59/X148, "NA")</f>
        <v>0.7384341507</v>
      </c>
      <c r="Z59" s="122">
        <f>IFERROR(Z9-Z57, "NA")</f>
        <v>347187.19</v>
      </c>
      <c r="AA59" s="98">
        <f>IFERROR(Z59/Z148, "NA")</f>
        <v>0.7281165382</v>
      </c>
      <c r="AB59" s="122">
        <f>IFERROR((R59+T59+V59+X59)/4, "NA")</f>
        <v>117405.0125</v>
      </c>
      <c r="AC59" s="98">
        <f>IFERROR(AB59/AB148, "NA")</f>
        <v>0.7278513526</v>
      </c>
      <c r="AD59" s="75">
        <f>IFERROR(X59-AB59, "NA")</f>
        <v>3099.5175</v>
      </c>
      <c r="AE59" s="76">
        <f>IFERROR(AD59/AD148, "NA")</f>
        <v>1.643685079</v>
      </c>
      <c r="AF59" s="75">
        <f>IFERROR((X59-AB59)/AB59, "NA")</f>
        <v>0.02640021439</v>
      </c>
      <c r="AG59" s="122">
        <f>IFERROR((J59+L59+N59+P59+R59+T59+V59+X59)/8, "NA")</f>
        <v>115429.785</v>
      </c>
      <c r="AH59" s="98">
        <f>IFERROR(AG59/AG148, "NA")</f>
        <v>0.729315199</v>
      </c>
      <c r="AI59" s="75">
        <f>IFERROR(X59-AG59, "NA")</f>
        <v>5074.745</v>
      </c>
      <c r="AJ59" s="76">
        <f>IFERROR(AI59/AI148, "NA")</f>
        <v>1.031912611</v>
      </c>
      <c r="AK59" s="75">
        <f>IFERROR((X59-AG59)/AG59, "NA")</f>
        <v>0.04396391278</v>
      </c>
      <c r="AL59" s="76">
        <f>IFERROR(AK59/AK148, "NA")</f>
        <v>1.41490622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2"/>
      <c r="AF60" s="125"/>
      <c r="AG60" s="124"/>
      <c r="AH60" s="74"/>
      <c r="AI60" s="125"/>
      <c r="AJ60" s="82"/>
      <c r="AK60" s="125"/>
      <c r="AL60" s="82"/>
    </row>
    <row r="61" ht="16.5" customHeight="1">
      <c r="A61" s="22" t="s">
        <v>121</v>
      </c>
      <c r="B61" s="23"/>
      <c r="C61" s="10"/>
      <c r="D61" s="23"/>
      <c r="E61" s="10"/>
      <c r="F61" s="23"/>
      <c r="G61" s="10"/>
      <c r="H61" s="23"/>
      <c r="I61" s="10"/>
      <c r="J61" s="23"/>
      <c r="K61" s="10"/>
      <c r="L61" s="23"/>
      <c r="M61" s="10"/>
      <c r="N61" s="23"/>
      <c r="O61" s="10"/>
      <c r="P61" s="23"/>
      <c r="Q61" s="10"/>
      <c r="R61" s="23"/>
      <c r="S61" s="10"/>
      <c r="T61" s="23"/>
      <c r="U61" s="10"/>
      <c r="V61" s="23"/>
      <c r="W61" s="10"/>
      <c r="X61" s="23"/>
      <c r="Y61" s="10"/>
      <c r="Z61" s="23"/>
      <c r="AA61" s="10"/>
      <c r="AB61" s="23"/>
      <c r="AC61" s="10"/>
      <c r="AD61" s="24"/>
      <c r="AE61" s="25"/>
      <c r="AF61" s="24"/>
      <c r="AG61" s="23"/>
      <c r="AH61" s="10"/>
      <c r="AI61" s="24"/>
      <c r="AJ61" s="25"/>
      <c r="AK61" s="24"/>
      <c r="AL61" s="25"/>
    </row>
    <row r="62" ht="16.5" customHeight="1">
      <c r="A62" s="22" t="s">
        <v>121</v>
      </c>
      <c r="B62" s="23"/>
      <c r="C62" s="10"/>
      <c r="D62" s="23"/>
      <c r="E62" s="10"/>
      <c r="F62" s="23"/>
      <c r="G62" s="10"/>
      <c r="H62" s="23"/>
      <c r="I62" s="10"/>
      <c r="J62" s="23"/>
      <c r="K62" s="10"/>
      <c r="L62" s="23"/>
      <c r="M62" s="10"/>
      <c r="N62" s="23"/>
      <c r="O62" s="10"/>
      <c r="P62" s="23"/>
      <c r="Q62" s="10"/>
      <c r="R62" s="23"/>
      <c r="S62" s="10"/>
      <c r="T62" s="23"/>
      <c r="U62" s="10"/>
      <c r="V62" s="23"/>
      <c r="W62" s="10"/>
      <c r="X62" s="23"/>
      <c r="Y62" s="10"/>
      <c r="Z62" s="23"/>
      <c r="AA62" s="10"/>
      <c r="AB62" s="23"/>
      <c r="AC62" s="10"/>
      <c r="AD62" s="24"/>
      <c r="AE62" s="25"/>
      <c r="AF62" s="24"/>
      <c r="AG62" s="23"/>
      <c r="AH62" s="10"/>
      <c r="AI62" s="24"/>
      <c r="AJ62" s="25"/>
      <c r="AK62" s="24"/>
      <c r="AL62" s="25"/>
    </row>
    <row r="63" ht="16.5" hidden="1" customHeight="1">
      <c r="A63" s="26" t="s">
        <v>122</v>
      </c>
      <c r="B63" s="28">
        <v>0.0</v>
      </c>
      <c r="C63" s="15">
        <f>IFERROR(B63/B148, "NA")</f>
        <v>0</v>
      </c>
      <c r="D63" s="28">
        <v>0.0</v>
      </c>
      <c r="E63" s="15">
        <f>IFERROR(D63/D148, "NA")</f>
        <v>0</v>
      </c>
      <c r="F63" s="28">
        <v>0.0</v>
      </c>
      <c r="G63" s="15">
        <f>IFERROR(F63/F148, "NA")</f>
        <v>0</v>
      </c>
      <c r="H63" s="28">
        <v>0.0</v>
      </c>
      <c r="I63" s="15">
        <f>IFERROR(H63/H148, "NA")</f>
        <v>0</v>
      </c>
      <c r="J63" s="28">
        <v>0.0</v>
      </c>
      <c r="K63" s="15">
        <f>IFERROR(J63/J148, "NA")</f>
        <v>0</v>
      </c>
      <c r="L63" s="28">
        <v>0.0</v>
      </c>
      <c r="M63" s="15">
        <f>IFERROR(L63/L148, "NA")</f>
        <v>0</v>
      </c>
      <c r="N63" s="28">
        <v>0.0</v>
      </c>
      <c r="O63" s="15">
        <f>IFERROR(N63/N148, "NA")</f>
        <v>0</v>
      </c>
      <c r="P63" s="28">
        <v>0.0</v>
      </c>
      <c r="Q63" s="15">
        <f>IFERROR(P63/P148, "NA")</f>
        <v>0</v>
      </c>
      <c r="R63" s="28">
        <v>0.0</v>
      </c>
      <c r="S63" s="15">
        <f>IFERROR(R63/R148, "NA")</f>
        <v>0</v>
      </c>
      <c r="T63" s="28">
        <v>0.0</v>
      </c>
      <c r="U63" s="15">
        <f>IFERROR(T63/T148, "NA")</f>
        <v>0</v>
      </c>
      <c r="V63" s="28">
        <v>0.0</v>
      </c>
      <c r="W63" s="15">
        <f>IFERROR(V63/V148, "NA")</f>
        <v>0</v>
      </c>
      <c r="X63" s="28">
        <v>0.0</v>
      </c>
      <c r="Y63" s="15">
        <f>IFERROR(X63/X148, "NA")</f>
        <v>0</v>
      </c>
      <c r="Z63" s="28">
        <v>0.0</v>
      </c>
      <c r="AA63" s="15">
        <f>IFERROR(Z63/Z148, "NA")</f>
        <v>0</v>
      </c>
      <c r="AB63" s="57">
        <f>IFERROR((R63+T63+V63+X63)/4, "NA")</f>
        <v>0</v>
      </c>
      <c r="AC63" s="15">
        <f>IFERROR(AB63/AB148, "NA")</f>
        <v>0</v>
      </c>
      <c r="AD63" s="61">
        <f>IFERROR(X63-AB63, "NA")</f>
        <v>0</v>
      </c>
      <c r="AE63" s="62">
        <f>IFERROR(AD63/AD148, "NA")</f>
        <v>0</v>
      </c>
      <c r="AF63" s="61" t="str">
        <f>IFERROR((X63-AB63)/AB63, "NA")</f>
        <v>NA</v>
      </c>
      <c r="AG63" s="57">
        <f>IFERROR((J63+L63+N63+P63+R63+T63+V63+X63)/8, "NA")</f>
        <v>0</v>
      </c>
      <c r="AH63" s="15">
        <f>IFERROR(AG63/AG148, "NA")</f>
        <v>0</v>
      </c>
      <c r="AI63" s="61">
        <f>IFERROR(X63-AG63, "NA")</f>
        <v>0</v>
      </c>
      <c r="AJ63" s="62">
        <f>IFERROR(AI63/AI148, "NA")</f>
        <v>0</v>
      </c>
      <c r="AK63" s="61" t="str">
        <f>IFERROR((X63-AG63)/AG63, "NA")</f>
        <v>NA</v>
      </c>
      <c r="AL63" s="62" t="str">
        <f>IFERROR(AK63/AK148, "NA")</f>
        <v>NA</v>
      </c>
    </row>
    <row r="64" ht="16.5" customHeight="1">
      <c r="A64" s="22" t="s">
        <v>123</v>
      </c>
      <c r="B64" s="23"/>
      <c r="C64" s="10"/>
      <c r="D64" s="23"/>
      <c r="E64" s="10"/>
      <c r="F64" s="23"/>
      <c r="G64" s="10"/>
      <c r="H64" s="23"/>
      <c r="I64" s="10"/>
      <c r="J64" s="23"/>
      <c r="K64" s="10"/>
      <c r="L64" s="23"/>
      <c r="M64" s="10"/>
      <c r="N64" s="23"/>
      <c r="O64" s="10"/>
      <c r="P64" s="23"/>
      <c r="Q64" s="10"/>
      <c r="R64" s="23"/>
      <c r="S64" s="10"/>
      <c r="T64" s="23"/>
      <c r="U64" s="10"/>
      <c r="V64" s="23"/>
      <c r="W64" s="10"/>
      <c r="X64" s="23"/>
      <c r="Y64" s="10"/>
      <c r="Z64" s="23"/>
      <c r="AA64" s="10"/>
      <c r="AB64" s="23"/>
      <c r="AC64" s="10"/>
      <c r="AD64" s="24"/>
      <c r="AE64" s="25"/>
      <c r="AF64" s="24"/>
      <c r="AG64" s="23"/>
      <c r="AH64" s="10"/>
      <c r="AI64" s="24"/>
      <c r="AJ64" s="25"/>
      <c r="AK64" s="24"/>
      <c r="AL64" s="25"/>
    </row>
    <row r="65" ht="16.5" hidden="1" customHeight="1">
      <c r="A65" s="26" t="s">
        <v>124</v>
      </c>
      <c r="B65" s="28">
        <v>0.0</v>
      </c>
      <c r="C65" s="15">
        <f>IFERROR(B65/B148, "NA")</f>
        <v>0</v>
      </c>
      <c r="D65" s="28">
        <v>0.0</v>
      </c>
      <c r="E65" s="15">
        <f>IFERROR(D65/D148, "NA")</f>
        <v>0</v>
      </c>
      <c r="F65" s="28">
        <v>0.0</v>
      </c>
      <c r="G65" s="15">
        <f>IFERROR(F65/F148, "NA")</f>
        <v>0</v>
      </c>
      <c r="H65" s="28">
        <v>0.0</v>
      </c>
      <c r="I65" s="15">
        <f>IFERROR(H65/H148, "NA")</f>
        <v>0</v>
      </c>
      <c r="J65" s="28">
        <v>0.0</v>
      </c>
      <c r="K65" s="15">
        <f>IFERROR(J65/J148, "NA")</f>
        <v>0</v>
      </c>
      <c r="L65" s="28">
        <v>0.0</v>
      </c>
      <c r="M65" s="15">
        <f>IFERROR(L65/L148, "NA")</f>
        <v>0</v>
      </c>
      <c r="N65" s="28">
        <v>0.0</v>
      </c>
      <c r="O65" s="15">
        <f>IFERROR(N65/N148, "NA")</f>
        <v>0</v>
      </c>
      <c r="P65" s="28">
        <v>0.0</v>
      </c>
      <c r="Q65" s="15">
        <f>IFERROR(P65/P148, "NA")</f>
        <v>0</v>
      </c>
      <c r="R65" s="28">
        <v>0.0</v>
      </c>
      <c r="S65" s="15">
        <f>IFERROR(R65/R148, "NA")</f>
        <v>0</v>
      </c>
      <c r="T65" s="28">
        <v>0.0</v>
      </c>
      <c r="U65" s="15">
        <f>IFERROR(T65/T148, "NA")</f>
        <v>0</v>
      </c>
      <c r="V65" s="28">
        <v>0.0</v>
      </c>
      <c r="W65" s="15">
        <f>IFERROR(V65/V148, "NA")</f>
        <v>0</v>
      </c>
      <c r="X65" s="28">
        <v>0.0</v>
      </c>
      <c r="Y65" s="15">
        <f>IFERROR(X65/X148, "NA")</f>
        <v>0</v>
      </c>
      <c r="Z65" s="28">
        <v>0.0</v>
      </c>
      <c r="AA65" s="15">
        <f>IFERROR(Z65/Z148, "NA")</f>
        <v>0</v>
      </c>
      <c r="AB65" s="57">
        <f t="shared" ref="AB65:AB72" si="31">IFERROR((R65+T65+V65+X65)/4, "NA")</f>
        <v>0</v>
      </c>
      <c r="AC65" s="15">
        <f>IFERROR(AB65/AB148, "NA")</f>
        <v>0</v>
      </c>
      <c r="AD65" s="61">
        <f t="shared" ref="AD65:AD72" si="32">IFERROR(X65-AB65, "NA")</f>
        <v>0</v>
      </c>
      <c r="AE65" s="62">
        <f>IFERROR(AD65/AD148, "NA")</f>
        <v>0</v>
      </c>
      <c r="AF65" s="61" t="str">
        <f t="shared" ref="AF65:AF72" si="33">IFERROR((X65-AB65)/AB65, "NA")</f>
        <v>NA</v>
      </c>
      <c r="AG65" s="57">
        <f t="shared" ref="AG65:AG72" si="34">IFERROR((J65+L65+N65+P65+R65+T65+V65+X65)/8, "NA")</f>
        <v>0</v>
      </c>
      <c r="AH65" s="15">
        <f>IFERROR(AG65/AG148, "NA")</f>
        <v>0</v>
      </c>
      <c r="AI65" s="61">
        <f t="shared" ref="AI65:AI72" si="35">IFERROR(X65-AG65, "NA")</f>
        <v>0</v>
      </c>
      <c r="AJ65" s="62">
        <f>IFERROR(AI65/AI148, "NA")</f>
        <v>0</v>
      </c>
      <c r="AK65" s="61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6" t="s">
        <v>125</v>
      </c>
      <c r="B66" s="28">
        <v>7958.08</v>
      </c>
      <c r="C66" s="15">
        <f>IFERROR(B66/B148, "NA")</f>
        <v>0.09311062046</v>
      </c>
      <c r="D66" s="28">
        <v>7958.08</v>
      </c>
      <c r="E66" s="15">
        <f>IFERROR(D66/D148, "NA")</f>
        <v>0.0657287271</v>
      </c>
      <c r="F66" s="28">
        <v>7958.08</v>
      </c>
      <c r="G66" s="15">
        <f>IFERROR(F66/F148, "NA")</f>
        <v>0.0601368307</v>
      </c>
      <c r="H66" s="28">
        <v>7958.08</v>
      </c>
      <c r="I66" s="15">
        <f>IFERROR(H66/H148, "NA")</f>
        <v>0.05563740827</v>
      </c>
      <c r="J66" s="28">
        <v>7958.08</v>
      </c>
      <c r="K66" s="15">
        <f>IFERROR(J66/J148, "NA")</f>
        <v>0.05945542427</v>
      </c>
      <c r="L66" s="28">
        <v>7851.31</v>
      </c>
      <c r="M66" s="15">
        <f>IFERROR(L66/L148, "NA")</f>
        <v>0.05074912275</v>
      </c>
      <c r="N66" s="28">
        <v>7851.31</v>
      </c>
      <c r="O66" s="15">
        <f>IFERROR(N66/N148, "NA")</f>
        <v>0.04916553088</v>
      </c>
      <c r="P66" s="28">
        <v>7851.31</v>
      </c>
      <c r="Q66" s="15">
        <f>IFERROR(P66/P148, "NA")</f>
        <v>0.04545993815</v>
      </c>
      <c r="R66" s="28">
        <v>7851.31</v>
      </c>
      <c r="S66" s="15">
        <f>IFERROR(R66/R148, "NA")</f>
        <v>0.04662711209</v>
      </c>
      <c r="T66" s="28">
        <v>7851.31</v>
      </c>
      <c r="U66" s="15">
        <f>IFERROR(T66/T148, "NA")</f>
        <v>0.04997312086</v>
      </c>
      <c r="V66" s="28">
        <v>7851.31</v>
      </c>
      <c r="W66" s="15">
        <f>IFERROR(V66/V148, "NA")</f>
        <v>0.05015874991</v>
      </c>
      <c r="X66" s="28">
        <v>7851.31</v>
      </c>
      <c r="Y66" s="15">
        <f>IFERROR(X66/X148, "NA")</f>
        <v>0.04811168038</v>
      </c>
      <c r="Z66" s="28">
        <v>23553.93</v>
      </c>
      <c r="AA66" s="15">
        <f>IFERROR(Z66/Z148, "NA")</f>
        <v>0.049397001</v>
      </c>
      <c r="AB66" s="57">
        <f t="shared" si="31"/>
        <v>7851.31</v>
      </c>
      <c r="AC66" s="15">
        <f>IFERROR(AB66/AB148, "NA")</f>
        <v>0.04867412797</v>
      </c>
      <c r="AD66" s="61">
        <f t="shared" si="32"/>
        <v>0</v>
      </c>
      <c r="AE66" s="62">
        <f>IFERROR(AD66/AD148, "NA")</f>
        <v>0</v>
      </c>
      <c r="AF66" s="61">
        <f t="shared" si="33"/>
        <v>0</v>
      </c>
      <c r="AG66" s="57">
        <f t="shared" si="34"/>
        <v>7864.65625</v>
      </c>
      <c r="AH66" s="15">
        <f>IFERROR(AG66/AG148, "NA")</f>
        <v>0.04969092976</v>
      </c>
      <c r="AI66" s="61">
        <f t="shared" si="35"/>
        <v>-13.34625</v>
      </c>
      <c r="AJ66" s="62">
        <f>IFERROR(AI66/AI148, "NA")</f>
        <v>-0.002713863197</v>
      </c>
      <c r="AK66" s="61">
        <f t="shared" si="36"/>
        <v>-0.001696990889</v>
      </c>
      <c r="AL66" s="62">
        <f>IFERROR(AK66/AK148, "NA")</f>
        <v>-0.05461486051</v>
      </c>
    </row>
    <row r="67" ht="16.5" hidden="1" customHeight="1">
      <c r="A67" s="26" t="s">
        <v>128</v>
      </c>
      <c r="B67" s="28">
        <v>0.0</v>
      </c>
      <c r="C67" s="15">
        <f>IFERROR(B67/B148, "NA")</f>
        <v>0</v>
      </c>
      <c r="D67" s="28">
        <v>0.0</v>
      </c>
      <c r="E67" s="15">
        <f>IFERROR(D67/D148, "NA")</f>
        <v>0</v>
      </c>
      <c r="F67" s="28">
        <v>0.0</v>
      </c>
      <c r="G67" s="15">
        <f>IFERROR(F67/F148, "NA")</f>
        <v>0</v>
      </c>
      <c r="H67" s="28">
        <v>0.0</v>
      </c>
      <c r="I67" s="15">
        <f>IFERROR(H67/H148, "NA")</f>
        <v>0</v>
      </c>
      <c r="J67" s="28">
        <v>0.0</v>
      </c>
      <c r="K67" s="15">
        <f>IFERROR(J67/J148, "NA")</f>
        <v>0</v>
      </c>
      <c r="L67" s="28">
        <v>0.0</v>
      </c>
      <c r="M67" s="15">
        <f>IFERROR(L67/L148, "NA")</f>
        <v>0</v>
      </c>
      <c r="N67" s="28">
        <v>0.0</v>
      </c>
      <c r="O67" s="15">
        <f>IFERROR(N67/N148, "NA")</f>
        <v>0</v>
      </c>
      <c r="P67" s="28">
        <v>0.0</v>
      </c>
      <c r="Q67" s="15">
        <f>IFERROR(P67/P148, "NA")</f>
        <v>0</v>
      </c>
      <c r="R67" s="28">
        <v>0.0</v>
      </c>
      <c r="S67" s="15">
        <f>IFERROR(R67/R148, "NA")</f>
        <v>0</v>
      </c>
      <c r="T67" s="28">
        <v>0.0</v>
      </c>
      <c r="U67" s="15">
        <f>IFERROR(T67/T148, "NA")</f>
        <v>0</v>
      </c>
      <c r="V67" s="28">
        <v>0.0</v>
      </c>
      <c r="W67" s="15">
        <f>IFERROR(V67/V148, "NA")</f>
        <v>0</v>
      </c>
      <c r="X67" s="28">
        <v>0.0</v>
      </c>
      <c r="Y67" s="15">
        <f>IFERROR(X67/X148, "NA")</f>
        <v>0</v>
      </c>
      <c r="Z67" s="28">
        <v>0.0</v>
      </c>
      <c r="AA67" s="15">
        <f>IFERROR(Z67/Z148, "NA")</f>
        <v>0</v>
      </c>
      <c r="AB67" s="57">
        <f t="shared" si="31"/>
        <v>0</v>
      </c>
      <c r="AC67" s="15">
        <f>IFERROR(AB67/AB148, "NA")</f>
        <v>0</v>
      </c>
      <c r="AD67" s="61">
        <f t="shared" si="32"/>
        <v>0</v>
      </c>
      <c r="AE67" s="62">
        <f>IFERROR(AD67/AD148, "NA")</f>
        <v>0</v>
      </c>
      <c r="AF67" s="61" t="str">
        <f t="shared" si="33"/>
        <v>NA</v>
      </c>
      <c r="AG67" s="57">
        <f t="shared" si="34"/>
        <v>0</v>
      </c>
      <c r="AH67" s="15">
        <f>IFERROR(AG67/AG148, "NA")</f>
        <v>0</v>
      </c>
      <c r="AI67" s="61">
        <f t="shared" si="35"/>
        <v>0</v>
      </c>
      <c r="AJ67" s="62">
        <f>IFERROR(AI67/AI148, "NA")</f>
        <v>0</v>
      </c>
      <c r="AK67" s="61" t="str">
        <f t="shared" si="36"/>
        <v>NA</v>
      </c>
      <c r="AL67" s="62" t="str">
        <f>IFERROR(AK67/AK148, "NA")</f>
        <v>NA</v>
      </c>
    </row>
    <row r="68" ht="16.5" customHeight="1">
      <c r="A68" s="26" t="s">
        <v>131</v>
      </c>
      <c r="B68" s="28">
        <v>19912.17</v>
      </c>
      <c r="C68" s="15">
        <f>IFERROR(B68/B148, "NA")</f>
        <v>0.2329751025</v>
      </c>
      <c r="D68" s="28">
        <v>22428.01</v>
      </c>
      <c r="E68" s="15">
        <f>IFERROR(D68/D148, "NA")</f>
        <v>0.1852412327</v>
      </c>
      <c r="F68" s="28">
        <v>23357.55</v>
      </c>
      <c r="G68" s="15">
        <f>IFERROR(F68/F148, "NA")</f>
        <v>0.1765060203</v>
      </c>
      <c r="H68" s="28">
        <v>23334.74</v>
      </c>
      <c r="I68" s="15">
        <f>IFERROR(H68/H148, "NA")</f>
        <v>0.1631404128</v>
      </c>
      <c r="J68" s="28">
        <v>23977.08</v>
      </c>
      <c r="K68" s="15">
        <f>IFERROR(J68/J148, "NA")</f>
        <v>0.1791345983</v>
      </c>
      <c r="L68" s="28">
        <v>25089.36</v>
      </c>
      <c r="M68" s="15">
        <f>IFERROR(L68/L148, "NA")</f>
        <v>0.1621720465</v>
      </c>
      <c r="N68" s="28">
        <v>26777.49</v>
      </c>
      <c r="O68" s="15">
        <f>IFERROR(N68/N148, "NA")</f>
        <v>0.1676827831</v>
      </c>
      <c r="P68" s="28">
        <v>27721.97</v>
      </c>
      <c r="Q68" s="15">
        <f>IFERROR(P68/P148, "NA")</f>
        <v>0.160513219</v>
      </c>
      <c r="R68" s="28">
        <v>26803.3</v>
      </c>
      <c r="S68" s="15">
        <f>IFERROR(R68/R148, "NA")</f>
        <v>0.1591785923</v>
      </c>
      <c r="T68" s="28">
        <v>26212.57</v>
      </c>
      <c r="U68" s="15">
        <f>IFERROR(T68/T148, "NA")</f>
        <v>0.1668414479</v>
      </c>
      <c r="V68" s="28">
        <v>26871.32</v>
      </c>
      <c r="W68" s="15">
        <f>IFERROR(V68/V148, "NA")</f>
        <v>0.1716696729</v>
      </c>
      <c r="X68" s="28">
        <v>27879.01</v>
      </c>
      <c r="Y68" s="15">
        <f>IFERROR(X68/X148, "NA")</f>
        <v>0.1708384994</v>
      </c>
      <c r="Z68" s="28">
        <v>80962.9</v>
      </c>
      <c r="AA68" s="15">
        <f>IFERROR(Z68/Z148, "NA")</f>
        <v>0.1697943593</v>
      </c>
      <c r="AB68" s="57">
        <f t="shared" si="31"/>
        <v>26941.55</v>
      </c>
      <c r="AC68" s="15">
        <f>IFERROR(AB68/AB148, "NA")</f>
        <v>0.1670239046</v>
      </c>
      <c r="AD68" s="61">
        <f t="shared" si="32"/>
        <v>937.46</v>
      </c>
      <c r="AE68" s="62">
        <f>IFERROR(AD68/AD148, "NA")</f>
        <v>0.4971383496</v>
      </c>
      <c r="AF68" s="61">
        <f t="shared" si="33"/>
        <v>0.03479606778</v>
      </c>
      <c r="AG68" s="57">
        <f t="shared" si="34"/>
        <v>26416.5125</v>
      </c>
      <c r="AH68" s="15">
        <f>IFERROR(AG68/AG148, "NA")</f>
        <v>0.1669063498</v>
      </c>
      <c r="AI68" s="61">
        <f t="shared" si="35"/>
        <v>1462.4975</v>
      </c>
      <c r="AJ68" s="62">
        <f>IFERROR(AI68/AI148, "NA")</f>
        <v>0.2973882657</v>
      </c>
      <c r="AK68" s="61">
        <f t="shared" si="36"/>
        <v>0.05536300448</v>
      </c>
      <c r="AL68" s="62">
        <f>IFERROR(AK68/AK148, "NA")</f>
        <v>1.781767237</v>
      </c>
    </row>
    <row r="69" ht="16.5" customHeight="1">
      <c r="A69" s="26" t="s">
        <v>134</v>
      </c>
      <c r="B69" s="28">
        <v>0.0</v>
      </c>
      <c r="C69" s="15">
        <f>IFERROR(B69/B148, "NA")</f>
        <v>0</v>
      </c>
      <c r="D69" s="28">
        <v>149.36</v>
      </c>
      <c r="E69" s="15">
        <f>IFERROR(D69/D148, "NA")</f>
        <v>0.001233619501</v>
      </c>
      <c r="F69" s="28">
        <v>27.44</v>
      </c>
      <c r="G69" s="15">
        <f>IFERROR(F69/F148, "NA")</f>
        <v>0.0002073558741</v>
      </c>
      <c r="H69" s="28">
        <v>167.75</v>
      </c>
      <c r="I69" s="15">
        <f>IFERROR(H69/H148, "NA")</f>
        <v>0.001172792336</v>
      </c>
      <c r="J69" s="28">
        <v>67.78</v>
      </c>
      <c r="K69" s="15">
        <f>IFERROR(J69/J148, "NA")</f>
        <v>0.0005063895634</v>
      </c>
      <c r="L69" s="28">
        <v>227.91</v>
      </c>
      <c r="M69" s="15">
        <f>IFERROR(L69/L148, "NA")</f>
        <v>0.001473159583</v>
      </c>
      <c r="N69" s="28">
        <v>365.35</v>
      </c>
      <c r="O69" s="15">
        <f>IFERROR(N69/N148, "NA")</f>
        <v>0.002287850907</v>
      </c>
      <c r="P69" s="28">
        <v>1274.45</v>
      </c>
      <c r="Q69" s="15">
        <f>IFERROR(P69/P148, "NA")</f>
        <v>0.007379204002</v>
      </c>
      <c r="R69" s="28">
        <v>618.74</v>
      </c>
      <c r="S69" s="15">
        <f>IFERROR(R69/R148, "NA")</f>
        <v>0.003674553589</v>
      </c>
      <c r="T69" s="28">
        <v>32.16</v>
      </c>
      <c r="U69" s="15">
        <f>IFERROR(T69/T148, "NA")</f>
        <v>0.0002046964859</v>
      </c>
      <c r="V69" s="28">
        <v>788.36</v>
      </c>
      <c r="W69" s="15">
        <f>IFERROR(V69/V148, "NA")</f>
        <v>0.005036503728</v>
      </c>
      <c r="X69" s="28">
        <v>588.03</v>
      </c>
      <c r="Y69" s="15">
        <f>IFERROR(X69/X148, "NA")</f>
        <v>0.003603361912</v>
      </c>
      <c r="Z69" s="28">
        <v>1408.55</v>
      </c>
      <c r="AA69" s="15">
        <f>IFERROR(Z69/Z148, "NA")</f>
        <v>0.00295399306</v>
      </c>
      <c r="AB69" s="57">
        <f t="shared" si="31"/>
        <v>506.8225</v>
      </c>
      <c r="AC69" s="15">
        <f>IFERROR(AB69/AB148, "NA")</f>
        <v>0.003142041675</v>
      </c>
      <c r="AD69" s="61">
        <f t="shared" si="32"/>
        <v>81.2075</v>
      </c>
      <c r="AE69" s="62">
        <f>IFERROR(AD69/AD148, "NA")</f>
        <v>0.04306462411</v>
      </c>
      <c r="AF69" s="61">
        <f t="shared" si="33"/>
        <v>0.1602286797</v>
      </c>
      <c r="AG69" s="57">
        <f t="shared" si="34"/>
        <v>495.3475</v>
      </c>
      <c r="AH69" s="15">
        <f>IFERROR(AG69/AG148, "NA")</f>
        <v>0.003129733461</v>
      </c>
      <c r="AI69" s="61">
        <f t="shared" si="35"/>
        <v>92.6825</v>
      </c>
      <c r="AJ69" s="62">
        <f>IFERROR(AI69/AI148, "NA")</f>
        <v>0.01884631457</v>
      </c>
      <c r="AK69" s="61">
        <f t="shared" si="36"/>
        <v>0.1871060215</v>
      </c>
      <c r="AL69" s="62">
        <f>IFERROR(AK69/AK148, "NA")</f>
        <v>6.021699546</v>
      </c>
    </row>
    <row r="70" ht="16.5" customHeight="1">
      <c r="A70" s="67" t="s">
        <v>138</v>
      </c>
      <c r="B70" s="70">
        <f>IFERROR(B65+B66+B67+B68+B69, "NA")</f>
        <v>27870.25</v>
      </c>
      <c r="C70" s="71">
        <f>IFERROR(B70/B148, "NA")</f>
        <v>0.3260857229</v>
      </c>
      <c r="D70" s="70">
        <f>IFERROR(D65+D66+D67+D68+D69, "NA")</f>
        <v>30535.45</v>
      </c>
      <c r="E70" s="71">
        <f>IFERROR(D70/D148, "NA")</f>
        <v>0.2522035793</v>
      </c>
      <c r="F70" s="70">
        <f>IFERROR(F65+F66+F67+F68+F69, "NA")</f>
        <v>31343.07</v>
      </c>
      <c r="G70" s="71">
        <f>IFERROR(F70/F148, "NA")</f>
        <v>0.2368502068</v>
      </c>
      <c r="H70" s="70">
        <f>IFERROR(H65+H66+H67+H68+H69, "NA")</f>
        <v>31460.57</v>
      </c>
      <c r="I70" s="71">
        <f>IFERROR(H70/H148, "NA")</f>
        <v>0.2199506134</v>
      </c>
      <c r="J70" s="70">
        <f>IFERROR(J65+J66+J67+J68+J69, "NA")</f>
        <v>32002.94</v>
      </c>
      <c r="K70" s="71">
        <f>IFERROR(J70/J148, "NA")</f>
        <v>0.2390964122</v>
      </c>
      <c r="L70" s="70">
        <f>IFERROR(L65+L66+L67+L68+L69, "NA")</f>
        <v>33168.58</v>
      </c>
      <c r="M70" s="71">
        <f>IFERROR(L70/L148, "NA")</f>
        <v>0.2143943288</v>
      </c>
      <c r="N70" s="70">
        <f>IFERROR(N65+N66+N67+N68+N69, "NA")</f>
        <v>34994.15</v>
      </c>
      <c r="O70" s="71">
        <f>IFERROR(N70/N148, "NA")</f>
        <v>0.2191361649</v>
      </c>
      <c r="P70" s="70">
        <f>IFERROR(P65+P66+P67+P68+P69, "NA")</f>
        <v>36847.73</v>
      </c>
      <c r="Q70" s="71">
        <f>IFERROR(P70/P148, "NA")</f>
        <v>0.2133523612</v>
      </c>
      <c r="R70" s="70">
        <f>IFERROR(R65+R66+R67+R68+R69, "NA")</f>
        <v>35273.35</v>
      </c>
      <c r="S70" s="71">
        <f>IFERROR(R70/R148, "NA")</f>
        <v>0.209480258</v>
      </c>
      <c r="T70" s="70">
        <f>IFERROR(T65+T66+T67+T68+T69, "NA")</f>
        <v>34096.04</v>
      </c>
      <c r="U70" s="71">
        <f>IFERROR(T70/T148, "NA")</f>
        <v>0.2170192653</v>
      </c>
      <c r="V70" s="70">
        <f>IFERROR(V65+V66+V67+V68+V69, "NA")</f>
        <v>35510.99</v>
      </c>
      <c r="W70" s="71">
        <f>IFERROR(V70/V148, "NA")</f>
        <v>0.2268649266</v>
      </c>
      <c r="X70" s="70">
        <f>IFERROR(X65+X66+X67+X68+X69, "NA")</f>
        <v>36318.35</v>
      </c>
      <c r="Y70" s="71">
        <f>IFERROR(X70/X148, "NA")</f>
        <v>0.2225535417</v>
      </c>
      <c r="Z70" s="70">
        <f>IFERROR(Z65+Z66+Z67+Z68+Z69, "NA")</f>
        <v>105925.38</v>
      </c>
      <c r="AA70" s="71">
        <f>IFERROR(Z70/Z148, "NA")</f>
        <v>0.2221453533</v>
      </c>
      <c r="AB70" s="70">
        <f t="shared" si="31"/>
        <v>35299.6825</v>
      </c>
      <c r="AC70" s="71">
        <f>IFERROR(AB70/AB148, "NA")</f>
        <v>0.2188400742</v>
      </c>
      <c r="AD70" s="75">
        <f t="shared" si="32"/>
        <v>1018.6675</v>
      </c>
      <c r="AE70" s="76">
        <f>IFERROR(AD70/AD148, "NA")</f>
        <v>0.5402029737</v>
      </c>
      <c r="AF70" s="75">
        <f t="shared" si="33"/>
        <v>0.02885769582</v>
      </c>
      <c r="AG70" s="70">
        <f t="shared" si="34"/>
        <v>34776.51625</v>
      </c>
      <c r="AH70" s="71">
        <f>IFERROR(AG70/AG148, "NA")</f>
        <v>0.219727013</v>
      </c>
      <c r="AI70" s="75">
        <f t="shared" si="35"/>
        <v>1541.83375</v>
      </c>
      <c r="AJ70" s="76">
        <f>IFERROR(AI70/AI148, "NA")</f>
        <v>0.3135207171</v>
      </c>
      <c r="AK70" s="75">
        <f t="shared" si="36"/>
        <v>0.04433548602</v>
      </c>
      <c r="AL70" s="76">
        <f>IFERROR(AK70/AK148, "NA")</f>
        <v>1.426864693</v>
      </c>
    </row>
    <row r="71" ht="16.5" hidden="1" customHeight="1">
      <c r="A71" s="26" t="s">
        <v>143</v>
      </c>
      <c r="B71" s="28">
        <v>0.0</v>
      </c>
      <c r="C71" s="15">
        <f>IFERROR(B71/B148, "NA")</f>
        <v>0</v>
      </c>
      <c r="D71" s="28">
        <v>0.0</v>
      </c>
      <c r="E71" s="15">
        <f>IFERROR(D71/D148, "NA")</f>
        <v>0</v>
      </c>
      <c r="F71" s="28">
        <v>0.0</v>
      </c>
      <c r="G71" s="15">
        <f>IFERROR(F71/F148, "NA")</f>
        <v>0</v>
      </c>
      <c r="H71" s="28">
        <v>0.0</v>
      </c>
      <c r="I71" s="15">
        <f>IFERROR(H71/H148, "NA")</f>
        <v>0</v>
      </c>
      <c r="J71" s="28">
        <v>0.0</v>
      </c>
      <c r="K71" s="15">
        <f>IFERROR(J71/J148, "NA")</f>
        <v>0</v>
      </c>
      <c r="L71" s="28">
        <v>0.0</v>
      </c>
      <c r="M71" s="15">
        <f>IFERROR(L71/L148, "NA")</f>
        <v>0</v>
      </c>
      <c r="N71" s="28">
        <v>0.0</v>
      </c>
      <c r="O71" s="15">
        <f>IFERROR(N71/N148, "NA")</f>
        <v>0</v>
      </c>
      <c r="P71" s="28">
        <v>0.0</v>
      </c>
      <c r="Q71" s="15">
        <f>IFERROR(P71/P148, "NA")</f>
        <v>0</v>
      </c>
      <c r="R71" s="28">
        <v>0.0</v>
      </c>
      <c r="S71" s="15">
        <f>IFERROR(R71/R148, "NA")</f>
        <v>0</v>
      </c>
      <c r="T71" s="28">
        <v>0.0</v>
      </c>
      <c r="U71" s="15">
        <f>IFERROR(T71/T148, "NA")</f>
        <v>0</v>
      </c>
      <c r="V71" s="28">
        <v>0.0</v>
      </c>
      <c r="W71" s="15">
        <f>IFERROR(V71/V148, "NA")</f>
        <v>0</v>
      </c>
      <c r="X71" s="28">
        <v>0.0</v>
      </c>
      <c r="Y71" s="15">
        <f>IFERROR(X71/X148, "NA")</f>
        <v>0</v>
      </c>
      <c r="Z71" s="28">
        <v>0.0</v>
      </c>
      <c r="AA71" s="15">
        <f>IFERROR(Z71/Z148, "NA")</f>
        <v>0</v>
      </c>
      <c r="AB71" s="57">
        <f t="shared" si="31"/>
        <v>0</v>
      </c>
      <c r="AC71" s="15">
        <f>IFERROR(AB71/AB148, "NA")</f>
        <v>0</v>
      </c>
      <c r="AD71" s="61">
        <f t="shared" si="32"/>
        <v>0</v>
      </c>
      <c r="AE71" s="62">
        <f>IFERROR(AD71/AD148, "NA")</f>
        <v>0</v>
      </c>
      <c r="AF71" s="61" t="str">
        <f t="shared" si="33"/>
        <v>NA</v>
      </c>
      <c r="AG71" s="57">
        <f t="shared" si="34"/>
        <v>0</v>
      </c>
      <c r="AH71" s="15">
        <f>IFERROR(AG71/AG148, "NA")</f>
        <v>0</v>
      </c>
      <c r="AI71" s="61">
        <f t="shared" si="35"/>
        <v>0</v>
      </c>
      <c r="AJ71" s="62">
        <f>IFERROR(AI71/AI148, "NA")</f>
        <v>0</v>
      </c>
      <c r="AK71" s="61" t="str">
        <f t="shared" si="36"/>
        <v>NA</v>
      </c>
      <c r="AL71" s="62" t="str">
        <f>IFERROR(AK71/AK148, "NA")</f>
        <v>NA</v>
      </c>
    </row>
    <row r="72" ht="16.5" customHeight="1">
      <c r="A72" s="26" t="s">
        <v>146</v>
      </c>
      <c r="B72" s="28">
        <v>0.0</v>
      </c>
      <c r="C72" s="15">
        <f>IFERROR(B72/B148, "NA")</f>
        <v>0</v>
      </c>
      <c r="D72" s="28">
        <v>0.0</v>
      </c>
      <c r="E72" s="15">
        <f>IFERROR(D72/D148, "NA")</f>
        <v>0</v>
      </c>
      <c r="F72" s="28">
        <v>0.0</v>
      </c>
      <c r="G72" s="15">
        <f>IFERROR(F72/F148, "NA")</f>
        <v>0</v>
      </c>
      <c r="H72" s="28">
        <v>1996.0</v>
      </c>
      <c r="I72" s="15">
        <f>IFERROR(H72/H148, "NA")</f>
        <v>0.01395465576</v>
      </c>
      <c r="J72" s="28">
        <v>0.0</v>
      </c>
      <c r="K72" s="15">
        <f>IFERROR(J72/J148, "NA")</f>
        <v>0</v>
      </c>
      <c r="L72" s="28">
        <v>0.0</v>
      </c>
      <c r="M72" s="15">
        <f>IFERROR(L72/L148, "NA")</f>
        <v>0</v>
      </c>
      <c r="N72" s="28">
        <v>0.0</v>
      </c>
      <c r="O72" s="15">
        <f>IFERROR(N72/N148, "NA")</f>
        <v>0</v>
      </c>
      <c r="P72" s="28">
        <v>0.0</v>
      </c>
      <c r="Q72" s="15">
        <f>IFERROR(P72/P148, "NA")</f>
        <v>0</v>
      </c>
      <c r="R72" s="28">
        <v>-4326.0</v>
      </c>
      <c r="S72" s="15">
        <f>IFERROR(R72/R148, "NA")</f>
        <v>-0.0256911123</v>
      </c>
      <c r="T72" s="28">
        <v>0.0</v>
      </c>
      <c r="U72" s="15">
        <f>IFERROR(T72/T148, "NA")</f>
        <v>0</v>
      </c>
      <c r="V72" s="28">
        <v>0.0</v>
      </c>
      <c r="W72" s="15">
        <f>IFERROR(V72/V148, "NA")</f>
        <v>0</v>
      </c>
      <c r="X72" s="28">
        <v>0.0</v>
      </c>
      <c r="Y72" s="15">
        <f>IFERROR(X72/X148, "NA")</f>
        <v>0</v>
      </c>
      <c r="Z72" s="28">
        <v>0.0</v>
      </c>
      <c r="AA72" s="15">
        <f>IFERROR(Z72/Z148, "NA")</f>
        <v>0</v>
      </c>
      <c r="AB72" s="57">
        <f t="shared" si="31"/>
        <v>-1081.5</v>
      </c>
      <c r="AC72" s="15">
        <f>IFERROR(AB72/AB148, "NA")</f>
        <v>-0.006704749832</v>
      </c>
      <c r="AD72" s="61">
        <f t="shared" si="32"/>
        <v>1081.5</v>
      </c>
      <c r="AE72" s="62">
        <f>IFERROR(AD72/AD148, "NA")</f>
        <v>0.5735232704</v>
      </c>
      <c r="AF72" s="61">
        <f t="shared" si="33"/>
        <v>-1</v>
      </c>
      <c r="AG72" s="57">
        <f t="shared" si="34"/>
        <v>-540.75</v>
      </c>
      <c r="AH72" s="15">
        <f>IFERROR(AG72/AG148, "NA")</f>
        <v>-0.003416598185</v>
      </c>
      <c r="AI72" s="61">
        <f t="shared" si="35"/>
        <v>540.75</v>
      </c>
      <c r="AJ72" s="62">
        <f>IFERROR(AI72/AI148, "NA")</f>
        <v>0.1099575929</v>
      </c>
      <c r="AK72" s="61">
        <f t="shared" si="36"/>
        <v>-1</v>
      </c>
      <c r="AL72" s="62">
        <f>IFERROR(AK72/AK148, "NA")</f>
        <v>-32.18335518</v>
      </c>
    </row>
    <row r="73" ht="16.5" customHeight="1">
      <c r="A73" s="22" t="s">
        <v>151</v>
      </c>
      <c r="B73" s="23"/>
      <c r="C73" s="10"/>
      <c r="D73" s="23"/>
      <c r="E73" s="10"/>
      <c r="F73" s="23"/>
      <c r="G73" s="10"/>
      <c r="H73" s="23"/>
      <c r="I73" s="10"/>
      <c r="J73" s="23"/>
      <c r="K73" s="10"/>
      <c r="L73" s="23"/>
      <c r="M73" s="10"/>
      <c r="N73" s="23"/>
      <c r="O73" s="10"/>
      <c r="P73" s="23"/>
      <c r="Q73" s="10"/>
      <c r="R73" s="23"/>
      <c r="S73" s="10"/>
      <c r="T73" s="23"/>
      <c r="U73" s="10"/>
      <c r="V73" s="23"/>
      <c r="W73" s="10"/>
      <c r="X73" s="23"/>
      <c r="Y73" s="10"/>
      <c r="Z73" s="23"/>
      <c r="AA73" s="10"/>
      <c r="AB73" s="23"/>
      <c r="AC73" s="10"/>
      <c r="AD73" s="24"/>
      <c r="AE73" s="25"/>
      <c r="AF73" s="24"/>
      <c r="AG73" s="23"/>
      <c r="AH73" s="10"/>
      <c r="AI73" s="24"/>
      <c r="AJ73" s="25"/>
      <c r="AK73" s="24"/>
      <c r="AL73" s="25"/>
    </row>
    <row r="74" ht="16.5" customHeight="1">
      <c r="A74" s="26" t="s">
        <v>153</v>
      </c>
      <c r="B74" s="28">
        <v>2918.8</v>
      </c>
      <c r="C74" s="15">
        <f>IFERROR(B74/B148, "NA")</f>
        <v>0.03415035775</v>
      </c>
      <c r="D74" s="28">
        <v>3183.6</v>
      </c>
      <c r="E74" s="15">
        <f>IFERROR(D74/D148, "NA")</f>
        <v>0.02629453029</v>
      </c>
      <c r="F74" s="28">
        <v>3300.27</v>
      </c>
      <c r="G74" s="15">
        <f>IFERROR(F74/F148, "NA")</f>
        <v>0.02493915344</v>
      </c>
      <c r="H74" s="28">
        <v>3385.15</v>
      </c>
      <c r="I74" s="15">
        <f>IFERROR(H74/H148, "NA")</f>
        <v>0.02366663474</v>
      </c>
      <c r="J74" s="28">
        <v>3490.73</v>
      </c>
      <c r="K74" s="15">
        <f>IFERROR(J74/J148, "NA")</f>
        <v>0.02607951078</v>
      </c>
      <c r="L74" s="28">
        <v>3372.74</v>
      </c>
      <c r="M74" s="15">
        <f>IFERROR(L74/L148, "NA")</f>
        <v>0.02180064171</v>
      </c>
      <c r="N74" s="28">
        <v>3512.07</v>
      </c>
      <c r="O74" s="15">
        <f>IFERROR(N74/N148, "NA")</f>
        <v>0.02199286311</v>
      </c>
      <c r="P74" s="28">
        <v>3823.07</v>
      </c>
      <c r="Q74" s="15">
        <f>IFERROR(P74/P148, "NA")</f>
        <v>0.02213599078</v>
      </c>
      <c r="R74" s="28">
        <v>3478.57</v>
      </c>
      <c r="S74" s="15">
        <f>IFERROR(R74/R148, "NA")</f>
        <v>0.02065842176</v>
      </c>
      <c r="T74" s="28">
        <v>3267.11</v>
      </c>
      <c r="U74" s="15">
        <f>IFERROR(T74/T148, "NA")</f>
        <v>0.0207949607</v>
      </c>
      <c r="V74" s="28">
        <v>3195.81</v>
      </c>
      <c r="W74" s="15">
        <f>IFERROR(V74/V148, "NA")</f>
        <v>0.0204166992</v>
      </c>
      <c r="X74" s="28">
        <v>3422.59</v>
      </c>
      <c r="Y74" s="15">
        <f>IFERROR(X74/X148, "NA")</f>
        <v>0.02097313138</v>
      </c>
      <c r="Z74" s="28">
        <v>9885.51</v>
      </c>
      <c r="AA74" s="15">
        <f>IFERROR(Z74/Z148, "NA")</f>
        <v>0.02073176525</v>
      </c>
      <c r="AB74" s="57">
        <f t="shared" ref="AB74:AB85" si="37">IFERROR((R74+T74+V74+X74)/4, "NA")</f>
        <v>3341.02</v>
      </c>
      <c r="AC74" s="15">
        <f>IFERROR(AB74/AB148, "NA")</f>
        <v>0.02071262439</v>
      </c>
      <c r="AD74" s="61">
        <f t="shared" ref="AD74:AD85" si="38">IFERROR(X74-AB74, "NA")</f>
        <v>81.57</v>
      </c>
      <c r="AE74" s="62">
        <f>IFERROR(AD74/AD148, "NA")</f>
        <v>0.04325685914</v>
      </c>
      <c r="AF74" s="61">
        <f t="shared" ref="AF74:AF85" si="39">IFERROR((X74-AB74)/AB74, "NA")</f>
        <v>0.0244146997</v>
      </c>
      <c r="AG74" s="57">
        <f t="shared" ref="AG74:AG85" si="40">IFERROR((J74+L74+N74+P74+R74+T74+V74+X74)/8, "NA")</f>
        <v>3445.33625</v>
      </c>
      <c r="AH74" s="15">
        <f>IFERROR(AG74/AG148, "NA")</f>
        <v>0.02176852441</v>
      </c>
      <c r="AI74" s="61">
        <f t="shared" ref="AI74:AI85" si="41">IFERROR(X74-AG74, "NA")</f>
        <v>-22.74625</v>
      </c>
      <c r="AJ74" s="62">
        <f>IFERROR(AI74/AI148, "NA")</f>
        <v>-0.004625285061</v>
      </c>
      <c r="AK74" s="61">
        <f t="shared" ref="AK74:AK85" si="42">IFERROR((X74-AG74)/AG74, "NA")</f>
        <v>-0.006602040657</v>
      </c>
      <c r="AL74" s="62">
        <f>IFERROR(AK74/AK148, "NA")</f>
        <v>-0.2124758194</v>
      </c>
    </row>
    <row r="75" ht="16.5" hidden="1" customHeight="1">
      <c r="A75" s="26" t="s">
        <v>158</v>
      </c>
      <c r="B75" s="28">
        <v>0.0</v>
      </c>
      <c r="C75" s="15">
        <f>IFERROR(B75/B148, "NA")</f>
        <v>0</v>
      </c>
      <c r="D75" s="28">
        <v>0.0</v>
      </c>
      <c r="E75" s="15">
        <f>IFERROR(D75/D148, "NA")</f>
        <v>0</v>
      </c>
      <c r="F75" s="28">
        <v>0.0</v>
      </c>
      <c r="G75" s="15">
        <f>IFERROR(F75/F148, "NA")</f>
        <v>0</v>
      </c>
      <c r="H75" s="28">
        <v>0.0</v>
      </c>
      <c r="I75" s="15">
        <f>IFERROR(H75/H148, "NA")</f>
        <v>0</v>
      </c>
      <c r="J75" s="28">
        <v>0.0</v>
      </c>
      <c r="K75" s="15">
        <f>IFERROR(J75/J148, "NA")</f>
        <v>0</v>
      </c>
      <c r="L75" s="28">
        <v>0.0</v>
      </c>
      <c r="M75" s="15">
        <f>IFERROR(L75/L148, "NA")</f>
        <v>0</v>
      </c>
      <c r="N75" s="28">
        <v>0.0</v>
      </c>
      <c r="O75" s="15">
        <f>IFERROR(N75/N148, "NA")</f>
        <v>0</v>
      </c>
      <c r="P75" s="28">
        <v>0.0</v>
      </c>
      <c r="Q75" s="15">
        <f>IFERROR(P75/P148, "NA")</f>
        <v>0</v>
      </c>
      <c r="R75" s="28">
        <v>0.0</v>
      </c>
      <c r="S75" s="15">
        <f>IFERROR(R75/R148, "NA")</f>
        <v>0</v>
      </c>
      <c r="T75" s="28">
        <v>0.0</v>
      </c>
      <c r="U75" s="15">
        <f>IFERROR(T75/T148, "NA")</f>
        <v>0</v>
      </c>
      <c r="V75" s="28">
        <v>0.0</v>
      </c>
      <c r="W75" s="15">
        <f>IFERROR(V75/V148, "NA")</f>
        <v>0</v>
      </c>
      <c r="X75" s="28">
        <v>0.0</v>
      </c>
      <c r="Y75" s="15">
        <f>IFERROR(X75/X148, "NA")</f>
        <v>0</v>
      </c>
      <c r="Z75" s="28">
        <v>0.0</v>
      </c>
      <c r="AA75" s="15">
        <f>IFERROR(Z75/Z148, "NA")</f>
        <v>0</v>
      </c>
      <c r="AB75" s="57">
        <f t="shared" si="37"/>
        <v>0</v>
      </c>
      <c r="AC75" s="15">
        <f>IFERROR(AB75/AB148, "NA")</f>
        <v>0</v>
      </c>
      <c r="AD75" s="61">
        <f t="shared" si="38"/>
        <v>0</v>
      </c>
      <c r="AE75" s="62">
        <f>IFERROR(AD75/AD148, "NA")</f>
        <v>0</v>
      </c>
      <c r="AF75" s="61" t="str">
        <f t="shared" si="39"/>
        <v>NA</v>
      </c>
      <c r="AG75" s="57">
        <f t="shared" si="40"/>
        <v>0</v>
      </c>
      <c r="AH75" s="15">
        <f>IFERROR(AG75/AG148, "NA")</f>
        <v>0</v>
      </c>
      <c r="AI75" s="61">
        <f t="shared" si="41"/>
        <v>0</v>
      </c>
      <c r="AJ75" s="62">
        <f>IFERROR(AI75/AI148, "NA")</f>
        <v>0</v>
      </c>
      <c r="AK75" s="61" t="str">
        <f t="shared" si="42"/>
        <v>NA</v>
      </c>
      <c r="AL75" s="62" t="str">
        <f>IFERROR(AK75/AK148, "NA")</f>
        <v>NA</v>
      </c>
    </row>
    <row r="76" ht="16.5" hidden="1" customHeight="1">
      <c r="A76" s="26" t="s">
        <v>160</v>
      </c>
      <c r="B76" s="28">
        <v>0.0</v>
      </c>
      <c r="C76" s="15">
        <f>IFERROR(B76/B148, "NA")</f>
        <v>0</v>
      </c>
      <c r="D76" s="28">
        <v>0.0</v>
      </c>
      <c r="E76" s="15">
        <f>IFERROR(D76/D148, "NA")</f>
        <v>0</v>
      </c>
      <c r="F76" s="28">
        <v>0.0</v>
      </c>
      <c r="G76" s="15">
        <f>IFERROR(F76/F148, "NA")</f>
        <v>0</v>
      </c>
      <c r="H76" s="28">
        <v>0.0</v>
      </c>
      <c r="I76" s="15">
        <f>IFERROR(H76/H148, "NA")</f>
        <v>0</v>
      </c>
      <c r="J76" s="28">
        <v>0.0</v>
      </c>
      <c r="K76" s="15">
        <f>IFERROR(J76/J148, "NA")</f>
        <v>0</v>
      </c>
      <c r="L76" s="28">
        <v>0.0</v>
      </c>
      <c r="M76" s="15">
        <f>IFERROR(L76/L148, "NA")</f>
        <v>0</v>
      </c>
      <c r="N76" s="28">
        <v>0.0</v>
      </c>
      <c r="O76" s="15">
        <f>IFERROR(N76/N148, "NA")</f>
        <v>0</v>
      </c>
      <c r="P76" s="28">
        <v>0.0</v>
      </c>
      <c r="Q76" s="15">
        <f>IFERROR(P76/P148, "NA")</f>
        <v>0</v>
      </c>
      <c r="R76" s="28">
        <v>0.0</v>
      </c>
      <c r="S76" s="15">
        <f>IFERROR(R76/R148, "NA")</f>
        <v>0</v>
      </c>
      <c r="T76" s="28">
        <v>0.0</v>
      </c>
      <c r="U76" s="15">
        <f>IFERROR(T76/T148, "NA")</f>
        <v>0</v>
      </c>
      <c r="V76" s="28">
        <v>0.0</v>
      </c>
      <c r="W76" s="15">
        <f>IFERROR(V76/V148, "NA")</f>
        <v>0</v>
      </c>
      <c r="X76" s="28">
        <v>0.0</v>
      </c>
      <c r="Y76" s="15">
        <f>IFERROR(X76/X148, "NA")</f>
        <v>0</v>
      </c>
      <c r="Z76" s="28">
        <v>0.0</v>
      </c>
      <c r="AA76" s="15">
        <f>IFERROR(Z76/Z148, "NA")</f>
        <v>0</v>
      </c>
      <c r="AB76" s="57">
        <f t="shared" si="37"/>
        <v>0</v>
      </c>
      <c r="AC76" s="15">
        <f>IFERROR(AB76/AB148, "NA")</f>
        <v>0</v>
      </c>
      <c r="AD76" s="61">
        <f t="shared" si="38"/>
        <v>0</v>
      </c>
      <c r="AE76" s="62">
        <f>IFERROR(AD76/AD148, "NA")</f>
        <v>0</v>
      </c>
      <c r="AF76" s="61" t="str">
        <f t="shared" si="39"/>
        <v>NA</v>
      </c>
      <c r="AG76" s="57">
        <f t="shared" si="40"/>
        <v>0</v>
      </c>
      <c r="AH76" s="15">
        <f>IFERROR(AG76/AG148, "NA")</f>
        <v>0</v>
      </c>
      <c r="AI76" s="61">
        <f t="shared" si="41"/>
        <v>0</v>
      </c>
      <c r="AJ76" s="62">
        <f>IFERROR(AI76/AI148, "NA")</f>
        <v>0</v>
      </c>
      <c r="AK76" s="61" t="str">
        <f t="shared" si="42"/>
        <v>NA</v>
      </c>
      <c r="AL76" s="62" t="str">
        <f>IFERROR(AK76/AK148, "NA")</f>
        <v>NA</v>
      </c>
    </row>
    <row r="77" ht="16.5" hidden="1" customHeight="1">
      <c r="A77" s="26" t="s">
        <v>163</v>
      </c>
      <c r="B77" s="28">
        <v>0.0</v>
      </c>
      <c r="C77" s="15">
        <f>IFERROR(B77/B148, "NA")</f>
        <v>0</v>
      </c>
      <c r="D77" s="28">
        <v>0.0</v>
      </c>
      <c r="E77" s="15">
        <f>IFERROR(D77/D148, "NA")</f>
        <v>0</v>
      </c>
      <c r="F77" s="28">
        <v>0.0</v>
      </c>
      <c r="G77" s="15">
        <f>IFERROR(F77/F148, "NA")</f>
        <v>0</v>
      </c>
      <c r="H77" s="28">
        <v>0.0</v>
      </c>
      <c r="I77" s="15">
        <f>IFERROR(H77/H148, "NA")</f>
        <v>0</v>
      </c>
      <c r="J77" s="28">
        <v>0.0</v>
      </c>
      <c r="K77" s="15">
        <f>IFERROR(J77/J148, "NA")</f>
        <v>0</v>
      </c>
      <c r="L77" s="28">
        <v>0.0</v>
      </c>
      <c r="M77" s="15">
        <f>IFERROR(L77/L148, "NA")</f>
        <v>0</v>
      </c>
      <c r="N77" s="28">
        <v>0.0</v>
      </c>
      <c r="O77" s="15">
        <f>IFERROR(N77/N148, "NA")</f>
        <v>0</v>
      </c>
      <c r="P77" s="28">
        <v>0.0</v>
      </c>
      <c r="Q77" s="15">
        <f>IFERROR(P77/P148, "NA")</f>
        <v>0</v>
      </c>
      <c r="R77" s="28">
        <v>0.0</v>
      </c>
      <c r="S77" s="15">
        <f>IFERROR(R77/R148, "NA")</f>
        <v>0</v>
      </c>
      <c r="T77" s="28">
        <v>0.0</v>
      </c>
      <c r="U77" s="15">
        <f>IFERROR(T77/T148, "NA")</f>
        <v>0</v>
      </c>
      <c r="V77" s="28">
        <v>0.0</v>
      </c>
      <c r="W77" s="15">
        <f>IFERROR(V77/V148, "NA")</f>
        <v>0</v>
      </c>
      <c r="X77" s="28">
        <v>0.0</v>
      </c>
      <c r="Y77" s="15">
        <f>IFERROR(X77/X148, "NA")</f>
        <v>0</v>
      </c>
      <c r="Z77" s="28">
        <v>0.0</v>
      </c>
      <c r="AA77" s="15">
        <f>IFERROR(Z77/Z148, "NA")</f>
        <v>0</v>
      </c>
      <c r="AB77" s="57">
        <f t="shared" si="37"/>
        <v>0</v>
      </c>
      <c r="AC77" s="15">
        <f>IFERROR(AB77/AB148, "NA")</f>
        <v>0</v>
      </c>
      <c r="AD77" s="61">
        <f t="shared" si="38"/>
        <v>0</v>
      </c>
      <c r="AE77" s="62">
        <f>IFERROR(AD77/AD148, "NA")</f>
        <v>0</v>
      </c>
      <c r="AF77" s="61" t="str">
        <f t="shared" si="39"/>
        <v>NA</v>
      </c>
      <c r="AG77" s="57">
        <f t="shared" si="40"/>
        <v>0</v>
      </c>
      <c r="AH77" s="15">
        <f>IFERROR(AG77/AG148, "NA")</f>
        <v>0</v>
      </c>
      <c r="AI77" s="61">
        <f t="shared" si="41"/>
        <v>0</v>
      </c>
      <c r="AJ77" s="62">
        <f>IFERROR(AI77/AI148, "NA")</f>
        <v>0</v>
      </c>
      <c r="AK77" s="61" t="str">
        <f t="shared" si="42"/>
        <v>NA</v>
      </c>
      <c r="AL77" s="62" t="str">
        <f>IFERROR(AK77/AK148, "NA")</f>
        <v>NA</v>
      </c>
    </row>
    <row r="78" ht="16.5" hidden="1" customHeight="1">
      <c r="A78" s="26" t="s">
        <v>167</v>
      </c>
      <c r="B78" s="28">
        <v>0.0</v>
      </c>
      <c r="C78" s="15">
        <f>IFERROR(B78/B148, "NA")</f>
        <v>0</v>
      </c>
      <c r="D78" s="28">
        <v>0.0</v>
      </c>
      <c r="E78" s="15">
        <f>IFERROR(D78/D148, "NA")</f>
        <v>0</v>
      </c>
      <c r="F78" s="28">
        <v>0.0</v>
      </c>
      <c r="G78" s="15">
        <f>IFERROR(F78/F148, "NA")</f>
        <v>0</v>
      </c>
      <c r="H78" s="28">
        <v>0.0</v>
      </c>
      <c r="I78" s="15">
        <f>IFERROR(H78/H148, "NA")</f>
        <v>0</v>
      </c>
      <c r="J78" s="28">
        <v>0.0</v>
      </c>
      <c r="K78" s="15">
        <f>IFERROR(J78/J148, "NA")</f>
        <v>0</v>
      </c>
      <c r="L78" s="28">
        <v>0.0</v>
      </c>
      <c r="M78" s="15">
        <f>IFERROR(L78/L148, "NA")</f>
        <v>0</v>
      </c>
      <c r="N78" s="28">
        <v>0.0</v>
      </c>
      <c r="O78" s="15">
        <f>IFERROR(N78/N148, "NA")</f>
        <v>0</v>
      </c>
      <c r="P78" s="28">
        <v>0.0</v>
      </c>
      <c r="Q78" s="15">
        <f>IFERROR(P78/P148, "NA")</f>
        <v>0</v>
      </c>
      <c r="R78" s="28">
        <v>0.0</v>
      </c>
      <c r="S78" s="15">
        <f>IFERROR(R78/R148, "NA")</f>
        <v>0</v>
      </c>
      <c r="T78" s="28">
        <v>0.0</v>
      </c>
      <c r="U78" s="15">
        <f>IFERROR(T78/T148, "NA")</f>
        <v>0</v>
      </c>
      <c r="V78" s="28">
        <v>0.0</v>
      </c>
      <c r="W78" s="15">
        <f>IFERROR(V78/V148, "NA")</f>
        <v>0</v>
      </c>
      <c r="X78" s="28">
        <v>0.0</v>
      </c>
      <c r="Y78" s="15">
        <f>IFERROR(X78/X148, "NA")</f>
        <v>0</v>
      </c>
      <c r="Z78" s="28">
        <v>0.0</v>
      </c>
      <c r="AA78" s="15">
        <f>IFERROR(Z78/Z148, "NA")</f>
        <v>0</v>
      </c>
      <c r="AB78" s="57">
        <f t="shared" si="37"/>
        <v>0</v>
      </c>
      <c r="AC78" s="15">
        <f>IFERROR(AB78/AB148, "NA")</f>
        <v>0</v>
      </c>
      <c r="AD78" s="61">
        <f t="shared" si="38"/>
        <v>0</v>
      </c>
      <c r="AE78" s="62">
        <f>IFERROR(AD78/AD148, "NA")</f>
        <v>0</v>
      </c>
      <c r="AF78" s="61" t="str">
        <f t="shared" si="39"/>
        <v>NA</v>
      </c>
      <c r="AG78" s="57">
        <f t="shared" si="40"/>
        <v>0</v>
      </c>
      <c r="AH78" s="15">
        <f>IFERROR(AG78/AG148, "NA")</f>
        <v>0</v>
      </c>
      <c r="AI78" s="61">
        <f t="shared" si="41"/>
        <v>0</v>
      </c>
      <c r="AJ78" s="62">
        <f>IFERROR(AI78/AI148, "NA")</f>
        <v>0</v>
      </c>
      <c r="AK78" s="61" t="str">
        <f t="shared" si="42"/>
        <v>NA</v>
      </c>
      <c r="AL78" s="62" t="str">
        <f>IFERROR(AK78/AK148, "NA")</f>
        <v>NA</v>
      </c>
    </row>
    <row r="79" ht="16.5" hidden="1" customHeight="1">
      <c r="A79" s="26" t="s">
        <v>169</v>
      </c>
      <c r="B79" s="28">
        <v>0.0</v>
      </c>
      <c r="C79" s="15">
        <f>IFERROR(B79/B148, "NA")</f>
        <v>0</v>
      </c>
      <c r="D79" s="28">
        <v>0.0</v>
      </c>
      <c r="E79" s="15">
        <f>IFERROR(D79/D148, "NA")</f>
        <v>0</v>
      </c>
      <c r="F79" s="28">
        <v>0.0</v>
      </c>
      <c r="G79" s="15">
        <f>IFERROR(F79/F148, "NA")</f>
        <v>0</v>
      </c>
      <c r="H79" s="28">
        <v>0.0</v>
      </c>
      <c r="I79" s="15">
        <f>IFERROR(H79/H148, "NA")</f>
        <v>0</v>
      </c>
      <c r="J79" s="28">
        <v>0.0</v>
      </c>
      <c r="K79" s="15">
        <f>IFERROR(J79/J148, "NA")</f>
        <v>0</v>
      </c>
      <c r="L79" s="28">
        <v>0.0</v>
      </c>
      <c r="M79" s="15">
        <f>IFERROR(L79/L148, "NA")</f>
        <v>0</v>
      </c>
      <c r="N79" s="28">
        <v>0.0</v>
      </c>
      <c r="O79" s="15">
        <f>IFERROR(N79/N148, "NA")</f>
        <v>0</v>
      </c>
      <c r="P79" s="28">
        <v>0.0</v>
      </c>
      <c r="Q79" s="15">
        <f>IFERROR(P79/P148, "NA")</f>
        <v>0</v>
      </c>
      <c r="R79" s="28">
        <v>0.0</v>
      </c>
      <c r="S79" s="15">
        <f>IFERROR(R79/R148, "NA")</f>
        <v>0</v>
      </c>
      <c r="T79" s="28">
        <v>0.0</v>
      </c>
      <c r="U79" s="15">
        <f>IFERROR(T79/T148, "NA")</f>
        <v>0</v>
      </c>
      <c r="V79" s="28">
        <v>0.0</v>
      </c>
      <c r="W79" s="15">
        <f>IFERROR(V79/V148, "NA")</f>
        <v>0</v>
      </c>
      <c r="X79" s="28">
        <v>0.0</v>
      </c>
      <c r="Y79" s="15">
        <f>IFERROR(X79/X148, "NA")</f>
        <v>0</v>
      </c>
      <c r="Z79" s="28">
        <v>0.0</v>
      </c>
      <c r="AA79" s="15">
        <f>IFERROR(Z79/Z148, "NA")</f>
        <v>0</v>
      </c>
      <c r="AB79" s="57">
        <f t="shared" si="37"/>
        <v>0</v>
      </c>
      <c r="AC79" s="15">
        <f>IFERROR(AB79/AB148, "NA")</f>
        <v>0</v>
      </c>
      <c r="AD79" s="61">
        <f t="shared" si="38"/>
        <v>0</v>
      </c>
      <c r="AE79" s="62">
        <f>IFERROR(AD79/AD148, "NA")</f>
        <v>0</v>
      </c>
      <c r="AF79" s="61" t="str">
        <f t="shared" si="39"/>
        <v>NA</v>
      </c>
      <c r="AG79" s="57">
        <f t="shared" si="40"/>
        <v>0</v>
      </c>
      <c r="AH79" s="15">
        <f>IFERROR(AG79/AG148, "NA")</f>
        <v>0</v>
      </c>
      <c r="AI79" s="61">
        <f t="shared" si="41"/>
        <v>0</v>
      </c>
      <c r="AJ79" s="62">
        <f>IFERROR(AI79/AI148, "NA")</f>
        <v>0</v>
      </c>
      <c r="AK79" s="61" t="str">
        <f t="shared" si="42"/>
        <v>NA</v>
      </c>
      <c r="AL79" s="62" t="str">
        <f>IFERROR(AK79/AK148, "NA")</f>
        <v>NA</v>
      </c>
    </row>
    <row r="80" ht="16.5" hidden="1" customHeight="1">
      <c r="A80" s="26" t="s">
        <v>172</v>
      </c>
      <c r="B80" s="28">
        <v>0.0</v>
      </c>
      <c r="C80" s="15">
        <f>IFERROR(B80/B148, "NA")</f>
        <v>0</v>
      </c>
      <c r="D80" s="28">
        <v>0.0</v>
      </c>
      <c r="E80" s="15">
        <f>IFERROR(D80/D148, "NA")</f>
        <v>0</v>
      </c>
      <c r="F80" s="28">
        <v>0.0</v>
      </c>
      <c r="G80" s="15">
        <f>IFERROR(F80/F148, "NA")</f>
        <v>0</v>
      </c>
      <c r="H80" s="28">
        <v>0.0</v>
      </c>
      <c r="I80" s="15">
        <f>IFERROR(H80/H148, "NA")</f>
        <v>0</v>
      </c>
      <c r="J80" s="28">
        <v>0.0</v>
      </c>
      <c r="K80" s="15">
        <f>IFERROR(J80/J148, "NA")</f>
        <v>0</v>
      </c>
      <c r="L80" s="28">
        <v>0.0</v>
      </c>
      <c r="M80" s="15">
        <f>IFERROR(L80/L148, "NA")</f>
        <v>0</v>
      </c>
      <c r="N80" s="28">
        <v>0.0</v>
      </c>
      <c r="O80" s="15">
        <f>IFERROR(N80/N148, "NA")</f>
        <v>0</v>
      </c>
      <c r="P80" s="28">
        <v>0.0</v>
      </c>
      <c r="Q80" s="15">
        <f>IFERROR(P80/P148, "NA")</f>
        <v>0</v>
      </c>
      <c r="R80" s="28">
        <v>0.0</v>
      </c>
      <c r="S80" s="15">
        <f>IFERROR(R80/R148, "NA")</f>
        <v>0</v>
      </c>
      <c r="T80" s="28">
        <v>0.0</v>
      </c>
      <c r="U80" s="15">
        <f>IFERROR(T80/T148, "NA")</f>
        <v>0</v>
      </c>
      <c r="V80" s="28">
        <v>0.0</v>
      </c>
      <c r="W80" s="15">
        <f>IFERROR(V80/V148, "NA")</f>
        <v>0</v>
      </c>
      <c r="X80" s="28">
        <v>0.0</v>
      </c>
      <c r="Y80" s="15">
        <f>IFERROR(X80/X148, "NA")</f>
        <v>0</v>
      </c>
      <c r="Z80" s="28">
        <v>0.0</v>
      </c>
      <c r="AA80" s="15">
        <f>IFERROR(Z80/Z148, "NA")</f>
        <v>0</v>
      </c>
      <c r="AB80" s="57">
        <f t="shared" si="37"/>
        <v>0</v>
      </c>
      <c r="AC80" s="15">
        <f>IFERROR(AB80/AB148, "NA")</f>
        <v>0</v>
      </c>
      <c r="AD80" s="61">
        <f t="shared" si="38"/>
        <v>0</v>
      </c>
      <c r="AE80" s="62">
        <f>IFERROR(AD80/AD148, "NA")</f>
        <v>0</v>
      </c>
      <c r="AF80" s="61" t="str">
        <f t="shared" si="39"/>
        <v>NA</v>
      </c>
      <c r="AG80" s="57">
        <f t="shared" si="40"/>
        <v>0</v>
      </c>
      <c r="AH80" s="15">
        <f>IFERROR(AG80/AG148, "NA")</f>
        <v>0</v>
      </c>
      <c r="AI80" s="61">
        <f t="shared" si="41"/>
        <v>0</v>
      </c>
      <c r="AJ80" s="62">
        <f>IFERROR(AI80/AI148, "NA")</f>
        <v>0</v>
      </c>
      <c r="AK80" s="61" t="str">
        <f t="shared" si="42"/>
        <v>NA</v>
      </c>
      <c r="AL80" s="62" t="str">
        <f>IFERROR(AK80/AK148, "NA")</f>
        <v>NA</v>
      </c>
    </row>
    <row r="81" ht="16.5" customHeight="1">
      <c r="A81" s="67" t="s">
        <v>176</v>
      </c>
      <c r="B81" s="70">
        <f>IFERROR(B74+B75+B76+B77+B78+B79+B80, "NA")</f>
        <v>2918.8</v>
      </c>
      <c r="C81" s="71">
        <f>IFERROR(B81/B148, "NA")</f>
        <v>0.03415035775</v>
      </c>
      <c r="D81" s="70">
        <f>IFERROR(D74+D75+D76+D77+D78+D79+D80, "NA")</f>
        <v>3183.6</v>
      </c>
      <c r="E81" s="71">
        <f>IFERROR(D81/D148, "NA")</f>
        <v>0.02629453029</v>
      </c>
      <c r="F81" s="70">
        <f>IFERROR(F74+F75+F76+F77+F78+F79+F80, "NA")</f>
        <v>3300.27</v>
      </c>
      <c r="G81" s="71">
        <f>IFERROR(F81/F148, "NA")</f>
        <v>0.02493915344</v>
      </c>
      <c r="H81" s="70">
        <f>IFERROR(H74+H75+H76+H77+H78+H79+H80, "NA")</f>
        <v>3385.15</v>
      </c>
      <c r="I81" s="71">
        <f>IFERROR(H81/H148, "NA")</f>
        <v>0.02366663474</v>
      </c>
      <c r="J81" s="70">
        <f>IFERROR(J74+J75+J76+J77+J78+J79+J80, "NA")</f>
        <v>3490.73</v>
      </c>
      <c r="K81" s="71">
        <f>IFERROR(J81/J148, "NA")</f>
        <v>0.02607951078</v>
      </c>
      <c r="L81" s="70">
        <f>IFERROR(L74+L75+L76+L77+L78+L79+L80, "NA")</f>
        <v>3372.74</v>
      </c>
      <c r="M81" s="71">
        <f>IFERROR(L81/L148, "NA")</f>
        <v>0.02180064171</v>
      </c>
      <c r="N81" s="70">
        <f>IFERROR(N74+N75+N76+N77+N78+N79+N80, "NA")</f>
        <v>3512.07</v>
      </c>
      <c r="O81" s="71">
        <f>IFERROR(N81/N148, "NA")</f>
        <v>0.02199286311</v>
      </c>
      <c r="P81" s="70">
        <f>IFERROR(P74+P75+P76+P77+P78+P79+P80, "NA")</f>
        <v>3823.07</v>
      </c>
      <c r="Q81" s="71">
        <f>IFERROR(P81/P148, "NA")</f>
        <v>0.02213599078</v>
      </c>
      <c r="R81" s="70">
        <f>IFERROR(R74+R75+R76+R77+R78+R79+R80, "NA")</f>
        <v>3478.57</v>
      </c>
      <c r="S81" s="71">
        <f>IFERROR(R81/R148, "NA")</f>
        <v>0.02065842176</v>
      </c>
      <c r="T81" s="70">
        <f>IFERROR(T74+T75+T76+T77+T78+T79+T80, "NA")</f>
        <v>3267.11</v>
      </c>
      <c r="U81" s="71">
        <f>IFERROR(T81/T148, "NA")</f>
        <v>0.0207949607</v>
      </c>
      <c r="V81" s="70">
        <f>IFERROR(V74+V75+V76+V77+V78+V79+V80, "NA")</f>
        <v>3195.81</v>
      </c>
      <c r="W81" s="71">
        <f>IFERROR(V81/V148, "NA")</f>
        <v>0.0204166992</v>
      </c>
      <c r="X81" s="70">
        <f>IFERROR(X74+X75+X76+X77+X78+X79+X80, "NA")</f>
        <v>3422.59</v>
      </c>
      <c r="Y81" s="71">
        <f>IFERROR(X81/X148, "NA")</f>
        <v>0.02097313138</v>
      </c>
      <c r="Z81" s="70">
        <f>IFERROR(Z74+Z75+Z76+Z77+Z78+Z79+Z80, "NA")</f>
        <v>9885.51</v>
      </c>
      <c r="AA81" s="71">
        <f>IFERROR(Z81/Z148, "NA")</f>
        <v>0.02073176525</v>
      </c>
      <c r="AB81" s="70">
        <f t="shared" si="37"/>
        <v>3341.02</v>
      </c>
      <c r="AC81" s="71">
        <f>IFERROR(AB81/AB148, "NA")</f>
        <v>0.02071262439</v>
      </c>
      <c r="AD81" s="75">
        <f t="shared" si="38"/>
        <v>81.57</v>
      </c>
      <c r="AE81" s="76">
        <f>IFERROR(AD81/AD148, "NA")</f>
        <v>0.04325685914</v>
      </c>
      <c r="AF81" s="75">
        <f t="shared" si="39"/>
        <v>0.0244146997</v>
      </c>
      <c r="AG81" s="70">
        <f t="shared" si="40"/>
        <v>3445.33625</v>
      </c>
      <c r="AH81" s="71">
        <f>IFERROR(AG81/AG148, "NA")</f>
        <v>0.02176852441</v>
      </c>
      <c r="AI81" s="75">
        <f t="shared" si="41"/>
        <v>-22.74625</v>
      </c>
      <c r="AJ81" s="76">
        <f>IFERROR(AI81/AI148, "NA")</f>
        <v>-0.004625285061</v>
      </c>
      <c r="AK81" s="75">
        <f t="shared" si="42"/>
        <v>-0.006602040657</v>
      </c>
      <c r="AL81" s="76">
        <f>IFERROR(AK81/AK148, "NA")</f>
        <v>-0.2124758194</v>
      </c>
    </row>
    <row r="82" ht="16.5" customHeight="1">
      <c r="A82" s="26" t="s">
        <v>179</v>
      </c>
      <c r="B82" s="28">
        <v>1797.3</v>
      </c>
      <c r="C82" s="15">
        <f>IFERROR(B82/B148, "NA")</f>
        <v>0.02102865492</v>
      </c>
      <c r="D82" s="28">
        <v>0.0</v>
      </c>
      <c r="E82" s="15">
        <f>IFERROR(D82/D148, "NA")</f>
        <v>0</v>
      </c>
      <c r="F82" s="28">
        <v>0.0</v>
      </c>
      <c r="G82" s="15">
        <f>IFERROR(F82/F148, "NA")</f>
        <v>0</v>
      </c>
      <c r="H82" s="28">
        <v>0.0</v>
      </c>
      <c r="I82" s="15">
        <f>IFERROR(H82/H148, "NA")</f>
        <v>0</v>
      </c>
      <c r="J82" s="28">
        <v>1131.85</v>
      </c>
      <c r="K82" s="15">
        <f>IFERROR(J82/J148, "NA")</f>
        <v>0.008456137908</v>
      </c>
      <c r="L82" s="28">
        <v>0.0</v>
      </c>
      <c r="M82" s="15">
        <f>IFERROR(L82/L148, "NA")</f>
        <v>0</v>
      </c>
      <c r="N82" s="28">
        <v>0.0</v>
      </c>
      <c r="O82" s="15">
        <f>IFERROR(N82/N148, "NA")</f>
        <v>0</v>
      </c>
      <c r="P82" s="28">
        <v>0.0</v>
      </c>
      <c r="Q82" s="15">
        <f>IFERROR(P82/P148, "NA")</f>
        <v>0</v>
      </c>
      <c r="R82" s="28">
        <v>0.0</v>
      </c>
      <c r="S82" s="15">
        <f>IFERROR(R82/R148, "NA")</f>
        <v>0</v>
      </c>
      <c r="T82" s="28">
        <v>1138.54</v>
      </c>
      <c r="U82" s="15">
        <f>IFERROR(T82/T148, "NA")</f>
        <v>0.007246739336</v>
      </c>
      <c r="V82" s="28">
        <v>0.0</v>
      </c>
      <c r="W82" s="15">
        <f>IFERROR(V82/V148, "NA")</f>
        <v>0</v>
      </c>
      <c r="X82" s="28">
        <v>0.0</v>
      </c>
      <c r="Y82" s="15">
        <f>IFERROR(X82/X148, "NA")</f>
        <v>0</v>
      </c>
      <c r="Z82" s="28">
        <v>1138.54</v>
      </c>
      <c r="AA82" s="15">
        <f>IFERROR(Z82/Z148, "NA")</f>
        <v>0.002387731539</v>
      </c>
      <c r="AB82" s="57">
        <f t="shared" si="37"/>
        <v>284.635</v>
      </c>
      <c r="AC82" s="15">
        <f>IFERROR(AB82/AB148, "NA")</f>
        <v>0.001764592204</v>
      </c>
      <c r="AD82" s="61">
        <f t="shared" si="38"/>
        <v>-284.635</v>
      </c>
      <c r="AE82" s="62">
        <f>IFERROR(AD82/AD148, "NA")</f>
        <v>-0.150942946</v>
      </c>
      <c r="AF82" s="61">
        <f t="shared" si="39"/>
        <v>-1</v>
      </c>
      <c r="AG82" s="57">
        <f t="shared" si="40"/>
        <v>283.79875</v>
      </c>
      <c r="AH82" s="15">
        <f>IFERROR(AG82/AG148, "NA")</f>
        <v>0.001793113812</v>
      </c>
      <c r="AI82" s="61">
        <f t="shared" si="41"/>
        <v>-283.79875</v>
      </c>
      <c r="AJ82" s="62">
        <f>IFERROR(AI82/AI148, "NA")</f>
        <v>-0.05770841869</v>
      </c>
      <c r="AK82" s="61">
        <f t="shared" si="42"/>
        <v>-1</v>
      </c>
      <c r="AL82" s="62">
        <f>IFERROR(AK82/AK148, "NA")</f>
        <v>-32.18335518</v>
      </c>
    </row>
    <row r="83" ht="16.5" customHeight="1">
      <c r="A83" s="26" t="s">
        <v>181</v>
      </c>
      <c r="B83" s="28">
        <v>-308.46</v>
      </c>
      <c r="C83" s="15">
        <f>IFERROR(B83/B148, "NA")</f>
        <v>-0.003609024034</v>
      </c>
      <c r="D83" s="28">
        <v>-308.46</v>
      </c>
      <c r="E83" s="15">
        <f>IFERROR(D83/D148, "NA")</f>
        <v>-0.002547685266</v>
      </c>
      <c r="F83" s="28">
        <v>2848.03</v>
      </c>
      <c r="G83" s="15">
        <f>IFERROR(F83/F148, "NA")</f>
        <v>0.02152171101</v>
      </c>
      <c r="H83" s="28">
        <v>-308.46</v>
      </c>
      <c r="I83" s="15">
        <f>IFERROR(H83/H148, "NA")</f>
        <v>-0.002156539637</v>
      </c>
      <c r="J83" s="28">
        <v>-308.46</v>
      </c>
      <c r="K83" s="15">
        <f>IFERROR(J83/J148, "NA")</f>
        <v>-0.002304528249</v>
      </c>
      <c r="L83" s="28">
        <v>-308.46</v>
      </c>
      <c r="M83" s="15">
        <f>IFERROR(L83/L148, "NA")</f>
        <v>-0.001993816879</v>
      </c>
      <c r="N83" s="28">
        <v>2848.03</v>
      </c>
      <c r="O83" s="15">
        <f>IFERROR(N83/N148, "NA")</f>
        <v>0.01783459154</v>
      </c>
      <c r="P83" s="28">
        <v>-308.46</v>
      </c>
      <c r="Q83" s="15">
        <f>IFERROR(P83/P148, "NA")</f>
        <v>-0.001786016922</v>
      </c>
      <c r="R83" s="28">
        <v>-308.46</v>
      </c>
      <c r="S83" s="15">
        <f>IFERROR(R83/R148, "NA")</f>
        <v>-0.001831872515</v>
      </c>
      <c r="T83" s="28">
        <v>2594.92</v>
      </c>
      <c r="U83" s="15">
        <f>IFERROR(T83/T148, "NA")</f>
        <v>0.01651651136</v>
      </c>
      <c r="V83" s="28">
        <v>-308.46</v>
      </c>
      <c r="W83" s="15">
        <f>IFERROR(V83/V148, "NA")</f>
        <v>-0.001970622482</v>
      </c>
      <c r="X83" s="28">
        <v>-55.35</v>
      </c>
      <c r="Y83" s="15">
        <f>IFERROR(X83/X148, "NA")</f>
        <v>-0.0003391767118</v>
      </c>
      <c r="Z83" s="28">
        <v>2231.11</v>
      </c>
      <c r="AA83" s="15">
        <f>IFERROR(Z83/Z148, "NA")</f>
        <v>0.004679055381</v>
      </c>
      <c r="AB83" s="57">
        <f t="shared" si="37"/>
        <v>480.6625</v>
      </c>
      <c r="AC83" s="15">
        <f>IFERROR(AB83/AB148, "NA")</f>
        <v>0.002979862983</v>
      </c>
      <c r="AD83" s="61">
        <f t="shared" si="38"/>
        <v>-536.0125</v>
      </c>
      <c r="AE83" s="62">
        <f>IFERROR(AD83/AD148, "NA")</f>
        <v>-0.2842493222</v>
      </c>
      <c r="AF83" s="61">
        <f t="shared" si="39"/>
        <v>-1.115153564</v>
      </c>
      <c r="AG83" s="57">
        <f t="shared" si="40"/>
        <v>480.6625</v>
      </c>
      <c r="AH83" s="15">
        <f>IFERROR(AG83/AG148, "NA")</f>
        <v>0.003036949838</v>
      </c>
      <c r="AI83" s="61">
        <f t="shared" si="41"/>
        <v>-536.0125</v>
      </c>
      <c r="AJ83" s="62">
        <f>IFERROR(AI83/AI148, "NA")</f>
        <v>-0.1089942566</v>
      </c>
      <c r="AK83" s="61">
        <f t="shared" si="42"/>
        <v>-1.115153564</v>
      </c>
      <c r="AL83" s="62">
        <f>IFERROR(AK83/AK148, "NA")</f>
        <v>-35.88938323</v>
      </c>
    </row>
    <row r="84" ht="16.5" customHeight="1">
      <c r="A84" s="67" t="s">
        <v>55</v>
      </c>
      <c r="B84" s="70">
        <f>IFERROR(B63+B65+B66+B67+B68+B69+B71+B72+B74+B75+B76+B77+B78+B79+B80+B82+B83, "NA")</f>
        <v>32277.89</v>
      </c>
      <c r="C84" s="71">
        <f>IFERROR(B84/B148, "NA")</f>
        <v>0.3776557116</v>
      </c>
      <c r="D84" s="70">
        <f>IFERROR(D63+D65+D66+D67+D68+D69+D71+D72+D74+D75+D76+D77+D78+D79+D80+D82+D83, "NA")</f>
        <v>33410.59</v>
      </c>
      <c r="E84" s="71">
        <f>IFERROR(D84/D148, "NA")</f>
        <v>0.2759504243</v>
      </c>
      <c r="F84" s="70">
        <f>IFERROR(F63+F65+F66+F67+F68+F69+F71+F72+F74+F75+F76+F77+F78+F79+F80+F82+F83, "NA")</f>
        <v>37491.37</v>
      </c>
      <c r="G84" s="71">
        <f>IFERROR(F84/F148, "NA")</f>
        <v>0.2833110713</v>
      </c>
      <c r="H84" s="70">
        <f>IFERROR(H63+H65+H66+H67+H68+H69+H71+H72+H74+H75+H76+H77+H78+H79+H80+H82+H83, "NA")</f>
        <v>36533.26</v>
      </c>
      <c r="I84" s="71">
        <f>IFERROR(H84/H148, "NA")</f>
        <v>0.2554153642</v>
      </c>
      <c r="J84" s="70">
        <f>IFERROR(J63+J65+J66+J67+J68+J69+J71+J72+J74+J75+J76+J77+J78+J79+J80+J82+J83, "NA")</f>
        <v>36317.06</v>
      </c>
      <c r="K84" s="71">
        <f>IFERROR(J84/J148, "NA")</f>
        <v>0.2713275326</v>
      </c>
      <c r="L84" s="70">
        <f>IFERROR(L63+L65+L66+L67+L68+L69+L71+L72+L74+L75+L76+L77+L78+L79+L80+L82+L83, "NA")</f>
        <v>36232.86</v>
      </c>
      <c r="M84" s="71">
        <f>IFERROR(L84/L148, "NA")</f>
        <v>0.2342011537</v>
      </c>
      <c r="N84" s="70">
        <f>IFERROR(N63+N65+N66+N67+N68+N69+N71+N72+N74+N75+N76+N77+N78+N79+N80+N82+N83, "NA")</f>
        <v>41354.25</v>
      </c>
      <c r="O84" s="71">
        <f>IFERROR(N84/N148, "NA")</f>
        <v>0.2589636195</v>
      </c>
      <c r="P84" s="70">
        <f>IFERROR(P63+P65+P66+P67+P68+P69+P71+P72+P74+P75+P76+P77+P78+P79+P80+P82+P83, "NA")</f>
        <v>40362.34</v>
      </c>
      <c r="Q84" s="71">
        <f>IFERROR(P84/P148, "NA")</f>
        <v>0.233702335</v>
      </c>
      <c r="R84" s="70">
        <f>IFERROR(R63+R65+R66+R67+R68+R69+R71+R72+R74+R75+R76+R77+R78+R79+R80+R82+R83, "NA")</f>
        <v>34117.46</v>
      </c>
      <c r="S84" s="71">
        <f>IFERROR(R84/R148, "NA")</f>
        <v>0.2026156949</v>
      </c>
      <c r="T84" s="70">
        <f>IFERROR(T63+T65+T66+T67+T68+T69+T71+T72+T74+T75+T76+T77+T78+T79+T80+T82+T83, "NA")</f>
        <v>41096.61</v>
      </c>
      <c r="U84" s="71">
        <f>IFERROR(T84/T148, "NA")</f>
        <v>0.2615774767</v>
      </c>
      <c r="V84" s="70">
        <f>IFERROR(V63+V65+V66+V67+V68+V69+V71+V72+V74+V75+V76+V77+V78+V79+V80+V82+V83, "NA")</f>
        <v>38398.34</v>
      </c>
      <c r="W84" s="71">
        <f>IFERROR(V84/V148, "NA")</f>
        <v>0.2453110033</v>
      </c>
      <c r="X84" s="70">
        <f>IFERROR(X63+X65+X66+X67+X68+X69+X71+X72+X74+X75+X76+X77+X78+X79+X80+X82+X83, "NA")</f>
        <v>39685.59</v>
      </c>
      <c r="Y84" s="71">
        <f>IFERROR(X84/X148, "NA")</f>
        <v>0.2431874963</v>
      </c>
      <c r="Z84" s="70">
        <f>IFERROR(Z63+Z65+Z66+Z67+Z68+Z69+Z71+Z72+Z74+Z75+Z76+Z77+Z78+Z79+Z80+Z82+Z83, "NA")</f>
        <v>119180.54</v>
      </c>
      <c r="AA84" s="71">
        <f>IFERROR(Z84/Z148, "NA")</f>
        <v>0.2499439055</v>
      </c>
      <c r="AB84" s="70">
        <f t="shared" si="37"/>
        <v>38324.5</v>
      </c>
      <c r="AC84" s="71">
        <f>IFERROR(AB84/AB148, "NA")</f>
        <v>0.237592404</v>
      </c>
      <c r="AD84" s="75">
        <f t="shared" si="38"/>
        <v>1361.09</v>
      </c>
      <c r="AE84" s="76">
        <f>IFERROR(AD84/AD148, "NA")</f>
        <v>0.721790835</v>
      </c>
      <c r="AF84" s="75">
        <f t="shared" si="39"/>
        <v>0.03551487952</v>
      </c>
      <c r="AG84" s="70">
        <f t="shared" si="40"/>
        <v>38445.56375</v>
      </c>
      <c r="AH84" s="71">
        <f>IFERROR(AG84/AG148, "NA")</f>
        <v>0.2429090029</v>
      </c>
      <c r="AI84" s="75">
        <f t="shared" si="41"/>
        <v>1240.02625</v>
      </c>
      <c r="AJ84" s="76">
        <f>IFERROR(AI84/AI148, "NA")</f>
        <v>0.2521503496</v>
      </c>
      <c r="AK84" s="75">
        <f t="shared" si="42"/>
        <v>0.03225407899</v>
      </c>
      <c r="AL84" s="76">
        <f>IFERROR(AK84/AK148, "NA")</f>
        <v>1.03804448</v>
      </c>
    </row>
    <row r="85" ht="16.5" customHeight="1">
      <c r="A85" s="67" t="s">
        <v>55</v>
      </c>
      <c r="B85" s="118">
        <f>IFERROR(B63+B65+B66+B67+B68+B69+B71+B72+B74+B75+B76+B77+B78+B79+B80+B82+B83, "NA")</f>
        <v>32277.89</v>
      </c>
      <c r="C85" s="94">
        <f>IFERROR(B85/B148, "NA")</f>
        <v>0.3776557116</v>
      </c>
      <c r="D85" s="118">
        <f>IFERROR(D63+D65+D66+D67+D68+D69+D71+D72+D74+D75+D76+D77+D78+D79+D80+D82+D83, "NA")</f>
        <v>33410.59</v>
      </c>
      <c r="E85" s="94">
        <f>IFERROR(D85/D148, "NA")</f>
        <v>0.2759504243</v>
      </c>
      <c r="F85" s="118">
        <f>IFERROR(F63+F65+F66+F67+F68+F69+F71+F72+F74+F75+F76+F77+F78+F79+F80+F82+F83, "NA")</f>
        <v>37491.37</v>
      </c>
      <c r="G85" s="94">
        <f>IFERROR(F85/F148, "NA")</f>
        <v>0.2833110713</v>
      </c>
      <c r="H85" s="118">
        <f>IFERROR(H63+H65+H66+H67+H68+H69+H71+H72+H74+H75+H76+H77+H78+H79+H80+H82+H83, "NA")</f>
        <v>36533.26</v>
      </c>
      <c r="I85" s="94">
        <f>IFERROR(H85/H148, "NA")</f>
        <v>0.2554153642</v>
      </c>
      <c r="J85" s="118">
        <f>IFERROR(J63+J65+J66+J67+J68+J69+J71+J72+J74+J75+J76+J77+J78+J79+J80+J82+J83, "NA")</f>
        <v>36317.06</v>
      </c>
      <c r="K85" s="94">
        <f>IFERROR(J85/J148, "NA")</f>
        <v>0.2713275326</v>
      </c>
      <c r="L85" s="118">
        <f>IFERROR(L63+L65+L66+L67+L68+L69+L71+L72+L74+L75+L76+L77+L78+L79+L80+L82+L83, "NA")</f>
        <v>36232.86</v>
      </c>
      <c r="M85" s="94">
        <f>IFERROR(L85/L148, "NA")</f>
        <v>0.2342011537</v>
      </c>
      <c r="N85" s="118">
        <f>IFERROR(N63+N65+N66+N67+N68+N69+N71+N72+N74+N75+N76+N77+N78+N79+N80+N82+N83, "NA")</f>
        <v>41354.25</v>
      </c>
      <c r="O85" s="94">
        <f>IFERROR(N85/N148, "NA")</f>
        <v>0.2589636195</v>
      </c>
      <c r="P85" s="118">
        <f>IFERROR(P63+P65+P66+P67+P68+P69+P71+P72+P74+P75+P76+P77+P78+P79+P80+P82+P83, "NA")</f>
        <v>40362.34</v>
      </c>
      <c r="Q85" s="94">
        <f>IFERROR(P85/P148, "NA")</f>
        <v>0.233702335</v>
      </c>
      <c r="R85" s="118">
        <f>IFERROR(R63+R65+R66+R67+R68+R69+R71+R72+R74+R75+R76+R77+R78+R79+R80+R82+R83, "NA")</f>
        <v>34117.46</v>
      </c>
      <c r="S85" s="94">
        <f>IFERROR(R85/R148, "NA")</f>
        <v>0.2026156949</v>
      </c>
      <c r="T85" s="118">
        <f>IFERROR(T63+T65+T66+T67+T68+T69+T71+T72+T74+T75+T76+T77+T78+T79+T80+T82+T83, "NA")</f>
        <v>41096.61</v>
      </c>
      <c r="U85" s="94">
        <f>IFERROR(T85/T148, "NA")</f>
        <v>0.2615774767</v>
      </c>
      <c r="V85" s="118">
        <f>IFERROR(V63+V65+V66+V67+V68+V69+V71+V72+V74+V75+V76+V77+V78+V79+V80+V82+V83, "NA")</f>
        <v>38398.34</v>
      </c>
      <c r="W85" s="94">
        <f>IFERROR(V85/V148, "NA")</f>
        <v>0.2453110033</v>
      </c>
      <c r="X85" s="118">
        <f>IFERROR(X63+X65+X66+X67+X68+X69+X71+X72+X74+X75+X76+X77+X78+X79+X80+X82+X83, "NA")</f>
        <v>39685.59</v>
      </c>
      <c r="Y85" s="94">
        <f>IFERROR(X85/X148, "NA")</f>
        <v>0.2431874963</v>
      </c>
      <c r="Z85" s="118">
        <f>IFERROR(Z63+Z65+Z66+Z67+Z68+Z69+Z71+Z72+Z74+Z75+Z76+Z77+Z78+Z79+Z80+Z82+Z83, "NA")</f>
        <v>119180.54</v>
      </c>
      <c r="AA85" s="94">
        <f>IFERROR(Z85/Z148, "NA")</f>
        <v>0.2499439055</v>
      </c>
      <c r="AB85" s="118">
        <f t="shared" si="37"/>
        <v>38324.5</v>
      </c>
      <c r="AC85" s="94">
        <f>IFERROR(AB85/AB148, "NA")</f>
        <v>0.237592404</v>
      </c>
      <c r="AD85" s="119">
        <f t="shared" si="38"/>
        <v>1361.09</v>
      </c>
      <c r="AE85" s="120">
        <f>IFERROR(AD85/AD148, "NA")</f>
        <v>0.721790835</v>
      </c>
      <c r="AF85" s="119">
        <f t="shared" si="39"/>
        <v>0.03551487952</v>
      </c>
      <c r="AG85" s="118">
        <f t="shared" si="40"/>
        <v>38445.56375</v>
      </c>
      <c r="AH85" s="94">
        <f>IFERROR(AG85/AG148, "NA")</f>
        <v>0.2429090029</v>
      </c>
      <c r="AI85" s="119">
        <f t="shared" si="41"/>
        <v>1240.02625</v>
      </c>
      <c r="AJ85" s="120">
        <f>IFERROR(AI85/AI148, "NA")</f>
        <v>0.2521503496</v>
      </c>
      <c r="AK85" s="119">
        <f t="shared" si="42"/>
        <v>0.03225407899</v>
      </c>
      <c r="AL85" s="120">
        <f>IFERROR(AK85/AK148, "NA")</f>
        <v>1.03804448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2"/>
      <c r="AF86" s="125"/>
      <c r="AG86" s="124"/>
      <c r="AH86" s="74"/>
      <c r="AI86" s="125"/>
      <c r="AJ86" s="82"/>
      <c r="AK86" s="125"/>
      <c r="AL86" s="82"/>
    </row>
    <row r="87" ht="16.5" customHeight="1">
      <c r="A87" s="121" t="s">
        <v>56</v>
      </c>
      <c r="B87" s="122">
        <f>IFERROR(B59-B85, "NA")</f>
        <v>29196.99</v>
      </c>
      <c r="C87" s="98">
        <f>IFERROR(B87/B148, "NA")</f>
        <v>0.3416087617</v>
      </c>
      <c r="D87" s="122">
        <f>IFERROR(D59-D85, "NA")</f>
        <v>53600.23</v>
      </c>
      <c r="E87" s="98">
        <f>IFERROR(D87/D148, "NA")</f>
        <v>0.4427041309</v>
      </c>
      <c r="F87" s="122">
        <f>IFERROR(F59-F85, "NA")</f>
        <v>59513.73</v>
      </c>
      <c r="G87" s="98">
        <f>IFERROR(F87/F148, "NA")</f>
        <v>0.44972746</v>
      </c>
      <c r="H87" s="122">
        <f>IFERROR(H59-H85, "NA")</f>
        <v>67593.37</v>
      </c>
      <c r="I87" s="98">
        <f>IFERROR(H87/H148, "NA")</f>
        <v>0.4725662374</v>
      </c>
      <c r="J87" s="122">
        <f>IFERROR(J59-J85, "NA")</f>
        <v>61111.28</v>
      </c>
      <c r="K87" s="98">
        <f>IFERROR(J87/J148, "NA")</f>
        <v>0.4565670463</v>
      </c>
      <c r="L87" s="122">
        <f>IFERROR(L59-L85, "NA")</f>
        <v>76686.24</v>
      </c>
      <c r="M87" s="98">
        <f>IFERROR(L87/L148, "NA")</f>
        <v>0.4956828105</v>
      </c>
      <c r="N87" s="122">
        <f>IFERROR(N59-N85, "NA")</f>
        <v>75207.39</v>
      </c>
      <c r="O87" s="98">
        <f>IFERROR(N87/N148, "NA")</f>
        <v>0.4709546885</v>
      </c>
      <c r="P87" s="122">
        <f>IFERROR(P59-P85, "NA")</f>
        <v>86546.81</v>
      </c>
      <c r="Q87" s="98">
        <f>IFERROR(P87/P148, "NA")</f>
        <v>0.5011154355</v>
      </c>
      <c r="R87" s="122">
        <f>IFERROR(R59-R85, "NA")</f>
        <v>88315.4</v>
      </c>
      <c r="S87" s="98">
        <f>IFERROR(R87/R148, "NA")</f>
        <v>0.5244847109</v>
      </c>
      <c r="T87" s="122">
        <f>IFERROR(T59-T85, "NA")</f>
        <v>72770.9</v>
      </c>
      <c r="U87" s="98">
        <f>IFERROR(T87/T148, "NA")</f>
        <v>0.4631824473</v>
      </c>
      <c r="V87" s="122">
        <f>IFERROR(V59-V85, "NA")</f>
        <v>74416.81</v>
      </c>
      <c r="W87" s="98">
        <f>IFERROR(V87/V148, "NA")</f>
        <v>0.4754180082</v>
      </c>
      <c r="X87" s="122">
        <f>IFERROR(X59-X85, "NA")</f>
        <v>80818.94</v>
      </c>
      <c r="Y87" s="98">
        <f>IFERROR(X87/X148, "NA")</f>
        <v>0.4952466544</v>
      </c>
      <c r="Z87" s="122">
        <f>IFERROR(Z59-Z85, "NA")</f>
        <v>228006.65</v>
      </c>
      <c r="AA87" s="98">
        <f>IFERROR(Z87/Z148, "NA")</f>
        <v>0.4781726327</v>
      </c>
      <c r="AB87" s="122">
        <f>IFERROR((R87+T87+V87+X87)/4, "NA")</f>
        <v>79080.5125</v>
      </c>
      <c r="AC87" s="98">
        <f>IFERROR(AB87/AB148, "NA")</f>
        <v>0.4902589486</v>
      </c>
      <c r="AD87" s="75">
        <f>IFERROR(X87-AB87, "NA")</f>
        <v>1738.4275</v>
      </c>
      <c r="AE87" s="76">
        <f>IFERROR(AD87/AD148, "NA")</f>
        <v>0.9218942442</v>
      </c>
      <c r="AF87" s="75">
        <f>IFERROR((X87-AB87)/AB87, "NA")</f>
        <v>0.02198300751</v>
      </c>
      <c r="AG87" s="122">
        <f>IFERROR((J87+L87+N87+P87+R87+T87+V87+X87)/8, "NA")</f>
        <v>76984.22125</v>
      </c>
      <c r="AH87" s="98">
        <f>IFERROR(AG87/AG148, "NA")</f>
        <v>0.4864061962</v>
      </c>
      <c r="AI87" s="75">
        <f>IFERROR(X87-AG87, "NA")</f>
        <v>3834.71875</v>
      </c>
      <c r="AJ87" s="76">
        <f>IFERROR(AI87/AI148, "NA")</f>
        <v>0.7797622618</v>
      </c>
      <c r="AK87" s="75">
        <f>IFERROR((X87-AG87)/AG87, "NA")</f>
        <v>0.04981174957</v>
      </c>
      <c r="AL87" s="76">
        <f>IFERROR(AK87/AK148, "NA")</f>
        <v>1.603109228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2"/>
      <c r="AF88" s="125"/>
      <c r="AG88" s="124"/>
      <c r="AH88" s="74"/>
      <c r="AI88" s="125"/>
      <c r="AJ88" s="82"/>
      <c r="AK88" s="125"/>
      <c r="AL88" s="82"/>
    </row>
    <row r="89" ht="16.5" hidden="1" customHeight="1">
      <c r="A89" s="22" t="s">
        <v>206</v>
      </c>
      <c r="B89" s="23"/>
      <c r="C89" s="10"/>
      <c r="D89" s="23"/>
      <c r="E89" s="10"/>
      <c r="F89" s="23"/>
      <c r="G89" s="10"/>
      <c r="H89" s="23"/>
      <c r="I89" s="10"/>
      <c r="J89" s="23"/>
      <c r="K89" s="10"/>
      <c r="L89" s="23"/>
      <c r="M89" s="10"/>
      <c r="N89" s="23"/>
      <c r="O89" s="10"/>
      <c r="P89" s="23"/>
      <c r="Q89" s="10"/>
      <c r="R89" s="23"/>
      <c r="S89" s="10"/>
      <c r="T89" s="23"/>
      <c r="U89" s="10"/>
      <c r="V89" s="23"/>
      <c r="W89" s="10"/>
      <c r="X89" s="23"/>
      <c r="Y89" s="10"/>
      <c r="Z89" s="23"/>
      <c r="AA89" s="10"/>
      <c r="AB89" s="23"/>
      <c r="AC89" s="10"/>
      <c r="AD89" s="24"/>
      <c r="AE89" s="25"/>
      <c r="AF89" s="24"/>
      <c r="AG89" s="23"/>
      <c r="AH89" s="10"/>
      <c r="AI89" s="24"/>
      <c r="AJ89" s="25"/>
      <c r="AK89" s="24"/>
      <c r="AL89" s="25"/>
    </row>
    <row r="90" ht="16.5" hidden="1" customHeight="1">
      <c r="A90" s="26" t="s">
        <v>207</v>
      </c>
      <c r="B90" s="28">
        <v>2487.12</v>
      </c>
      <c r="C90" s="15">
        <f>IFERROR(B90/B148, "NA")</f>
        <v>0.02909964292</v>
      </c>
      <c r="D90" s="28">
        <v>2744.05</v>
      </c>
      <c r="E90" s="15">
        <f>IFERROR(D90/D148, "NA")</f>
        <v>0.02266412421</v>
      </c>
      <c r="F90" s="28">
        <v>2669.65</v>
      </c>
      <c r="G90" s="15">
        <f>IFERROR(F90/F148, "NA")</f>
        <v>0.02017374669</v>
      </c>
      <c r="H90" s="28">
        <v>3197.05</v>
      </c>
      <c r="I90" s="15">
        <f>IFERROR(H90/H148, "NA")</f>
        <v>0.02235156923</v>
      </c>
      <c r="J90" s="28">
        <v>5309.56</v>
      </c>
      <c r="K90" s="15">
        <f>IFERROR(J90/J148, "NA")</f>
        <v>0.03966812881</v>
      </c>
      <c r="L90" s="28">
        <v>4639.52</v>
      </c>
      <c r="M90" s="15">
        <f>IFERROR(L90/L148, "NA")</f>
        <v>0.02998882607</v>
      </c>
      <c r="N90" s="28">
        <v>4069.97</v>
      </c>
      <c r="O90" s="15">
        <f>IFERROR(N90/N148, "NA")</f>
        <v>0.02548647751</v>
      </c>
      <c r="P90" s="28">
        <v>3233.6</v>
      </c>
      <c r="Q90" s="15">
        <f>IFERROR(P90/P148, "NA")</f>
        <v>0.01872289542</v>
      </c>
      <c r="R90" s="28">
        <v>2789.94</v>
      </c>
      <c r="S90" s="15">
        <f>IFERROR(R90/R148, "NA")</f>
        <v>0.01656880764</v>
      </c>
      <c r="T90" s="28">
        <v>4732.8</v>
      </c>
      <c r="U90" s="15">
        <f>IFERROR(T90/T148, "NA")</f>
        <v>0.03012399031</v>
      </c>
      <c r="V90" s="28">
        <v>3311.69</v>
      </c>
      <c r="W90" s="15">
        <f>IFERROR(V90/V148, "NA")</f>
        <v>0.02115700826</v>
      </c>
      <c r="X90" s="28">
        <v>2590.52</v>
      </c>
      <c r="Y90" s="15">
        <f>IFERROR(X90/X148, "NA")</f>
        <v>0.01587432801</v>
      </c>
      <c r="Z90" s="28">
        <v>10635.01</v>
      </c>
      <c r="AA90" s="15">
        <f>IFERROR(Z90/Z148, "NA")</f>
        <v>0.02230360707</v>
      </c>
      <c r="AB90" s="57">
        <f t="shared" ref="AB90:AB99" si="43">IFERROR((R90+T90+V90+X90)/4, "NA")</f>
        <v>3356.2375</v>
      </c>
      <c r="AC90" s="15">
        <f>IFERROR(AB90/AB148, "NA")</f>
        <v>0.02080696515</v>
      </c>
      <c r="AD90" s="61">
        <f t="shared" ref="AD90:AD99" si="44">IFERROR(X90-AB90, "NA")</f>
        <v>-765.7175</v>
      </c>
      <c r="AE90" s="62">
        <f>IFERROR(AD90/AD148, "NA")</f>
        <v>-0.4060626951</v>
      </c>
      <c r="AF90" s="61">
        <f t="shared" ref="AF90:AF99" si="45">IFERROR((X90-AB90)/AB90, "NA")</f>
        <v>-0.2281475909</v>
      </c>
      <c r="AG90" s="57">
        <f t="shared" ref="AG90:AG99" si="46">IFERROR((J90+L90+N90+P90+R90+T90+V90+X90)/8, "NA")</f>
        <v>3834.7</v>
      </c>
      <c r="AH90" s="15">
        <f>IFERROR(AG90/AG148, "NA")</f>
        <v>0.02422862517</v>
      </c>
      <c r="AI90" s="61">
        <f t="shared" ref="AI90:AI99" si="47">IFERROR(X90-AG90, "NA")</f>
        <v>-1244.18</v>
      </c>
      <c r="AJ90" s="62">
        <f>IFERROR(AI90/AI148, "NA")</f>
        <v>-0.2529949846</v>
      </c>
      <c r="AK90" s="61">
        <f t="shared" ref="AK90:AK99" si="48">IFERROR((X90-AG90)/AG90, "NA")</f>
        <v>-0.3244530211</v>
      </c>
      <c r="AL90" s="62">
        <f>IFERROR(AK90/AK148, "NA")</f>
        <v>-10.44198682</v>
      </c>
    </row>
    <row r="91" ht="16.5" hidden="1" customHeight="1">
      <c r="A91" s="26" t="s">
        <v>208</v>
      </c>
      <c r="B91" s="28">
        <v>3940.03</v>
      </c>
      <c r="C91" s="15">
        <f>IFERROR(B91/B148, "NA")</f>
        <v>0.04609888791</v>
      </c>
      <c r="D91" s="28">
        <v>6046.14</v>
      </c>
      <c r="E91" s="15">
        <f>IFERROR(D91/D148, "NA")</f>
        <v>0.04993730725</v>
      </c>
      <c r="F91" s="28">
        <v>6311.59</v>
      </c>
      <c r="G91" s="15">
        <f>IFERROR(F91/F148, "NA")</f>
        <v>0.04769479815</v>
      </c>
      <c r="H91" s="28">
        <v>7369.51</v>
      </c>
      <c r="I91" s="15">
        <f>IFERROR(H91/H148, "NA")</f>
        <v>0.05152253264</v>
      </c>
      <c r="J91" s="28">
        <v>7705.13</v>
      </c>
      <c r="K91" s="15">
        <f>IFERROR(J91/J148, "NA")</f>
        <v>0.05756561548</v>
      </c>
      <c r="L91" s="28">
        <v>7199.54</v>
      </c>
      <c r="M91" s="15">
        <f>IFERROR(L91/L148, "NA")</f>
        <v>0.04653622634</v>
      </c>
      <c r="N91" s="28">
        <v>7690.18</v>
      </c>
      <c r="O91" s="15">
        <f>IFERROR(N91/N148, "NA")</f>
        <v>0.04815652194</v>
      </c>
      <c r="P91" s="28">
        <v>7873.02</v>
      </c>
      <c r="Q91" s="15">
        <f>IFERROR(P91/P148, "NA")</f>
        <v>0.04558564141</v>
      </c>
      <c r="R91" s="28">
        <v>9900.83</v>
      </c>
      <c r="S91" s="15">
        <f>IFERROR(R91/R148, "NA")</f>
        <v>0.0587987368</v>
      </c>
      <c r="T91" s="28">
        <v>10068.61</v>
      </c>
      <c r="U91" s="15">
        <f>IFERROR(T91/T148, "NA")</f>
        <v>0.06408610339</v>
      </c>
      <c r="V91" s="28">
        <v>6124.58</v>
      </c>
      <c r="W91" s="15">
        <f>IFERROR(V91/V148, "NA")</f>
        <v>0.03912739104</v>
      </c>
      <c r="X91" s="28">
        <v>4651.42</v>
      </c>
      <c r="Y91" s="15">
        <f>IFERROR(X91/X148, "NA")</f>
        <v>0.02850322206</v>
      </c>
      <c r="Z91" s="28">
        <v>20844.61</v>
      </c>
      <c r="AA91" s="15">
        <f>IFERROR(Z91/Z148, "NA")</f>
        <v>0.04371504972</v>
      </c>
      <c r="AB91" s="57">
        <f t="shared" si="43"/>
        <v>7686.36</v>
      </c>
      <c r="AC91" s="15">
        <f>IFERROR(AB91/AB148, "NA")</f>
        <v>0.04765152188</v>
      </c>
      <c r="AD91" s="61">
        <f t="shared" si="44"/>
        <v>-3034.94</v>
      </c>
      <c r="AE91" s="62">
        <f>IFERROR(AD91/AD148, "NA")</f>
        <v>-1.609439403</v>
      </c>
      <c r="AF91" s="61">
        <f t="shared" si="45"/>
        <v>-0.3948474961</v>
      </c>
      <c r="AG91" s="57">
        <f t="shared" si="46"/>
        <v>7651.66375</v>
      </c>
      <c r="AH91" s="15">
        <f>IFERROR(AG91/AG148, "NA")</f>
        <v>0.04834518812</v>
      </c>
      <c r="AI91" s="61">
        <f t="shared" si="47"/>
        <v>-3000.24375</v>
      </c>
      <c r="AJ91" s="62">
        <f>IFERROR(AI91/AI148, "NA")</f>
        <v>-0.6100778193</v>
      </c>
      <c r="AK91" s="61">
        <f t="shared" si="48"/>
        <v>-0.3921034494</v>
      </c>
      <c r="AL91" s="62">
        <f>IFERROR(AK91/AK148, "NA")</f>
        <v>-12.61920458</v>
      </c>
    </row>
    <row r="92" ht="16.5" hidden="1" customHeight="1">
      <c r="A92" s="26" t="s">
        <v>209</v>
      </c>
      <c r="B92" s="28">
        <v>1454.17</v>
      </c>
      <c r="C92" s="15">
        <f>IFERROR(B92/B148, "NA")</f>
        <v>0.01701398716</v>
      </c>
      <c r="D92" s="28">
        <v>2243.44</v>
      </c>
      <c r="E92" s="15">
        <f>IFERROR(D92/D148, "NA")</f>
        <v>0.018529401</v>
      </c>
      <c r="F92" s="28">
        <v>2335.13</v>
      </c>
      <c r="G92" s="15">
        <f>IFERROR(F92/F148, "NA")</f>
        <v>0.01764587909</v>
      </c>
      <c r="H92" s="28">
        <v>2273.96</v>
      </c>
      <c r="I92" s="15">
        <f>IFERROR(H92/H148, "NA")</f>
        <v>0.01589796042</v>
      </c>
      <c r="J92" s="28">
        <v>2764.94</v>
      </c>
      <c r="K92" s="15">
        <f>IFERROR(J92/J148, "NA")</f>
        <v>0.02065707819</v>
      </c>
      <c r="L92" s="28">
        <v>2522.22</v>
      </c>
      <c r="M92" s="15">
        <f>IFERROR(L92/L148, "NA")</f>
        <v>0.01630306947</v>
      </c>
      <c r="N92" s="28">
        <v>2409.58</v>
      </c>
      <c r="O92" s="15">
        <f>IFERROR(N92/N148, "NA")</f>
        <v>0.01508898259</v>
      </c>
      <c r="P92" s="28">
        <v>2626.89</v>
      </c>
      <c r="Q92" s="15">
        <f>IFERROR(P92/P148, "NA")</f>
        <v>0.01520997858</v>
      </c>
      <c r="R92" s="28">
        <v>2273.57</v>
      </c>
      <c r="S92" s="15">
        <f>IFERROR(R92/R148, "NA")</f>
        <v>0.01350220578</v>
      </c>
      <c r="T92" s="28">
        <v>2040.24</v>
      </c>
      <c r="U92" s="15">
        <f>IFERROR(T92/T148, "NA")</f>
        <v>0.01298600617</v>
      </c>
      <c r="V92" s="28">
        <v>2223.88</v>
      </c>
      <c r="W92" s="15">
        <f>IFERROR(V92/V148, "NA")</f>
        <v>0.01420744319</v>
      </c>
      <c r="X92" s="28">
        <v>60.93</v>
      </c>
      <c r="Y92" s="15">
        <f>IFERROR(X92/X148, "NA")</f>
        <v>0.0003733701364</v>
      </c>
      <c r="Z92" s="28">
        <v>4325.05</v>
      </c>
      <c r="AA92" s="15">
        <f>IFERROR(Z92/Z148, "NA")</f>
        <v>0.00907043959</v>
      </c>
      <c r="AB92" s="57">
        <f t="shared" si="43"/>
        <v>1649.655</v>
      </c>
      <c r="AC92" s="15">
        <f>IFERROR(AB92/AB148, "NA")</f>
        <v>0.01022702181</v>
      </c>
      <c r="AD92" s="61">
        <f t="shared" si="44"/>
        <v>-1588.725</v>
      </c>
      <c r="AE92" s="62">
        <f>IFERROR(AD92/AD148, "NA")</f>
        <v>-0.8425064796</v>
      </c>
      <c r="AF92" s="61">
        <f t="shared" si="45"/>
        <v>-0.9630650045</v>
      </c>
      <c r="AG92" s="57">
        <f t="shared" si="46"/>
        <v>2115.28125</v>
      </c>
      <c r="AH92" s="15">
        <f>IFERROR(AG92/AG148, "NA")</f>
        <v>0.01336489335</v>
      </c>
      <c r="AI92" s="61">
        <f t="shared" si="47"/>
        <v>-2054.35125</v>
      </c>
      <c r="AJ92" s="62">
        <f>IFERROR(AI92/AI148, "NA")</f>
        <v>-0.4177374357</v>
      </c>
      <c r="AK92" s="61">
        <f t="shared" si="48"/>
        <v>-0.9711953198</v>
      </c>
      <c r="AL92" s="62">
        <f>IFERROR(AK92/AK148, "NA")</f>
        <v>-31.25632392</v>
      </c>
    </row>
    <row r="93" ht="16.5" hidden="1" customHeight="1">
      <c r="A93" s="26" t="s">
        <v>210</v>
      </c>
      <c r="B93" s="28">
        <v>5936.68</v>
      </c>
      <c r="C93" s="15">
        <f>IFERROR(B93/B148, "NA")</f>
        <v>0.069459965</v>
      </c>
      <c r="D93" s="28">
        <v>11028.04</v>
      </c>
      <c r="E93" s="15">
        <f>IFERROR(D93/D148, "NA")</f>
        <v>0.09108466259</v>
      </c>
      <c r="F93" s="28">
        <v>11841.71</v>
      </c>
      <c r="G93" s="15">
        <f>IFERROR(F93/F148, "NA")</f>
        <v>0.08948426121</v>
      </c>
      <c r="H93" s="28">
        <v>13333.08</v>
      </c>
      <c r="I93" s="15">
        <f>IFERROR(H93/H148, "NA")</f>
        <v>0.0932157022</v>
      </c>
      <c r="J93" s="28">
        <v>9798.46</v>
      </c>
      <c r="K93" s="15">
        <f>IFERROR(J93/J148, "NA")</f>
        <v>0.07320504399</v>
      </c>
      <c r="L93" s="28">
        <v>14948.03</v>
      </c>
      <c r="M93" s="15">
        <f>IFERROR(L93/L148, "NA")</f>
        <v>0.09662074347</v>
      </c>
      <c r="N93" s="28">
        <v>11752.57</v>
      </c>
      <c r="O93" s="15">
        <f>IFERROR(N93/N148, "NA")</f>
        <v>0.07359553288</v>
      </c>
      <c r="P93" s="28">
        <v>13198.88</v>
      </c>
      <c r="Q93" s="15">
        <f>IFERROR(P93/P148, "NA")</f>
        <v>0.07642294961</v>
      </c>
      <c r="R93" s="28">
        <v>13660.17</v>
      </c>
      <c r="S93" s="15">
        <f>IFERROR(R93/R148, "NA")</f>
        <v>0.08112458657</v>
      </c>
      <c r="T93" s="28">
        <v>11262.23</v>
      </c>
      <c r="U93" s="15">
        <f>IFERROR(T93/T148, "NA")</f>
        <v>0.07168342365</v>
      </c>
      <c r="V93" s="28">
        <v>13121.57</v>
      </c>
      <c r="W93" s="15">
        <f>IFERROR(V93/V148, "NA")</f>
        <v>0.08382824625</v>
      </c>
      <c r="X93" s="28">
        <v>13086.05</v>
      </c>
      <c r="Y93" s="15">
        <f>IFERROR(X93/X148, "NA")</f>
        <v>0.08018940216</v>
      </c>
      <c r="Z93" s="28">
        <v>37469.85</v>
      </c>
      <c r="AA93" s="15">
        <f>IFERROR(Z93/Z148, "NA")</f>
        <v>0.07858129059</v>
      </c>
      <c r="AB93" s="57">
        <f t="shared" si="43"/>
        <v>12782.505</v>
      </c>
      <c r="AC93" s="15">
        <f>IFERROR(AB93/AB148, "NA")</f>
        <v>0.07924502843</v>
      </c>
      <c r="AD93" s="61">
        <f t="shared" si="44"/>
        <v>303.545</v>
      </c>
      <c r="AE93" s="62">
        <f>IFERROR(AD93/AD148, "NA")</f>
        <v>0.1609709858</v>
      </c>
      <c r="AF93" s="61">
        <f t="shared" si="45"/>
        <v>0.02374691033</v>
      </c>
      <c r="AG93" s="57">
        <f t="shared" si="46"/>
        <v>12603.495</v>
      </c>
      <c r="AH93" s="15">
        <f>IFERROR(AG93/AG148, "NA")</f>
        <v>0.0796321371</v>
      </c>
      <c r="AI93" s="61">
        <f t="shared" si="47"/>
        <v>482.555</v>
      </c>
      <c r="AJ93" s="62">
        <f>IFERROR(AI93/AI148, "NA")</f>
        <v>0.09812406145</v>
      </c>
      <c r="AK93" s="61">
        <f t="shared" si="48"/>
        <v>0.03828739568</v>
      </c>
      <c r="AL93" s="62">
        <f>IFERROR(AK93/AK148, "NA")</f>
        <v>1.232216854</v>
      </c>
    </row>
    <row r="94" ht="16.5" hidden="1" customHeight="1">
      <c r="A94" s="26" t="s">
        <v>211</v>
      </c>
      <c r="B94" s="28">
        <v>2079.05</v>
      </c>
      <c r="C94" s="15">
        <f>IFERROR(B94/B148, "NA")</f>
        <v>0.02432516832</v>
      </c>
      <c r="D94" s="28">
        <v>3418.86</v>
      </c>
      <c r="E94" s="15">
        <f>IFERROR(D94/D148, "NA")</f>
        <v>0.02823762967</v>
      </c>
      <c r="F94" s="28">
        <v>3576.75</v>
      </c>
      <c r="G94" s="15">
        <f>IFERROR(F94/F148, "NA")</f>
        <v>0.02702843012</v>
      </c>
      <c r="H94" s="28">
        <v>3491.85</v>
      </c>
      <c r="I94" s="15">
        <f>IFERROR(H94/H148, "NA")</f>
        <v>0.02441260757</v>
      </c>
      <c r="J94" s="28">
        <v>3933.65</v>
      </c>
      <c r="K94" s="15">
        <f>IFERROR(J94/J148, "NA")</f>
        <v>0.02938859997</v>
      </c>
      <c r="L94" s="28">
        <v>4170.25</v>
      </c>
      <c r="M94" s="15">
        <f>IFERROR(L94/L148, "NA")</f>
        <v>0.02695556909</v>
      </c>
      <c r="N94" s="28">
        <v>4240.57</v>
      </c>
      <c r="O94" s="15">
        <f>IFERROR(N94/N148, "NA")</f>
        <v>0.02655478835</v>
      </c>
      <c r="P94" s="28">
        <v>4630.73</v>
      </c>
      <c r="Q94" s="15">
        <f>IFERROR(P94/P148, "NA")</f>
        <v>0.02681242995</v>
      </c>
      <c r="R94" s="28">
        <v>4495.53</v>
      </c>
      <c r="S94" s="15">
        <f>IFERROR(R94/R148, "NA")</f>
        <v>0.02669791172</v>
      </c>
      <c r="T94" s="28">
        <v>4351.57</v>
      </c>
      <c r="U94" s="15">
        <f>IFERROR(T94/T148, "NA")</f>
        <v>0.02769748405</v>
      </c>
      <c r="V94" s="28">
        <v>4349.81</v>
      </c>
      <c r="W94" s="15">
        <f>IFERROR(V94/V148, "NA")</f>
        <v>0.02778912461</v>
      </c>
      <c r="X94" s="28">
        <v>4376.38</v>
      </c>
      <c r="Y94" s="15">
        <f>IFERROR(X94/X148, "NA")</f>
        <v>0.02681781713</v>
      </c>
      <c r="Z94" s="28">
        <v>13077.76</v>
      </c>
      <c r="AA94" s="15">
        <f>IFERROR(Z94/Z148, "NA")</f>
        <v>0.02742651115</v>
      </c>
      <c r="AB94" s="57">
        <f t="shared" si="43"/>
        <v>4393.3225</v>
      </c>
      <c r="AC94" s="15">
        <f>IFERROR(AB94/AB148, "NA")</f>
        <v>0.02723636458</v>
      </c>
      <c r="AD94" s="61">
        <f t="shared" si="44"/>
        <v>-16.9425</v>
      </c>
      <c r="AE94" s="62">
        <f>IFERROR(AD94/AD148, "NA")</f>
        <v>-0.008984667599</v>
      </c>
      <c r="AF94" s="61">
        <f t="shared" si="45"/>
        <v>-0.003856420739</v>
      </c>
      <c r="AG94" s="57">
        <f t="shared" si="46"/>
        <v>4318.56125</v>
      </c>
      <c r="AH94" s="15">
        <f>IFERROR(AG94/AG148, "NA")</f>
        <v>0.02728578553</v>
      </c>
      <c r="AI94" s="61">
        <f t="shared" si="47"/>
        <v>57.81875</v>
      </c>
      <c r="AJ94" s="62">
        <f>IFERROR(AI94/AI148, "NA")</f>
        <v>0.01175702371</v>
      </c>
      <c r="AK94" s="61">
        <f t="shared" si="48"/>
        <v>0.01338842884</v>
      </c>
      <c r="AL94" s="62">
        <f>IFERROR(AK94/AK148, "NA")</f>
        <v>0.4308845607</v>
      </c>
    </row>
    <row r="95" ht="16.5" hidden="1" customHeight="1">
      <c r="A95" s="26" t="s">
        <v>212</v>
      </c>
      <c r="B95" s="28">
        <v>0.0</v>
      </c>
      <c r="C95" s="15">
        <f>IFERROR(B95/B148, "NA")</f>
        <v>0</v>
      </c>
      <c r="D95" s="28">
        <v>0.0</v>
      </c>
      <c r="E95" s="15">
        <f>IFERROR(D95/D148, "NA")</f>
        <v>0</v>
      </c>
      <c r="F95" s="28">
        <v>0.0</v>
      </c>
      <c r="G95" s="15">
        <f>IFERROR(F95/F148, "NA")</f>
        <v>0</v>
      </c>
      <c r="H95" s="28">
        <v>6388.26</v>
      </c>
      <c r="I95" s="15">
        <f>IFERROR(H95/H148, "NA")</f>
        <v>0.04466230922</v>
      </c>
      <c r="J95" s="28">
        <v>0.0</v>
      </c>
      <c r="K95" s="15">
        <f>IFERROR(J95/J148, "NA")</f>
        <v>0</v>
      </c>
      <c r="L95" s="28">
        <v>0.0</v>
      </c>
      <c r="M95" s="15">
        <f>IFERROR(L95/L148, "NA")</f>
        <v>0</v>
      </c>
      <c r="N95" s="28">
        <v>0.0</v>
      </c>
      <c r="O95" s="15">
        <f>IFERROR(N95/N148, "NA")</f>
        <v>0</v>
      </c>
      <c r="P95" s="28">
        <v>0.0</v>
      </c>
      <c r="Q95" s="15">
        <f>IFERROR(P95/P148, "NA")</f>
        <v>0</v>
      </c>
      <c r="R95" s="28">
        <v>6353.99</v>
      </c>
      <c r="S95" s="15">
        <f>IFERROR(R95/R148, "NA")</f>
        <v>0.03773487532</v>
      </c>
      <c r="T95" s="28">
        <v>0.0</v>
      </c>
      <c r="U95" s="15">
        <f>IFERROR(T95/T148, "NA")</f>
        <v>0</v>
      </c>
      <c r="V95" s="28">
        <v>0.0</v>
      </c>
      <c r="W95" s="15">
        <f>IFERROR(V95/V148, "NA")</f>
        <v>0</v>
      </c>
      <c r="X95" s="28">
        <v>0.0</v>
      </c>
      <c r="Y95" s="15">
        <f>IFERROR(X95/X148, "NA")</f>
        <v>0</v>
      </c>
      <c r="Z95" s="28">
        <v>0.0</v>
      </c>
      <c r="AA95" s="15">
        <f>IFERROR(Z95/Z148, "NA")</f>
        <v>0</v>
      </c>
      <c r="AB95" s="57">
        <f t="shared" si="43"/>
        <v>1588.4975</v>
      </c>
      <c r="AC95" s="15">
        <f>IFERROR(AB95/AB148, "NA")</f>
        <v>0.009847876418</v>
      </c>
      <c r="AD95" s="61">
        <f t="shared" si="44"/>
        <v>-1588.4975</v>
      </c>
      <c r="AE95" s="62">
        <f>IFERROR(AD95/AD148, "NA")</f>
        <v>-0.8423858356</v>
      </c>
      <c r="AF95" s="61">
        <f t="shared" si="45"/>
        <v>-1</v>
      </c>
      <c r="AG95" s="57">
        <f t="shared" si="46"/>
        <v>794.24875</v>
      </c>
      <c r="AH95" s="15">
        <f>IFERROR(AG95/AG148, "NA")</f>
        <v>0.00501826877</v>
      </c>
      <c r="AI95" s="61">
        <f t="shared" si="47"/>
        <v>-794.24875</v>
      </c>
      <c r="AJ95" s="62">
        <f>IFERROR(AI95/AI148, "NA")</f>
        <v>-0.1615047262</v>
      </c>
      <c r="AK95" s="61">
        <f t="shared" si="48"/>
        <v>-1</v>
      </c>
      <c r="AL95" s="62">
        <f>IFERROR(AK95/AK148, "NA")</f>
        <v>-32.18335518</v>
      </c>
    </row>
    <row r="96" ht="16.5" hidden="1" customHeight="1">
      <c r="A96" s="26" t="s">
        <v>213</v>
      </c>
      <c r="B96" s="28">
        <v>0.0</v>
      </c>
      <c r="C96" s="15">
        <f>IFERROR(B96/B148, "NA")</f>
        <v>0</v>
      </c>
      <c r="D96" s="28">
        <v>0.0</v>
      </c>
      <c r="E96" s="15">
        <f>IFERROR(D96/D148, "NA")</f>
        <v>0</v>
      </c>
      <c r="F96" s="28">
        <v>0.0</v>
      </c>
      <c r="G96" s="15">
        <f>IFERROR(F96/F148, "NA")</f>
        <v>0</v>
      </c>
      <c r="H96" s="28">
        <v>0.0</v>
      </c>
      <c r="I96" s="15">
        <f>IFERROR(H96/H148, "NA")</f>
        <v>0</v>
      </c>
      <c r="J96" s="28">
        <v>0.0</v>
      </c>
      <c r="K96" s="15">
        <f>IFERROR(J96/J148, "NA")</f>
        <v>0</v>
      </c>
      <c r="L96" s="28">
        <v>0.0</v>
      </c>
      <c r="M96" s="15">
        <f>IFERROR(L96/L148, "NA")</f>
        <v>0</v>
      </c>
      <c r="N96" s="28">
        <v>0.0</v>
      </c>
      <c r="O96" s="15">
        <f>IFERROR(N96/N148, "NA")</f>
        <v>0</v>
      </c>
      <c r="P96" s="28">
        <v>0.0</v>
      </c>
      <c r="Q96" s="15">
        <f>IFERROR(P96/P148, "NA")</f>
        <v>0</v>
      </c>
      <c r="R96" s="28">
        <v>0.0</v>
      </c>
      <c r="S96" s="15">
        <f>IFERROR(R96/R148, "NA")</f>
        <v>0</v>
      </c>
      <c r="T96" s="28">
        <v>0.0</v>
      </c>
      <c r="U96" s="15">
        <f>IFERROR(T96/T148, "NA")</f>
        <v>0</v>
      </c>
      <c r="V96" s="28">
        <v>0.0</v>
      </c>
      <c r="W96" s="15">
        <f>IFERROR(V96/V148, "NA")</f>
        <v>0</v>
      </c>
      <c r="X96" s="28">
        <v>0.0</v>
      </c>
      <c r="Y96" s="15">
        <f>IFERROR(X96/X148, "NA")</f>
        <v>0</v>
      </c>
      <c r="Z96" s="28">
        <v>0.0</v>
      </c>
      <c r="AA96" s="15">
        <f>IFERROR(Z96/Z148, "NA")</f>
        <v>0</v>
      </c>
      <c r="AB96" s="57">
        <f t="shared" si="43"/>
        <v>0</v>
      </c>
      <c r="AC96" s="15">
        <f>IFERROR(AB96/AB148, "NA")</f>
        <v>0</v>
      </c>
      <c r="AD96" s="61">
        <f t="shared" si="44"/>
        <v>0</v>
      </c>
      <c r="AE96" s="62">
        <f>IFERROR(AD96/AD148, "NA")</f>
        <v>0</v>
      </c>
      <c r="AF96" s="61" t="str">
        <f t="shared" si="45"/>
        <v>NA</v>
      </c>
      <c r="AG96" s="57">
        <f t="shared" si="46"/>
        <v>0</v>
      </c>
      <c r="AH96" s="15">
        <f>IFERROR(AG96/AG148, "NA")</f>
        <v>0</v>
      </c>
      <c r="AI96" s="61">
        <f t="shared" si="47"/>
        <v>0</v>
      </c>
      <c r="AJ96" s="62">
        <f>IFERROR(AI96/AI148, "NA")</f>
        <v>0</v>
      </c>
      <c r="AK96" s="61" t="str">
        <f t="shared" si="48"/>
        <v>NA</v>
      </c>
      <c r="AL96" s="62" t="str">
        <f>IFERROR(AK96/AK148, "NA")</f>
        <v>NA</v>
      </c>
    </row>
    <row r="97" ht="16.5" hidden="1" customHeight="1">
      <c r="A97" s="26" t="s">
        <v>214</v>
      </c>
      <c r="B97" s="28">
        <v>971.38</v>
      </c>
      <c r="C97" s="15">
        <f>IFERROR(B97/B148, "NA")</f>
        <v>0.01136527837</v>
      </c>
      <c r="D97" s="28">
        <v>1984.96</v>
      </c>
      <c r="E97" s="15">
        <f>IFERROR(D97/D148, "NA")</f>
        <v>0.01639451905</v>
      </c>
      <c r="F97" s="28">
        <v>2814.11</v>
      </c>
      <c r="G97" s="15">
        <f>IFERROR(F97/F148, "NA")</f>
        <v>0.02126538771</v>
      </c>
      <c r="H97" s="28">
        <v>6069.35</v>
      </c>
      <c r="I97" s="15">
        <f>IFERROR(H97/H148, "NA")</f>
        <v>0.04243271038</v>
      </c>
      <c r="J97" s="28">
        <v>812.92</v>
      </c>
      <c r="K97" s="15">
        <f>IFERROR(J97/J148, "NA")</f>
        <v>0.006073387488</v>
      </c>
      <c r="L97" s="28">
        <v>2621.44</v>
      </c>
      <c r="M97" s="15">
        <f>IFERROR(L97/L148, "NA")</f>
        <v>0.0169444055</v>
      </c>
      <c r="N97" s="28">
        <v>723.31</v>
      </c>
      <c r="O97" s="15">
        <f>IFERROR(N97/N148, "NA")</f>
        <v>0.004529425044</v>
      </c>
      <c r="P97" s="28">
        <v>561.07</v>
      </c>
      <c r="Q97" s="15">
        <f>IFERROR(P97/P148, "NA")</f>
        <v>0.003248656275</v>
      </c>
      <c r="R97" s="28">
        <v>5604.5</v>
      </c>
      <c r="S97" s="15">
        <f>IFERROR(R97/R148, "NA")</f>
        <v>0.03328382776</v>
      </c>
      <c r="T97" s="28">
        <v>4360.94</v>
      </c>
      <c r="U97" s="15">
        <f>IFERROR(T97/T148, "NA")</f>
        <v>0.02775712355</v>
      </c>
      <c r="V97" s="28">
        <v>5885.37</v>
      </c>
      <c r="W97" s="15">
        <f>IFERROR(V97/V148, "NA")</f>
        <v>0.03759917797</v>
      </c>
      <c r="X97" s="28">
        <v>3059.26</v>
      </c>
      <c r="Y97" s="15">
        <f>IFERROR(X97/X148, "NA")</f>
        <v>0.01874669824</v>
      </c>
      <c r="Z97" s="28">
        <v>13305.57</v>
      </c>
      <c r="AA97" s="15">
        <f>IFERROR(Z97/Z148, "NA")</f>
        <v>0.02790427137</v>
      </c>
      <c r="AB97" s="57">
        <f t="shared" si="43"/>
        <v>4727.5175</v>
      </c>
      <c r="AC97" s="15">
        <f>IFERROR(AB97/AB148, "NA")</f>
        <v>0.02930820357</v>
      </c>
      <c r="AD97" s="61">
        <f t="shared" si="44"/>
        <v>-1668.2575</v>
      </c>
      <c r="AE97" s="62">
        <f>IFERROR(AD97/AD148, "NA")</f>
        <v>-0.8846828453</v>
      </c>
      <c r="AF97" s="61">
        <f t="shared" si="45"/>
        <v>-0.3528823532</v>
      </c>
      <c r="AG97" s="57">
        <f t="shared" si="46"/>
        <v>2953.60125</v>
      </c>
      <c r="AH97" s="15">
        <f>IFERROR(AG97/AG148, "NA")</f>
        <v>0.01866161566</v>
      </c>
      <c r="AI97" s="61">
        <f t="shared" si="47"/>
        <v>105.65875</v>
      </c>
      <c r="AJ97" s="62">
        <f>IFERROR(AI97/AI148, "NA")</f>
        <v>0.02148494094</v>
      </c>
      <c r="AK97" s="61">
        <f t="shared" si="48"/>
        <v>0.03577285526</v>
      </c>
      <c r="AL97" s="62">
        <f>IFERROR(AK97/AK148, "NA")</f>
        <v>1.151290506</v>
      </c>
    </row>
    <row r="98" ht="16.5" hidden="1" customHeight="1">
      <c r="A98" s="26" t="s">
        <v>215</v>
      </c>
      <c r="B98" s="28">
        <v>1684.66</v>
      </c>
      <c r="C98" s="15">
        <f>IFERROR(B98/B148, "NA")</f>
        <v>0.01971075157</v>
      </c>
      <c r="D98" s="28">
        <v>1337.45</v>
      </c>
      <c r="E98" s="15">
        <f>IFERROR(D98/D148, "NA")</f>
        <v>0.01104649439</v>
      </c>
      <c r="F98" s="28">
        <v>12296.95</v>
      </c>
      <c r="G98" s="15">
        <f>IFERROR(F98/F148, "NA")</f>
        <v>0.09292437375</v>
      </c>
      <c r="H98" s="28">
        <v>5199.6</v>
      </c>
      <c r="I98" s="15">
        <f>IFERROR(H98/H148, "NA")</f>
        <v>0.03635201808</v>
      </c>
      <c r="J98" s="28">
        <v>1741.91</v>
      </c>
      <c r="K98" s="15">
        <f>IFERROR(J98/J148, "NA")</f>
        <v>0.01301394282</v>
      </c>
      <c r="L98" s="28">
        <v>1863.06</v>
      </c>
      <c r="M98" s="15">
        <f>IFERROR(L98/L148, "NA")</f>
        <v>0.01204240574</v>
      </c>
      <c r="N98" s="28">
        <v>12244.19</v>
      </c>
      <c r="O98" s="15">
        <f>IFERROR(N98/N148, "NA")</f>
        <v>0.07667409662</v>
      </c>
      <c r="P98" s="28">
        <v>2753.62</v>
      </c>
      <c r="Q98" s="15">
        <f>IFERROR(P98/P148, "NA")</f>
        <v>0.01594375905</v>
      </c>
      <c r="R98" s="28">
        <v>7297.08</v>
      </c>
      <c r="S98" s="15">
        <f>IFERROR(R98/R148, "NA")</f>
        <v>0.04333566846</v>
      </c>
      <c r="T98" s="28">
        <v>1275.97</v>
      </c>
      <c r="U98" s="15">
        <f>IFERROR(T98/T148, "NA")</f>
        <v>0.008121473107</v>
      </c>
      <c r="V98" s="28">
        <v>2744.93</v>
      </c>
      <c r="W98" s="15">
        <f>IFERROR(V98/V148, "NA")</f>
        <v>0.01753621464</v>
      </c>
      <c r="X98" s="28">
        <v>12164.31</v>
      </c>
      <c r="Y98" s="15">
        <f>IFERROR(X98/X148, "NA")</f>
        <v>0.07454111413</v>
      </c>
      <c r="Z98" s="28">
        <v>16185.21</v>
      </c>
      <c r="AA98" s="15">
        <f>IFERROR(Z98/Z148, "NA")</f>
        <v>0.03394341558</v>
      </c>
      <c r="AB98" s="57">
        <f t="shared" si="43"/>
        <v>5870.5725</v>
      </c>
      <c r="AC98" s="15">
        <f>IFERROR(AB98/AB148, "NA")</f>
        <v>0.03639456309</v>
      </c>
      <c r="AD98" s="61">
        <f t="shared" si="44"/>
        <v>6293.7375</v>
      </c>
      <c r="AE98" s="62">
        <f>IFERROR(AD98/AD148, "NA")</f>
        <v>3.337591229</v>
      </c>
      <c r="AF98" s="61">
        <f t="shared" si="45"/>
        <v>1.072082408</v>
      </c>
      <c r="AG98" s="57">
        <f t="shared" si="46"/>
        <v>5260.63375</v>
      </c>
      <c r="AH98" s="15">
        <f>IFERROR(AG98/AG148, "NA")</f>
        <v>0.03323804294</v>
      </c>
      <c r="AI98" s="61">
        <f t="shared" si="47"/>
        <v>6903.67625</v>
      </c>
      <c r="AJ98" s="62">
        <f>IFERROR(AI98/AI148, "NA")</f>
        <v>1.403812524</v>
      </c>
      <c r="AK98" s="61">
        <f t="shared" si="48"/>
        <v>1.312327864</v>
      </c>
      <c r="AL98" s="62">
        <f>IFERROR(AK98/AK148, "NA")</f>
        <v>42.23511374</v>
      </c>
    </row>
    <row r="99" ht="16.5" hidden="1" customHeight="1">
      <c r="A99" s="67" t="s">
        <v>216</v>
      </c>
      <c r="B99" s="70">
        <f>IFERROR(B90+B91+B92+B93+B94+B95+B96+B97+B98, "NA")</f>
        <v>18553.09</v>
      </c>
      <c r="C99" s="71">
        <f>IFERROR(B99/B148, "NA")</f>
        <v>0.2170736813</v>
      </c>
      <c r="D99" s="70">
        <f>IFERROR(D90+D91+D92+D93+D94+D95+D96+D97+D98, "NA")</f>
        <v>28802.94</v>
      </c>
      <c r="E99" s="71">
        <f>IFERROR(D99/D148, "NA")</f>
        <v>0.2378941382</v>
      </c>
      <c r="F99" s="70">
        <f>IFERROR(F90+F91+F92+F93+F94+F95+F96+F97+F98, "NA")</f>
        <v>41845.89</v>
      </c>
      <c r="G99" s="71">
        <f>IFERROR(F99/F148, "NA")</f>
        <v>0.3162168767</v>
      </c>
      <c r="H99" s="70">
        <f>IFERROR(H90+H91+H92+H93+H94+H95+H96+H97+H98, "NA")</f>
        <v>47322.66</v>
      </c>
      <c r="I99" s="71">
        <f>IFERROR(H99/H148, "NA")</f>
        <v>0.3308474098</v>
      </c>
      <c r="J99" s="70">
        <f>IFERROR(J90+J91+J92+J93+J94+J95+J96+J97+J98, "NA")</f>
        <v>32066.57</v>
      </c>
      <c r="K99" s="71">
        <f>IFERROR(J99/J148, "NA")</f>
        <v>0.2395717967</v>
      </c>
      <c r="L99" s="70">
        <f>IFERROR(L90+L91+L92+L93+L94+L95+L96+L97+L98, "NA")</f>
        <v>37964.06</v>
      </c>
      <c r="M99" s="71">
        <f>IFERROR(L99/L148, "NA")</f>
        <v>0.2453912457</v>
      </c>
      <c r="N99" s="70">
        <f>IFERROR(N90+N91+N92+N93+N94+N95+N96+N97+N98, "NA")</f>
        <v>43130.37</v>
      </c>
      <c r="O99" s="71">
        <f>IFERROR(N99/N148, "NA")</f>
        <v>0.2700858249</v>
      </c>
      <c r="P99" s="70">
        <f>IFERROR(P90+P91+P92+P93+P94+P95+P96+P97+P98, "NA")</f>
        <v>34877.81</v>
      </c>
      <c r="Q99" s="71">
        <f>IFERROR(P99/P148, "NA")</f>
        <v>0.2019463103</v>
      </c>
      <c r="R99" s="70">
        <f>IFERROR(R90+R91+R92+R93+R94+R95+R96+R97+R98, "NA")</f>
        <v>52375.61</v>
      </c>
      <c r="S99" s="71">
        <f>IFERROR(R99/R148, "NA")</f>
        <v>0.31104662</v>
      </c>
      <c r="T99" s="70">
        <f>IFERROR(T90+T91+T92+T93+T94+T95+T96+T97+T98, "NA")</f>
        <v>38092.36</v>
      </c>
      <c r="U99" s="71">
        <f>IFERROR(T99/T148, "NA")</f>
        <v>0.2424556042</v>
      </c>
      <c r="V99" s="70">
        <f>IFERROR(V90+V91+V92+V93+V94+V95+V96+V97+V98, "NA")</f>
        <v>37761.83</v>
      </c>
      <c r="W99" s="71">
        <f>IFERROR(V99/V148, "NA")</f>
        <v>0.241244606</v>
      </c>
      <c r="X99" s="70">
        <f>IFERROR(X90+X91+X92+X93+X94+X95+X96+X97+X98, "NA")</f>
        <v>39988.87</v>
      </c>
      <c r="Y99" s="71">
        <f>IFERROR(X99/X148, "NA")</f>
        <v>0.2450459519</v>
      </c>
      <c r="Z99" s="70">
        <f>IFERROR(Z90+Z91+Z92+Z93+Z94+Z95+Z96+Z97+Z98, "NA")</f>
        <v>115843.06</v>
      </c>
      <c r="AA99" s="71">
        <f>IFERROR(Z99/Z148, "NA")</f>
        <v>0.2429445851</v>
      </c>
      <c r="AB99" s="70">
        <f t="shared" si="43"/>
        <v>42054.6675</v>
      </c>
      <c r="AC99" s="71">
        <f>IFERROR(AB99/AB148, "NA")</f>
        <v>0.2607175449</v>
      </c>
      <c r="AD99" s="75">
        <f t="shared" si="44"/>
        <v>-2065.7975</v>
      </c>
      <c r="AE99" s="76">
        <f>IFERROR(AD99/AD148, "NA")</f>
        <v>-1.095499712</v>
      </c>
      <c r="AF99" s="75">
        <f t="shared" si="45"/>
        <v>-0.04912171758</v>
      </c>
      <c r="AG99" s="70">
        <f t="shared" si="46"/>
        <v>39532.185</v>
      </c>
      <c r="AH99" s="71">
        <f>IFERROR(AG99/AG148, "NA")</f>
        <v>0.2497745566</v>
      </c>
      <c r="AI99" s="75">
        <f t="shared" si="47"/>
        <v>456.685</v>
      </c>
      <c r="AJ99" s="76">
        <f>IFERROR(AI99/AI148, "NA")</f>
        <v>0.09286358447</v>
      </c>
      <c r="AK99" s="75">
        <f t="shared" si="48"/>
        <v>0.01155223269</v>
      </c>
      <c r="AL99" s="76">
        <f>IFERROR(AK99/AK148, "NA")</f>
        <v>0.3717896078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2"/>
      <c r="AF100" s="125"/>
      <c r="AG100" s="124"/>
      <c r="AH100" s="74"/>
      <c r="AI100" s="125"/>
      <c r="AJ100" s="82"/>
      <c r="AK100" s="125"/>
      <c r="AL100" s="82"/>
    </row>
    <row r="101" ht="16.5" hidden="1" customHeight="1">
      <c r="A101" s="121" t="s">
        <v>217</v>
      </c>
      <c r="B101" s="122">
        <f>IFERROR(B87-B99, "NA")</f>
        <v>10643.9</v>
      </c>
      <c r="C101" s="98">
        <f>IFERROR(B101/B148, "NA")</f>
        <v>0.1245350805</v>
      </c>
      <c r="D101" s="122">
        <f>IFERROR(D87-D99, "NA")</f>
        <v>24797.29</v>
      </c>
      <c r="E101" s="98">
        <f>IFERROR(D101/D148, "NA")</f>
        <v>0.2048099928</v>
      </c>
      <c r="F101" s="122">
        <f>IFERROR(F87-F99, "NA")</f>
        <v>17667.84</v>
      </c>
      <c r="G101" s="98">
        <f>IFERROR(F101/F148, "NA")</f>
        <v>0.1335105833</v>
      </c>
      <c r="H101" s="122">
        <f>IFERROR(H87-H99, "NA")</f>
        <v>20270.71</v>
      </c>
      <c r="I101" s="98">
        <f>IFERROR(H101/H148, "NA")</f>
        <v>0.1417188277</v>
      </c>
      <c r="J101" s="122">
        <f>IFERROR(J87-J99, "NA")</f>
        <v>29044.71</v>
      </c>
      <c r="K101" s="98">
        <f>IFERROR(J101/J148, "NA")</f>
        <v>0.2169952496</v>
      </c>
      <c r="L101" s="122">
        <f>IFERROR(L87-L99, "NA")</f>
        <v>38722.18</v>
      </c>
      <c r="M101" s="98">
        <f>IFERROR(L101/L148, "NA")</f>
        <v>0.2502915649</v>
      </c>
      <c r="N101" s="122">
        <f>IFERROR(N87-N99, "NA")</f>
        <v>32077.02</v>
      </c>
      <c r="O101" s="98">
        <f>IFERROR(N101/N148, "NA")</f>
        <v>0.2008688636</v>
      </c>
      <c r="P101" s="122">
        <f>IFERROR(P87-P99, "NA")</f>
        <v>51669</v>
      </c>
      <c r="Q101" s="98">
        <f>IFERROR(P101/P148, "NA")</f>
        <v>0.2991691252</v>
      </c>
      <c r="R101" s="122">
        <f>IFERROR(R87-R99, "NA")</f>
        <v>35939.79</v>
      </c>
      <c r="S101" s="98">
        <f>IFERROR(R101/R148, "NA")</f>
        <v>0.2134380908</v>
      </c>
      <c r="T101" s="122">
        <f>IFERROR(T87-T99, "NA")</f>
        <v>34678.54</v>
      </c>
      <c r="U101" s="98">
        <f>IFERROR(T101/T148, "NA")</f>
        <v>0.2207268431</v>
      </c>
      <c r="V101" s="122">
        <f>IFERROR(V87-V99, "NA")</f>
        <v>36654.98</v>
      </c>
      <c r="W101" s="98">
        <f>IFERROR(V101/V148, "NA")</f>
        <v>0.2341734023</v>
      </c>
      <c r="X101" s="122">
        <f>IFERROR(X87-X99, "NA")</f>
        <v>40830.07</v>
      </c>
      <c r="Y101" s="98">
        <f>IFERROR(X101/X148, "NA")</f>
        <v>0.2502007025</v>
      </c>
      <c r="Z101" s="122">
        <f>IFERROR(Z87-Z99, "NA")</f>
        <v>112163.59</v>
      </c>
      <c r="AA101" s="98">
        <f>IFERROR(Z101/Z148, "NA")</f>
        <v>0.2352280476</v>
      </c>
      <c r="AB101" s="122">
        <f>IFERROR((R101+T101+V101+X101)/4, "NA")</f>
        <v>37025.845</v>
      </c>
      <c r="AC101" s="98">
        <f>IFERROR(AB101/AB148, "NA")</f>
        <v>0.2295414036</v>
      </c>
      <c r="AD101" s="75">
        <f>IFERROR(X101-AB101, "NA")</f>
        <v>3804.225</v>
      </c>
      <c r="AE101" s="76">
        <f>IFERROR(AD101/AD148, "NA")</f>
        <v>2.017393956</v>
      </c>
      <c r="AF101" s="75">
        <f>IFERROR((X101-AB101)/AB101, "NA")</f>
        <v>0.102745123</v>
      </c>
      <c r="AG101" s="122">
        <f>IFERROR((J101+L101+N101+P101+R101+T101+V101+X101)/8, "NA")</f>
        <v>37452.03625</v>
      </c>
      <c r="AH101" s="98">
        <f>IFERROR(AG101/AG148, "NA")</f>
        <v>0.2366316395</v>
      </c>
      <c r="AI101" s="75">
        <f>IFERROR(X101-AG101, "NA")</f>
        <v>3378.03375</v>
      </c>
      <c r="AJ101" s="76">
        <f>IFERROR(AI101/AI148, "NA")</f>
        <v>0.6868986774</v>
      </c>
      <c r="AK101" s="75">
        <f>IFERROR((X101-AG101)/AG101, "NA")</f>
        <v>0.09019626403</v>
      </c>
      <c r="AL101" s="76">
        <f>IFERROR(AK101/AK148, "NA")</f>
        <v>2.902818401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2"/>
      <c r="AF102" s="125"/>
      <c r="AG102" s="124"/>
      <c r="AH102" s="74"/>
      <c r="AI102" s="125"/>
      <c r="AJ102" s="82"/>
      <c r="AK102" s="125"/>
      <c r="AL102" s="82"/>
    </row>
    <row r="103" ht="16.5" hidden="1" customHeight="1">
      <c r="A103" s="22" t="s">
        <v>218</v>
      </c>
      <c r="B103" s="23"/>
      <c r="C103" s="10"/>
      <c r="D103" s="23"/>
      <c r="E103" s="10"/>
      <c r="F103" s="23"/>
      <c r="G103" s="10"/>
      <c r="H103" s="23"/>
      <c r="I103" s="10"/>
      <c r="J103" s="23"/>
      <c r="K103" s="10"/>
      <c r="L103" s="23"/>
      <c r="M103" s="10"/>
      <c r="N103" s="23"/>
      <c r="O103" s="10"/>
      <c r="P103" s="23"/>
      <c r="Q103" s="10"/>
      <c r="R103" s="23"/>
      <c r="S103" s="10"/>
      <c r="T103" s="23"/>
      <c r="U103" s="10"/>
      <c r="V103" s="23"/>
      <c r="W103" s="10"/>
      <c r="X103" s="23"/>
      <c r="Y103" s="10"/>
      <c r="Z103" s="23"/>
      <c r="AA103" s="10"/>
      <c r="AB103" s="23"/>
      <c r="AC103" s="10"/>
      <c r="AD103" s="24"/>
      <c r="AE103" s="25"/>
      <c r="AF103" s="24"/>
      <c r="AG103" s="23"/>
      <c r="AH103" s="10"/>
      <c r="AI103" s="24"/>
      <c r="AJ103" s="25"/>
      <c r="AK103" s="24"/>
      <c r="AL103" s="25"/>
    </row>
    <row r="104" ht="16.5" hidden="1" customHeight="1">
      <c r="A104" s="126" t="s">
        <v>219</v>
      </c>
      <c r="B104" s="127">
        <v>-4241.35</v>
      </c>
      <c r="C104" s="98">
        <f>IFERROR(B104/B148, "NA")</f>
        <v>-0.04962437298</v>
      </c>
      <c r="D104" s="127">
        <v>0.0</v>
      </c>
      <c r="E104" s="98">
        <f>IFERROR(D104/D148, "NA")</f>
        <v>0</v>
      </c>
      <c r="F104" s="127">
        <v>15120.21</v>
      </c>
      <c r="G104" s="98">
        <f>IFERROR(F104/F148, "NA")</f>
        <v>0.1142589053</v>
      </c>
      <c r="H104" s="127">
        <v>74557.04</v>
      </c>
      <c r="I104" s="98">
        <f>IFERROR(H104/H148, "NA")</f>
        <v>0.5212514166</v>
      </c>
      <c r="J104" s="127">
        <v>-3248.57</v>
      </c>
      <c r="K104" s="98">
        <f>IFERROR(J104/J148, "NA")</f>
        <v>-0.0242703149</v>
      </c>
      <c r="L104" s="127">
        <v>0.0</v>
      </c>
      <c r="M104" s="98">
        <f>IFERROR(L104/L148, "NA")</f>
        <v>0</v>
      </c>
      <c r="N104" s="127">
        <v>14187.29</v>
      </c>
      <c r="O104" s="98">
        <f>IFERROR(N104/N148, "NA")</f>
        <v>0.08884194416</v>
      </c>
      <c r="P104" s="127">
        <v>0.0</v>
      </c>
      <c r="Q104" s="98">
        <f>IFERROR(P104/P148, "NA")</f>
        <v>0</v>
      </c>
      <c r="R104" s="127">
        <v>87468.3</v>
      </c>
      <c r="S104" s="98">
        <f>IFERROR(R104/R148, "NA")</f>
        <v>0.5194539801</v>
      </c>
      <c r="T104" s="127">
        <v>-3097.41</v>
      </c>
      <c r="U104" s="98">
        <f>IFERROR(T104/T148, "NA")</f>
        <v>-0.0197148303</v>
      </c>
      <c r="V104" s="127">
        <v>0.0</v>
      </c>
      <c r="W104" s="98">
        <f>IFERROR(V104/V148, "NA")</f>
        <v>0</v>
      </c>
      <c r="X104" s="127">
        <v>9035.42</v>
      </c>
      <c r="Y104" s="98">
        <f>IFERROR(X104/X148, "NA")</f>
        <v>0.05536773343</v>
      </c>
      <c r="Z104" s="127">
        <v>5938.01</v>
      </c>
      <c r="AA104" s="98">
        <f>IFERROR(Z104/Z148, "NA")</f>
        <v>0.01245311869</v>
      </c>
      <c r="AB104" s="122">
        <f t="shared" ref="AB104:AB105" si="49">IFERROR((R104+T104+V104+X104)/4, "NA")</f>
        <v>23351.5775</v>
      </c>
      <c r="AC104" s="98">
        <f>IFERROR(AB104/AB148, "NA")</f>
        <v>0.1447679014</v>
      </c>
      <c r="AD104" s="75">
        <f t="shared" ref="AD104:AD105" si="50">IFERROR(X104-AB104, "NA")</f>
        <v>-14316.1575</v>
      </c>
      <c r="AE104" s="76">
        <f>IFERROR(AD104/AD148, "NA")</f>
        <v>-7.591908894</v>
      </c>
      <c r="AF104" s="75">
        <f t="shared" ref="AF104:AF105" si="51">IFERROR((X104-AB104)/AB104, "NA")</f>
        <v>-0.6130702519</v>
      </c>
      <c r="AG104" s="122">
        <f t="shared" ref="AG104:AG105" si="52">IFERROR((J104+L104+N104+P104+R104+T104+V104+X104)/8, "NA")</f>
        <v>13043.12875</v>
      </c>
      <c r="AH104" s="98">
        <f>IFERROR(AG104/AG148, "NA")</f>
        <v>0.0824098567</v>
      </c>
      <c r="AI104" s="75">
        <f t="shared" ref="AI104:AI105" si="53">IFERROR(X104-AG104, "NA")</f>
        <v>-4007.70875</v>
      </c>
      <c r="AJ104" s="76">
        <f>IFERROR(AI104/AI148, "NA")</f>
        <v>-0.8149385244</v>
      </c>
      <c r="AK104" s="75">
        <f t="shared" ref="AK104:AK105" si="54">IFERROR((X104-AG104)/AG104, "NA")</f>
        <v>-0.3072659043</v>
      </c>
      <c r="AL104" s="76">
        <f>IFERROR(AK104/AK148, "NA")</f>
        <v>-9.888847731</v>
      </c>
    </row>
    <row r="105" ht="16.5" hidden="1" customHeight="1">
      <c r="A105" s="67" t="s">
        <v>220</v>
      </c>
      <c r="B105" s="70">
        <f>IFERROR(B104, "NA")</f>
        <v>-4241.35</v>
      </c>
      <c r="C105" s="71">
        <f>IFERROR(B105/B148, "NA")</f>
        <v>-0.04962437298</v>
      </c>
      <c r="D105" s="70">
        <f>IFERROR(D104, "NA")</f>
        <v>0</v>
      </c>
      <c r="E105" s="71">
        <f>IFERROR(D105/D148, "NA")</f>
        <v>0</v>
      </c>
      <c r="F105" s="70">
        <f>IFERROR(F104, "NA")</f>
        <v>15120.21</v>
      </c>
      <c r="G105" s="71">
        <f>IFERROR(F105/F148, "NA")</f>
        <v>0.1142589053</v>
      </c>
      <c r="H105" s="70">
        <f>IFERROR(H104, "NA")</f>
        <v>74557.04</v>
      </c>
      <c r="I105" s="71">
        <f>IFERROR(H105/H148, "NA")</f>
        <v>0.5212514166</v>
      </c>
      <c r="J105" s="70">
        <f>IFERROR(J104, "NA")</f>
        <v>-3248.57</v>
      </c>
      <c r="K105" s="71">
        <f>IFERROR(J105/J148, "NA")</f>
        <v>-0.0242703149</v>
      </c>
      <c r="L105" s="70">
        <f>IFERROR(L104, "NA")</f>
        <v>0</v>
      </c>
      <c r="M105" s="71">
        <f>IFERROR(L105/L148, "NA")</f>
        <v>0</v>
      </c>
      <c r="N105" s="70">
        <f>IFERROR(N104, "NA")</f>
        <v>14187.29</v>
      </c>
      <c r="O105" s="71">
        <f>IFERROR(N105/N148, "NA")</f>
        <v>0.08884194416</v>
      </c>
      <c r="P105" s="70">
        <f>IFERROR(P104, "NA")</f>
        <v>0</v>
      </c>
      <c r="Q105" s="71">
        <f>IFERROR(P105/P148, "NA")</f>
        <v>0</v>
      </c>
      <c r="R105" s="70">
        <f>IFERROR(R104, "NA")</f>
        <v>87468.3</v>
      </c>
      <c r="S105" s="71">
        <f>IFERROR(R105/R148, "NA")</f>
        <v>0.5194539801</v>
      </c>
      <c r="T105" s="70">
        <f>IFERROR(T104, "NA")</f>
        <v>-3097.41</v>
      </c>
      <c r="U105" s="71">
        <f>IFERROR(T105/T148, "NA")</f>
        <v>-0.0197148303</v>
      </c>
      <c r="V105" s="70">
        <f>IFERROR(V104, "NA")</f>
        <v>0</v>
      </c>
      <c r="W105" s="71">
        <f>IFERROR(V105/V148, "NA")</f>
        <v>0</v>
      </c>
      <c r="X105" s="70">
        <f>IFERROR(X104, "NA")</f>
        <v>9035.42</v>
      </c>
      <c r="Y105" s="71">
        <f>IFERROR(X105/X148, "NA")</f>
        <v>0.05536773343</v>
      </c>
      <c r="Z105" s="70">
        <f>IFERROR(Z104, "NA")</f>
        <v>5938.01</v>
      </c>
      <c r="AA105" s="71">
        <f>IFERROR(Z105/Z148, "NA")</f>
        <v>0.01245311869</v>
      </c>
      <c r="AB105" s="70">
        <f t="shared" si="49"/>
        <v>23351.5775</v>
      </c>
      <c r="AC105" s="71">
        <f>IFERROR(AB105/AB148, "NA")</f>
        <v>0.1447679014</v>
      </c>
      <c r="AD105" s="75">
        <f t="shared" si="50"/>
        <v>-14316.1575</v>
      </c>
      <c r="AE105" s="76">
        <f>IFERROR(AD105/AD148, "NA")</f>
        <v>-7.591908894</v>
      </c>
      <c r="AF105" s="75">
        <f t="shared" si="51"/>
        <v>-0.6130702519</v>
      </c>
      <c r="AG105" s="70">
        <f t="shared" si="52"/>
        <v>13043.12875</v>
      </c>
      <c r="AH105" s="71">
        <f>IFERROR(AG105/AG148, "NA")</f>
        <v>0.0824098567</v>
      </c>
      <c r="AI105" s="75">
        <f t="shared" si="53"/>
        <v>-4007.70875</v>
      </c>
      <c r="AJ105" s="76">
        <f>IFERROR(AI105/AI148, "NA")</f>
        <v>-0.8149385244</v>
      </c>
      <c r="AK105" s="75">
        <f t="shared" si="54"/>
        <v>-0.3072659043</v>
      </c>
      <c r="AL105" s="76">
        <f>IFERROR(AK105/AK148, "NA")</f>
        <v>-9.888847731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2"/>
      <c r="AF106" s="125"/>
      <c r="AG106" s="124"/>
      <c r="AH106" s="74"/>
      <c r="AI106" s="125"/>
      <c r="AJ106" s="82"/>
      <c r="AK106" s="125"/>
      <c r="AL106" s="82"/>
    </row>
    <row r="107" ht="16.5" hidden="1" customHeight="1">
      <c r="A107" s="121" t="s">
        <v>221</v>
      </c>
      <c r="B107" s="122">
        <f>IFERROR(B87-B99-B105, "NA")</f>
        <v>14885.25</v>
      </c>
      <c r="C107" s="98">
        <f>IFERROR(B107/B148, "NA")</f>
        <v>0.1741594534</v>
      </c>
      <c r="D107" s="122">
        <f>IFERROR(D87-D99-D105, "NA")</f>
        <v>24797.29</v>
      </c>
      <c r="E107" s="98">
        <f>IFERROR(D107/D148, "NA")</f>
        <v>0.2048099928</v>
      </c>
      <c r="F107" s="122">
        <f>IFERROR(F87-F99-F105, "NA")</f>
        <v>2547.63</v>
      </c>
      <c r="G107" s="98">
        <f>IFERROR(F107/F148, "NA")</f>
        <v>0.01925167804</v>
      </c>
      <c r="H107" s="122">
        <f>IFERROR(H87-H99-H105, "NA")</f>
        <v>-54286.33</v>
      </c>
      <c r="I107" s="98">
        <f>IFERROR(H107/H148, "NA")</f>
        <v>-0.3795325889</v>
      </c>
      <c r="J107" s="122">
        <f>IFERROR(J87-J99-J105, "NA")</f>
        <v>32293.28</v>
      </c>
      <c r="K107" s="98">
        <f>IFERROR(J107/J148, "NA")</f>
        <v>0.2412655645</v>
      </c>
      <c r="L107" s="122">
        <f>IFERROR(L87-L99-L105, "NA")</f>
        <v>38722.18</v>
      </c>
      <c r="M107" s="98">
        <f>IFERROR(L107/L148, "NA")</f>
        <v>0.2502915649</v>
      </c>
      <c r="N107" s="122">
        <f>IFERROR(N87-N99-N105, "NA")</f>
        <v>17889.73</v>
      </c>
      <c r="O107" s="98">
        <f>IFERROR(N107/N148, "NA")</f>
        <v>0.1120269194</v>
      </c>
      <c r="P107" s="122">
        <f>IFERROR(P87-P99-P105, "NA")</f>
        <v>51669</v>
      </c>
      <c r="Q107" s="98">
        <f>IFERROR(P107/P148, "NA")</f>
        <v>0.2991691252</v>
      </c>
      <c r="R107" s="122">
        <f>IFERROR(R87-R99-R105, "NA")</f>
        <v>-51528.51</v>
      </c>
      <c r="S107" s="98">
        <f>IFERROR(R107/R148, "NA")</f>
        <v>-0.3060158893</v>
      </c>
      <c r="T107" s="122">
        <f>IFERROR(T87-T99-T105, "NA")</f>
        <v>37775.95</v>
      </c>
      <c r="U107" s="98">
        <f>IFERROR(T107/T148, "NA")</f>
        <v>0.2404416734</v>
      </c>
      <c r="V107" s="122">
        <f>IFERROR(V87-V99-V105, "NA")</f>
        <v>36654.98</v>
      </c>
      <c r="W107" s="98">
        <f>IFERROR(V107/V148, "NA")</f>
        <v>0.2341734023</v>
      </c>
      <c r="X107" s="122">
        <f>IFERROR(X87-X99-X105, "NA")</f>
        <v>31794.65</v>
      </c>
      <c r="Y107" s="98">
        <f>IFERROR(X107/X148, "NA")</f>
        <v>0.1948329691</v>
      </c>
      <c r="Z107" s="122">
        <f>IFERROR(Z87-Z99-Z105, "NA")</f>
        <v>106225.58</v>
      </c>
      <c r="AA107" s="98">
        <f>IFERROR(Z107/Z148, "NA")</f>
        <v>0.2227749289</v>
      </c>
      <c r="AB107" s="122">
        <f>IFERROR((R107+T107+V107+X107)/4, "NA")</f>
        <v>13674.2675</v>
      </c>
      <c r="AC107" s="98">
        <f>IFERROR(AB107/AB148, "NA")</f>
        <v>0.08477350228</v>
      </c>
      <c r="AD107" s="75">
        <f>IFERROR(X107-AB107, "NA")</f>
        <v>18120.3825</v>
      </c>
      <c r="AE107" s="76">
        <f>IFERROR(AD107/AD148, "NA")</f>
        <v>9.60930285</v>
      </c>
      <c r="AF107" s="75">
        <f>IFERROR((X107-AB107)/AB107, "NA")</f>
        <v>1.325144656</v>
      </c>
      <c r="AG107" s="122">
        <f>IFERROR((J107+L107+N107+P107+R107+T107+V107+X107)/8, "NA")</f>
        <v>24408.9075</v>
      </c>
      <c r="AH107" s="98">
        <f>IFERROR(AG107/AG148, "NA")</f>
        <v>0.1542217828</v>
      </c>
      <c r="AI107" s="75">
        <f>IFERROR(X107-AG107, "NA")</f>
        <v>7385.7425</v>
      </c>
      <c r="AJ107" s="76">
        <f>IFERROR(AI107/AI148, "NA")</f>
        <v>1.501837202</v>
      </c>
      <c r="AK107" s="75">
        <f>IFERROR((X107-AG107)/AG107, "NA")</f>
        <v>0.302583903</v>
      </c>
      <c r="AL107" s="76">
        <f>IFERROR(AK107/AK148, "NA")</f>
        <v>9.738165222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2"/>
      <c r="AF108" s="125"/>
      <c r="AG108" s="124"/>
      <c r="AH108" s="74"/>
      <c r="AI108" s="125"/>
      <c r="AJ108" s="82"/>
      <c r="AK108" s="125"/>
      <c r="AL108" s="82"/>
    </row>
    <row r="109" ht="16.5" hidden="1" customHeight="1">
      <c r="A109" s="22" t="s">
        <v>222</v>
      </c>
      <c r="B109" s="23"/>
      <c r="C109" s="10"/>
      <c r="D109" s="23"/>
      <c r="E109" s="10"/>
      <c r="F109" s="23"/>
      <c r="G109" s="10"/>
      <c r="H109" s="23"/>
      <c r="I109" s="10"/>
      <c r="J109" s="23"/>
      <c r="K109" s="10"/>
      <c r="L109" s="23"/>
      <c r="M109" s="10"/>
      <c r="N109" s="23"/>
      <c r="O109" s="10"/>
      <c r="P109" s="23"/>
      <c r="Q109" s="10"/>
      <c r="R109" s="23"/>
      <c r="S109" s="10"/>
      <c r="T109" s="23"/>
      <c r="U109" s="10"/>
      <c r="V109" s="23"/>
      <c r="W109" s="10"/>
      <c r="X109" s="23"/>
      <c r="Y109" s="10"/>
      <c r="Z109" s="23"/>
      <c r="AA109" s="10"/>
      <c r="AB109" s="23"/>
      <c r="AC109" s="10"/>
      <c r="AD109" s="24"/>
      <c r="AE109" s="25"/>
      <c r="AF109" s="24"/>
      <c r="AG109" s="23"/>
      <c r="AH109" s="10"/>
      <c r="AI109" s="24"/>
      <c r="AJ109" s="25"/>
      <c r="AK109" s="24"/>
      <c r="AL109" s="25"/>
    </row>
    <row r="110" ht="16.5" hidden="1" customHeight="1">
      <c r="A110" s="26" t="s">
        <v>223</v>
      </c>
      <c r="B110" s="28">
        <v>0.0</v>
      </c>
      <c r="C110" s="15">
        <f>IFERROR(B110/B148, "NA")</f>
        <v>0</v>
      </c>
      <c r="D110" s="28">
        <v>0.0</v>
      </c>
      <c r="E110" s="15">
        <f>IFERROR(D110/D148, "NA")</f>
        <v>0</v>
      </c>
      <c r="F110" s="28">
        <v>0.0</v>
      </c>
      <c r="G110" s="15">
        <f>IFERROR(F110/F148, "NA")</f>
        <v>0</v>
      </c>
      <c r="H110" s="28">
        <v>0.0</v>
      </c>
      <c r="I110" s="15">
        <f>IFERROR(H110/H148, "NA")</f>
        <v>0</v>
      </c>
      <c r="J110" s="28">
        <v>0.0</v>
      </c>
      <c r="K110" s="15">
        <f>IFERROR(J110/J148, "NA")</f>
        <v>0</v>
      </c>
      <c r="L110" s="28">
        <v>0.0</v>
      </c>
      <c r="M110" s="15">
        <f>IFERROR(L110/L148, "NA")</f>
        <v>0</v>
      </c>
      <c r="N110" s="28">
        <v>0.0</v>
      </c>
      <c r="O110" s="15">
        <f>IFERROR(N110/N148, "NA")</f>
        <v>0</v>
      </c>
      <c r="P110" s="28">
        <v>0.0</v>
      </c>
      <c r="Q110" s="15">
        <f>IFERROR(P110/P148, "NA")</f>
        <v>0</v>
      </c>
      <c r="R110" s="28">
        <v>0.0</v>
      </c>
      <c r="S110" s="15">
        <f>IFERROR(R110/R148, "NA")</f>
        <v>0</v>
      </c>
      <c r="T110" s="28">
        <v>0.0</v>
      </c>
      <c r="U110" s="15">
        <f>IFERROR(T110/T148, "NA")</f>
        <v>0</v>
      </c>
      <c r="V110" s="28">
        <v>0.0</v>
      </c>
      <c r="W110" s="15">
        <f>IFERROR(V110/V148, "NA")</f>
        <v>0</v>
      </c>
      <c r="X110" s="28">
        <v>0.0</v>
      </c>
      <c r="Y110" s="15">
        <f>IFERROR(X110/X148, "NA")</f>
        <v>0</v>
      </c>
      <c r="Z110" s="28">
        <v>0.0</v>
      </c>
      <c r="AA110" s="15">
        <f>IFERROR(Z110/Z148, "NA")</f>
        <v>0</v>
      </c>
      <c r="AB110" s="57">
        <f t="shared" ref="AB110:AB135" si="55">IFERROR((R110+T110+V110+X110)/4, "NA")</f>
        <v>0</v>
      </c>
      <c r="AC110" s="15">
        <f>IFERROR(AB110/AB148, "NA")</f>
        <v>0</v>
      </c>
      <c r="AD110" s="61">
        <f t="shared" ref="AD110:AD135" si="56">IFERROR(X110-AB110, "NA")</f>
        <v>0</v>
      </c>
      <c r="AE110" s="62">
        <f>IFERROR(AD110/AD148, "NA")</f>
        <v>0</v>
      </c>
      <c r="AF110" s="61" t="str">
        <f t="shared" ref="AF110:AF135" si="57">IFERROR((X110-AB110)/AB110, "NA")</f>
        <v>NA</v>
      </c>
      <c r="AG110" s="57">
        <f t="shared" ref="AG110:AG135" si="58">IFERROR((J110+L110+N110+P110+R110+T110+V110+X110)/8, "NA")</f>
        <v>0</v>
      </c>
      <c r="AH110" s="15">
        <f>IFERROR(AG110/AG148, "NA")</f>
        <v>0</v>
      </c>
      <c r="AI110" s="61">
        <f t="shared" ref="AI110:AI135" si="59">IFERROR(X110-AG110, "NA")</f>
        <v>0</v>
      </c>
      <c r="AJ110" s="62">
        <f>IFERROR(AI110/AI148, "NA")</f>
        <v>0</v>
      </c>
      <c r="AK110" s="61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6" t="s">
        <v>224</v>
      </c>
      <c r="B111" s="28">
        <v>0.0</v>
      </c>
      <c r="C111" s="15">
        <f>IFERROR(B111/B148, "NA")</f>
        <v>0</v>
      </c>
      <c r="D111" s="28">
        <v>0.0</v>
      </c>
      <c r="E111" s="15">
        <f>IFERROR(D111/D148, "NA")</f>
        <v>0</v>
      </c>
      <c r="F111" s="28">
        <v>0.0</v>
      </c>
      <c r="G111" s="15">
        <f>IFERROR(F111/F148, "NA")</f>
        <v>0</v>
      </c>
      <c r="H111" s="28">
        <v>0.0</v>
      </c>
      <c r="I111" s="15">
        <f>IFERROR(H111/H148, "NA")</f>
        <v>0</v>
      </c>
      <c r="J111" s="28">
        <v>0.0</v>
      </c>
      <c r="K111" s="15">
        <f>IFERROR(J111/J148, "NA")</f>
        <v>0</v>
      </c>
      <c r="L111" s="28">
        <v>0.0</v>
      </c>
      <c r="M111" s="15">
        <f>IFERROR(L111/L148, "NA")</f>
        <v>0</v>
      </c>
      <c r="N111" s="28">
        <v>0.0</v>
      </c>
      <c r="O111" s="15">
        <f>IFERROR(N111/N148, "NA")</f>
        <v>0</v>
      </c>
      <c r="P111" s="28">
        <v>0.0</v>
      </c>
      <c r="Q111" s="15">
        <f>IFERROR(P111/P148, "NA")</f>
        <v>0</v>
      </c>
      <c r="R111" s="28">
        <v>0.0</v>
      </c>
      <c r="S111" s="15">
        <f>IFERROR(R111/R148, "NA")</f>
        <v>0</v>
      </c>
      <c r="T111" s="28">
        <v>0.0</v>
      </c>
      <c r="U111" s="15">
        <f>IFERROR(T111/T148, "NA")</f>
        <v>0</v>
      </c>
      <c r="V111" s="28">
        <v>0.0</v>
      </c>
      <c r="W111" s="15">
        <f>IFERROR(V111/V148, "NA")</f>
        <v>0</v>
      </c>
      <c r="X111" s="28">
        <v>0.0</v>
      </c>
      <c r="Y111" s="15">
        <f>IFERROR(X111/X148, "NA")</f>
        <v>0</v>
      </c>
      <c r="Z111" s="28">
        <v>0.0</v>
      </c>
      <c r="AA111" s="15">
        <f>IFERROR(Z111/Z148, "NA")</f>
        <v>0</v>
      </c>
      <c r="AB111" s="57">
        <f t="shared" si="55"/>
        <v>0</v>
      </c>
      <c r="AC111" s="15">
        <f>IFERROR(AB111/AB148, "NA")</f>
        <v>0</v>
      </c>
      <c r="AD111" s="61">
        <f t="shared" si="56"/>
        <v>0</v>
      </c>
      <c r="AE111" s="62">
        <f>IFERROR(AD111/AD148, "NA")</f>
        <v>0</v>
      </c>
      <c r="AF111" s="61" t="str">
        <f t="shared" si="57"/>
        <v>NA</v>
      </c>
      <c r="AG111" s="57">
        <f t="shared" si="58"/>
        <v>0</v>
      </c>
      <c r="AH111" s="15">
        <f>IFERROR(AG111/AG148, "NA")</f>
        <v>0</v>
      </c>
      <c r="AI111" s="61">
        <f t="shared" si="59"/>
        <v>0</v>
      </c>
      <c r="AJ111" s="62">
        <f>IFERROR(AI111/AI148, "NA")</f>
        <v>0</v>
      </c>
      <c r="AK111" s="61" t="str">
        <f t="shared" si="60"/>
        <v>NA</v>
      </c>
      <c r="AL111" s="62" t="str">
        <f>IFERROR(AK111/AK148, "NA")</f>
        <v>NA</v>
      </c>
    </row>
    <row r="112" ht="16.5" hidden="1" customHeight="1">
      <c r="A112" s="26" t="s">
        <v>225</v>
      </c>
      <c r="B112" s="28">
        <v>0.0</v>
      </c>
      <c r="C112" s="15">
        <f>IFERROR(B112/B148, "NA")</f>
        <v>0</v>
      </c>
      <c r="D112" s="28">
        <v>0.0</v>
      </c>
      <c r="E112" s="15">
        <f>IFERROR(D112/D148, "NA")</f>
        <v>0</v>
      </c>
      <c r="F112" s="28">
        <v>0.0</v>
      </c>
      <c r="G112" s="15">
        <f>IFERROR(F112/F148, "NA")</f>
        <v>0</v>
      </c>
      <c r="H112" s="28">
        <v>0.0</v>
      </c>
      <c r="I112" s="15">
        <f>IFERROR(H112/H148, "NA")</f>
        <v>0</v>
      </c>
      <c r="J112" s="28">
        <v>0.0</v>
      </c>
      <c r="K112" s="15">
        <f>IFERROR(J112/J148, "NA")</f>
        <v>0</v>
      </c>
      <c r="L112" s="28">
        <v>0.0</v>
      </c>
      <c r="M112" s="15">
        <f>IFERROR(L112/L148, "NA")</f>
        <v>0</v>
      </c>
      <c r="N112" s="28">
        <v>0.0</v>
      </c>
      <c r="O112" s="15">
        <f>IFERROR(N112/N148, "NA")</f>
        <v>0</v>
      </c>
      <c r="P112" s="28">
        <v>0.0</v>
      </c>
      <c r="Q112" s="15">
        <f>IFERROR(P112/P148, "NA")</f>
        <v>0</v>
      </c>
      <c r="R112" s="28">
        <v>0.0</v>
      </c>
      <c r="S112" s="15">
        <f>IFERROR(R112/R148, "NA")</f>
        <v>0</v>
      </c>
      <c r="T112" s="28">
        <v>0.0</v>
      </c>
      <c r="U112" s="15">
        <f>IFERROR(T112/T148, "NA")</f>
        <v>0</v>
      </c>
      <c r="V112" s="28">
        <v>0.0</v>
      </c>
      <c r="W112" s="15">
        <f>IFERROR(V112/V148, "NA")</f>
        <v>0</v>
      </c>
      <c r="X112" s="28">
        <v>0.0</v>
      </c>
      <c r="Y112" s="15">
        <f>IFERROR(X112/X148, "NA")</f>
        <v>0</v>
      </c>
      <c r="Z112" s="28">
        <v>0.0</v>
      </c>
      <c r="AA112" s="15">
        <f>IFERROR(Z112/Z148, "NA")</f>
        <v>0</v>
      </c>
      <c r="AB112" s="57">
        <f t="shared" si="55"/>
        <v>0</v>
      </c>
      <c r="AC112" s="15">
        <f>IFERROR(AB112/AB148, "NA")</f>
        <v>0</v>
      </c>
      <c r="AD112" s="61">
        <f t="shared" si="56"/>
        <v>0</v>
      </c>
      <c r="AE112" s="62">
        <f>IFERROR(AD112/AD148, "NA")</f>
        <v>0</v>
      </c>
      <c r="AF112" s="61" t="str">
        <f t="shared" si="57"/>
        <v>NA</v>
      </c>
      <c r="AG112" s="57">
        <f t="shared" si="58"/>
        <v>0</v>
      </c>
      <c r="AH112" s="15">
        <f>IFERROR(AG112/AG148, "NA")</f>
        <v>0</v>
      </c>
      <c r="AI112" s="61">
        <f t="shared" si="59"/>
        <v>0</v>
      </c>
      <c r="AJ112" s="62">
        <f>IFERROR(AI112/AI148, "NA")</f>
        <v>0</v>
      </c>
      <c r="AK112" s="61" t="str">
        <f t="shared" si="60"/>
        <v>NA</v>
      </c>
      <c r="AL112" s="62" t="str">
        <f>IFERROR(AK112/AK148, "NA")</f>
        <v>NA</v>
      </c>
    </row>
    <row r="113" ht="16.5" hidden="1" customHeight="1">
      <c r="A113" s="26" t="s">
        <v>226</v>
      </c>
      <c r="B113" s="28">
        <v>0.0</v>
      </c>
      <c r="C113" s="15">
        <f>IFERROR(B113/B148, "NA")</f>
        <v>0</v>
      </c>
      <c r="D113" s="28">
        <v>0.0</v>
      </c>
      <c r="E113" s="15">
        <f>IFERROR(D113/D148, "NA")</f>
        <v>0</v>
      </c>
      <c r="F113" s="28">
        <v>0.0</v>
      </c>
      <c r="G113" s="15">
        <f>IFERROR(F113/F148, "NA")</f>
        <v>0</v>
      </c>
      <c r="H113" s="28">
        <v>0.0</v>
      </c>
      <c r="I113" s="15">
        <f>IFERROR(H113/H148, "NA")</f>
        <v>0</v>
      </c>
      <c r="J113" s="28">
        <v>0.0</v>
      </c>
      <c r="K113" s="15">
        <f>IFERROR(J113/J148, "NA")</f>
        <v>0</v>
      </c>
      <c r="L113" s="28">
        <v>0.0</v>
      </c>
      <c r="M113" s="15">
        <f>IFERROR(L113/L148, "NA")</f>
        <v>0</v>
      </c>
      <c r="N113" s="28">
        <v>0.0</v>
      </c>
      <c r="O113" s="15">
        <f>IFERROR(N113/N148, "NA")</f>
        <v>0</v>
      </c>
      <c r="P113" s="28">
        <v>0.0</v>
      </c>
      <c r="Q113" s="15">
        <f>IFERROR(P113/P148, "NA")</f>
        <v>0</v>
      </c>
      <c r="R113" s="28">
        <v>0.0</v>
      </c>
      <c r="S113" s="15">
        <f>IFERROR(R113/R148, "NA")</f>
        <v>0</v>
      </c>
      <c r="T113" s="28">
        <v>0.0</v>
      </c>
      <c r="U113" s="15">
        <f>IFERROR(T113/T148, "NA")</f>
        <v>0</v>
      </c>
      <c r="V113" s="28">
        <v>0.0</v>
      </c>
      <c r="W113" s="15">
        <f>IFERROR(V113/V148, "NA")</f>
        <v>0</v>
      </c>
      <c r="X113" s="28">
        <v>0.0</v>
      </c>
      <c r="Y113" s="15">
        <f>IFERROR(X113/X148, "NA")</f>
        <v>0</v>
      </c>
      <c r="Z113" s="28">
        <v>0.0</v>
      </c>
      <c r="AA113" s="15">
        <f>IFERROR(Z113/Z148, "NA")</f>
        <v>0</v>
      </c>
      <c r="AB113" s="57">
        <f t="shared" si="55"/>
        <v>0</v>
      </c>
      <c r="AC113" s="15">
        <f>IFERROR(AB113/AB148, "NA")</f>
        <v>0</v>
      </c>
      <c r="AD113" s="61">
        <f t="shared" si="56"/>
        <v>0</v>
      </c>
      <c r="AE113" s="62">
        <f>IFERROR(AD113/AD148, "NA")</f>
        <v>0</v>
      </c>
      <c r="AF113" s="61" t="str">
        <f t="shared" si="57"/>
        <v>NA</v>
      </c>
      <c r="AG113" s="57">
        <f t="shared" si="58"/>
        <v>0</v>
      </c>
      <c r="AH113" s="15">
        <f>IFERROR(AG113/AG148, "NA")</f>
        <v>0</v>
      </c>
      <c r="AI113" s="61">
        <f t="shared" si="59"/>
        <v>0</v>
      </c>
      <c r="AJ113" s="62">
        <f>IFERROR(AI113/AI148, "NA")</f>
        <v>0</v>
      </c>
      <c r="AK113" s="61" t="str">
        <f t="shared" si="60"/>
        <v>NA</v>
      </c>
      <c r="AL113" s="62" t="str">
        <f>IFERROR(AK113/AK148, "NA")</f>
        <v>NA</v>
      </c>
    </row>
    <row r="114" ht="16.5" hidden="1" customHeight="1">
      <c r="A114" s="26" t="s">
        <v>227</v>
      </c>
      <c r="B114" s="28">
        <v>0.0</v>
      </c>
      <c r="C114" s="15">
        <f>IFERROR(B114/B148, "NA")</f>
        <v>0</v>
      </c>
      <c r="D114" s="28">
        <v>0.0</v>
      </c>
      <c r="E114" s="15">
        <f>IFERROR(D114/D148, "NA")</f>
        <v>0</v>
      </c>
      <c r="F114" s="28">
        <v>0.0</v>
      </c>
      <c r="G114" s="15">
        <f>IFERROR(F114/F148, "NA")</f>
        <v>0</v>
      </c>
      <c r="H114" s="28">
        <v>0.0</v>
      </c>
      <c r="I114" s="15">
        <f>IFERROR(H114/H148, "NA")</f>
        <v>0</v>
      </c>
      <c r="J114" s="28">
        <v>0.0</v>
      </c>
      <c r="K114" s="15">
        <f>IFERROR(J114/J148, "NA")</f>
        <v>0</v>
      </c>
      <c r="L114" s="28">
        <v>0.0</v>
      </c>
      <c r="M114" s="15">
        <f>IFERROR(L114/L148, "NA")</f>
        <v>0</v>
      </c>
      <c r="N114" s="28">
        <v>0.0</v>
      </c>
      <c r="O114" s="15">
        <f>IFERROR(N114/N148, "NA")</f>
        <v>0</v>
      </c>
      <c r="P114" s="28">
        <v>0.0</v>
      </c>
      <c r="Q114" s="15">
        <f>IFERROR(P114/P148, "NA")</f>
        <v>0</v>
      </c>
      <c r="R114" s="28">
        <v>0.0</v>
      </c>
      <c r="S114" s="15">
        <f>IFERROR(R114/R148, "NA")</f>
        <v>0</v>
      </c>
      <c r="T114" s="28">
        <v>0.0</v>
      </c>
      <c r="U114" s="15">
        <f>IFERROR(T114/T148, "NA")</f>
        <v>0</v>
      </c>
      <c r="V114" s="28">
        <v>0.0</v>
      </c>
      <c r="W114" s="15">
        <f>IFERROR(V114/V148, "NA")</f>
        <v>0</v>
      </c>
      <c r="X114" s="28">
        <v>0.0</v>
      </c>
      <c r="Y114" s="15">
        <f>IFERROR(X114/X148, "NA")</f>
        <v>0</v>
      </c>
      <c r="Z114" s="28">
        <v>0.0</v>
      </c>
      <c r="AA114" s="15">
        <f>IFERROR(Z114/Z148, "NA")</f>
        <v>0</v>
      </c>
      <c r="AB114" s="57">
        <f t="shared" si="55"/>
        <v>0</v>
      </c>
      <c r="AC114" s="15">
        <f>IFERROR(AB114/AB148, "NA")</f>
        <v>0</v>
      </c>
      <c r="AD114" s="61">
        <f t="shared" si="56"/>
        <v>0</v>
      </c>
      <c r="AE114" s="62">
        <f>IFERROR(AD114/AD148, "NA")</f>
        <v>0</v>
      </c>
      <c r="AF114" s="61" t="str">
        <f t="shared" si="57"/>
        <v>NA</v>
      </c>
      <c r="AG114" s="57">
        <f t="shared" si="58"/>
        <v>0</v>
      </c>
      <c r="AH114" s="15">
        <f>IFERROR(AG114/AG148, "NA")</f>
        <v>0</v>
      </c>
      <c r="AI114" s="61">
        <f t="shared" si="59"/>
        <v>0</v>
      </c>
      <c r="AJ114" s="62">
        <f>IFERROR(AI114/AI148, "NA")</f>
        <v>0</v>
      </c>
      <c r="AK114" s="61" t="str">
        <f t="shared" si="60"/>
        <v>NA</v>
      </c>
      <c r="AL114" s="62" t="str">
        <f>IFERROR(AK114/AK148, "NA")</f>
        <v>NA</v>
      </c>
    </row>
    <row r="115" ht="16.5" hidden="1" customHeight="1">
      <c r="A115" s="26" t="s">
        <v>228</v>
      </c>
      <c r="B115" s="28">
        <v>0.0</v>
      </c>
      <c r="C115" s="15">
        <f>IFERROR(B115/B148, "NA")</f>
        <v>0</v>
      </c>
      <c r="D115" s="28">
        <v>0.0</v>
      </c>
      <c r="E115" s="15">
        <f>IFERROR(D115/D148, "NA")</f>
        <v>0</v>
      </c>
      <c r="F115" s="28">
        <v>0.0</v>
      </c>
      <c r="G115" s="15">
        <f>IFERROR(F115/F148, "NA")</f>
        <v>0</v>
      </c>
      <c r="H115" s="28">
        <v>0.0</v>
      </c>
      <c r="I115" s="15">
        <f>IFERROR(H115/H148, "NA")</f>
        <v>0</v>
      </c>
      <c r="J115" s="28">
        <v>0.0</v>
      </c>
      <c r="K115" s="15">
        <f>IFERROR(J115/J148, "NA")</f>
        <v>0</v>
      </c>
      <c r="L115" s="28">
        <v>0.0</v>
      </c>
      <c r="M115" s="15">
        <f>IFERROR(L115/L148, "NA")</f>
        <v>0</v>
      </c>
      <c r="N115" s="28">
        <v>0.0</v>
      </c>
      <c r="O115" s="15">
        <f>IFERROR(N115/N148, "NA")</f>
        <v>0</v>
      </c>
      <c r="P115" s="28">
        <v>0.0</v>
      </c>
      <c r="Q115" s="15">
        <f>IFERROR(P115/P148, "NA")</f>
        <v>0</v>
      </c>
      <c r="R115" s="28">
        <v>0.0</v>
      </c>
      <c r="S115" s="15">
        <f>IFERROR(R115/R148, "NA")</f>
        <v>0</v>
      </c>
      <c r="T115" s="28">
        <v>0.0</v>
      </c>
      <c r="U115" s="15">
        <f>IFERROR(T115/T148, "NA")</f>
        <v>0</v>
      </c>
      <c r="V115" s="28">
        <v>0.0</v>
      </c>
      <c r="W115" s="15">
        <f>IFERROR(V115/V148, "NA")</f>
        <v>0</v>
      </c>
      <c r="X115" s="28">
        <v>0.0</v>
      </c>
      <c r="Y115" s="15">
        <f>IFERROR(X115/X148, "NA")</f>
        <v>0</v>
      </c>
      <c r="Z115" s="28">
        <v>0.0</v>
      </c>
      <c r="AA115" s="15">
        <f>IFERROR(Z115/Z148, "NA")</f>
        <v>0</v>
      </c>
      <c r="AB115" s="57">
        <f t="shared" si="55"/>
        <v>0</v>
      </c>
      <c r="AC115" s="15">
        <f>IFERROR(AB115/AB148, "NA")</f>
        <v>0</v>
      </c>
      <c r="AD115" s="61">
        <f t="shared" si="56"/>
        <v>0</v>
      </c>
      <c r="AE115" s="62">
        <f>IFERROR(AD115/AD148, "NA")</f>
        <v>0</v>
      </c>
      <c r="AF115" s="61" t="str">
        <f t="shared" si="57"/>
        <v>NA</v>
      </c>
      <c r="AG115" s="57">
        <f t="shared" si="58"/>
        <v>0</v>
      </c>
      <c r="AH115" s="15">
        <f>IFERROR(AG115/AG148, "NA")</f>
        <v>0</v>
      </c>
      <c r="AI115" s="61">
        <f t="shared" si="59"/>
        <v>0</v>
      </c>
      <c r="AJ115" s="62">
        <f>IFERROR(AI115/AI148, "NA")</f>
        <v>0</v>
      </c>
      <c r="AK115" s="61" t="str">
        <f t="shared" si="60"/>
        <v>NA</v>
      </c>
      <c r="AL115" s="62" t="str">
        <f>IFERROR(AK115/AK148, "NA")</f>
        <v>NA</v>
      </c>
    </row>
    <row r="116" ht="16.5" hidden="1" customHeight="1">
      <c r="A116" s="26" t="s">
        <v>229</v>
      </c>
      <c r="B116" s="28">
        <v>0.0</v>
      </c>
      <c r="C116" s="15">
        <f>IFERROR(B116/B148, "NA")</f>
        <v>0</v>
      </c>
      <c r="D116" s="28">
        <v>0.0</v>
      </c>
      <c r="E116" s="15">
        <f>IFERROR(D116/D148, "NA")</f>
        <v>0</v>
      </c>
      <c r="F116" s="28">
        <v>0.0</v>
      </c>
      <c r="G116" s="15">
        <f>IFERROR(F116/F148, "NA")</f>
        <v>0</v>
      </c>
      <c r="H116" s="28">
        <v>0.0</v>
      </c>
      <c r="I116" s="15">
        <f>IFERROR(H116/H148, "NA")</f>
        <v>0</v>
      </c>
      <c r="J116" s="28">
        <v>0.0</v>
      </c>
      <c r="K116" s="15">
        <f>IFERROR(J116/J148, "NA")</f>
        <v>0</v>
      </c>
      <c r="L116" s="28">
        <v>0.0</v>
      </c>
      <c r="M116" s="15">
        <f>IFERROR(L116/L148, "NA")</f>
        <v>0</v>
      </c>
      <c r="N116" s="28">
        <v>0.0</v>
      </c>
      <c r="O116" s="15">
        <f>IFERROR(N116/N148, "NA")</f>
        <v>0</v>
      </c>
      <c r="P116" s="28">
        <v>0.0</v>
      </c>
      <c r="Q116" s="15">
        <f>IFERROR(P116/P148, "NA")</f>
        <v>0</v>
      </c>
      <c r="R116" s="28">
        <v>0.0</v>
      </c>
      <c r="S116" s="15">
        <f>IFERROR(R116/R148, "NA")</f>
        <v>0</v>
      </c>
      <c r="T116" s="28">
        <v>0.0</v>
      </c>
      <c r="U116" s="15">
        <f>IFERROR(T116/T148, "NA")</f>
        <v>0</v>
      </c>
      <c r="V116" s="28">
        <v>0.0</v>
      </c>
      <c r="W116" s="15">
        <f>IFERROR(V116/V148, "NA")</f>
        <v>0</v>
      </c>
      <c r="X116" s="28">
        <v>0.0</v>
      </c>
      <c r="Y116" s="15">
        <f>IFERROR(X116/X148, "NA")</f>
        <v>0</v>
      </c>
      <c r="Z116" s="28">
        <v>0.0</v>
      </c>
      <c r="AA116" s="15">
        <f>IFERROR(Z116/Z148, "NA")</f>
        <v>0</v>
      </c>
      <c r="AB116" s="57">
        <f t="shared" si="55"/>
        <v>0</v>
      </c>
      <c r="AC116" s="15">
        <f>IFERROR(AB116/AB148, "NA")</f>
        <v>0</v>
      </c>
      <c r="AD116" s="61">
        <f t="shared" si="56"/>
        <v>0</v>
      </c>
      <c r="AE116" s="62">
        <f>IFERROR(AD116/AD148, "NA")</f>
        <v>0</v>
      </c>
      <c r="AF116" s="61" t="str">
        <f t="shared" si="57"/>
        <v>NA</v>
      </c>
      <c r="AG116" s="57">
        <f t="shared" si="58"/>
        <v>0</v>
      </c>
      <c r="AH116" s="15">
        <f>IFERROR(AG116/AG148, "NA")</f>
        <v>0</v>
      </c>
      <c r="AI116" s="61">
        <f t="shared" si="59"/>
        <v>0</v>
      </c>
      <c r="AJ116" s="62">
        <f>IFERROR(AI116/AI148, "NA")</f>
        <v>0</v>
      </c>
      <c r="AK116" s="61" t="str">
        <f t="shared" si="60"/>
        <v>NA</v>
      </c>
      <c r="AL116" s="62" t="str">
        <f>IFERROR(AK116/AK148, "NA")</f>
        <v>NA</v>
      </c>
    </row>
    <row r="117" ht="16.5" hidden="1" customHeight="1">
      <c r="A117" s="26" t="s">
        <v>230</v>
      </c>
      <c r="B117" s="28">
        <v>0.0</v>
      </c>
      <c r="C117" s="15">
        <f>IFERROR(B117/B148, "NA")</f>
        <v>0</v>
      </c>
      <c r="D117" s="28">
        <v>0.0</v>
      </c>
      <c r="E117" s="15">
        <f>IFERROR(D117/D148, "NA")</f>
        <v>0</v>
      </c>
      <c r="F117" s="28">
        <v>0.0</v>
      </c>
      <c r="G117" s="15">
        <f>IFERROR(F117/F148, "NA")</f>
        <v>0</v>
      </c>
      <c r="H117" s="28">
        <v>0.0</v>
      </c>
      <c r="I117" s="15">
        <f>IFERROR(H117/H148, "NA")</f>
        <v>0</v>
      </c>
      <c r="J117" s="28">
        <v>0.0</v>
      </c>
      <c r="K117" s="15">
        <f>IFERROR(J117/J148, "NA")</f>
        <v>0</v>
      </c>
      <c r="L117" s="28">
        <v>0.0</v>
      </c>
      <c r="M117" s="15">
        <f>IFERROR(L117/L148, "NA")</f>
        <v>0</v>
      </c>
      <c r="N117" s="28">
        <v>0.0</v>
      </c>
      <c r="O117" s="15">
        <f>IFERROR(N117/N148, "NA")</f>
        <v>0</v>
      </c>
      <c r="P117" s="28">
        <v>0.0</v>
      </c>
      <c r="Q117" s="15">
        <f>IFERROR(P117/P148, "NA")</f>
        <v>0</v>
      </c>
      <c r="R117" s="28">
        <v>0.0</v>
      </c>
      <c r="S117" s="15">
        <f>IFERROR(R117/R148, "NA")</f>
        <v>0</v>
      </c>
      <c r="T117" s="28">
        <v>0.0</v>
      </c>
      <c r="U117" s="15">
        <f>IFERROR(T117/T148, "NA")</f>
        <v>0</v>
      </c>
      <c r="V117" s="28">
        <v>0.0</v>
      </c>
      <c r="W117" s="15">
        <f>IFERROR(V117/V148, "NA")</f>
        <v>0</v>
      </c>
      <c r="X117" s="28">
        <v>0.0</v>
      </c>
      <c r="Y117" s="15">
        <f>IFERROR(X117/X148, "NA")</f>
        <v>0</v>
      </c>
      <c r="Z117" s="28">
        <v>0.0</v>
      </c>
      <c r="AA117" s="15">
        <f>IFERROR(Z117/Z148, "NA")</f>
        <v>0</v>
      </c>
      <c r="AB117" s="57">
        <f t="shared" si="55"/>
        <v>0</v>
      </c>
      <c r="AC117" s="15">
        <f>IFERROR(AB117/AB148, "NA")</f>
        <v>0</v>
      </c>
      <c r="AD117" s="61">
        <f t="shared" si="56"/>
        <v>0</v>
      </c>
      <c r="AE117" s="62">
        <f>IFERROR(AD117/AD148, "NA")</f>
        <v>0</v>
      </c>
      <c r="AF117" s="61" t="str">
        <f t="shared" si="57"/>
        <v>NA</v>
      </c>
      <c r="AG117" s="57">
        <f t="shared" si="58"/>
        <v>0</v>
      </c>
      <c r="AH117" s="15">
        <f>IFERROR(AG117/AG148, "NA")</f>
        <v>0</v>
      </c>
      <c r="AI117" s="61">
        <f t="shared" si="59"/>
        <v>0</v>
      </c>
      <c r="AJ117" s="62">
        <f>IFERROR(AI117/AI148, "NA")</f>
        <v>0</v>
      </c>
      <c r="AK117" s="61" t="str">
        <f t="shared" si="60"/>
        <v>NA</v>
      </c>
      <c r="AL117" s="62" t="str">
        <f>IFERROR(AK117/AK148, "NA")</f>
        <v>NA</v>
      </c>
    </row>
    <row r="118" ht="16.5" hidden="1" customHeight="1">
      <c r="A118" s="26" t="s">
        <v>231</v>
      </c>
      <c r="B118" s="28">
        <v>0.0</v>
      </c>
      <c r="C118" s="15">
        <f>IFERROR(B118/B148, "NA")</f>
        <v>0</v>
      </c>
      <c r="D118" s="28">
        <v>0.0</v>
      </c>
      <c r="E118" s="15">
        <f>IFERROR(D118/D148, "NA")</f>
        <v>0</v>
      </c>
      <c r="F118" s="28">
        <v>0.0</v>
      </c>
      <c r="G118" s="15">
        <f>IFERROR(F118/F148, "NA")</f>
        <v>0</v>
      </c>
      <c r="H118" s="28">
        <v>0.0</v>
      </c>
      <c r="I118" s="15">
        <f>IFERROR(H118/H148, "NA")</f>
        <v>0</v>
      </c>
      <c r="J118" s="28">
        <v>0.0</v>
      </c>
      <c r="K118" s="15">
        <f>IFERROR(J118/J148, "NA")</f>
        <v>0</v>
      </c>
      <c r="L118" s="28">
        <v>0.0</v>
      </c>
      <c r="M118" s="15">
        <f>IFERROR(L118/L148, "NA")</f>
        <v>0</v>
      </c>
      <c r="N118" s="28">
        <v>0.0</v>
      </c>
      <c r="O118" s="15">
        <f>IFERROR(N118/N148, "NA")</f>
        <v>0</v>
      </c>
      <c r="P118" s="28">
        <v>0.0</v>
      </c>
      <c r="Q118" s="15">
        <f>IFERROR(P118/P148, "NA")</f>
        <v>0</v>
      </c>
      <c r="R118" s="28">
        <v>0.0</v>
      </c>
      <c r="S118" s="15">
        <f>IFERROR(R118/R148, "NA")</f>
        <v>0</v>
      </c>
      <c r="T118" s="28">
        <v>0.0</v>
      </c>
      <c r="U118" s="15">
        <f>IFERROR(T118/T148, "NA")</f>
        <v>0</v>
      </c>
      <c r="V118" s="28">
        <v>0.0</v>
      </c>
      <c r="W118" s="15">
        <f>IFERROR(V118/V148, "NA")</f>
        <v>0</v>
      </c>
      <c r="X118" s="28">
        <v>0.0</v>
      </c>
      <c r="Y118" s="15">
        <f>IFERROR(X118/X148, "NA")</f>
        <v>0</v>
      </c>
      <c r="Z118" s="28">
        <v>0.0</v>
      </c>
      <c r="AA118" s="15">
        <f>IFERROR(Z118/Z148, "NA")</f>
        <v>0</v>
      </c>
      <c r="AB118" s="57">
        <f t="shared" si="55"/>
        <v>0</v>
      </c>
      <c r="AC118" s="15">
        <f>IFERROR(AB118/AB148, "NA")</f>
        <v>0</v>
      </c>
      <c r="AD118" s="61">
        <f t="shared" si="56"/>
        <v>0</v>
      </c>
      <c r="AE118" s="62">
        <f>IFERROR(AD118/AD148, "NA")</f>
        <v>0</v>
      </c>
      <c r="AF118" s="61" t="str">
        <f t="shared" si="57"/>
        <v>NA</v>
      </c>
      <c r="AG118" s="57">
        <f t="shared" si="58"/>
        <v>0</v>
      </c>
      <c r="AH118" s="15">
        <f>IFERROR(AG118/AG148, "NA")</f>
        <v>0</v>
      </c>
      <c r="AI118" s="61">
        <f t="shared" si="59"/>
        <v>0</v>
      </c>
      <c r="AJ118" s="62">
        <f>IFERROR(AI118/AI148, "NA")</f>
        <v>0</v>
      </c>
      <c r="AK118" s="61" t="str">
        <f t="shared" si="60"/>
        <v>NA</v>
      </c>
      <c r="AL118" s="62" t="str">
        <f>IFERROR(AK118/AK148, "NA")</f>
        <v>NA</v>
      </c>
    </row>
    <row r="119" ht="16.5" hidden="1" customHeight="1">
      <c r="A119" s="26" t="s">
        <v>232</v>
      </c>
      <c r="B119" s="28">
        <v>0.0</v>
      </c>
      <c r="C119" s="15">
        <f>IFERROR(B119/B148, "NA")</f>
        <v>0</v>
      </c>
      <c r="D119" s="28">
        <v>0.0</v>
      </c>
      <c r="E119" s="15">
        <f>IFERROR(D119/D148, "NA")</f>
        <v>0</v>
      </c>
      <c r="F119" s="28">
        <v>0.0</v>
      </c>
      <c r="G119" s="15">
        <f>IFERROR(F119/F148, "NA")</f>
        <v>0</v>
      </c>
      <c r="H119" s="28">
        <v>0.0</v>
      </c>
      <c r="I119" s="15">
        <f>IFERROR(H119/H148, "NA")</f>
        <v>0</v>
      </c>
      <c r="J119" s="28">
        <v>0.0</v>
      </c>
      <c r="K119" s="15">
        <f>IFERROR(J119/J148, "NA")</f>
        <v>0</v>
      </c>
      <c r="L119" s="28">
        <v>0.0</v>
      </c>
      <c r="M119" s="15">
        <f>IFERROR(L119/L148, "NA")</f>
        <v>0</v>
      </c>
      <c r="N119" s="28">
        <v>0.0</v>
      </c>
      <c r="O119" s="15">
        <f>IFERROR(N119/N148, "NA")</f>
        <v>0</v>
      </c>
      <c r="P119" s="28">
        <v>0.0</v>
      </c>
      <c r="Q119" s="15">
        <f>IFERROR(P119/P148, "NA")</f>
        <v>0</v>
      </c>
      <c r="R119" s="28">
        <v>0.0</v>
      </c>
      <c r="S119" s="15">
        <f>IFERROR(R119/R148, "NA")</f>
        <v>0</v>
      </c>
      <c r="T119" s="28">
        <v>0.0</v>
      </c>
      <c r="U119" s="15">
        <f>IFERROR(T119/T148, "NA")</f>
        <v>0</v>
      </c>
      <c r="V119" s="28">
        <v>0.0</v>
      </c>
      <c r="W119" s="15">
        <f>IFERROR(V119/V148, "NA")</f>
        <v>0</v>
      </c>
      <c r="X119" s="28">
        <v>0.0</v>
      </c>
      <c r="Y119" s="15">
        <f>IFERROR(X119/X148, "NA")</f>
        <v>0</v>
      </c>
      <c r="Z119" s="28">
        <v>0.0</v>
      </c>
      <c r="AA119" s="15">
        <f>IFERROR(Z119/Z148, "NA")</f>
        <v>0</v>
      </c>
      <c r="AB119" s="57">
        <f t="shared" si="55"/>
        <v>0</v>
      </c>
      <c r="AC119" s="15">
        <f>IFERROR(AB119/AB148, "NA")</f>
        <v>0</v>
      </c>
      <c r="AD119" s="61">
        <f t="shared" si="56"/>
        <v>0</v>
      </c>
      <c r="AE119" s="62">
        <f>IFERROR(AD119/AD148, "NA")</f>
        <v>0</v>
      </c>
      <c r="AF119" s="61" t="str">
        <f t="shared" si="57"/>
        <v>NA</v>
      </c>
      <c r="AG119" s="57">
        <f t="shared" si="58"/>
        <v>0</v>
      </c>
      <c r="AH119" s="15">
        <f>IFERROR(AG119/AG148, "NA")</f>
        <v>0</v>
      </c>
      <c r="AI119" s="61">
        <f t="shared" si="59"/>
        <v>0</v>
      </c>
      <c r="AJ119" s="62">
        <f>IFERROR(AI119/AI148, "NA")</f>
        <v>0</v>
      </c>
      <c r="AK119" s="61" t="str">
        <f t="shared" si="60"/>
        <v>NA</v>
      </c>
      <c r="AL119" s="62" t="str">
        <f>IFERROR(AK119/AK148, "NA")</f>
        <v>NA</v>
      </c>
    </row>
    <row r="120" ht="16.5" hidden="1" customHeight="1">
      <c r="A120" s="26" t="s">
        <v>233</v>
      </c>
      <c r="B120" s="28">
        <v>0.0</v>
      </c>
      <c r="C120" s="15">
        <f>IFERROR(B120/B148, "NA")</f>
        <v>0</v>
      </c>
      <c r="D120" s="28">
        <v>0.0</v>
      </c>
      <c r="E120" s="15">
        <f>IFERROR(D120/D148, "NA")</f>
        <v>0</v>
      </c>
      <c r="F120" s="28">
        <v>0.0</v>
      </c>
      <c r="G120" s="15">
        <f>IFERROR(F120/F148, "NA")</f>
        <v>0</v>
      </c>
      <c r="H120" s="28">
        <v>0.0</v>
      </c>
      <c r="I120" s="15">
        <f>IFERROR(H120/H148, "NA")</f>
        <v>0</v>
      </c>
      <c r="J120" s="28">
        <v>0.0</v>
      </c>
      <c r="K120" s="15">
        <f>IFERROR(J120/J148, "NA")</f>
        <v>0</v>
      </c>
      <c r="L120" s="28">
        <v>0.0</v>
      </c>
      <c r="M120" s="15">
        <f>IFERROR(L120/L148, "NA")</f>
        <v>0</v>
      </c>
      <c r="N120" s="28">
        <v>0.0</v>
      </c>
      <c r="O120" s="15">
        <f>IFERROR(N120/N148, "NA")</f>
        <v>0</v>
      </c>
      <c r="P120" s="28">
        <v>0.0</v>
      </c>
      <c r="Q120" s="15">
        <f>IFERROR(P120/P148, "NA")</f>
        <v>0</v>
      </c>
      <c r="R120" s="28">
        <v>0.0</v>
      </c>
      <c r="S120" s="15">
        <f>IFERROR(R120/R148, "NA")</f>
        <v>0</v>
      </c>
      <c r="T120" s="28">
        <v>0.0</v>
      </c>
      <c r="U120" s="15">
        <f>IFERROR(T120/T148, "NA")</f>
        <v>0</v>
      </c>
      <c r="V120" s="28">
        <v>0.0</v>
      </c>
      <c r="W120" s="15">
        <f>IFERROR(V120/V148, "NA")</f>
        <v>0</v>
      </c>
      <c r="X120" s="28">
        <v>0.0</v>
      </c>
      <c r="Y120" s="15">
        <f>IFERROR(X120/X148, "NA")</f>
        <v>0</v>
      </c>
      <c r="Z120" s="28">
        <v>0.0</v>
      </c>
      <c r="AA120" s="15">
        <f>IFERROR(Z120/Z148, "NA")</f>
        <v>0</v>
      </c>
      <c r="AB120" s="57">
        <f t="shared" si="55"/>
        <v>0</v>
      </c>
      <c r="AC120" s="15">
        <f>IFERROR(AB120/AB148, "NA")</f>
        <v>0</v>
      </c>
      <c r="AD120" s="61">
        <f t="shared" si="56"/>
        <v>0</v>
      </c>
      <c r="AE120" s="62">
        <f>IFERROR(AD120/AD148, "NA")</f>
        <v>0</v>
      </c>
      <c r="AF120" s="61" t="str">
        <f t="shared" si="57"/>
        <v>NA</v>
      </c>
      <c r="AG120" s="57">
        <f t="shared" si="58"/>
        <v>0</v>
      </c>
      <c r="AH120" s="15">
        <f>IFERROR(AG120/AG148, "NA")</f>
        <v>0</v>
      </c>
      <c r="AI120" s="61">
        <f t="shared" si="59"/>
        <v>0</v>
      </c>
      <c r="AJ120" s="62">
        <f>IFERROR(AI120/AI148, "NA")</f>
        <v>0</v>
      </c>
      <c r="AK120" s="61" t="str">
        <f t="shared" si="60"/>
        <v>NA</v>
      </c>
      <c r="AL120" s="62" t="str">
        <f>IFERROR(AK120/AK148, "NA")</f>
        <v>NA</v>
      </c>
    </row>
    <row r="121" ht="16.5" hidden="1" customHeight="1">
      <c r="A121" s="26" t="s">
        <v>234</v>
      </c>
      <c r="B121" s="28">
        <v>0.0</v>
      </c>
      <c r="C121" s="15">
        <f>IFERROR(B121/B148, "NA")</f>
        <v>0</v>
      </c>
      <c r="D121" s="28">
        <v>0.0</v>
      </c>
      <c r="E121" s="15">
        <f>IFERROR(D121/D148, "NA")</f>
        <v>0</v>
      </c>
      <c r="F121" s="28">
        <v>0.0</v>
      </c>
      <c r="G121" s="15">
        <f>IFERROR(F121/F148, "NA")</f>
        <v>0</v>
      </c>
      <c r="H121" s="28">
        <v>0.0</v>
      </c>
      <c r="I121" s="15">
        <f>IFERROR(H121/H148, "NA")</f>
        <v>0</v>
      </c>
      <c r="J121" s="28">
        <v>0.0</v>
      </c>
      <c r="K121" s="15">
        <f>IFERROR(J121/J148, "NA")</f>
        <v>0</v>
      </c>
      <c r="L121" s="28">
        <v>0.0</v>
      </c>
      <c r="M121" s="15">
        <f>IFERROR(L121/L148, "NA")</f>
        <v>0</v>
      </c>
      <c r="N121" s="28">
        <v>0.0</v>
      </c>
      <c r="O121" s="15">
        <f>IFERROR(N121/N148, "NA")</f>
        <v>0</v>
      </c>
      <c r="P121" s="28">
        <v>0.0</v>
      </c>
      <c r="Q121" s="15">
        <f>IFERROR(P121/P148, "NA")</f>
        <v>0</v>
      </c>
      <c r="R121" s="28">
        <v>0.0</v>
      </c>
      <c r="S121" s="15">
        <f>IFERROR(R121/R148, "NA")</f>
        <v>0</v>
      </c>
      <c r="T121" s="28">
        <v>0.0</v>
      </c>
      <c r="U121" s="15">
        <f>IFERROR(T121/T148, "NA")</f>
        <v>0</v>
      </c>
      <c r="V121" s="28">
        <v>0.0</v>
      </c>
      <c r="W121" s="15">
        <f>IFERROR(V121/V148, "NA")</f>
        <v>0</v>
      </c>
      <c r="X121" s="28">
        <v>0.0</v>
      </c>
      <c r="Y121" s="15">
        <f>IFERROR(X121/X148, "NA")</f>
        <v>0</v>
      </c>
      <c r="Z121" s="28">
        <v>0.0</v>
      </c>
      <c r="AA121" s="15">
        <f>IFERROR(Z121/Z148, "NA")</f>
        <v>0</v>
      </c>
      <c r="AB121" s="57">
        <f t="shared" si="55"/>
        <v>0</v>
      </c>
      <c r="AC121" s="15">
        <f>IFERROR(AB121/AB148, "NA")</f>
        <v>0</v>
      </c>
      <c r="AD121" s="61">
        <f t="shared" si="56"/>
        <v>0</v>
      </c>
      <c r="AE121" s="62">
        <f>IFERROR(AD121/AD148, "NA")</f>
        <v>0</v>
      </c>
      <c r="AF121" s="61" t="str">
        <f t="shared" si="57"/>
        <v>NA</v>
      </c>
      <c r="AG121" s="57">
        <f t="shared" si="58"/>
        <v>0</v>
      </c>
      <c r="AH121" s="15">
        <f>IFERROR(AG121/AG148, "NA")</f>
        <v>0</v>
      </c>
      <c r="AI121" s="61">
        <f t="shared" si="59"/>
        <v>0</v>
      </c>
      <c r="AJ121" s="62">
        <f>IFERROR(AI121/AI148, "NA")</f>
        <v>0</v>
      </c>
      <c r="AK121" s="61" t="str">
        <f t="shared" si="60"/>
        <v>NA</v>
      </c>
      <c r="AL121" s="62" t="str">
        <f>IFERROR(AK121/AK148, "NA")</f>
        <v>NA</v>
      </c>
    </row>
    <row r="122" ht="16.5" hidden="1" customHeight="1">
      <c r="A122" s="26" t="s">
        <v>235</v>
      </c>
      <c r="B122" s="28">
        <v>0.0</v>
      </c>
      <c r="C122" s="15">
        <f>IFERROR(B122/B148, "NA")</f>
        <v>0</v>
      </c>
      <c r="D122" s="28">
        <v>0.0</v>
      </c>
      <c r="E122" s="15">
        <f>IFERROR(D122/D148, "NA")</f>
        <v>0</v>
      </c>
      <c r="F122" s="28">
        <v>0.0</v>
      </c>
      <c r="G122" s="15">
        <f>IFERROR(F122/F148, "NA")</f>
        <v>0</v>
      </c>
      <c r="H122" s="28">
        <v>0.0</v>
      </c>
      <c r="I122" s="15">
        <f>IFERROR(H122/H148, "NA")</f>
        <v>0</v>
      </c>
      <c r="J122" s="28">
        <v>0.0</v>
      </c>
      <c r="K122" s="15">
        <f>IFERROR(J122/J148, "NA")</f>
        <v>0</v>
      </c>
      <c r="L122" s="28">
        <v>0.0</v>
      </c>
      <c r="M122" s="15">
        <f>IFERROR(L122/L148, "NA")</f>
        <v>0</v>
      </c>
      <c r="N122" s="28">
        <v>0.0</v>
      </c>
      <c r="O122" s="15">
        <f>IFERROR(N122/N148, "NA")</f>
        <v>0</v>
      </c>
      <c r="P122" s="28">
        <v>0.0</v>
      </c>
      <c r="Q122" s="15">
        <f>IFERROR(P122/P148, "NA")</f>
        <v>0</v>
      </c>
      <c r="R122" s="28">
        <v>0.0</v>
      </c>
      <c r="S122" s="15">
        <f>IFERROR(R122/R148, "NA")</f>
        <v>0</v>
      </c>
      <c r="T122" s="28">
        <v>0.0</v>
      </c>
      <c r="U122" s="15">
        <f>IFERROR(T122/T148, "NA")</f>
        <v>0</v>
      </c>
      <c r="V122" s="28">
        <v>0.0</v>
      </c>
      <c r="W122" s="15">
        <f>IFERROR(V122/V148, "NA")</f>
        <v>0</v>
      </c>
      <c r="X122" s="28">
        <v>0.0</v>
      </c>
      <c r="Y122" s="15">
        <f>IFERROR(X122/X148, "NA")</f>
        <v>0</v>
      </c>
      <c r="Z122" s="28">
        <v>0.0</v>
      </c>
      <c r="AA122" s="15">
        <f>IFERROR(Z122/Z148, "NA")</f>
        <v>0</v>
      </c>
      <c r="AB122" s="57">
        <f t="shared" si="55"/>
        <v>0</v>
      </c>
      <c r="AC122" s="15">
        <f>IFERROR(AB122/AB148, "NA")</f>
        <v>0</v>
      </c>
      <c r="AD122" s="61">
        <f t="shared" si="56"/>
        <v>0</v>
      </c>
      <c r="AE122" s="62">
        <f>IFERROR(AD122/AD148, "NA")</f>
        <v>0</v>
      </c>
      <c r="AF122" s="61" t="str">
        <f t="shared" si="57"/>
        <v>NA</v>
      </c>
      <c r="AG122" s="57">
        <f t="shared" si="58"/>
        <v>0</v>
      </c>
      <c r="AH122" s="15">
        <f>IFERROR(AG122/AG148, "NA")</f>
        <v>0</v>
      </c>
      <c r="AI122" s="61">
        <f t="shared" si="59"/>
        <v>0</v>
      </c>
      <c r="AJ122" s="62">
        <f>IFERROR(AI122/AI148, "NA")</f>
        <v>0</v>
      </c>
      <c r="AK122" s="61" t="str">
        <f t="shared" si="60"/>
        <v>NA</v>
      </c>
      <c r="AL122" s="62" t="str">
        <f>IFERROR(AK122/AK148, "NA")</f>
        <v>NA</v>
      </c>
    </row>
    <row r="123" ht="16.5" hidden="1" customHeight="1">
      <c r="A123" s="26" t="s">
        <v>236</v>
      </c>
      <c r="B123" s="28">
        <v>0.0</v>
      </c>
      <c r="C123" s="15">
        <f>IFERROR(B123/B148, "NA")</f>
        <v>0</v>
      </c>
      <c r="D123" s="28">
        <v>0.0</v>
      </c>
      <c r="E123" s="15">
        <f>IFERROR(D123/D148, "NA")</f>
        <v>0</v>
      </c>
      <c r="F123" s="28">
        <v>0.0</v>
      </c>
      <c r="G123" s="15">
        <f>IFERROR(F123/F148, "NA")</f>
        <v>0</v>
      </c>
      <c r="H123" s="28">
        <v>0.0</v>
      </c>
      <c r="I123" s="15">
        <f>IFERROR(H123/H148, "NA")</f>
        <v>0</v>
      </c>
      <c r="J123" s="28">
        <v>0.0</v>
      </c>
      <c r="K123" s="15">
        <f>IFERROR(J123/J148, "NA")</f>
        <v>0</v>
      </c>
      <c r="L123" s="28">
        <v>0.0</v>
      </c>
      <c r="M123" s="15">
        <f>IFERROR(L123/L148, "NA")</f>
        <v>0</v>
      </c>
      <c r="N123" s="28">
        <v>0.0</v>
      </c>
      <c r="O123" s="15">
        <f>IFERROR(N123/N148, "NA")</f>
        <v>0</v>
      </c>
      <c r="P123" s="28">
        <v>0.0</v>
      </c>
      <c r="Q123" s="15">
        <f>IFERROR(P123/P148, "NA")</f>
        <v>0</v>
      </c>
      <c r="R123" s="28">
        <v>0.0</v>
      </c>
      <c r="S123" s="15">
        <f>IFERROR(R123/R148, "NA")</f>
        <v>0</v>
      </c>
      <c r="T123" s="28">
        <v>0.0</v>
      </c>
      <c r="U123" s="15">
        <f>IFERROR(T123/T148, "NA")</f>
        <v>0</v>
      </c>
      <c r="V123" s="28">
        <v>0.0</v>
      </c>
      <c r="W123" s="15">
        <f>IFERROR(V123/V148, "NA")</f>
        <v>0</v>
      </c>
      <c r="X123" s="28">
        <v>0.0</v>
      </c>
      <c r="Y123" s="15">
        <f>IFERROR(X123/X148, "NA")</f>
        <v>0</v>
      </c>
      <c r="Z123" s="28">
        <v>0.0</v>
      </c>
      <c r="AA123" s="15">
        <f>IFERROR(Z123/Z148, "NA")</f>
        <v>0</v>
      </c>
      <c r="AB123" s="57">
        <f t="shared" si="55"/>
        <v>0</v>
      </c>
      <c r="AC123" s="15">
        <f>IFERROR(AB123/AB148, "NA")</f>
        <v>0</v>
      </c>
      <c r="AD123" s="61">
        <f t="shared" si="56"/>
        <v>0</v>
      </c>
      <c r="AE123" s="62">
        <f>IFERROR(AD123/AD148, "NA")</f>
        <v>0</v>
      </c>
      <c r="AF123" s="61" t="str">
        <f t="shared" si="57"/>
        <v>NA</v>
      </c>
      <c r="AG123" s="57">
        <f t="shared" si="58"/>
        <v>0</v>
      </c>
      <c r="AH123" s="15">
        <f>IFERROR(AG123/AG148, "NA")</f>
        <v>0</v>
      </c>
      <c r="AI123" s="61">
        <f t="shared" si="59"/>
        <v>0</v>
      </c>
      <c r="AJ123" s="62">
        <f>IFERROR(AI123/AI148, "NA")</f>
        <v>0</v>
      </c>
      <c r="AK123" s="61" t="str">
        <f t="shared" si="60"/>
        <v>NA</v>
      </c>
      <c r="AL123" s="62" t="str">
        <f>IFERROR(AK123/AK148, "NA")</f>
        <v>NA</v>
      </c>
    </row>
    <row r="124" ht="16.5" hidden="1" customHeight="1">
      <c r="A124" s="26" t="s">
        <v>237</v>
      </c>
      <c r="B124" s="28">
        <v>0.0</v>
      </c>
      <c r="C124" s="15">
        <f>IFERROR(B124/B148, "NA")</f>
        <v>0</v>
      </c>
      <c r="D124" s="28">
        <v>0.0</v>
      </c>
      <c r="E124" s="15">
        <f>IFERROR(D124/D148, "NA")</f>
        <v>0</v>
      </c>
      <c r="F124" s="28">
        <v>0.0</v>
      </c>
      <c r="G124" s="15">
        <f>IFERROR(F124/F148, "NA")</f>
        <v>0</v>
      </c>
      <c r="H124" s="28">
        <v>0.0</v>
      </c>
      <c r="I124" s="15">
        <f>IFERROR(H124/H148, "NA")</f>
        <v>0</v>
      </c>
      <c r="J124" s="28">
        <v>0.0</v>
      </c>
      <c r="K124" s="15">
        <f>IFERROR(J124/J148, "NA")</f>
        <v>0</v>
      </c>
      <c r="L124" s="28">
        <v>0.0</v>
      </c>
      <c r="M124" s="15">
        <f>IFERROR(L124/L148, "NA")</f>
        <v>0</v>
      </c>
      <c r="N124" s="28">
        <v>0.0</v>
      </c>
      <c r="O124" s="15">
        <f>IFERROR(N124/N148, "NA")</f>
        <v>0</v>
      </c>
      <c r="P124" s="28">
        <v>0.0</v>
      </c>
      <c r="Q124" s="15">
        <f>IFERROR(P124/P148, "NA")</f>
        <v>0</v>
      </c>
      <c r="R124" s="28">
        <v>0.0</v>
      </c>
      <c r="S124" s="15">
        <f>IFERROR(R124/R148, "NA")</f>
        <v>0</v>
      </c>
      <c r="T124" s="28">
        <v>0.0</v>
      </c>
      <c r="U124" s="15">
        <f>IFERROR(T124/T148, "NA")</f>
        <v>0</v>
      </c>
      <c r="V124" s="28">
        <v>0.0</v>
      </c>
      <c r="W124" s="15">
        <f>IFERROR(V124/V148, "NA")</f>
        <v>0</v>
      </c>
      <c r="X124" s="28">
        <v>11800.0</v>
      </c>
      <c r="Y124" s="15">
        <f>IFERROR(X124/X148, "NA")</f>
        <v>0.07230867569</v>
      </c>
      <c r="Z124" s="28">
        <v>11800.0</v>
      </c>
      <c r="AA124" s="15">
        <f>IFERROR(Z124/Z148, "NA")</f>
        <v>0.02474680921</v>
      </c>
      <c r="AB124" s="57">
        <f t="shared" si="55"/>
        <v>2950</v>
      </c>
      <c r="AC124" s="15">
        <f>IFERROR(AB124/AB148, "NA")</f>
        <v>0.01828849931</v>
      </c>
      <c r="AD124" s="61">
        <f t="shared" si="56"/>
        <v>8850</v>
      </c>
      <c r="AE124" s="62">
        <f>IFERROR(AD124/AD148, "NA")</f>
        <v>4.693186262</v>
      </c>
      <c r="AF124" s="61">
        <f t="shared" si="57"/>
        <v>3</v>
      </c>
      <c r="AG124" s="57">
        <f t="shared" si="58"/>
        <v>1475</v>
      </c>
      <c r="AH124" s="15">
        <f>IFERROR(AG124/AG148, "NA")</f>
        <v>0.009319431017</v>
      </c>
      <c r="AI124" s="61">
        <f t="shared" si="59"/>
        <v>10325</v>
      </c>
      <c r="AJ124" s="62">
        <f>IFERROR(AI124/AI148, "NA")</f>
        <v>2.099513909</v>
      </c>
      <c r="AK124" s="61">
        <f t="shared" si="60"/>
        <v>7</v>
      </c>
      <c r="AL124" s="62">
        <f>IFERROR(AK124/AK148, "NA")</f>
        <v>225.2834862</v>
      </c>
    </row>
    <row r="125" ht="16.5" hidden="1" customHeight="1">
      <c r="A125" s="26" t="s">
        <v>238</v>
      </c>
      <c r="B125" s="28">
        <v>0.0</v>
      </c>
      <c r="C125" s="15">
        <f>IFERROR(B125/B148, "NA")</f>
        <v>0</v>
      </c>
      <c r="D125" s="28">
        <v>0.0</v>
      </c>
      <c r="E125" s="15">
        <f>IFERROR(D125/D148, "NA")</f>
        <v>0</v>
      </c>
      <c r="F125" s="28">
        <v>0.0</v>
      </c>
      <c r="G125" s="15">
        <f>IFERROR(F125/F148, "NA")</f>
        <v>0</v>
      </c>
      <c r="H125" s="28">
        <v>0.0</v>
      </c>
      <c r="I125" s="15">
        <f>IFERROR(H125/H148, "NA")</f>
        <v>0</v>
      </c>
      <c r="J125" s="28">
        <v>0.0</v>
      </c>
      <c r="K125" s="15">
        <f>IFERROR(J125/J148, "NA")</f>
        <v>0</v>
      </c>
      <c r="L125" s="28">
        <v>0.0</v>
      </c>
      <c r="M125" s="15">
        <f>IFERROR(L125/L148, "NA")</f>
        <v>0</v>
      </c>
      <c r="N125" s="28">
        <v>0.0</v>
      </c>
      <c r="O125" s="15">
        <f>IFERROR(N125/N148, "NA")</f>
        <v>0</v>
      </c>
      <c r="P125" s="28">
        <v>0.0</v>
      </c>
      <c r="Q125" s="15">
        <f>IFERROR(P125/P148, "NA")</f>
        <v>0</v>
      </c>
      <c r="R125" s="28">
        <v>0.0</v>
      </c>
      <c r="S125" s="15">
        <f>IFERROR(R125/R148, "NA")</f>
        <v>0</v>
      </c>
      <c r="T125" s="28">
        <v>0.0</v>
      </c>
      <c r="U125" s="15">
        <f>IFERROR(T125/T148, "NA")</f>
        <v>0</v>
      </c>
      <c r="V125" s="28">
        <v>0.0</v>
      </c>
      <c r="W125" s="15">
        <f>IFERROR(V125/V148, "NA")</f>
        <v>0</v>
      </c>
      <c r="X125" s="28">
        <v>0.0</v>
      </c>
      <c r="Y125" s="15">
        <f>IFERROR(X125/X148, "NA")</f>
        <v>0</v>
      </c>
      <c r="Z125" s="28">
        <v>0.0</v>
      </c>
      <c r="AA125" s="15">
        <f>IFERROR(Z125/Z148, "NA")</f>
        <v>0</v>
      </c>
      <c r="AB125" s="57">
        <f t="shared" si="55"/>
        <v>0</v>
      </c>
      <c r="AC125" s="15">
        <f>IFERROR(AB125/AB148, "NA")</f>
        <v>0</v>
      </c>
      <c r="AD125" s="61">
        <f t="shared" si="56"/>
        <v>0</v>
      </c>
      <c r="AE125" s="62">
        <f>IFERROR(AD125/AD148, "NA")</f>
        <v>0</v>
      </c>
      <c r="AF125" s="61" t="str">
        <f t="shared" si="57"/>
        <v>NA</v>
      </c>
      <c r="AG125" s="57">
        <f t="shared" si="58"/>
        <v>0</v>
      </c>
      <c r="AH125" s="15">
        <f>IFERROR(AG125/AG148, "NA")</f>
        <v>0</v>
      </c>
      <c r="AI125" s="61">
        <f t="shared" si="59"/>
        <v>0</v>
      </c>
      <c r="AJ125" s="62">
        <f>IFERROR(AI125/AI148, "NA")</f>
        <v>0</v>
      </c>
      <c r="AK125" s="61" t="str">
        <f t="shared" si="60"/>
        <v>NA</v>
      </c>
      <c r="AL125" s="62" t="str">
        <f>IFERROR(AK125/AK148, "NA")</f>
        <v>NA</v>
      </c>
    </row>
    <row r="126" ht="16.5" hidden="1" customHeight="1">
      <c r="A126" s="26" t="s">
        <v>239</v>
      </c>
      <c r="B126" s="28">
        <v>0.0</v>
      </c>
      <c r="C126" s="15">
        <f>IFERROR(B126/B148, "NA")</f>
        <v>0</v>
      </c>
      <c r="D126" s="28">
        <v>0.0</v>
      </c>
      <c r="E126" s="15">
        <f>IFERROR(D126/D148, "NA")</f>
        <v>0</v>
      </c>
      <c r="F126" s="28">
        <v>0.0</v>
      </c>
      <c r="G126" s="15">
        <f>IFERROR(F126/F148, "NA")</f>
        <v>0</v>
      </c>
      <c r="H126" s="28">
        <v>0.0</v>
      </c>
      <c r="I126" s="15">
        <f>IFERROR(H126/H148, "NA")</f>
        <v>0</v>
      </c>
      <c r="J126" s="28">
        <v>0.0</v>
      </c>
      <c r="K126" s="15">
        <f>IFERROR(J126/J148, "NA")</f>
        <v>0</v>
      </c>
      <c r="L126" s="28">
        <v>0.0</v>
      </c>
      <c r="M126" s="15">
        <f>IFERROR(L126/L148, "NA")</f>
        <v>0</v>
      </c>
      <c r="N126" s="28">
        <v>0.0</v>
      </c>
      <c r="O126" s="15">
        <f>IFERROR(N126/N148, "NA")</f>
        <v>0</v>
      </c>
      <c r="P126" s="28">
        <v>0.0</v>
      </c>
      <c r="Q126" s="15">
        <f>IFERROR(P126/P148, "NA")</f>
        <v>0</v>
      </c>
      <c r="R126" s="28">
        <v>0.0</v>
      </c>
      <c r="S126" s="15">
        <f>IFERROR(R126/R148, "NA")</f>
        <v>0</v>
      </c>
      <c r="T126" s="28">
        <v>0.0</v>
      </c>
      <c r="U126" s="15">
        <f>IFERROR(T126/T148, "NA")</f>
        <v>0</v>
      </c>
      <c r="V126" s="28">
        <v>0.0</v>
      </c>
      <c r="W126" s="15">
        <f>IFERROR(V126/V148, "NA")</f>
        <v>0</v>
      </c>
      <c r="X126" s="28">
        <v>0.0</v>
      </c>
      <c r="Y126" s="15">
        <f>IFERROR(X126/X148, "NA")</f>
        <v>0</v>
      </c>
      <c r="Z126" s="28">
        <v>0.0</v>
      </c>
      <c r="AA126" s="15">
        <f>IFERROR(Z126/Z148, "NA")</f>
        <v>0</v>
      </c>
      <c r="AB126" s="57">
        <f t="shared" si="55"/>
        <v>0</v>
      </c>
      <c r="AC126" s="15">
        <f>IFERROR(AB126/AB148, "NA")</f>
        <v>0</v>
      </c>
      <c r="AD126" s="61">
        <f t="shared" si="56"/>
        <v>0</v>
      </c>
      <c r="AE126" s="62">
        <f>IFERROR(AD126/AD148, "NA")</f>
        <v>0</v>
      </c>
      <c r="AF126" s="61" t="str">
        <f t="shared" si="57"/>
        <v>NA</v>
      </c>
      <c r="AG126" s="57">
        <f t="shared" si="58"/>
        <v>0</v>
      </c>
      <c r="AH126" s="15">
        <f>IFERROR(AG126/AG148, "NA")</f>
        <v>0</v>
      </c>
      <c r="AI126" s="61">
        <f t="shared" si="59"/>
        <v>0</v>
      </c>
      <c r="AJ126" s="62">
        <f>IFERROR(AI126/AI148, "NA")</f>
        <v>0</v>
      </c>
      <c r="AK126" s="61" t="str">
        <f t="shared" si="60"/>
        <v>NA</v>
      </c>
      <c r="AL126" s="62" t="str">
        <f>IFERROR(AK126/AK148, "NA")</f>
        <v>NA</v>
      </c>
    </row>
    <row r="127" ht="16.5" hidden="1" customHeight="1">
      <c r="A127" s="26" t="s">
        <v>240</v>
      </c>
      <c r="B127" s="28">
        <v>0.0</v>
      </c>
      <c r="C127" s="15">
        <f>IFERROR(B127/B148, "NA")</f>
        <v>0</v>
      </c>
      <c r="D127" s="28">
        <v>0.0</v>
      </c>
      <c r="E127" s="15">
        <f>IFERROR(D127/D148, "NA")</f>
        <v>0</v>
      </c>
      <c r="F127" s="28">
        <v>0.0</v>
      </c>
      <c r="G127" s="15">
        <f>IFERROR(F127/F148, "NA")</f>
        <v>0</v>
      </c>
      <c r="H127" s="28">
        <v>0.0</v>
      </c>
      <c r="I127" s="15">
        <f>IFERROR(H127/H148, "NA")</f>
        <v>0</v>
      </c>
      <c r="J127" s="28">
        <v>0.0</v>
      </c>
      <c r="K127" s="15">
        <f>IFERROR(J127/J148, "NA")</f>
        <v>0</v>
      </c>
      <c r="L127" s="28">
        <v>0.0</v>
      </c>
      <c r="M127" s="15">
        <f>IFERROR(L127/L148, "NA")</f>
        <v>0</v>
      </c>
      <c r="N127" s="28">
        <v>0.0</v>
      </c>
      <c r="O127" s="15">
        <f>IFERROR(N127/N148, "NA")</f>
        <v>0</v>
      </c>
      <c r="P127" s="28">
        <v>0.0</v>
      </c>
      <c r="Q127" s="15">
        <f>IFERROR(P127/P148, "NA")</f>
        <v>0</v>
      </c>
      <c r="R127" s="28">
        <v>0.0</v>
      </c>
      <c r="S127" s="15">
        <f>IFERROR(R127/R148, "NA")</f>
        <v>0</v>
      </c>
      <c r="T127" s="28">
        <v>0.0</v>
      </c>
      <c r="U127" s="15">
        <f>IFERROR(T127/T148, "NA")</f>
        <v>0</v>
      </c>
      <c r="V127" s="28">
        <v>0.0</v>
      </c>
      <c r="W127" s="15">
        <f>IFERROR(V127/V148, "NA")</f>
        <v>0</v>
      </c>
      <c r="X127" s="28">
        <v>0.0</v>
      </c>
      <c r="Y127" s="15">
        <f>IFERROR(X127/X148, "NA")</f>
        <v>0</v>
      </c>
      <c r="Z127" s="28">
        <v>0.0</v>
      </c>
      <c r="AA127" s="15">
        <f>IFERROR(Z127/Z148, "NA")</f>
        <v>0</v>
      </c>
      <c r="AB127" s="57">
        <f t="shared" si="55"/>
        <v>0</v>
      </c>
      <c r="AC127" s="15">
        <f>IFERROR(AB127/AB148, "NA")</f>
        <v>0</v>
      </c>
      <c r="AD127" s="61">
        <f t="shared" si="56"/>
        <v>0</v>
      </c>
      <c r="AE127" s="62">
        <f>IFERROR(AD127/AD148, "NA")</f>
        <v>0</v>
      </c>
      <c r="AF127" s="61" t="str">
        <f t="shared" si="57"/>
        <v>NA</v>
      </c>
      <c r="AG127" s="57">
        <f t="shared" si="58"/>
        <v>0</v>
      </c>
      <c r="AH127" s="15">
        <f>IFERROR(AG127/AG148, "NA")</f>
        <v>0</v>
      </c>
      <c r="AI127" s="61">
        <f t="shared" si="59"/>
        <v>0</v>
      </c>
      <c r="AJ127" s="62">
        <f>IFERROR(AI127/AI148, "NA")</f>
        <v>0</v>
      </c>
      <c r="AK127" s="61" t="str">
        <f t="shared" si="60"/>
        <v>NA</v>
      </c>
      <c r="AL127" s="62" t="str">
        <f>IFERROR(AK127/AK148, "NA")</f>
        <v>NA</v>
      </c>
    </row>
    <row r="128" ht="16.5" hidden="1" customHeight="1">
      <c r="A128" s="26" t="s">
        <v>241</v>
      </c>
      <c r="B128" s="28">
        <v>2311.67</v>
      </c>
      <c r="C128" s="15">
        <f>IFERROR(B128/B148, "NA")</f>
        <v>0.02704685401</v>
      </c>
      <c r="D128" s="28">
        <v>2810.24</v>
      </c>
      <c r="E128" s="15">
        <f>IFERROR(D128/D148, "NA")</f>
        <v>0.02321081191</v>
      </c>
      <c r="F128" s="28">
        <v>3061.77</v>
      </c>
      <c r="G128" s="15">
        <f>IFERROR(F128/F148, "NA")</f>
        <v>0.02313688027</v>
      </c>
      <c r="H128" s="28">
        <v>-8183.68</v>
      </c>
      <c r="I128" s="15">
        <f>IFERROR(H128/H148, "NA")</f>
        <v>-0.05721464791</v>
      </c>
      <c r="J128" s="28">
        <v>4814.68</v>
      </c>
      <c r="K128" s="15">
        <f>IFERROR(J128/J148, "NA")</f>
        <v>0.03597084248</v>
      </c>
      <c r="L128" s="28">
        <v>1724.87</v>
      </c>
      <c r="M128" s="15">
        <f>IFERROR(L128/L148, "NA")</f>
        <v>0.0111491763</v>
      </c>
      <c r="N128" s="28">
        <v>1983.11</v>
      </c>
      <c r="O128" s="15">
        <f>IFERROR(N128/N148, "NA")</f>
        <v>0.01241839336</v>
      </c>
      <c r="P128" s="28">
        <v>1932.1</v>
      </c>
      <c r="Q128" s="15">
        <f>IFERROR(P128/P148, "NA")</f>
        <v>0.01118706897</v>
      </c>
      <c r="R128" s="28">
        <v>-10454.76</v>
      </c>
      <c r="S128" s="15">
        <f>IFERROR(R128/R148, "NA")</f>
        <v>-0.06208839881</v>
      </c>
      <c r="T128" s="28">
        <v>1918.85</v>
      </c>
      <c r="U128" s="15">
        <f>IFERROR(T128/T148, "NA")</f>
        <v>0.01221336604</v>
      </c>
      <c r="V128" s="28">
        <v>2371.74</v>
      </c>
      <c r="W128" s="15">
        <f>IFERROR(V128/V148, "NA")</f>
        <v>0.01515205915</v>
      </c>
      <c r="X128" s="28">
        <v>2426.96</v>
      </c>
      <c r="Y128" s="15">
        <f>IFERROR(X128/X148, "NA")</f>
        <v>0.01487205623</v>
      </c>
      <c r="Z128" s="28">
        <v>6717.55</v>
      </c>
      <c r="AA128" s="15">
        <f>IFERROR(Z128/Z148, "NA")</f>
        <v>0.01408796002</v>
      </c>
      <c r="AB128" s="57">
        <f t="shared" si="55"/>
        <v>-934.3025</v>
      </c>
      <c r="AC128" s="15">
        <f>IFERROR(AB128/AB148, "NA")</f>
        <v>-0.005792200212</v>
      </c>
      <c r="AD128" s="61">
        <f t="shared" si="56"/>
        <v>3361.2625</v>
      </c>
      <c r="AE128" s="62">
        <f>IFERROR(AD128/AD148, "NA")</f>
        <v>1.782489377</v>
      </c>
      <c r="AF128" s="61">
        <f t="shared" si="57"/>
        <v>-3.597616939</v>
      </c>
      <c r="AG128" s="57">
        <f t="shared" si="58"/>
        <v>839.69375</v>
      </c>
      <c r="AH128" s="15">
        <f>IFERROR(AG128/AG148, "NA")</f>
        <v>0.005305402019</v>
      </c>
      <c r="AI128" s="61">
        <f t="shared" si="59"/>
        <v>1587.26625</v>
      </c>
      <c r="AJ128" s="62">
        <f>IFERROR(AI128/AI148, "NA")</f>
        <v>0.3227590866</v>
      </c>
      <c r="AK128" s="61">
        <f t="shared" si="60"/>
        <v>1.890291847</v>
      </c>
      <c r="AL128" s="62">
        <f>IFERROR(AK128/AK148, "NA")</f>
        <v>60.83593391</v>
      </c>
    </row>
    <row r="129" ht="16.5" hidden="1" customHeight="1">
      <c r="A129" s="26" t="s">
        <v>242</v>
      </c>
      <c r="B129" s="28">
        <v>0.0</v>
      </c>
      <c r="C129" s="15">
        <f>IFERROR(B129/B148, "NA")</f>
        <v>0</v>
      </c>
      <c r="D129" s="28">
        <v>0.0</v>
      </c>
      <c r="E129" s="15">
        <f>IFERROR(D129/D148, "NA")</f>
        <v>0</v>
      </c>
      <c r="F129" s="28">
        <v>0.0</v>
      </c>
      <c r="G129" s="15">
        <f>IFERROR(F129/F148, "NA")</f>
        <v>0</v>
      </c>
      <c r="H129" s="28">
        <v>0.0</v>
      </c>
      <c r="I129" s="15">
        <f>IFERROR(H129/H148, "NA")</f>
        <v>0</v>
      </c>
      <c r="J129" s="28">
        <v>0.0</v>
      </c>
      <c r="K129" s="15">
        <f>IFERROR(J129/J148, "NA")</f>
        <v>0</v>
      </c>
      <c r="L129" s="28">
        <v>0.0</v>
      </c>
      <c r="M129" s="15">
        <f>IFERROR(L129/L148, "NA")</f>
        <v>0</v>
      </c>
      <c r="N129" s="28">
        <v>0.0</v>
      </c>
      <c r="O129" s="15">
        <f>IFERROR(N129/N148, "NA")</f>
        <v>0</v>
      </c>
      <c r="P129" s="28">
        <v>0.0</v>
      </c>
      <c r="Q129" s="15">
        <f>IFERROR(P129/P148, "NA")</f>
        <v>0</v>
      </c>
      <c r="R129" s="28">
        <v>0.0</v>
      </c>
      <c r="S129" s="15">
        <f>IFERROR(R129/R148, "NA")</f>
        <v>0</v>
      </c>
      <c r="T129" s="28">
        <v>0.0</v>
      </c>
      <c r="U129" s="15">
        <f>IFERROR(T129/T148, "NA")</f>
        <v>0</v>
      </c>
      <c r="V129" s="28">
        <v>0.0</v>
      </c>
      <c r="W129" s="15">
        <f>IFERROR(V129/V148, "NA")</f>
        <v>0</v>
      </c>
      <c r="X129" s="28">
        <v>0.0</v>
      </c>
      <c r="Y129" s="15">
        <f>IFERROR(X129/X148, "NA")</f>
        <v>0</v>
      </c>
      <c r="Z129" s="28">
        <v>0.0</v>
      </c>
      <c r="AA129" s="15">
        <f>IFERROR(Z129/Z148, "NA")</f>
        <v>0</v>
      </c>
      <c r="AB129" s="57">
        <f t="shared" si="55"/>
        <v>0</v>
      </c>
      <c r="AC129" s="15">
        <f>IFERROR(AB129/AB148, "NA")</f>
        <v>0</v>
      </c>
      <c r="AD129" s="61">
        <f t="shared" si="56"/>
        <v>0</v>
      </c>
      <c r="AE129" s="62">
        <f>IFERROR(AD129/AD148, "NA")</f>
        <v>0</v>
      </c>
      <c r="AF129" s="61" t="str">
        <f t="shared" si="57"/>
        <v>NA</v>
      </c>
      <c r="AG129" s="57">
        <f t="shared" si="58"/>
        <v>0</v>
      </c>
      <c r="AH129" s="15">
        <f>IFERROR(AG129/AG148, "NA")</f>
        <v>0</v>
      </c>
      <c r="AI129" s="61">
        <f t="shared" si="59"/>
        <v>0</v>
      </c>
      <c r="AJ129" s="62">
        <f>IFERROR(AI129/AI148, "NA")</f>
        <v>0</v>
      </c>
      <c r="AK129" s="61" t="str">
        <f t="shared" si="60"/>
        <v>NA</v>
      </c>
      <c r="AL129" s="62" t="str">
        <f>IFERROR(AK129/AK148, "NA")</f>
        <v>NA</v>
      </c>
    </row>
    <row r="130" ht="16.5" hidden="1" customHeight="1">
      <c r="A130" s="26" t="s">
        <v>243</v>
      </c>
      <c r="B130" s="28">
        <v>0.0</v>
      </c>
      <c r="C130" s="15">
        <f>IFERROR(B130/B148, "NA")</f>
        <v>0</v>
      </c>
      <c r="D130" s="28">
        <v>0.0</v>
      </c>
      <c r="E130" s="15">
        <f>IFERROR(D130/D148, "NA")</f>
        <v>0</v>
      </c>
      <c r="F130" s="28">
        <v>0.0</v>
      </c>
      <c r="G130" s="15">
        <f>IFERROR(F130/F148, "NA")</f>
        <v>0</v>
      </c>
      <c r="H130" s="28">
        <v>0.0</v>
      </c>
      <c r="I130" s="15">
        <f>IFERROR(H130/H148, "NA")</f>
        <v>0</v>
      </c>
      <c r="J130" s="28">
        <v>0.0</v>
      </c>
      <c r="K130" s="15">
        <f>IFERROR(J130/J148, "NA")</f>
        <v>0</v>
      </c>
      <c r="L130" s="28">
        <v>0.0</v>
      </c>
      <c r="M130" s="15">
        <f>IFERROR(L130/L148, "NA")</f>
        <v>0</v>
      </c>
      <c r="N130" s="28">
        <v>0.0</v>
      </c>
      <c r="O130" s="15">
        <f>IFERROR(N130/N148, "NA")</f>
        <v>0</v>
      </c>
      <c r="P130" s="28">
        <v>0.0</v>
      </c>
      <c r="Q130" s="15">
        <f>IFERROR(P130/P148, "NA")</f>
        <v>0</v>
      </c>
      <c r="R130" s="28">
        <v>0.0</v>
      </c>
      <c r="S130" s="15">
        <f>IFERROR(R130/R148, "NA")</f>
        <v>0</v>
      </c>
      <c r="T130" s="28">
        <v>0.0</v>
      </c>
      <c r="U130" s="15">
        <f>IFERROR(T130/T148, "NA")</f>
        <v>0</v>
      </c>
      <c r="V130" s="28">
        <v>0.0</v>
      </c>
      <c r="W130" s="15">
        <f>IFERROR(V130/V148, "NA")</f>
        <v>0</v>
      </c>
      <c r="X130" s="28">
        <v>0.0</v>
      </c>
      <c r="Y130" s="15">
        <f>IFERROR(X130/X148, "NA")</f>
        <v>0</v>
      </c>
      <c r="Z130" s="28">
        <v>0.0</v>
      </c>
      <c r="AA130" s="15">
        <f>IFERROR(Z130/Z148, "NA")</f>
        <v>0</v>
      </c>
      <c r="AB130" s="57">
        <f t="shared" si="55"/>
        <v>0</v>
      </c>
      <c r="AC130" s="15">
        <f>IFERROR(AB130/AB148, "NA")</f>
        <v>0</v>
      </c>
      <c r="AD130" s="61">
        <f t="shared" si="56"/>
        <v>0</v>
      </c>
      <c r="AE130" s="62">
        <f>IFERROR(AD130/AD148, "NA")</f>
        <v>0</v>
      </c>
      <c r="AF130" s="61" t="str">
        <f t="shared" si="57"/>
        <v>NA</v>
      </c>
      <c r="AG130" s="57">
        <f t="shared" si="58"/>
        <v>0</v>
      </c>
      <c r="AH130" s="15">
        <f>IFERROR(AG130/AG148, "NA")</f>
        <v>0</v>
      </c>
      <c r="AI130" s="61">
        <f t="shared" si="59"/>
        <v>0</v>
      </c>
      <c r="AJ130" s="62">
        <f>IFERROR(AI130/AI148, "NA")</f>
        <v>0</v>
      </c>
      <c r="AK130" s="61" t="str">
        <f t="shared" si="60"/>
        <v>NA</v>
      </c>
      <c r="AL130" s="62" t="str">
        <f>IFERROR(AK130/AK148, "NA")</f>
        <v>NA</v>
      </c>
    </row>
    <row r="131" ht="16.5" hidden="1" customHeight="1">
      <c r="A131" s="26" t="s">
        <v>244</v>
      </c>
      <c r="B131" s="28">
        <v>0.0</v>
      </c>
      <c r="C131" s="15">
        <f>IFERROR(B131/B148, "NA")</f>
        <v>0</v>
      </c>
      <c r="D131" s="28">
        <v>0.0</v>
      </c>
      <c r="E131" s="15">
        <f>IFERROR(D131/D148, "NA")</f>
        <v>0</v>
      </c>
      <c r="F131" s="28">
        <v>0.0</v>
      </c>
      <c r="G131" s="15">
        <f>IFERROR(F131/F148, "NA")</f>
        <v>0</v>
      </c>
      <c r="H131" s="28">
        <v>0.0</v>
      </c>
      <c r="I131" s="15">
        <f>IFERROR(H131/H148, "NA")</f>
        <v>0</v>
      </c>
      <c r="J131" s="28">
        <v>0.0</v>
      </c>
      <c r="K131" s="15">
        <f>IFERROR(J131/J148, "NA")</f>
        <v>0</v>
      </c>
      <c r="L131" s="28">
        <v>0.0</v>
      </c>
      <c r="M131" s="15">
        <f>IFERROR(L131/L148, "NA")</f>
        <v>0</v>
      </c>
      <c r="N131" s="28">
        <v>0.0</v>
      </c>
      <c r="O131" s="15">
        <f>IFERROR(N131/N148, "NA")</f>
        <v>0</v>
      </c>
      <c r="P131" s="28">
        <v>0.0</v>
      </c>
      <c r="Q131" s="15">
        <f>IFERROR(P131/P148, "NA")</f>
        <v>0</v>
      </c>
      <c r="R131" s="28">
        <v>0.0</v>
      </c>
      <c r="S131" s="15">
        <f>IFERROR(R131/R148, "NA")</f>
        <v>0</v>
      </c>
      <c r="T131" s="28">
        <v>0.0</v>
      </c>
      <c r="U131" s="15">
        <f>IFERROR(T131/T148, "NA")</f>
        <v>0</v>
      </c>
      <c r="V131" s="28">
        <v>0.0</v>
      </c>
      <c r="W131" s="15">
        <f>IFERROR(V131/V148, "NA")</f>
        <v>0</v>
      </c>
      <c r="X131" s="28">
        <v>0.0</v>
      </c>
      <c r="Y131" s="15">
        <f>IFERROR(X131/X148, "NA")</f>
        <v>0</v>
      </c>
      <c r="Z131" s="28">
        <v>0.0</v>
      </c>
      <c r="AA131" s="15">
        <f>IFERROR(Z131/Z148, "NA")</f>
        <v>0</v>
      </c>
      <c r="AB131" s="57">
        <f t="shared" si="55"/>
        <v>0</v>
      </c>
      <c r="AC131" s="15">
        <f>IFERROR(AB131/AB148, "NA")</f>
        <v>0</v>
      </c>
      <c r="AD131" s="61">
        <f t="shared" si="56"/>
        <v>0</v>
      </c>
      <c r="AE131" s="62">
        <f>IFERROR(AD131/AD148, "NA")</f>
        <v>0</v>
      </c>
      <c r="AF131" s="61" t="str">
        <f t="shared" si="57"/>
        <v>NA</v>
      </c>
      <c r="AG131" s="57">
        <f t="shared" si="58"/>
        <v>0</v>
      </c>
      <c r="AH131" s="15">
        <f>IFERROR(AG131/AG148, "NA")</f>
        <v>0</v>
      </c>
      <c r="AI131" s="61">
        <f t="shared" si="59"/>
        <v>0</v>
      </c>
      <c r="AJ131" s="62">
        <f>IFERROR(AI131/AI148, "NA")</f>
        <v>0</v>
      </c>
      <c r="AK131" s="61" t="str">
        <f t="shared" si="60"/>
        <v>NA</v>
      </c>
      <c r="AL131" s="62" t="str">
        <f>IFERROR(AK131/AK148, "NA")</f>
        <v>NA</v>
      </c>
    </row>
    <row r="132" ht="16.5" hidden="1" customHeight="1">
      <c r="A132" s="26" t="s">
        <v>245</v>
      </c>
      <c r="B132" s="28">
        <v>0.0</v>
      </c>
      <c r="C132" s="15">
        <f>IFERROR(B132/B148, "NA")</f>
        <v>0</v>
      </c>
      <c r="D132" s="28">
        <v>0.0</v>
      </c>
      <c r="E132" s="15">
        <f>IFERROR(D132/D148, "NA")</f>
        <v>0</v>
      </c>
      <c r="F132" s="28">
        <v>0.0</v>
      </c>
      <c r="G132" s="15">
        <f>IFERROR(F132/F148, "NA")</f>
        <v>0</v>
      </c>
      <c r="H132" s="28">
        <v>0.0</v>
      </c>
      <c r="I132" s="15">
        <f>IFERROR(H132/H148, "NA")</f>
        <v>0</v>
      </c>
      <c r="J132" s="28">
        <v>0.0</v>
      </c>
      <c r="K132" s="15">
        <f>IFERROR(J132/J148, "NA")</f>
        <v>0</v>
      </c>
      <c r="L132" s="28">
        <v>0.0</v>
      </c>
      <c r="M132" s="15">
        <f>IFERROR(L132/L148, "NA")</f>
        <v>0</v>
      </c>
      <c r="N132" s="28">
        <v>0.0</v>
      </c>
      <c r="O132" s="15">
        <f>IFERROR(N132/N148, "NA")</f>
        <v>0</v>
      </c>
      <c r="P132" s="28">
        <v>0.0</v>
      </c>
      <c r="Q132" s="15">
        <f>IFERROR(P132/P148, "NA")</f>
        <v>0</v>
      </c>
      <c r="R132" s="28">
        <v>0.0</v>
      </c>
      <c r="S132" s="15">
        <f>IFERROR(R132/R148, "NA")</f>
        <v>0</v>
      </c>
      <c r="T132" s="28">
        <v>0.0</v>
      </c>
      <c r="U132" s="15">
        <f>IFERROR(T132/T148, "NA")</f>
        <v>0</v>
      </c>
      <c r="V132" s="28">
        <v>0.0</v>
      </c>
      <c r="W132" s="15">
        <f>IFERROR(V132/V148, "NA")</f>
        <v>0</v>
      </c>
      <c r="X132" s="28">
        <v>0.0</v>
      </c>
      <c r="Y132" s="15">
        <f>IFERROR(X132/X148, "NA")</f>
        <v>0</v>
      </c>
      <c r="Z132" s="28">
        <v>0.0</v>
      </c>
      <c r="AA132" s="15">
        <f>IFERROR(Z132/Z148, "NA")</f>
        <v>0</v>
      </c>
      <c r="AB132" s="57">
        <f t="shared" si="55"/>
        <v>0</v>
      </c>
      <c r="AC132" s="15">
        <f>IFERROR(AB132/AB148, "NA")</f>
        <v>0</v>
      </c>
      <c r="AD132" s="61">
        <f t="shared" si="56"/>
        <v>0</v>
      </c>
      <c r="AE132" s="62">
        <f>IFERROR(AD132/AD148, "NA")</f>
        <v>0</v>
      </c>
      <c r="AF132" s="61" t="str">
        <f t="shared" si="57"/>
        <v>NA</v>
      </c>
      <c r="AG132" s="57">
        <f t="shared" si="58"/>
        <v>0</v>
      </c>
      <c r="AH132" s="15">
        <f>IFERROR(AG132/AG148, "NA")</f>
        <v>0</v>
      </c>
      <c r="AI132" s="61">
        <f t="shared" si="59"/>
        <v>0</v>
      </c>
      <c r="AJ132" s="62">
        <f>IFERROR(AI132/AI148, "NA")</f>
        <v>0</v>
      </c>
      <c r="AK132" s="61" t="str">
        <f t="shared" si="60"/>
        <v>NA</v>
      </c>
      <c r="AL132" s="62" t="str">
        <f>IFERROR(AK132/AK148, "NA")</f>
        <v>NA</v>
      </c>
    </row>
    <row r="133" ht="16.5" hidden="1" customHeight="1">
      <c r="A133" s="26" t="s">
        <v>246</v>
      </c>
      <c r="B133" s="28">
        <v>0.0</v>
      </c>
      <c r="C133" s="15">
        <f>IFERROR(B133/B148, "NA")</f>
        <v>0</v>
      </c>
      <c r="D133" s="28">
        <v>0.0</v>
      </c>
      <c r="E133" s="15">
        <f>IFERROR(D133/D148, "NA")</f>
        <v>0</v>
      </c>
      <c r="F133" s="28">
        <v>0.0</v>
      </c>
      <c r="G133" s="15">
        <f>IFERROR(F133/F148, "NA")</f>
        <v>0</v>
      </c>
      <c r="H133" s="28">
        <v>0.0</v>
      </c>
      <c r="I133" s="15">
        <f>IFERROR(H133/H148, "NA")</f>
        <v>0</v>
      </c>
      <c r="J133" s="28">
        <v>0.0</v>
      </c>
      <c r="K133" s="15">
        <f>IFERROR(J133/J148, "NA")</f>
        <v>0</v>
      </c>
      <c r="L133" s="28">
        <v>0.0</v>
      </c>
      <c r="M133" s="15">
        <f>IFERROR(L133/L148, "NA")</f>
        <v>0</v>
      </c>
      <c r="N133" s="28">
        <v>0.0</v>
      </c>
      <c r="O133" s="15">
        <f>IFERROR(N133/N148, "NA")</f>
        <v>0</v>
      </c>
      <c r="P133" s="28">
        <v>0.0</v>
      </c>
      <c r="Q133" s="15">
        <f>IFERROR(P133/P148, "NA")</f>
        <v>0</v>
      </c>
      <c r="R133" s="28">
        <v>0.0</v>
      </c>
      <c r="S133" s="15">
        <f>IFERROR(R133/R148, "NA")</f>
        <v>0</v>
      </c>
      <c r="T133" s="28">
        <v>0.0</v>
      </c>
      <c r="U133" s="15">
        <f>IFERROR(T133/T148, "NA")</f>
        <v>0</v>
      </c>
      <c r="V133" s="28">
        <v>0.0</v>
      </c>
      <c r="W133" s="15">
        <f>IFERROR(V133/V148, "NA")</f>
        <v>0</v>
      </c>
      <c r="X133" s="28">
        <v>0.0</v>
      </c>
      <c r="Y133" s="15">
        <f>IFERROR(X133/X148, "NA")</f>
        <v>0</v>
      </c>
      <c r="Z133" s="28">
        <v>0.0</v>
      </c>
      <c r="AA133" s="15">
        <f>IFERROR(Z133/Z148, "NA")</f>
        <v>0</v>
      </c>
      <c r="AB133" s="57">
        <f t="shared" si="55"/>
        <v>0</v>
      </c>
      <c r="AC133" s="15">
        <f>IFERROR(AB133/AB148, "NA")</f>
        <v>0</v>
      </c>
      <c r="AD133" s="61">
        <f t="shared" si="56"/>
        <v>0</v>
      </c>
      <c r="AE133" s="62">
        <f>IFERROR(AD133/AD148, "NA")</f>
        <v>0</v>
      </c>
      <c r="AF133" s="61" t="str">
        <f t="shared" si="57"/>
        <v>NA</v>
      </c>
      <c r="AG133" s="57">
        <f t="shared" si="58"/>
        <v>0</v>
      </c>
      <c r="AH133" s="15">
        <f>IFERROR(AG133/AG148, "NA")</f>
        <v>0</v>
      </c>
      <c r="AI133" s="61">
        <f t="shared" si="59"/>
        <v>0</v>
      </c>
      <c r="AJ133" s="62">
        <f>IFERROR(AI133/AI148, "NA")</f>
        <v>0</v>
      </c>
      <c r="AK133" s="61" t="str">
        <f t="shared" si="60"/>
        <v>NA</v>
      </c>
      <c r="AL133" s="62" t="str">
        <f>IFERROR(AK133/AK148, "NA")</f>
        <v>NA</v>
      </c>
    </row>
    <row r="134" ht="16.5" hidden="1" customHeight="1">
      <c r="A134" s="26" t="s">
        <v>247</v>
      </c>
      <c r="B134" s="28">
        <v>0.0</v>
      </c>
      <c r="C134" s="15">
        <f>IFERROR(B134/B148, "NA")</f>
        <v>0</v>
      </c>
      <c r="D134" s="28">
        <v>0.0</v>
      </c>
      <c r="E134" s="15">
        <f>IFERROR(D134/D148, "NA")</f>
        <v>0</v>
      </c>
      <c r="F134" s="28">
        <v>0.0</v>
      </c>
      <c r="G134" s="15">
        <f>IFERROR(F134/F148, "NA")</f>
        <v>0</v>
      </c>
      <c r="H134" s="28">
        <v>0.0</v>
      </c>
      <c r="I134" s="15">
        <f>IFERROR(H134/H148, "NA")</f>
        <v>0</v>
      </c>
      <c r="J134" s="28">
        <v>0.0</v>
      </c>
      <c r="K134" s="15">
        <f>IFERROR(J134/J148, "NA")</f>
        <v>0</v>
      </c>
      <c r="L134" s="28">
        <v>0.0</v>
      </c>
      <c r="M134" s="15">
        <f>IFERROR(L134/L148, "NA")</f>
        <v>0</v>
      </c>
      <c r="N134" s="28">
        <v>0.0</v>
      </c>
      <c r="O134" s="15">
        <f>IFERROR(N134/N148, "NA")</f>
        <v>0</v>
      </c>
      <c r="P134" s="28">
        <v>0.0</v>
      </c>
      <c r="Q134" s="15">
        <f>IFERROR(P134/P148, "NA")</f>
        <v>0</v>
      </c>
      <c r="R134" s="28">
        <v>0.0</v>
      </c>
      <c r="S134" s="15">
        <f>IFERROR(R134/R148, "NA")</f>
        <v>0</v>
      </c>
      <c r="T134" s="28">
        <v>0.0</v>
      </c>
      <c r="U134" s="15">
        <f>IFERROR(T134/T148, "NA")</f>
        <v>0</v>
      </c>
      <c r="V134" s="28">
        <v>0.0</v>
      </c>
      <c r="W134" s="15">
        <f>IFERROR(V134/V148, "NA")</f>
        <v>0</v>
      </c>
      <c r="X134" s="28">
        <v>0.0</v>
      </c>
      <c r="Y134" s="15">
        <f>IFERROR(X134/X148, "NA")</f>
        <v>0</v>
      </c>
      <c r="Z134" s="28">
        <v>0.0</v>
      </c>
      <c r="AA134" s="15">
        <f>IFERROR(Z134/Z148, "NA")</f>
        <v>0</v>
      </c>
      <c r="AB134" s="57">
        <f t="shared" si="55"/>
        <v>0</v>
      </c>
      <c r="AC134" s="15">
        <f>IFERROR(AB134/AB148, "NA")</f>
        <v>0</v>
      </c>
      <c r="AD134" s="61">
        <f t="shared" si="56"/>
        <v>0</v>
      </c>
      <c r="AE134" s="62">
        <f>IFERROR(AD134/AD148, "NA")</f>
        <v>0</v>
      </c>
      <c r="AF134" s="61" t="str">
        <f t="shared" si="57"/>
        <v>NA</v>
      </c>
      <c r="AG134" s="57">
        <f t="shared" si="58"/>
        <v>0</v>
      </c>
      <c r="AH134" s="15">
        <f>IFERROR(AG134/AG148, "NA")</f>
        <v>0</v>
      </c>
      <c r="AI134" s="61">
        <f t="shared" si="59"/>
        <v>0</v>
      </c>
      <c r="AJ134" s="62">
        <f>IFERROR(AI134/AI148, "NA")</f>
        <v>0</v>
      </c>
      <c r="AK134" s="61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248</v>
      </c>
      <c r="B135" s="70">
        <f>IFERROR(B110+B111+B112+B113+B114+B115+B116+B117+B118+B119+B120+B121+B122+B123+B124+B125+B126+B127+B128+B129+B130+B131+B132+B133+B134, "NA")</f>
        <v>2311.67</v>
      </c>
      <c r="C135" s="71">
        <f>IFERROR(B135/B148, "NA")</f>
        <v>0.02704685401</v>
      </c>
      <c r="D135" s="70">
        <f>IFERROR(D110+D111+D112+D113+D114+D115+D116+D117+D118+D119+D120+D121+D122+D123+D124+D125+D126+D127+D128+D129+D130+D131+D132+D133+D134, "NA")</f>
        <v>2810.24</v>
      </c>
      <c r="E135" s="71">
        <f>IFERROR(D135/D148, "NA")</f>
        <v>0.02321081191</v>
      </c>
      <c r="F135" s="70">
        <f>IFERROR(F110+F111+F112+F113+F114+F115+F116+F117+F118+F119+F120+F121+F122+F123+F124+F125+F126+F127+F128+F129+F130+F131+F132+F133+F134, "NA")</f>
        <v>3061.77</v>
      </c>
      <c r="G135" s="71">
        <f>IFERROR(F135/F148, "NA")</f>
        <v>0.02313688027</v>
      </c>
      <c r="H135" s="70">
        <f>IFERROR(H110+H111+H112+H113+H114+H115+H116+H117+H118+H119+H120+H121+H122+H123+H124+H125+H126+H127+H128+H129+H130+H131+H132+H133+H134, "NA")</f>
        <v>-8183.68</v>
      </c>
      <c r="I135" s="71">
        <f>IFERROR(H135/H148, "NA")</f>
        <v>-0.05721464791</v>
      </c>
      <c r="J135" s="70">
        <f>IFERROR(J110+J111+J112+J113+J114+J115+J116+J117+J118+J119+J120+J121+J122+J123+J124+J125+J126+J127+J128+J129+J130+J131+J132+J133+J134, "NA")</f>
        <v>4814.68</v>
      </c>
      <c r="K135" s="71">
        <f>IFERROR(J135/J148, "NA")</f>
        <v>0.03597084248</v>
      </c>
      <c r="L135" s="70">
        <f>IFERROR(L110+L111+L112+L113+L114+L115+L116+L117+L118+L119+L120+L121+L122+L123+L124+L125+L126+L127+L128+L129+L130+L131+L132+L133+L134, "NA")</f>
        <v>1724.87</v>
      </c>
      <c r="M135" s="71">
        <f>IFERROR(L135/L148, "NA")</f>
        <v>0.0111491763</v>
      </c>
      <c r="N135" s="70">
        <f>IFERROR(N110+N111+N112+N113+N114+N115+N116+N117+N118+N119+N120+N121+N122+N123+N124+N125+N126+N127+N128+N129+N130+N131+N132+N133+N134, "NA")</f>
        <v>1983.11</v>
      </c>
      <c r="O135" s="71">
        <f>IFERROR(N135/N148, "NA")</f>
        <v>0.01241839336</v>
      </c>
      <c r="P135" s="70">
        <f>IFERROR(P110+P111+P112+P113+P114+P115+P116+P117+P118+P119+P120+P121+P122+P123+P124+P125+P126+P127+P128+P129+P130+P131+P132+P133+P134, "NA")</f>
        <v>1932.1</v>
      </c>
      <c r="Q135" s="71">
        <f>IFERROR(P135/P148, "NA")</f>
        <v>0.01118706897</v>
      </c>
      <c r="R135" s="70">
        <f>IFERROR(R110+R111+R112+R113+R114+R115+R116+R117+R118+R119+R120+R121+R122+R123+R124+R125+R126+R127+R128+R129+R130+R131+R132+R133+R134, "NA")</f>
        <v>-10454.76</v>
      </c>
      <c r="S135" s="71">
        <f>IFERROR(R135/R148, "NA")</f>
        <v>-0.06208839881</v>
      </c>
      <c r="T135" s="70">
        <f>IFERROR(T110+T111+T112+T113+T114+T115+T116+T117+T118+T119+T120+T121+T122+T123+T124+T125+T126+T127+T128+T129+T130+T131+T132+T133+T134, "NA")</f>
        <v>1918.85</v>
      </c>
      <c r="U135" s="71">
        <f>IFERROR(T135/T148, "NA")</f>
        <v>0.01221336604</v>
      </c>
      <c r="V135" s="70">
        <f>IFERROR(V110+V111+V112+V113+V114+V115+V116+V117+V118+V119+V120+V121+V122+V123+V124+V125+V126+V127+V128+V129+V130+V131+V132+V133+V134, "NA")</f>
        <v>2371.74</v>
      </c>
      <c r="W135" s="71">
        <f>IFERROR(V135/V148, "NA")</f>
        <v>0.01515205915</v>
      </c>
      <c r="X135" s="70">
        <f>IFERROR(X110+X111+X112+X113+X114+X115+X116+X117+X118+X119+X120+X121+X122+X123+X124+X125+X126+X127+X128+X129+X130+X131+X132+X133+X134, "NA")</f>
        <v>14226.96</v>
      </c>
      <c r="Y135" s="71">
        <f>IFERROR(X135/X148, "NA")</f>
        <v>0.08718073192</v>
      </c>
      <c r="Z135" s="70">
        <f>IFERROR(Z110+Z111+Z112+Z113+Z114+Z115+Z116+Z117+Z118+Z119+Z120+Z121+Z122+Z123+Z124+Z125+Z126+Z127+Z128+Z129+Z130+Z131+Z132+Z133+Z134, "NA")</f>
        <v>18517.55</v>
      </c>
      <c r="AA135" s="71">
        <f>IFERROR(Z135/Z148, "NA")</f>
        <v>0.03883476922</v>
      </c>
      <c r="AB135" s="70">
        <f t="shared" si="55"/>
        <v>2015.6975</v>
      </c>
      <c r="AC135" s="71">
        <f>IFERROR(AB135/AB148, "NA")</f>
        <v>0.0124962991</v>
      </c>
      <c r="AD135" s="75">
        <f t="shared" si="56"/>
        <v>12211.2625</v>
      </c>
      <c r="AE135" s="76">
        <f>IFERROR(AD135/AD148, "NA")</f>
        <v>6.47567564</v>
      </c>
      <c r="AF135" s="75">
        <f t="shared" si="57"/>
        <v>6.058082872</v>
      </c>
      <c r="AG135" s="70">
        <f t="shared" si="58"/>
        <v>2314.69375</v>
      </c>
      <c r="AH135" s="71">
        <f>IFERROR(AG135/AG148, "NA")</f>
        <v>0.01462483304</v>
      </c>
      <c r="AI135" s="75">
        <f t="shared" si="59"/>
        <v>11912.26625</v>
      </c>
      <c r="AJ135" s="76">
        <f>IFERROR(AI135/AI148, "NA")</f>
        <v>2.422272996</v>
      </c>
      <c r="AK135" s="75">
        <f t="shared" si="60"/>
        <v>5.146368175</v>
      </c>
      <c r="AL135" s="76">
        <f>IFERROR(AK135/AK148, "NA")</f>
        <v>165.6273948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2"/>
      <c r="AF136" s="125"/>
      <c r="AG136" s="124"/>
      <c r="AH136" s="74"/>
      <c r="AI136" s="125"/>
      <c r="AJ136" s="82"/>
      <c r="AK136" s="125"/>
      <c r="AL136" s="82"/>
    </row>
    <row r="137" ht="16.5" hidden="1" customHeight="1">
      <c r="A137" s="121" t="s">
        <v>249</v>
      </c>
      <c r="B137" s="122">
        <f>IFERROR(B107-B135, "NA")</f>
        <v>12573.58</v>
      </c>
      <c r="C137" s="98">
        <f>IFERROR(B137/B148, "NA")</f>
        <v>0.1471125994</v>
      </c>
      <c r="D137" s="122">
        <f>IFERROR(D107-D135, "NA")</f>
        <v>21987.05</v>
      </c>
      <c r="E137" s="98">
        <f>IFERROR(D137/D148, "NA")</f>
        <v>0.1815991809</v>
      </c>
      <c r="F137" s="122">
        <f>IFERROR(F107-F135, "NA")</f>
        <v>-514.14</v>
      </c>
      <c r="G137" s="98">
        <f>IFERROR(F137/F148, "NA")</f>
        <v>-0.003885202226</v>
      </c>
      <c r="H137" s="122">
        <f>IFERROR(H107-H135, "NA")</f>
        <v>-46102.65</v>
      </c>
      <c r="I137" s="98">
        <f>IFERROR(H137/H148, "NA")</f>
        <v>-0.322317941</v>
      </c>
      <c r="J137" s="122">
        <f>IFERROR(J107-J135, "NA")</f>
        <v>27478.6</v>
      </c>
      <c r="K137" s="98">
        <f>IFERROR(J137/J148, "NA")</f>
        <v>0.205294722</v>
      </c>
      <c r="L137" s="122">
        <f>IFERROR(L107-L135, "NA")</f>
        <v>36997.31</v>
      </c>
      <c r="M137" s="98">
        <f>IFERROR(L137/L148, "NA")</f>
        <v>0.2391423886</v>
      </c>
      <c r="N137" s="122">
        <f>IFERROR(N107-N135, "NA")</f>
        <v>15906.62</v>
      </c>
      <c r="O137" s="98">
        <f>IFERROR(N137/N148, "NA")</f>
        <v>0.09960852607</v>
      </c>
      <c r="P137" s="122">
        <f>IFERROR(P107-P135, "NA")</f>
        <v>49736.9</v>
      </c>
      <c r="Q137" s="98">
        <f>IFERROR(P137/P148, "NA")</f>
        <v>0.2879820562</v>
      </c>
      <c r="R137" s="122">
        <f>IFERROR(R107-R135, "NA")</f>
        <v>-41073.75</v>
      </c>
      <c r="S137" s="98">
        <f>IFERROR(R137/R148, "NA")</f>
        <v>-0.2439274905</v>
      </c>
      <c r="T137" s="122">
        <f>IFERROR(T107-T135, "NA")</f>
        <v>35857.1</v>
      </c>
      <c r="U137" s="98">
        <f>IFERROR(T137/T148, "NA")</f>
        <v>0.2282283074</v>
      </c>
      <c r="V137" s="122">
        <f>IFERROR(V107-V135, "NA")</f>
        <v>34283.24</v>
      </c>
      <c r="W137" s="98">
        <f>IFERROR(V137/V148, "NA")</f>
        <v>0.2190213431</v>
      </c>
      <c r="X137" s="122">
        <f>IFERROR(X107-X135, "NA")</f>
        <v>17567.69</v>
      </c>
      <c r="Y137" s="98">
        <f>IFERROR(X137/X148, "NA")</f>
        <v>0.1076522372</v>
      </c>
      <c r="Z137" s="122">
        <f>IFERROR(Z107-Z135, "NA")</f>
        <v>87708.03</v>
      </c>
      <c r="AA137" s="98">
        <f>IFERROR(Z137/Z148, "NA")</f>
        <v>0.1839401597</v>
      </c>
      <c r="AB137" s="122">
        <f>IFERROR((R137+T137+V137+X137)/4, "NA")</f>
        <v>11658.57</v>
      </c>
      <c r="AC137" s="98">
        <f>IFERROR(AB137/AB148, "NA")</f>
        <v>0.07227720319</v>
      </c>
      <c r="AD137" s="75">
        <f>IFERROR(X137-AB137, "NA")</f>
        <v>5909.12</v>
      </c>
      <c r="AE137" s="76">
        <f>IFERROR(AD137/AD148, "NA")</f>
        <v>3.13362721</v>
      </c>
      <c r="AF137" s="75">
        <f>IFERROR((X137-AB137)/AB137, "NA")</f>
        <v>0.5068477523</v>
      </c>
      <c r="AG137" s="122">
        <f>IFERROR((J137+L137+N137+P137+R137+T137+V137+X137)/8, "NA")</f>
        <v>22094.21375</v>
      </c>
      <c r="AH137" s="98">
        <f>IFERROR(AG137/AG148, "NA")</f>
        <v>0.1395969498</v>
      </c>
      <c r="AI137" s="75">
        <f>IFERROR(X137-AG137, "NA")</f>
        <v>-4526.52375</v>
      </c>
      <c r="AJ137" s="76">
        <f>IFERROR(AI137/AI148, "NA")</f>
        <v>-0.920435794</v>
      </c>
      <c r="AK137" s="75">
        <f>IFERROR((X137-AG137)/AG137, "NA")</f>
        <v>-0.2048737195</v>
      </c>
      <c r="AL137" s="76">
        <f>IFERROR(AK137/AK148, "NA")</f>
        <v>-6.59352368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2"/>
      <c r="AF138" s="125"/>
      <c r="AG138" s="124"/>
      <c r="AH138" s="74"/>
      <c r="AI138" s="125"/>
      <c r="AJ138" s="82"/>
      <c r="AK138" s="125"/>
      <c r="AL138" s="82"/>
    </row>
    <row r="139" ht="16.5" hidden="1" customHeight="1">
      <c r="A139" s="22" t="s">
        <v>250</v>
      </c>
      <c r="B139" s="23"/>
      <c r="C139" s="10"/>
      <c r="D139" s="23"/>
      <c r="E139" s="10"/>
      <c r="F139" s="23"/>
      <c r="G139" s="10"/>
      <c r="H139" s="23"/>
      <c r="I139" s="10"/>
      <c r="J139" s="23"/>
      <c r="K139" s="10"/>
      <c r="L139" s="23"/>
      <c r="M139" s="10"/>
      <c r="N139" s="23"/>
      <c r="O139" s="10"/>
      <c r="P139" s="23"/>
      <c r="Q139" s="10"/>
      <c r="R139" s="23"/>
      <c r="S139" s="10"/>
      <c r="T139" s="23"/>
      <c r="U139" s="10"/>
      <c r="V139" s="23"/>
      <c r="W139" s="10"/>
      <c r="X139" s="23"/>
      <c r="Y139" s="10"/>
      <c r="Z139" s="23"/>
      <c r="AA139" s="10"/>
      <c r="AB139" s="23"/>
      <c r="AC139" s="10"/>
      <c r="AD139" s="24"/>
      <c r="AE139" s="25"/>
      <c r="AF139" s="24"/>
      <c r="AG139" s="23"/>
      <c r="AH139" s="10"/>
      <c r="AI139" s="24"/>
      <c r="AJ139" s="25"/>
      <c r="AK139" s="24"/>
      <c r="AL139" s="25"/>
    </row>
    <row r="140" ht="16.5" hidden="1" customHeight="1">
      <c r="A140" s="26" t="s">
        <v>251</v>
      </c>
      <c r="B140" s="28">
        <v>638.08</v>
      </c>
      <c r="C140" s="15">
        <f>IFERROR(B140/B148, "NA")</f>
        <v>0.007465622952</v>
      </c>
      <c r="D140" s="28">
        <v>0.0</v>
      </c>
      <c r="E140" s="15">
        <f>IFERROR(D140/D148, "NA")</f>
        <v>0</v>
      </c>
      <c r="F140" s="28">
        <v>101.41</v>
      </c>
      <c r="G140" s="15">
        <f>IFERROR(F140/F148, "NA")</f>
        <v>0.0007663250433</v>
      </c>
      <c r="H140" s="28">
        <v>31300.04</v>
      </c>
      <c r="I140" s="15">
        <f>IFERROR(H140/H148, "NA")</f>
        <v>0.2188282983</v>
      </c>
      <c r="J140" s="28">
        <v>-122.23</v>
      </c>
      <c r="K140" s="15">
        <f>IFERROR(J140/J148, "NA")</f>
        <v>-0.0009131896775</v>
      </c>
      <c r="L140" s="28">
        <v>0.0</v>
      </c>
      <c r="M140" s="15">
        <f>IFERROR(L140/L148, "NA")</f>
        <v>0</v>
      </c>
      <c r="N140" s="28">
        <v>0.0</v>
      </c>
      <c r="O140" s="15">
        <f>IFERROR(N140/N148, "NA")</f>
        <v>0</v>
      </c>
      <c r="P140" s="28">
        <v>-352.54</v>
      </c>
      <c r="Q140" s="15">
        <f>IFERROR(P140/P148, "NA")</f>
        <v>-0.002041244913</v>
      </c>
      <c r="R140" s="28">
        <v>44901.72</v>
      </c>
      <c r="S140" s="15">
        <f>IFERROR(R140/R148, "NA")</f>
        <v>0.2666609179</v>
      </c>
      <c r="T140" s="28">
        <v>-113.35</v>
      </c>
      <c r="U140" s="15">
        <f>IFERROR(T140/T148, "NA")</f>
        <v>-0.0007214660036</v>
      </c>
      <c r="V140" s="28">
        <v>0.0</v>
      </c>
      <c r="W140" s="15">
        <f>IFERROR(V140/V148, "NA")</f>
        <v>0</v>
      </c>
      <c r="X140" s="28">
        <v>0.0</v>
      </c>
      <c r="Y140" s="15">
        <f>IFERROR(X140/X148, "NA")</f>
        <v>0</v>
      </c>
      <c r="Z140" s="28">
        <v>-113.35</v>
      </c>
      <c r="AA140" s="15">
        <f>IFERROR(Z140/Z148, "NA")</f>
        <v>-0.0002377161715</v>
      </c>
      <c r="AB140" s="57">
        <f t="shared" ref="AB140:AB141" si="61">IFERROR((R140+T140+V140+X140)/4, "NA")</f>
        <v>11197.0925</v>
      </c>
      <c r="AC140" s="15">
        <f>IFERROR(AB140/AB148, "NA")</f>
        <v>0.06941627744</v>
      </c>
      <c r="AD140" s="61">
        <f t="shared" ref="AD140:AD141" si="62">IFERROR(X140-AB140, "NA")</f>
        <v>-11197.0925</v>
      </c>
      <c r="AE140" s="62">
        <f>IFERROR(AD140/AD148, "NA")</f>
        <v>-5.937857706</v>
      </c>
      <c r="AF140" s="61">
        <f t="shared" ref="AF140:AF141" si="63">IFERROR((X140-AB140)/AB140, "NA")</f>
        <v>-1</v>
      </c>
      <c r="AG140" s="57">
        <f t="shared" ref="AG140:AG141" si="64">IFERROR((J140+L140+N140+P140+R140+T140+V140+X140)/8, "NA")</f>
        <v>5539.2</v>
      </c>
      <c r="AH140" s="15">
        <f>IFERROR(AG140/AG148, "NA")</f>
        <v>0.03499809647</v>
      </c>
      <c r="AI140" s="61">
        <f t="shared" ref="AI140:AI141" si="65">IFERROR(X140-AG140, "NA")</f>
        <v>-5539.2</v>
      </c>
      <c r="AJ140" s="62">
        <f>IFERROR(AI140/AI148, "NA")</f>
        <v>-1.126356169</v>
      </c>
      <c r="AK140" s="61">
        <f t="shared" ref="AK140:AK141" si="66">IFERROR((X140-AG140)/AG140, "NA")</f>
        <v>-1</v>
      </c>
      <c r="AL140" s="62">
        <f>IFERROR(AK140/AK148, "NA")</f>
        <v>-32.18335518</v>
      </c>
    </row>
    <row r="141" ht="16.5" hidden="1" customHeight="1">
      <c r="A141" s="67" t="s">
        <v>252</v>
      </c>
      <c r="B141" s="70">
        <f>IFERROR(B140, "NA")</f>
        <v>638.08</v>
      </c>
      <c r="C141" s="71">
        <f>IFERROR(B141/B148, "NA")</f>
        <v>0.007465622952</v>
      </c>
      <c r="D141" s="70">
        <f>IFERROR(D140, "NA")</f>
        <v>0</v>
      </c>
      <c r="E141" s="71">
        <f>IFERROR(D141/D148, "NA")</f>
        <v>0</v>
      </c>
      <c r="F141" s="70">
        <f>IFERROR(F140, "NA")</f>
        <v>101.41</v>
      </c>
      <c r="G141" s="71">
        <f>IFERROR(F141/F148, "NA")</f>
        <v>0.0007663250433</v>
      </c>
      <c r="H141" s="70">
        <f>IFERROR(H140, "NA")</f>
        <v>31300.04</v>
      </c>
      <c r="I141" s="71">
        <f>IFERROR(H141/H148, "NA")</f>
        <v>0.2188282983</v>
      </c>
      <c r="J141" s="70">
        <f>IFERROR(J140, "NA")</f>
        <v>-122.23</v>
      </c>
      <c r="K141" s="71">
        <f>IFERROR(J141/J148, "NA")</f>
        <v>-0.0009131896775</v>
      </c>
      <c r="L141" s="70">
        <f>IFERROR(L140, "NA")</f>
        <v>0</v>
      </c>
      <c r="M141" s="71">
        <f>IFERROR(L141/L148, "NA")</f>
        <v>0</v>
      </c>
      <c r="N141" s="70">
        <f>IFERROR(N140, "NA")</f>
        <v>0</v>
      </c>
      <c r="O141" s="71">
        <f>IFERROR(N141/N148, "NA")</f>
        <v>0</v>
      </c>
      <c r="P141" s="70">
        <f>IFERROR(P140, "NA")</f>
        <v>-352.54</v>
      </c>
      <c r="Q141" s="71">
        <f>IFERROR(P141/P148, "NA")</f>
        <v>-0.002041244913</v>
      </c>
      <c r="R141" s="70">
        <f>IFERROR(R140, "NA")</f>
        <v>44901.72</v>
      </c>
      <c r="S141" s="71">
        <f>IFERROR(R141/R148, "NA")</f>
        <v>0.2666609179</v>
      </c>
      <c r="T141" s="70">
        <f>IFERROR(T140, "NA")</f>
        <v>-113.35</v>
      </c>
      <c r="U141" s="71">
        <f>IFERROR(T141/T148, "NA")</f>
        <v>-0.0007214660036</v>
      </c>
      <c r="V141" s="70">
        <f>IFERROR(V140, "NA")</f>
        <v>0</v>
      </c>
      <c r="W141" s="71">
        <f>IFERROR(V141/V148, "NA")</f>
        <v>0</v>
      </c>
      <c r="X141" s="70">
        <f>IFERROR(X140, "NA")</f>
        <v>0</v>
      </c>
      <c r="Y141" s="71">
        <f>IFERROR(X141/X148, "NA")</f>
        <v>0</v>
      </c>
      <c r="Z141" s="70">
        <f>IFERROR(Z140, "NA")</f>
        <v>-113.35</v>
      </c>
      <c r="AA141" s="71">
        <f>IFERROR(Z141/Z148, "NA")</f>
        <v>-0.0002377161715</v>
      </c>
      <c r="AB141" s="70">
        <f t="shared" si="61"/>
        <v>11197.0925</v>
      </c>
      <c r="AC141" s="71">
        <f>IFERROR(AB141/AB148, "NA")</f>
        <v>0.06941627744</v>
      </c>
      <c r="AD141" s="75">
        <f t="shared" si="62"/>
        <v>-11197.0925</v>
      </c>
      <c r="AE141" s="76">
        <f>IFERROR(AD141/AD148, "NA")</f>
        <v>-5.937857706</v>
      </c>
      <c r="AF141" s="75">
        <f t="shared" si="63"/>
        <v>-1</v>
      </c>
      <c r="AG141" s="70">
        <f t="shared" si="64"/>
        <v>5539.2</v>
      </c>
      <c r="AH141" s="71">
        <f>IFERROR(AG141/AG148, "NA")</f>
        <v>0.03499809647</v>
      </c>
      <c r="AI141" s="75">
        <f t="shared" si="65"/>
        <v>-5539.2</v>
      </c>
      <c r="AJ141" s="76">
        <f>IFERROR(AI141/AI148, "NA")</f>
        <v>-1.126356169</v>
      </c>
      <c r="AK141" s="75">
        <f t="shared" si="66"/>
        <v>-1</v>
      </c>
      <c r="AL141" s="76">
        <f>IFERROR(AK141/AK148, "NA")</f>
        <v>-32.18335518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2"/>
      <c r="AF142" s="125"/>
      <c r="AG142" s="124"/>
      <c r="AH142" s="74"/>
      <c r="AI142" s="125"/>
      <c r="AJ142" s="82"/>
      <c r="AK142" s="125"/>
      <c r="AL142" s="82"/>
    </row>
    <row r="143" ht="16.5" hidden="1" customHeight="1">
      <c r="A143" s="22" t="s">
        <v>253</v>
      </c>
      <c r="B143" s="23"/>
      <c r="C143" s="10"/>
      <c r="D143" s="23"/>
      <c r="E143" s="10"/>
      <c r="F143" s="23"/>
      <c r="G143" s="10"/>
      <c r="H143" s="23"/>
      <c r="I143" s="10"/>
      <c r="J143" s="23"/>
      <c r="K143" s="10"/>
      <c r="L143" s="23"/>
      <c r="M143" s="10"/>
      <c r="N143" s="23"/>
      <c r="O143" s="10"/>
      <c r="P143" s="23"/>
      <c r="Q143" s="10"/>
      <c r="R143" s="23"/>
      <c r="S143" s="10"/>
      <c r="T143" s="23"/>
      <c r="U143" s="10"/>
      <c r="V143" s="23"/>
      <c r="W143" s="10"/>
      <c r="X143" s="23"/>
      <c r="Y143" s="10"/>
      <c r="Z143" s="23"/>
      <c r="AA143" s="10"/>
      <c r="AB143" s="23"/>
      <c r="AC143" s="10"/>
      <c r="AD143" s="24"/>
      <c r="AE143" s="25"/>
      <c r="AF143" s="24"/>
      <c r="AG143" s="23"/>
      <c r="AH143" s="10"/>
      <c r="AI143" s="24"/>
      <c r="AJ143" s="25"/>
      <c r="AK143" s="24"/>
      <c r="AL143" s="25"/>
    </row>
    <row r="144" ht="16.5" hidden="1" customHeight="1">
      <c r="A144" s="26" t="s">
        <v>254</v>
      </c>
      <c r="B144" s="28">
        <v>0.0</v>
      </c>
      <c r="C144" s="15">
        <f>IFERROR(B144/B148, "NA")</f>
        <v>0</v>
      </c>
      <c r="D144" s="28">
        <v>0.0</v>
      </c>
      <c r="E144" s="15">
        <f>IFERROR(D144/D148, "NA")</f>
        <v>0</v>
      </c>
      <c r="F144" s="28">
        <v>0.0</v>
      </c>
      <c r="G144" s="15">
        <f>IFERROR(F144/F148, "NA")</f>
        <v>0</v>
      </c>
      <c r="H144" s="28">
        <v>0.0</v>
      </c>
      <c r="I144" s="15">
        <f>IFERROR(H144/H148, "NA")</f>
        <v>0</v>
      </c>
      <c r="J144" s="28">
        <v>0.0</v>
      </c>
      <c r="K144" s="15">
        <f>IFERROR(J144/J148, "NA")</f>
        <v>0</v>
      </c>
      <c r="L144" s="28">
        <v>0.0</v>
      </c>
      <c r="M144" s="15">
        <f>IFERROR(L144/L148, "NA")</f>
        <v>0</v>
      </c>
      <c r="N144" s="28">
        <v>0.0</v>
      </c>
      <c r="O144" s="15">
        <f>IFERROR(N144/N148, "NA")</f>
        <v>0</v>
      </c>
      <c r="P144" s="28">
        <v>0.0</v>
      </c>
      <c r="Q144" s="15">
        <f>IFERROR(P144/P148, "NA")</f>
        <v>0</v>
      </c>
      <c r="R144" s="28">
        <v>0.0</v>
      </c>
      <c r="S144" s="15">
        <f>IFERROR(R144/R148, "NA")</f>
        <v>0</v>
      </c>
      <c r="T144" s="28">
        <v>0.0</v>
      </c>
      <c r="U144" s="15">
        <f>IFERROR(T144/T148, "NA")</f>
        <v>0</v>
      </c>
      <c r="V144" s="28">
        <v>0.0</v>
      </c>
      <c r="W144" s="15">
        <f>IFERROR(V144/V148, "NA")</f>
        <v>0</v>
      </c>
      <c r="X144" s="28">
        <v>0.0</v>
      </c>
      <c r="Y144" s="15">
        <f>IFERROR(X144/X148, "NA")</f>
        <v>0</v>
      </c>
      <c r="Z144" s="28">
        <v>0.0</v>
      </c>
      <c r="AA144" s="15">
        <f>IFERROR(Z144/Z148, "NA")</f>
        <v>0</v>
      </c>
      <c r="AB144" s="57">
        <f t="shared" ref="AB144:AB145" si="67">IFERROR((R144+T144+V144+X144)/4, "NA")</f>
        <v>0</v>
      </c>
      <c r="AC144" s="15">
        <f>IFERROR(AB144/AB148, "NA")</f>
        <v>0</v>
      </c>
      <c r="AD144" s="61">
        <f t="shared" ref="AD144:AD145" si="68">IFERROR(X144-AB144, "NA")</f>
        <v>0</v>
      </c>
      <c r="AE144" s="62">
        <f>IFERROR(AD144/AD148, "NA")</f>
        <v>0</v>
      </c>
      <c r="AF144" s="61" t="str">
        <f t="shared" ref="AF144:AF145" si="69">IFERROR((X144-AB144)/AB144, "NA")</f>
        <v>NA</v>
      </c>
      <c r="AG144" s="57">
        <f t="shared" ref="AG144:AG145" si="70">IFERROR((J144+L144+N144+P144+R144+T144+V144+X144)/8, "NA")</f>
        <v>0</v>
      </c>
      <c r="AH144" s="15">
        <f>IFERROR(AG144/AG148, "NA")</f>
        <v>0</v>
      </c>
      <c r="AI144" s="61">
        <f t="shared" ref="AI144:AI145" si="71">IFERROR(X144-AG144, "NA")</f>
        <v>0</v>
      </c>
      <c r="AJ144" s="62">
        <f>IFERROR(AI144/AI148, "NA")</f>
        <v>0</v>
      </c>
      <c r="AK144" s="61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255</v>
      </c>
      <c r="B145" s="70">
        <f>IFERROR(B144, "NA")</f>
        <v>0</v>
      </c>
      <c r="C145" s="71">
        <f>IFERROR(B145/B148, "NA")</f>
        <v>0</v>
      </c>
      <c r="D145" s="70">
        <f>IFERROR(D144, "NA")</f>
        <v>0</v>
      </c>
      <c r="E145" s="71">
        <f>IFERROR(D145/D148, "NA")</f>
        <v>0</v>
      </c>
      <c r="F145" s="70">
        <f>IFERROR(F144, "NA")</f>
        <v>0</v>
      </c>
      <c r="G145" s="71">
        <f>IFERROR(F145/F148, "NA")</f>
        <v>0</v>
      </c>
      <c r="H145" s="70">
        <f>IFERROR(H144, "NA")</f>
        <v>0</v>
      </c>
      <c r="I145" s="71">
        <f>IFERROR(H145/H148, "NA")</f>
        <v>0</v>
      </c>
      <c r="J145" s="70">
        <f>IFERROR(J144, "NA")</f>
        <v>0</v>
      </c>
      <c r="K145" s="71">
        <f>IFERROR(J145/J148, "NA")</f>
        <v>0</v>
      </c>
      <c r="L145" s="70">
        <f>IFERROR(L144, "NA")</f>
        <v>0</v>
      </c>
      <c r="M145" s="71">
        <f>IFERROR(L145/L148, "NA")</f>
        <v>0</v>
      </c>
      <c r="N145" s="70">
        <f>IFERROR(N144, "NA")</f>
        <v>0</v>
      </c>
      <c r="O145" s="71">
        <f>IFERROR(N145/N148, "NA")</f>
        <v>0</v>
      </c>
      <c r="P145" s="70">
        <f>IFERROR(P144, "NA")</f>
        <v>0</v>
      </c>
      <c r="Q145" s="71">
        <f>IFERROR(P145/P148, "NA")</f>
        <v>0</v>
      </c>
      <c r="R145" s="70">
        <f>IFERROR(R144, "NA")</f>
        <v>0</v>
      </c>
      <c r="S145" s="71">
        <f>IFERROR(R145/R148, "NA")</f>
        <v>0</v>
      </c>
      <c r="T145" s="70">
        <f>IFERROR(T144, "NA")</f>
        <v>0</v>
      </c>
      <c r="U145" s="71">
        <f>IFERROR(T145/T148, "NA")</f>
        <v>0</v>
      </c>
      <c r="V145" s="70">
        <f>IFERROR(V144, "NA")</f>
        <v>0</v>
      </c>
      <c r="W145" s="71">
        <f>IFERROR(V145/V148, "NA")</f>
        <v>0</v>
      </c>
      <c r="X145" s="70">
        <f>IFERROR(X144, "NA")</f>
        <v>0</v>
      </c>
      <c r="Y145" s="71">
        <f>IFERROR(X145/X148, "NA")</f>
        <v>0</v>
      </c>
      <c r="Z145" s="70">
        <f>IFERROR(Z144, "NA")</f>
        <v>0</v>
      </c>
      <c r="AA145" s="71">
        <f>IFERROR(Z145/Z148, "NA")</f>
        <v>0</v>
      </c>
      <c r="AB145" s="70">
        <f t="shared" si="67"/>
        <v>0</v>
      </c>
      <c r="AC145" s="71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70">
        <f t="shared" si="70"/>
        <v>0</v>
      </c>
      <c r="AH145" s="71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2"/>
      <c r="AF146" s="125"/>
      <c r="AG146" s="124"/>
      <c r="AH146" s="74"/>
      <c r="AI146" s="125"/>
      <c r="AJ146" s="82"/>
      <c r="AK146" s="125"/>
      <c r="AL146" s="82"/>
    </row>
    <row r="147" ht="16.5" hidden="1" customHeight="1">
      <c r="A147" s="121" t="s">
        <v>256</v>
      </c>
      <c r="B147" s="122">
        <f>IFERROR(B137-B141-B145, "NA")</f>
        <v>11935.5</v>
      </c>
      <c r="C147" s="98">
        <f>IFERROR(B147/B148, "NA")</f>
        <v>0.1396469765</v>
      </c>
      <c r="D147" s="122">
        <f>IFERROR(D137-D141-D145, "NA")</f>
        <v>21987.05</v>
      </c>
      <c r="E147" s="98">
        <f>IFERROR(D147/D148, "NA")</f>
        <v>0.1815991809</v>
      </c>
      <c r="F147" s="122">
        <f>IFERROR(F137-F141-F145, "NA")</f>
        <v>-615.55</v>
      </c>
      <c r="G147" s="98">
        <f>IFERROR(F147/F148, "NA")</f>
        <v>-0.00465152727</v>
      </c>
      <c r="H147" s="122">
        <f>IFERROR(H137-H141-H145, "NA")</f>
        <v>-77402.69</v>
      </c>
      <c r="I147" s="98">
        <f>IFERROR(H147/H148, "NA")</f>
        <v>-0.5411462393</v>
      </c>
      <c r="J147" s="122">
        <f>IFERROR(J137-J141-J145, "NA")</f>
        <v>27600.83</v>
      </c>
      <c r="K147" s="98">
        <f>IFERROR(J147/J148, "NA")</f>
        <v>0.2062079117</v>
      </c>
      <c r="L147" s="122">
        <f>IFERROR(L137-L141-L145, "NA")</f>
        <v>36997.31</v>
      </c>
      <c r="M147" s="98">
        <f>IFERROR(L147/L148, "NA")</f>
        <v>0.2391423886</v>
      </c>
      <c r="N147" s="122">
        <f>IFERROR(N137-N141-N145, "NA")</f>
        <v>15906.62</v>
      </c>
      <c r="O147" s="98">
        <f>IFERROR(N147/N148, "NA")</f>
        <v>0.09960852607</v>
      </c>
      <c r="P147" s="122">
        <f>IFERROR(P137-P141-P145, "NA")</f>
        <v>50089.44</v>
      </c>
      <c r="Q147" s="98">
        <f>IFERROR(P147/P148, "NA")</f>
        <v>0.2900233011</v>
      </c>
      <c r="R147" s="122">
        <f>IFERROR(R137-R141-R145, "NA")</f>
        <v>-85975.47</v>
      </c>
      <c r="S147" s="98">
        <f>IFERROR(R147/R148, "NA")</f>
        <v>-0.5105884084</v>
      </c>
      <c r="T147" s="122">
        <f>IFERROR(T137-T141-T145, "NA")</f>
        <v>35970.45</v>
      </c>
      <c r="U147" s="98">
        <f>IFERROR(T147/T148, "NA")</f>
        <v>0.2289497734</v>
      </c>
      <c r="V147" s="122">
        <f>IFERROR(V137-V141-V145, "NA")</f>
        <v>34283.24</v>
      </c>
      <c r="W147" s="98">
        <f>IFERROR(V147/V148, "NA")</f>
        <v>0.2190213431</v>
      </c>
      <c r="X147" s="122">
        <f>IFERROR(X137-X141-X145, "NA")</f>
        <v>17567.69</v>
      </c>
      <c r="Y147" s="98">
        <f>IFERROR(X147/X148, "NA")</f>
        <v>0.1076522372</v>
      </c>
      <c r="Z147" s="122">
        <f>IFERROR(Z137-Z141-Z145, "NA")</f>
        <v>87821.38</v>
      </c>
      <c r="AA147" s="98">
        <f>IFERROR(Z147/Z148, "NA")</f>
        <v>0.1841778759</v>
      </c>
      <c r="AB147" s="122">
        <f t="shared" ref="AB147:AB148" si="73">IFERROR((R147+T147+V147+X147)/4, "NA")</f>
        <v>461.4775</v>
      </c>
      <c r="AC147" s="98">
        <f>IFERROR(AB147/AB148, "NA")</f>
        <v>0.002860925742</v>
      </c>
      <c r="AD147" s="75">
        <f t="shared" ref="AD147:AD148" si="74">IFERROR(X147-AB147, "NA")</f>
        <v>17106.2125</v>
      </c>
      <c r="AE147" s="76">
        <f>IFERROR(AD147/AD148, "NA")</f>
        <v>9.071484916</v>
      </c>
      <c r="AF147" s="75">
        <f t="shared" ref="AF147:AF148" si="75">IFERROR((X147-AB147)/AB147, "NA")</f>
        <v>37.06835653</v>
      </c>
      <c r="AG147" s="122">
        <f t="shared" ref="AG147:AG148" si="76">IFERROR((J147+L147+N147+P147+R147+T147+V147+X147)/8, "NA")</f>
        <v>16555.01375</v>
      </c>
      <c r="AH147" s="98">
        <f>IFERROR(AG147/AG148, "NA")</f>
        <v>0.1045988533</v>
      </c>
      <c r="AI147" s="75">
        <f t="shared" ref="AI147:AI148" si="77">IFERROR(X147-AG147, "NA")</f>
        <v>1012.67625</v>
      </c>
      <c r="AJ147" s="76">
        <f>IFERROR(AI147/AI148, "NA")</f>
        <v>0.205920375</v>
      </c>
      <c r="AK147" s="75">
        <f t="shared" ref="AK147:AK148" si="78">IFERROR((X147-AG147)/AG147, "NA")</f>
        <v>0.06117036599</v>
      </c>
      <c r="AL147" s="76">
        <f>IFERROR(AK147/AK148, "NA")</f>
        <v>1.968667615</v>
      </c>
    </row>
    <row r="148" ht="14.25" hidden="1" customHeight="1">
      <c r="A148" s="26" t="s">
        <v>53</v>
      </c>
      <c r="B148" s="28">
        <v>85469.09</v>
      </c>
      <c r="C148" s="128"/>
      <c r="D148" s="28">
        <v>121074.61</v>
      </c>
      <c r="E148" s="128"/>
      <c r="F148" s="28">
        <v>132332.88</v>
      </c>
      <c r="G148" s="128"/>
      <c r="H148" s="28">
        <v>143034.7</v>
      </c>
      <c r="I148" s="128"/>
      <c r="J148" s="28">
        <v>133849.52</v>
      </c>
      <c r="K148" s="128"/>
      <c r="L148" s="28">
        <v>154708.29</v>
      </c>
      <c r="M148" s="128"/>
      <c r="N148" s="28">
        <v>159691.35</v>
      </c>
      <c r="O148" s="128"/>
      <c r="P148" s="28">
        <v>172708.33</v>
      </c>
      <c r="Q148" s="128"/>
      <c r="R148" s="28">
        <v>168385.08</v>
      </c>
      <c r="S148" s="128"/>
      <c r="T148" s="28">
        <v>157110.66</v>
      </c>
      <c r="U148" s="128"/>
      <c r="V148" s="28">
        <v>156529.22</v>
      </c>
      <c r="W148" s="128"/>
      <c r="X148" s="28">
        <v>163189.27</v>
      </c>
      <c r="Y148" s="128"/>
      <c r="Z148" s="28">
        <v>476829.15</v>
      </c>
      <c r="AA148" s="128"/>
      <c r="AB148" s="57">
        <f t="shared" si="73"/>
        <v>161303.5575</v>
      </c>
      <c r="AC148" s="128"/>
      <c r="AD148" s="61">
        <f t="shared" si="74"/>
        <v>1885.7125</v>
      </c>
      <c r="AE148" s="129"/>
      <c r="AF148" s="61">
        <f t="shared" si="75"/>
        <v>0.01169045822</v>
      </c>
      <c r="AG148" s="57">
        <f t="shared" si="76"/>
        <v>158271.465</v>
      </c>
      <c r="AH148" s="128"/>
      <c r="AI148" s="61">
        <f t="shared" si="77"/>
        <v>4917.805</v>
      </c>
      <c r="AJ148" s="129"/>
      <c r="AK148" s="61">
        <f t="shared" si="78"/>
        <v>0.03107196234</v>
      </c>
      <c r="AL148" s="129"/>
    </row>
    <row r="149" ht="14.25" customHeight="1"/>
    <row r="150" ht="14.25" customHeight="1"/>
    <row r="151" ht="14.25" customHeight="1">
      <c r="A151" s="130" t="s">
        <v>257</v>
      </c>
    </row>
    <row r="152" ht="14.25" customHeight="1">
      <c r="A152" s="130" t="s">
        <v>258</v>
      </c>
    </row>
    <row r="153" ht="14.25" customHeight="1">
      <c r="A153" s="130" t="s">
        <v>259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5" t="s">
        <v>12</v>
      </c>
    </row>
    <row r="3" ht="14.25" customHeight="1">
      <c r="A3" s="6" t="s">
        <v>15</v>
      </c>
    </row>
    <row r="4" ht="14.25" customHeight="1"/>
    <row r="5" ht="13.5" customHeight="1">
      <c r="A5" s="17"/>
      <c r="B5" s="1" t="s">
        <v>16</v>
      </c>
      <c r="D5" s="1" t="s">
        <v>17</v>
      </c>
      <c r="F5" s="1" t="s">
        <v>18</v>
      </c>
      <c r="H5" s="1" t="s">
        <v>19</v>
      </c>
      <c r="J5" s="1" t="s">
        <v>20</v>
      </c>
      <c r="L5" s="1" t="s">
        <v>21</v>
      </c>
      <c r="N5" s="1" t="s">
        <v>22</v>
      </c>
      <c r="P5" s="1" t="s">
        <v>23</v>
      </c>
      <c r="R5" s="1" t="s">
        <v>25</v>
      </c>
      <c r="T5" s="1" t="s">
        <v>26</v>
      </c>
      <c r="V5" s="1" t="s">
        <v>27</v>
      </c>
      <c r="X5" s="1" t="s">
        <v>13</v>
      </c>
      <c r="Z5" s="1" t="s">
        <v>28</v>
      </c>
      <c r="AB5" s="1" t="s">
        <v>29</v>
      </c>
      <c r="AD5" s="21" t="s">
        <v>30</v>
      </c>
      <c r="AF5" s="21" t="s">
        <v>32</v>
      </c>
      <c r="AG5" s="1" t="s">
        <v>33</v>
      </c>
      <c r="AI5" s="21" t="s">
        <v>34</v>
      </c>
      <c r="AK5" s="21" t="s">
        <v>35</v>
      </c>
    </row>
    <row r="6" ht="16.5" customHeight="1">
      <c r="A6" s="22" t="s">
        <v>8</v>
      </c>
      <c r="B6" s="23"/>
      <c r="C6" s="10"/>
      <c r="D6" s="23"/>
      <c r="E6" s="10"/>
      <c r="F6" s="23"/>
      <c r="G6" s="10"/>
      <c r="H6" s="23"/>
      <c r="I6" s="10"/>
      <c r="J6" s="23"/>
      <c r="K6" s="10"/>
      <c r="L6" s="23"/>
      <c r="M6" s="10"/>
      <c r="N6" s="23"/>
      <c r="O6" s="10"/>
      <c r="P6" s="23"/>
      <c r="Q6" s="10"/>
      <c r="R6" s="23"/>
      <c r="S6" s="10"/>
      <c r="T6" s="23"/>
      <c r="U6" s="10"/>
      <c r="V6" s="23"/>
      <c r="W6" s="10"/>
      <c r="X6" s="23"/>
      <c r="Y6" s="10"/>
      <c r="Z6" s="23"/>
      <c r="AA6" s="10"/>
      <c r="AB6" s="23"/>
      <c r="AC6" s="10"/>
      <c r="AD6" s="24"/>
      <c r="AE6" s="25"/>
      <c r="AF6" s="24"/>
      <c r="AG6" s="23"/>
      <c r="AH6" s="10"/>
      <c r="AI6" s="24"/>
      <c r="AJ6" s="25"/>
      <c r="AK6" s="24"/>
      <c r="AL6" s="25"/>
    </row>
    <row r="7" ht="16.5" customHeight="1">
      <c r="A7" s="26" t="s">
        <v>8</v>
      </c>
      <c r="B7" s="28">
        <f>SUM('4 - RASA - MVT'!B7,'5 - RASA - National Landin'!B7,'6 - RASA - Mosaic'!B7,'7 - RASA - Rockville'!B7)</f>
        <v>73907.98</v>
      </c>
      <c r="C7" s="15">
        <f>IFERROR(B7/B148, "NA")</f>
        <v>1</v>
      </c>
      <c r="D7" s="28">
        <f>SUM('4 - RASA - MVT'!D7,'5 - RASA - National Landin'!D7,'6 - RASA - Mosaic'!D7,'7 - RASA - Rockville'!D7)</f>
        <v>102668.02</v>
      </c>
      <c r="E7" s="15">
        <f>IFERROR(D7/D148, "NA")</f>
        <v>1</v>
      </c>
      <c r="F7" s="28">
        <f>SUM('4 - RASA - MVT'!F7,'5 - RASA - National Landin'!F7,'6 - RASA - Mosaic'!F7,'7 - RASA - Rockville'!F7)</f>
        <v>109321.51</v>
      </c>
      <c r="G7" s="15">
        <f>IFERROR(F7/F148, "NA")</f>
        <v>1</v>
      </c>
      <c r="H7" s="28">
        <f>SUM('4 - RASA - MVT'!H7,'5 - RASA - National Landin'!H7,'6 - RASA - Mosaic'!H7,'7 - RASA - Rockville'!H7)</f>
        <v>122365.72</v>
      </c>
      <c r="I7" s="15">
        <f>IFERROR(H7/H148, "NA")</f>
        <v>1</v>
      </c>
      <c r="J7" s="28">
        <f>SUM('4 - RASA - MVT'!J7,'5 - RASA - National Landin'!J7,'6 - RASA - Mosaic'!J7,'7 - RASA - Rockville'!J7)</f>
        <v>113906.55</v>
      </c>
      <c r="K7" s="15">
        <f>IFERROR(J7/J148, "NA")</f>
        <v>1</v>
      </c>
      <c r="L7" s="28">
        <f>SUM('4 - RASA - MVT'!L7,'5 - RASA - National Landin'!L7,'6 - RASA - Mosaic'!L7,'7 - RASA - Rockville'!L7)</f>
        <v>125462.33</v>
      </c>
      <c r="M7" s="15">
        <f>IFERROR(L7/L148, "NA")</f>
        <v>1</v>
      </c>
      <c r="N7" s="28">
        <f>SUM('4 - RASA - MVT'!N7,'5 - RASA - National Landin'!N7,'6 - RASA - Mosaic'!N7,'7 - RASA - Rockville'!N7)</f>
        <v>137288.67</v>
      </c>
      <c r="O7" s="15">
        <f>IFERROR(N7/N148, "NA")</f>
        <v>1</v>
      </c>
      <c r="P7" s="28">
        <f>SUM('4 - RASA - MVT'!P7,'5 - RASA - National Landin'!P7,'6 - RASA - Mosaic'!P7,'7 - RASA - Rockville'!P7)</f>
        <v>147347.04</v>
      </c>
      <c r="Q7" s="15">
        <f>IFERROR(P7/P148, "NA")</f>
        <v>1</v>
      </c>
      <c r="R7" s="28">
        <f>SUM('4 - RASA - MVT'!R7,'5 - RASA - National Landin'!R7,'6 - RASA - Mosaic'!R7,'7 - RASA - Rockville'!R7)</f>
        <v>144436.67</v>
      </c>
      <c r="S7" s="15">
        <f>IFERROR(R7/R148, "NA")</f>
        <v>1</v>
      </c>
      <c r="T7" s="28">
        <f>SUM('4 - RASA - MVT'!T7,'5 - RASA - National Landin'!T7,'6 - RASA - Mosaic'!T7,'7 - RASA - Rockville'!T7)</f>
        <v>127542.3</v>
      </c>
      <c r="U7" s="15">
        <f>IFERROR(T7/T148, "NA")</f>
        <v>1</v>
      </c>
      <c r="V7" s="28">
        <f>SUM('4 - RASA - MVT'!V7,'5 - RASA - National Landin'!V7,'6 - RASA - Mosaic'!V7,'7 - RASA - Rockville'!V7)</f>
        <v>132474.76</v>
      </c>
      <c r="W7" s="15">
        <f>IFERROR(V7/V148, "NA")</f>
        <v>1</v>
      </c>
      <c r="X7" s="28">
        <f>SUM('4 - RASA - MVT'!X7,'5 - RASA - National Landin'!X7,'6 - RASA - Mosaic'!X7,'7 - RASA - Rockville'!X7)</f>
        <v>143050.63</v>
      </c>
      <c r="Y7" s="15">
        <f>IFERROR(X7/X148, "NA")</f>
        <v>1</v>
      </c>
      <c r="Z7" s="28">
        <f>SUM('4 - RASA - MVT'!Z7,'5 - RASA - National Landin'!Z7,'6 - RASA - Mosaic'!Z7,'7 - RASA - Rockville'!Z7)</f>
        <v>403067.69</v>
      </c>
      <c r="AA7" s="15">
        <f>IFERROR(Z7/Z148, "NA")</f>
        <v>1</v>
      </c>
      <c r="AB7" s="57">
        <f t="shared" ref="AB7:AB9" si="1">IFERROR((R7+T7+V7+X7)/4, "NA")</f>
        <v>136876.09</v>
      </c>
      <c r="AC7" s="15">
        <f>IFERROR(AB7/AB148, "NA")</f>
        <v>1</v>
      </c>
      <c r="AD7" s="61">
        <f t="shared" ref="AD7:AD9" si="2">IFERROR(X7-AB7, "NA")</f>
        <v>6174.54</v>
      </c>
      <c r="AE7" s="62">
        <f>IFERROR(AD7/AD148, "NA")</f>
        <v>1</v>
      </c>
      <c r="AF7" s="61">
        <f t="shared" ref="AF7:AF9" si="3">IFERROR((X7-AB7)/AB7, "NA")</f>
        <v>0.04511043528</v>
      </c>
      <c r="AG7" s="57">
        <f t="shared" ref="AG7:AG9" si="4">IFERROR((J7+L7+N7+P7+R7+T7+V7+X7)/8, "NA")</f>
        <v>133938.6188</v>
      </c>
      <c r="AH7" s="15">
        <f>IFERROR(AG7/AG148, "NA")</f>
        <v>1</v>
      </c>
      <c r="AI7" s="61">
        <f t="shared" ref="AI7:AI9" si="5">IFERROR(X7-AG7, "NA")</f>
        <v>9112.01125</v>
      </c>
      <c r="AJ7" s="62">
        <f>IFERROR(AI7/AI148, "NA")</f>
        <v>1</v>
      </c>
      <c r="AK7" s="61">
        <f t="shared" ref="AK7:AK9" si="6">IFERROR((X7-AG7)/AG7, "NA")</f>
        <v>0.06803124696</v>
      </c>
      <c r="AL7" s="62">
        <f>IFERROR(AK7/AK148, "NA")</f>
        <v>1</v>
      </c>
    </row>
    <row r="8" ht="30.75" hidden="1" customHeight="1">
      <c r="A8" s="26" t="s">
        <v>61</v>
      </c>
      <c r="B8" s="28">
        <f>SUM('4 - RASA - MVT'!B8,'5 - RASA - National Landin'!B8,'6 - RASA - Mosaic'!B8,'7 - RASA - Rockville'!B8)</f>
        <v>0</v>
      </c>
      <c r="C8" s="15">
        <f>IFERROR(B8/B148, "NA")</f>
        <v>0</v>
      </c>
      <c r="D8" s="28">
        <f>SUM('4 - RASA - MVT'!D8,'5 - RASA - National Landin'!D8,'6 - RASA - Mosaic'!D8,'7 - RASA - Rockville'!D8)</f>
        <v>0</v>
      </c>
      <c r="E8" s="15">
        <f>IFERROR(D8/D148, "NA")</f>
        <v>0</v>
      </c>
      <c r="F8" s="28">
        <f>SUM('4 - RASA - MVT'!F8,'5 - RASA - National Landin'!F8,'6 - RASA - Mosaic'!F8,'7 - RASA - Rockville'!F8)</f>
        <v>0</v>
      </c>
      <c r="G8" s="15">
        <f>IFERROR(F8/F148, "NA")</f>
        <v>0</v>
      </c>
      <c r="H8" s="28">
        <f>SUM('4 - RASA - MVT'!H8,'5 - RASA - National Landin'!H8,'6 - RASA - Mosaic'!H8,'7 - RASA - Rockville'!H8)</f>
        <v>0</v>
      </c>
      <c r="I8" s="15">
        <f>IFERROR(H8/H148, "NA")</f>
        <v>0</v>
      </c>
      <c r="J8" s="28">
        <f>SUM('4 - RASA - MVT'!J8,'5 - RASA - National Landin'!J8,'6 - RASA - Mosaic'!J8,'7 - RASA - Rockville'!J8)</f>
        <v>0</v>
      </c>
      <c r="K8" s="15">
        <f>IFERROR(J8/J148, "NA")</f>
        <v>0</v>
      </c>
      <c r="L8" s="28">
        <f>SUM('4 - RASA - MVT'!L8,'5 - RASA - National Landin'!L8,'6 - RASA - Mosaic'!L8,'7 - RASA - Rockville'!L8)</f>
        <v>0</v>
      </c>
      <c r="M8" s="15">
        <f>IFERROR(L8/L148, "NA")</f>
        <v>0</v>
      </c>
      <c r="N8" s="28">
        <f>SUM('4 - RASA - MVT'!N8,'5 - RASA - National Landin'!N8,'6 - RASA - Mosaic'!N8,'7 - RASA - Rockville'!N8)</f>
        <v>0</v>
      </c>
      <c r="O8" s="15">
        <f>IFERROR(N8/N148, "NA")</f>
        <v>0</v>
      </c>
      <c r="P8" s="28">
        <f>SUM('4 - RASA - MVT'!P8,'5 - RASA - National Landin'!P8,'6 - RASA - Mosaic'!P8,'7 - RASA - Rockville'!P8)</f>
        <v>0</v>
      </c>
      <c r="Q8" s="15">
        <f>IFERROR(P8/P148, "NA")</f>
        <v>0</v>
      </c>
      <c r="R8" s="28">
        <f>SUM('4 - RASA - MVT'!R8,'5 - RASA - National Landin'!R8,'6 - RASA - Mosaic'!R8,'7 - RASA - Rockville'!R8)</f>
        <v>0</v>
      </c>
      <c r="S8" s="15">
        <f>IFERROR(R8/R148, "NA")</f>
        <v>0</v>
      </c>
      <c r="T8" s="28">
        <f>SUM('4 - RASA - MVT'!T8,'5 - RASA - National Landin'!T8,'6 - RASA - Mosaic'!T8,'7 - RASA - Rockville'!T8)</f>
        <v>0</v>
      </c>
      <c r="U8" s="15">
        <f>IFERROR(T8/T148, "NA")</f>
        <v>0</v>
      </c>
      <c r="V8" s="28">
        <f>SUM('4 - RASA - MVT'!V8,'5 - RASA - National Landin'!V8,'6 - RASA - Mosaic'!V8,'7 - RASA - Rockville'!V8)</f>
        <v>0</v>
      </c>
      <c r="W8" s="15">
        <f>IFERROR(V8/V148, "NA")</f>
        <v>0</v>
      </c>
      <c r="X8" s="28">
        <f>SUM('4 - RASA - MVT'!X8,'5 - RASA - National Landin'!X8,'6 - RASA - Mosaic'!X8,'7 - RASA - Rockville'!X8)</f>
        <v>0</v>
      </c>
      <c r="Y8" s="15">
        <f>IFERROR(X8/X148, "NA")</f>
        <v>0</v>
      </c>
      <c r="Z8" s="28">
        <f>SUM('4 - RASA - MVT'!Z8,'5 - RASA - National Landin'!Z8,'6 - RASA - Mosaic'!Z8,'7 - RASA - Rockville'!Z8)</f>
        <v>0</v>
      </c>
      <c r="AA8" s="15">
        <f>IFERROR(Z8/Z148, "NA")</f>
        <v>0</v>
      </c>
      <c r="AB8" s="57">
        <f t="shared" si="1"/>
        <v>0</v>
      </c>
      <c r="AC8" s="15">
        <f>IFERROR(AB8/AB148, "NA")</f>
        <v>0</v>
      </c>
      <c r="AD8" s="61">
        <f t="shared" si="2"/>
        <v>0</v>
      </c>
      <c r="AE8" s="62">
        <f>IFERROR(AD8/AD148, "NA")</f>
        <v>0</v>
      </c>
      <c r="AF8" s="61" t="str">
        <f t="shared" si="3"/>
        <v>NA</v>
      </c>
      <c r="AG8" s="57">
        <f t="shared" si="4"/>
        <v>0</v>
      </c>
      <c r="AH8" s="15">
        <f>IFERROR(AG8/AG148, "NA")</f>
        <v>0</v>
      </c>
      <c r="AI8" s="61">
        <f t="shared" si="5"/>
        <v>0</v>
      </c>
      <c r="AJ8" s="62">
        <f>IFERROR(AI8/AI148, "NA")</f>
        <v>0</v>
      </c>
      <c r="AK8" s="61" t="str">
        <f t="shared" si="6"/>
        <v>NA</v>
      </c>
      <c r="AL8" s="62" t="str">
        <f>IFERROR(AK8/AK148, "NA")</f>
        <v>NA</v>
      </c>
    </row>
    <row r="9" ht="16.5" customHeight="1">
      <c r="A9" s="67" t="s">
        <v>53</v>
      </c>
      <c r="B9" s="70">
        <f>IFERROR(B7+B8, "NA")</f>
        <v>73907.98</v>
      </c>
      <c r="C9" s="71">
        <f>IFERROR(B9/B148, "NA")</f>
        <v>1</v>
      </c>
      <c r="D9" s="70">
        <f>IFERROR(D7+D8, "NA")</f>
        <v>102668.02</v>
      </c>
      <c r="E9" s="71">
        <f>IFERROR(D9/D148, "NA")</f>
        <v>1</v>
      </c>
      <c r="F9" s="70">
        <f>IFERROR(F7+F8, "NA")</f>
        <v>109321.51</v>
      </c>
      <c r="G9" s="71">
        <f>IFERROR(F9/F148, "NA")</f>
        <v>1</v>
      </c>
      <c r="H9" s="70">
        <f>IFERROR(H7+H8, "NA")</f>
        <v>122365.72</v>
      </c>
      <c r="I9" s="71">
        <f>IFERROR(H9/H148, "NA")</f>
        <v>1</v>
      </c>
      <c r="J9" s="70">
        <f>IFERROR(J7+J8, "NA")</f>
        <v>113906.55</v>
      </c>
      <c r="K9" s="71">
        <f>IFERROR(J9/J148, "NA")</f>
        <v>1</v>
      </c>
      <c r="L9" s="70">
        <f>IFERROR(L7+L8, "NA")</f>
        <v>125462.33</v>
      </c>
      <c r="M9" s="71">
        <f>IFERROR(L9/L148, "NA")</f>
        <v>1</v>
      </c>
      <c r="N9" s="70">
        <f>IFERROR(N7+N8, "NA")</f>
        <v>137288.67</v>
      </c>
      <c r="O9" s="71">
        <f>IFERROR(N9/N148, "NA")</f>
        <v>1</v>
      </c>
      <c r="P9" s="70">
        <f>IFERROR(P7+P8, "NA")</f>
        <v>147347.04</v>
      </c>
      <c r="Q9" s="71">
        <f>IFERROR(P9/P148, "NA")</f>
        <v>1</v>
      </c>
      <c r="R9" s="70">
        <f>IFERROR(R7+R8, "NA")</f>
        <v>144436.67</v>
      </c>
      <c r="S9" s="71">
        <f>IFERROR(R9/R148, "NA")</f>
        <v>1</v>
      </c>
      <c r="T9" s="70">
        <f>IFERROR(T7+T8, "NA")</f>
        <v>127542.3</v>
      </c>
      <c r="U9" s="71">
        <f>IFERROR(T9/T148, "NA")</f>
        <v>1</v>
      </c>
      <c r="V9" s="70">
        <f>IFERROR(V7+V8, "NA")</f>
        <v>132474.76</v>
      </c>
      <c r="W9" s="71">
        <f>IFERROR(V9/V148, "NA")</f>
        <v>1</v>
      </c>
      <c r="X9" s="70">
        <f>IFERROR(X7+X8, "NA")</f>
        <v>143050.63</v>
      </c>
      <c r="Y9" s="71">
        <f>IFERROR(X9/X148, "NA")</f>
        <v>1</v>
      </c>
      <c r="Z9" s="70">
        <f>IFERROR(Z7+Z8, "NA")</f>
        <v>403067.69</v>
      </c>
      <c r="AA9" s="71">
        <f>IFERROR(Z9/Z148, "NA")</f>
        <v>1</v>
      </c>
      <c r="AB9" s="70">
        <f t="shared" si="1"/>
        <v>136876.09</v>
      </c>
      <c r="AC9" s="71">
        <f>IFERROR(AB9/AB148, "NA")</f>
        <v>1</v>
      </c>
      <c r="AD9" s="75">
        <f t="shared" si="2"/>
        <v>6174.54</v>
      </c>
      <c r="AE9" s="76">
        <f>IFERROR(AD9/AD148, "NA")</f>
        <v>1</v>
      </c>
      <c r="AF9" s="75">
        <f t="shared" si="3"/>
        <v>0.04511043528</v>
      </c>
      <c r="AG9" s="70">
        <f t="shared" si="4"/>
        <v>133938.6188</v>
      </c>
      <c r="AH9" s="71">
        <f>IFERROR(AG9/AG148, "NA")</f>
        <v>1</v>
      </c>
      <c r="AI9" s="75">
        <f t="shared" si="5"/>
        <v>9112.01125</v>
      </c>
      <c r="AJ9" s="76">
        <f>IFERROR(AI9/AI148, "NA")</f>
        <v>1</v>
      </c>
      <c r="AK9" s="75">
        <f t="shared" si="6"/>
        <v>0.06803124696</v>
      </c>
      <c r="AL9" s="76">
        <f>IFERROR(AK9/AK148, "NA")</f>
        <v>1</v>
      </c>
    </row>
    <row r="10" ht="3.75" customHeight="1">
      <c r="A10" s="79"/>
      <c r="B10" s="80"/>
      <c r="C10" s="74"/>
      <c r="D10" s="80"/>
      <c r="E10" s="74"/>
      <c r="F10" s="80"/>
      <c r="G10" s="74"/>
      <c r="H10" s="80"/>
      <c r="I10" s="74"/>
      <c r="J10" s="80"/>
      <c r="K10" s="74"/>
      <c r="L10" s="80"/>
      <c r="M10" s="74"/>
      <c r="N10" s="80"/>
      <c r="O10" s="74"/>
      <c r="P10" s="80"/>
      <c r="Q10" s="74"/>
      <c r="R10" s="80"/>
      <c r="S10" s="74"/>
      <c r="T10" s="80"/>
      <c r="U10" s="74"/>
      <c r="V10" s="80"/>
      <c r="W10" s="74"/>
      <c r="X10" s="80"/>
      <c r="Y10" s="74"/>
      <c r="Z10" s="80"/>
      <c r="AA10" s="74"/>
      <c r="AB10" s="80"/>
      <c r="AC10" s="74"/>
      <c r="AD10" s="81"/>
      <c r="AE10" s="82"/>
      <c r="AF10" s="81"/>
      <c r="AG10" s="80"/>
      <c r="AH10" s="74"/>
      <c r="AI10" s="81"/>
      <c r="AJ10" s="82"/>
      <c r="AK10" s="81"/>
      <c r="AL10" s="82"/>
    </row>
    <row r="11" ht="16.5" customHeight="1">
      <c r="A11" s="22" t="s">
        <v>65</v>
      </c>
      <c r="B11" s="23"/>
      <c r="C11" s="10"/>
      <c r="D11" s="23"/>
      <c r="E11" s="10"/>
      <c r="F11" s="23"/>
      <c r="G11" s="10"/>
      <c r="H11" s="23"/>
      <c r="I11" s="10"/>
      <c r="J11" s="23"/>
      <c r="K11" s="10"/>
      <c r="L11" s="23"/>
      <c r="M11" s="10"/>
      <c r="N11" s="23"/>
      <c r="O11" s="10"/>
      <c r="P11" s="23"/>
      <c r="Q11" s="10"/>
      <c r="R11" s="23"/>
      <c r="S11" s="10"/>
      <c r="T11" s="23"/>
      <c r="U11" s="10"/>
      <c r="V11" s="23"/>
      <c r="W11" s="10"/>
      <c r="X11" s="23"/>
      <c r="Y11" s="10"/>
      <c r="Z11" s="23"/>
      <c r="AA11" s="10"/>
      <c r="AB11" s="23"/>
      <c r="AC11" s="10"/>
      <c r="AD11" s="24"/>
      <c r="AE11" s="25"/>
      <c r="AF11" s="24"/>
      <c r="AG11" s="23"/>
      <c r="AH11" s="10"/>
      <c r="AI11" s="24"/>
      <c r="AJ11" s="25"/>
      <c r="AK11" s="24"/>
      <c r="AL11" s="25"/>
    </row>
    <row r="12" ht="16.5" customHeight="1">
      <c r="A12" s="22" t="s">
        <v>66</v>
      </c>
      <c r="B12" s="23"/>
      <c r="C12" s="10"/>
      <c r="D12" s="23"/>
      <c r="E12" s="10"/>
      <c r="F12" s="23"/>
      <c r="G12" s="10"/>
      <c r="H12" s="23"/>
      <c r="I12" s="10"/>
      <c r="J12" s="23"/>
      <c r="K12" s="10"/>
      <c r="L12" s="23"/>
      <c r="M12" s="10"/>
      <c r="N12" s="23"/>
      <c r="O12" s="10"/>
      <c r="P12" s="23"/>
      <c r="Q12" s="10"/>
      <c r="R12" s="23"/>
      <c r="S12" s="10"/>
      <c r="T12" s="23"/>
      <c r="U12" s="10"/>
      <c r="V12" s="23"/>
      <c r="W12" s="10"/>
      <c r="X12" s="23"/>
      <c r="Y12" s="10"/>
      <c r="Z12" s="23"/>
      <c r="AA12" s="10"/>
      <c r="AB12" s="23"/>
      <c r="AC12" s="10"/>
      <c r="AD12" s="24"/>
      <c r="AE12" s="25"/>
      <c r="AF12" s="24"/>
      <c r="AG12" s="23"/>
      <c r="AH12" s="10"/>
      <c r="AI12" s="24"/>
      <c r="AJ12" s="25"/>
      <c r="AK12" s="24"/>
      <c r="AL12" s="25"/>
    </row>
    <row r="13" ht="16.5" hidden="1" customHeight="1">
      <c r="A13" s="26" t="s">
        <v>67</v>
      </c>
      <c r="B13" s="28">
        <f>SUM('4 - RASA - MVT'!B13,'5 - RASA - National Landin'!B13,'6 - RASA - Mosaic'!B13,'7 - RASA - Rockville'!B13)</f>
        <v>0</v>
      </c>
      <c r="C13" s="15">
        <f>IFERROR(B13/B148, "NA")</f>
        <v>0</v>
      </c>
      <c r="D13" s="28">
        <f>SUM('4 - RASA - MVT'!D13,'5 - RASA - National Landin'!D13,'6 - RASA - Mosaic'!D13,'7 - RASA - Rockville'!D13)</f>
        <v>0</v>
      </c>
      <c r="E13" s="15">
        <f>IFERROR(D13/D148, "NA")</f>
        <v>0</v>
      </c>
      <c r="F13" s="28">
        <f>SUM('4 - RASA - MVT'!F13,'5 - RASA - National Landin'!F13,'6 - RASA - Mosaic'!F13,'7 - RASA - Rockville'!F13)</f>
        <v>0</v>
      </c>
      <c r="G13" s="15">
        <f>IFERROR(F13/F148, "NA")</f>
        <v>0</v>
      </c>
      <c r="H13" s="28">
        <f>SUM('4 - RASA - MVT'!H13,'5 - RASA - National Landin'!H13,'6 - RASA - Mosaic'!H13,'7 - RASA - Rockville'!H13)</f>
        <v>0</v>
      </c>
      <c r="I13" s="15">
        <f>IFERROR(H13/H148, "NA")</f>
        <v>0</v>
      </c>
      <c r="J13" s="28">
        <f>SUM('4 - RASA - MVT'!J13,'5 - RASA - National Landin'!J13,'6 - RASA - Mosaic'!J13,'7 - RASA - Rockville'!J13)</f>
        <v>0</v>
      </c>
      <c r="K13" s="15">
        <f>IFERROR(J13/J148, "NA")</f>
        <v>0</v>
      </c>
      <c r="L13" s="28">
        <f>SUM('4 - RASA - MVT'!L13,'5 - RASA - National Landin'!L13,'6 - RASA - Mosaic'!L13,'7 - RASA - Rockville'!L13)</f>
        <v>0</v>
      </c>
      <c r="M13" s="15">
        <f>IFERROR(L13/L148, "NA")</f>
        <v>0</v>
      </c>
      <c r="N13" s="28">
        <f>SUM('4 - RASA - MVT'!N13,'5 - RASA - National Landin'!N13,'6 - RASA - Mosaic'!N13,'7 - RASA - Rockville'!N13)</f>
        <v>0</v>
      </c>
      <c r="O13" s="15">
        <f>IFERROR(N13/N148, "NA")</f>
        <v>0</v>
      </c>
      <c r="P13" s="28">
        <f>SUM('4 - RASA - MVT'!P13,'5 - RASA - National Landin'!P13,'6 - RASA - Mosaic'!P13,'7 - RASA - Rockville'!P13)</f>
        <v>0</v>
      </c>
      <c r="Q13" s="15">
        <f>IFERROR(P13/P148, "NA")</f>
        <v>0</v>
      </c>
      <c r="R13" s="28">
        <f>SUM('4 - RASA - MVT'!R13,'5 - RASA - National Landin'!R13,'6 - RASA - Mosaic'!R13,'7 - RASA - Rockville'!R13)</f>
        <v>0</v>
      </c>
      <c r="S13" s="15">
        <f>IFERROR(R13/R148, "NA")</f>
        <v>0</v>
      </c>
      <c r="T13" s="28">
        <f>SUM('4 - RASA - MVT'!T13,'5 - RASA - National Landin'!T13,'6 - RASA - Mosaic'!T13,'7 - RASA - Rockville'!T13)</f>
        <v>0</v>
      </c>
      <c r="U13" s="15">
        <f>IFERROR(T13/T148, "NA")</f>
        <v>0</v>
      </c>
      <c r="V13" s="28">
        <f>SUM('4 - RASA - MVT'!V13,'5 - RASA - National Landin'!V13,'6 - RASA - Mosaic'!V13,'7 - RASA - Rockville'!V13)</f>
        <v>0</v>
      </c>
      <c r="W13" s="15">
        <f>IFERROR(V13/V148, "NA")</f>
        <v>0</v>
      </c>
      <c r="X13" s="28">
        <f>SUM('4 - RASA - MVT'!X13,'5 - RASA - National Landin'!X13,'6 - RASA - Mosaic'!X13,'7 - RASA - Rockville'!X13)</f>
        <v>0</v>
      </c>
      <c r="Y13" s="15">
        <f>IFERROR(X13/X148, "NA")</f>
        <v>0</v>
      </c>
      <c r="Z13" s="28">
        <f>SUM('4 - RASA - MVT'!Z13,'5 - RASA - National Landin'!Z13,'6 - RASA - Mosaic'!Z13,'7 - RASA - Rockville'!Z13)</f>
        <v>0</v>
      </c>
      <c r="AA13" s="15">
        <f>IFERROR(Z13/Z148, "NA")</f>
        <v>0</v>
      </c>
      <c r="AB13" s="57">
        <f>IFERROR((R13+T13+V13+X13)/4, "NA")</f>
        <v>0</v>
      </c>
      <c r="AC13" s="15">
        <f>IFERROR(AB13/AB148, "NA")</f>
        <v>0</v>
      </c>
      <c r="AD13" s="61">
        <f>IFERROR(X13-AB13, "NA")</f>
        <v>0</v>
      </c>
      <c r="AE13" s="62">
        <f>IFERROR(AD13/AD148, "NA")</f>
        <v>0</v>
      </c>
      <c r="AF13" s="61" t="str">
        <f>IFERROR((X13-AB13)/AB13, "NA")</f>
        <v>NA</v>
      </c>
      <c r="AG13" s="57">
        <f>IFERROR((J13+L13+N13+P13+R13+T13+V13+X13)/8, "NA")</f>
        <v>0</v>
      </c>
      <c r="AH13" s="15">
        <f>IFERROR(AG13/AG148, "NA")</f>
        <v>0</v>
      </c>
      <c r="AI13" s="61">
        <f>IFERROR(X13-AG13, "NA")</f>
        <v>0</v>
      </c>
      <c r="AJ13" s="62">
        <f>IFERROR(AI13/AI148, "NA")</f>
        <v>0</v>
      </c>
      <c r="AK13" s="61" t="str">
        <f>IFERROR((X13-AG13)/AG13, "NA")</f>
        <v>NA</v>
      </c>
      <c r="AL13" s="62" t="str">
        <f>IFERROR(AK13/AK148, "NA")</f>
        <v>NA</v>
      </c>
    </row>
    <row r="14" ht="16.5" customHeight="1">
      <c r="A14" s="22" t="s">
        <v>68</v>
      </c>
      <c r="B14" s="23"/>
      <c r="C14" s="10"/>
      <c r="D14" s="23"/>
      <c r="E14" s="10"/>
      <c r="F14" s="23"/>
      <c r="G14" s="10"/>
      <c r="H14" s="23"/>
      <c r="I14" s="10"/>
      <c r="J14" s="23"/>
      <c r="K14" s="10"/>
      <c r="L14" s="23"/>
      <c r="M14" s="10"/>
      <c r="N14" s="23"/>
      <c r="O14" s="10"/>
      <c r="P14" s="23"/>
      <c r="Q14" s="10"/>
      <c r="R14" s="23"/>
      <c r="S14" s="10"/>
      <c r="T14" s="23"/>
      <c r="U14" s="10"/>
      <c r="V14" s="23"/>
      <c r="W14" s="10"/>
      <c r="X14" s="23"/>
      <c r="Y14" s="10"/>
      <c r="Z14" s="23"/>
      <c r="AA14" s="10"/>
      <c r="AB14" s="23"/>
      <c r="AC14" s="10"/>
      <c r="AD14" s="24"/>
      <c r="AE14" s="25"/>
      <c r="AF14" s="24"/>
      <c r="AG14" s="23"/>
      <c r="AH14" s="10"/>
      <c r="AI14" s="24"/>
      <c r="AJ14" s="25"/>
      <c r="AK14" s="24"/>
      <c r="AL14" s="25"/>
    </row>
    <row r="15" ht="16.5" hidden="1" customHeight="1">
      <c r="A15" s="26" t="s">
        <v>69</v>
      </c>
      <c r="B15" s="28">
        <f>SUM('4 - RASA - MVT'!B15,'5 - RASA - National Landin'!B15,'6 - RASA - Mosaic'!B15,'7 - RASA - Rockville'!B15)</f>
        <v>0</v>
      </c>
      <c r="C15" s="15">
        <f>IFERROR(B15/B148, "NA")</f>
        <v>0</v>
      </c>
      <c r="D15" s="28">
        <f>SUM('4 - RASA - MVT'!D15,'5 - RASA - National Landin'!D15,'6 - RASA - Mosaic'!D15,'7 - RASA - Rockville'!D15)</f>
        <v>0</v>
      </c>
      <c r="E15" s="15">
        <f>IFERROR(D15/D148, "NA")</f>
        <v>0</v>
      </c>
      <c r="F15" s="28">
        <f>SUM('4 - RASA - MVT'!F15,'5 - RASA - National Landin'!F15,'6 - RASA - Mosaic'!F15,'7 - RASA - Rockville'!F15)</f>
        <v>0</v>
      </c>
      <c r="G15" s="15">
        <f>IFERROR(F15/F148, "NA")</f>
        <v>0</v>
      </c>
      <c r="H15" s="28">
        <f>SUM('4 - RASA - MVT'!H15,'5 - RASA - National Landin'!H15,'6 - RASA - Mosaic'!H15,'7 - RASA - Rockville'!H15)</f>
        <v>0</v>
      </c>
      <c r="I15" s="15">
        <f>IFERROR(H15/H148, "NA")</f>
        <v>0</v>
      </c>
      <c r="J15" s="28">
        <f>SUM('4 - RASA - MVT'!J15,'5 - RASA - National Landin'!J15,'6 - RASA - Mosaic'!J15,'7 - RASA - Rockville'!J15)</f>
        <v>0</v>
      </c>
      <c r="K15" s="15">
        <f>IFERROR(J15/J148, "NA")</f>
        <v>0</v>
      </c>
      <c r="L15" s="28">
        <f>SUM('4 - RASA - MVT'!L15,'5 - RASA - National Landin'!L15,'6 - RASA - Mosaic'!L15,'7 - RASA - Rockville'!L15)</f>
        <v>0</v>
      </c>
      <c r="M15" s="15">
        <f>IFERROR(L15/L148, "NA")</f>
        <v>0</v>
      </c>
      <c r="N15" s="28">
        <f>SUM('4 - RASA - MVT'!N15,'5 - RASA - National Landin'!N15,'6 - RASA - Mosaic'!N15,'7 - RASA - Rockville'!N15)</f>
        <v>0</v>
      </c>
      <c r="O15" s="15">
        <f>IFERROR(N15/N148, "NA")</f>
        <v>0</v>
      </c>
      <c r="P15" s="28">
        <f>SUM('4 - RASA - MVT'!P15,'5 - RASA - National Landin'!P15,'6 - RASA - Mosaic'!P15,'7 - RASA - Rockville'!P15)</f>
        <v>0</v>
      </c>
      <c r="Q15" s="15">
        <f>IFERROR(P15/P148, "NA")</f>
        <v>0</v>
      </c>
      <c r="R15" s="28">
        <f>SUM('4 - RASA - MVT'!R15,'5 - RASA - National Landin'!R15,'6 - RASA - Mosaic'!R15,'7 - RASA - Rockville'!R15)</f>
        <v>0</v>
      </c>
      <c r="S15" s="15">
        <f>IFERROR(R15/R148, "NA")</f>
        <v>0</v>
      </c>
      <c r="T15" s="28">
        <f>SUM('4 - RASA - MVT'!T15,'5 - RASA - National Landin'!T15,'6 - RASA - Mosaic'!T15,'7 - RASA - Rockville'!T15)</f>
        <v>0</v>
      </c>
      <c r="U15" s="15">
        <f>IFERROR(T15/T148, "NA")</f>
        <v>0</v>
      </c>
      <c r="V15" s="28">
        <f>SUM('4 - RASA - MVT'!V15,'5 - RASA - National Landin'!V15,'6 - RASA - Mosaic'!V15,'7 - RASA - Rockville'!V15)</f>
        <v>0</v>
      </c>
      <c r="W15" s="15">
        <f>IFERROR(V15/V148, "NA")</f>
        <v>0</v>
      </c>
      <c r="X15" s="28">
        <f>SUM('4 - RASA - MVT'!X15,'5 - RASA - National Landin'!X15,'6 - RASA - Mosaic'!X15,'7 - RASA - Rockville'!X15)</f>
        <v>0</v>
      </c>
      <c r="Y15" s="15">
        <f>IFERROR(X15/X148, "NA")</f>
        <v>0</v>
      </c>
      <c r="Z15" s="28">
        <f>SUM('4 - RASA - MVT'!Z15,'5 - RASA - National Landin'!Z15,'6 - RASA - Mosaic'!Z15,'7 - RASA - Rockville'!Z15)</f>
        <v>0</v>
      </c>
      <c r="AA15" s="15">
        <f>IFERROR(Z15/Z148, "NA")</f>
        <v>0</v>
      </c>
      <c r="AB15" s="57">
        <f t="shared" ref="AB15:AB27" si="7">IFERROR((R15+T15+V15+X15)/4, "NA")</f>
        <v>0</v>
      </c>
      <c r="AC15" s="15">
        <f>IFERROR(AB15/AB148, "NA")</f>
        <v>0</v>
      </c>
      <c r="AD15" s="61">
        <f t="shared" ref="AD15:AD27" si="8">IFERROR(X15-AB15, "NA")</f>
        <v>0</v>
      </c>
      <c r="AE15" s="62">
        <f>IFERROR(AD15/AD148, "NA")</f>
        <v>0</v>
      </c>
      <c r="AF15" s="61" t="str">
        <f t="shared" ref="AF15:AF27" si="9">IFERROR((X15-AB15)/AB15, "NA")</f>
        <v>NA</v>
      </c>
      <c r="AG15" s="57">
        <f t="shared" ref="AG15:AG27" si="10">IFERROR((J15+L15+N15+P15+R15+T15+V15+X15)/8, "NA")</f>
        <v>0</v>
      </c>
      <c r="AH15" s="15">
        <f>IFERROR(AG15/AG148, "NA")</f>
        <v>0</v>
      </c>
      <c r="AI15" s="61">
        <f t="shared" ref="AI15:AI27" si="11">IFERROR(X15-AG15, "NA")</f>
        <v>0</v>
      </c>
      <c r="AJ15" s="62">
        <f>IFERROR(AI15/AI148, "NA")</f>
        <v>0</v>
      </c>
      <c r="AK15" s="61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6" t="s">
        <v>70</v>
      </c>
      <c r="B16" s="28">
        <f>SUM('4 - RASA - MVT'!B16,'5 - RASA - National Landin'!B16,'6 - RASA - Mosaic'!B16,'7 - RASA - Rockville'!B16)</f>
        <v>3640.2</v>
      </c>
      <c r="C16" s="15">
        <f>IFERROR(B16/B148, "NA")</f>
        <v>0.04925313884</v>
      </c>
      <c r="D16" s="28">
        <f>SUM('4 - RASA - MVT'!D16,'5 - RASA - National Landin'!D16,'6 - RASA - Mosaic'!D16,'7 - RASA - Rockville'!D16)</f>
        <v>5116.23</v>
      </c>
      <c r="E16" s="15">
        <f>IFERROR(D16/D148, "NA")</f>
        <v>0.0498327522</v>
      </c>
      <c r="F16" s="28">
        <f>SUM('4 - RASA - MVT'!F16,'5 - RASA - National Landin'!F16,'6 - RASA - Mosaic'!F16,'7 - RASA - Rockville'!F16)</f>
        <v>4881.2</v>
      </c>
      <c r="G16" s="15">
        <f>IFERROR(F16/F148, "NA")</f>
        <v>0.04464995041</v>
      </c>
      <c r="H16" s="28">
        <f>SUM('4 - RASA - MVT'!H16,'5 - RASA - National Landin'!H16,'6 - RASA - Mosaic'!H16,'7 - RASA - Rockville'!H16)</f>
        <v>5657.62</v>
      </c>
      <c r="I16" s="15">
        <f>IFERROR(H16/H148, "NA")</f>
        <v>0.04623533454</v>
      </c>
      <c r="J16" s="28">
        <f>SUM('4 - RASA - MVT'!J16,'5 - RASA - National Landin'!J16,'6 - RASA - Mosaic'!J16,'7 - RASA - Rockville'!J16)</f>
        <v>5475.07</v>
      </c>
      <c r="K16" s="15">
        <f>IFERROR(J16/J148, "NA")</f>
        <v>0.04806633157</v>
      </c>
      <c r="L16" s="28">
        <f>SUM('4 - RASA - MVT'!L16,'5 - RASA - National Landin'!L16,'6 - RASA - Mosaic'!L16,'7 - RASA - Rockville'!L16)</f>
        <v>6048.87</v>
      </c>
      <c r="M16" s="15">
        <f>IFERROR(L16/L148, "NA")</f>
        <v>0.04821263881</v>
      </c>
      <c r="N16" s="28">
        <f>SUM('4 - RASA - MVT'!N16,'5 - RASA - National Landin'!N16,'6 - RASA - Mosaic'!N16,'7 - RASA - Rockville'!N16)</f>
        <v>7190.15</v>
      </c>
      <c r="O16" s="15">
        <f>IFERROR(N16/N148, "NA")</f>
        <v>0.05237249367</v>
      </c>
      <c r="P16" s="28">
        <f>SUM('4 - RASA - MVT'!P16,'5 - RASA - National Landin'!P16,'6 - RASA - Mosaic'!P16,'7 - RASA - Rockville'!P16)</f>
        <v>6805.81</v>
      </c>
      <c r="Q16" s="15">
        <f>IFERROR(P16/P148, "NA")</f>
        <v>0.0461889835</v>
      </c>
      <c r="R16" s="28">
        <f>SUM('4 - RASA - MVT'!R16,'5 - RASA - National Landin'!R16,'6 - RASA - Mosaic'!R16,'7 - RASA - Rockville'!R16)</f>
        <v>7335.01</v>
      </c>
      <c r="S16" s="15">
        <f>IFERROR(R16/R148, "NA")</f>
        <v>0.05078357179</v>
      </c>
      <c r="T16" s="28">
        <f>SUM('4 - RASA - MVT'!T16,'5 - RASA - National Landin'!T16,'6 - RASA - Mosaic'!T16,'7 - RASA - Rockville'!T16)</f>
        <v>5909.03</v>
      </c>
      <c r="U16" s="15">
        <f>IFERROR(T16/T148, "NA")</f>
        <v>0.04632996269</v>
      </c>
      <c r="V16" s="28">
        <f>SUM('4 - RASA - MVT'!V16,'5 - RASA - National Landin'!V16,'6 - RASA - Mosaic'!V16,'7 - RASA - Rockville'!V16)</f>
        <v>7008.16</v>
      </c>
      <c r="W16" s="15">
        <f>IFERROR(V16/V148, "NA")</f>
        <v>0.05290185089</v>
      </c>
      <c r="X16" s="28">
        <f>SUM('4 - RASA - MVT'!X16,'5 - RASA - National Landin'!X16,'6 - RASA - Mosaic'!X16,'7 - RASA - Rockville'!X16)</f>
        <v>6474.71</v>
      </c>
      <c r="Y16" s="15">
        <f>IFERROR(X16/X148, "NA")</f>
        <v>0.04526166715</v>
      </c>
      <c r="Z16" s="28">
        <f>SUM('4 - RASA - MVT'!Z16,'5 - RASA - National Landin'!Z16,'6 - RASA - Mosaic'!Z16,'7 - RASA - Rockville'!Z16)</f>
        <v>19391.9</v>
      </c>
      <c r="AA16" s="15">
        <f>IFERROR(Z16/Z148, "NA")</f>
        <v>0.04811077762</v>
      </c>
      <c r="AB16" s="57">
        <f t="shared" si="7"/>
        <v>6681.7275</v>
      </c>
      <c r="AC16" s="15">
        <f>IFERROR(AB16/AB148, "NA")</f>
        <v>0.04881588523</v>
      </c>
      <c r="AD16" s="61">
        <f t="shared" si="8"/>
        <v>-207.0175</v>
      </c>
      <c r="AE16" s="62">
        <f>IFERROR(AD16/AD148, "NA")</f>
        <v>-0.03352759882</v>
      </c>
      <c r="AF16" s="61">
        <f t="shared" si="9"/>
        <v>-0.03098263136</v>
      </c>
      <c r="AG16" s="57">
        <f t="shared" si="10"/>
        <v>6530.85125</v>
      </c>
      <c r="AH16" s="15">
        <f>IFERROR(AG16/AG148, "NA")</f>
        <v>0.04876003136</v>
      </c>
      <c r="AI16" s="61">
        <f t="shared" si="11"/>
        <v>-56.14125</v>
      </c>
      <c r="AJ16" s="62">
        <f>IFERROR(AI16/AI148, "NA")</f>
        <v>-0.006161235808</v>
      </c>
      <c r="AK16" s="61">
        <f t="shared" si="12"/>
        <v>-0.008596314301</v>
      </c>
      <c r="AL16" s="62">
        <f>IFERROR(AK16/AK148, "NA")</f>
        <v>-0.1263583233</v>
      </c>
    </row>
    <row r="17" ht="16.5" customHeight="1">
      <c r="A17" s="26" t="s">
        <v>71</v>
      </c>
      <c r="B17" s="28">
        <f>SUM('4 - RASA - MVT'!B17,'5 - RASA - National Landin'!B17,'6 - RASA - Mosaic'!B17,'7 - RASA - Rockville'!B17)</f>
        <v>2035.8</v>
      </c>
      <c r="C17" s="15">
        <f>IFERROR(B17/B148, "NA")</f>
        <v>0.02754506347</v>
      </c>
      <c r="D17" s="28">
        <f>SUM('4 - RASA - MVT'!D17,'5 - RASA - National Landin'!D17,'6 - RASA - Mosaic'!D17,'7 - RASA - Rockville'!D17)</f>
        <v>2675.29</v>
      </c>
      <c r="E17" s="15">
        <f>IFERROR(D17/D148, "NA")</f>
        <v>0.02605767599</v>
      </c>
      <c r="F17" s="28">
        <f>SUM('4 - RASA - MVT'!F17,'5 - RASA - National Landin'!F17,'6 - RASA - Mosaic'!F17,'7 - RASA - Rockville'!F17)</f>
        <v>2714.05</v>
      </c>
      <c r="G17" s="15">
        <f>IFERROR(F17/F148, "NA")</f>
        <v>0.02482631277</v>
      </c>
      <c r="H17" s="28">
        <f>SUM('4 - RASA - MVT'!H17,'5 - RASA - National Landin'!H17,'6 - RASA - Mosaic'!H17,'7 - RASA - Rockville'!H17)</f>
        <v>3385.1</v>
      </c>
      <c r="I17" s="15">
        <f>IFERROR(H17/H148, "NA")</f>
        <v>0.02766379342</v>
      </c>
      <c r="J17" s="28">
        <f>SUM('4 - RASA - MVT'!J17,'5 - RASA - National Landin'!J17,'6 - RASA - Mosaic'!J17,'7 - RASA - Rockville'!J17)</f>
        <v>3254.06</v>
      </c>
      <c r="K17" s="15">
        <f>IFERROR(J17/J148, "NA")</f>
        <v>0.02856780405</v>
      </c>
      <c r="L17" s="28">
        <f>SUM('4 - RASA - MVT'!L17,'5 - RASA - National Landin'!L17,'6 - RASA - Mosaic'!L17,'7 - RASA - Rockville'!L17)</f>
        <v>3003.6</v>
      </c>
      <c r="M17" s="15">
        <f>IFERROR(L17/L148, "NA")</f>
        <v>0.02394025362</v>
      </c>
      <c r="N17" s="28">
        <f>SUM('4 - RASA - MVT'!N17,'5 - RASA - National Landin'!N17,'6 - RASA - Mosaic'!N17,'7 - RASA - Rockville'!N17)</f>
        <v>3745.36</v>
      </c>
      <c r="O17" s="15">
        <f>IFERROR(N17/N148, "NA")</f>
        <v>0.02728091109</v>
      </c>
      <c r="P17" s="28">
        <f>SUM('4 - RASA - MVT'!P17,'5 - RASA - National Landin'!P17,'6 - RASA - Mosaic'!P17,'7 - RASA - Rockville'!P17)</f>
        <v>3868.18</v>
      </c>
      <c r="Q17" s="15">
        <f>IFERROR(P17/P148, "NA")</f>
        <v>0.0262521731</v>
      </c>
      <c r="R17" s="28">
        <f>SUM('4 - RASA - MVT'!R17,'5 - RASA - National Landin'!R17,'6 - RASA - Mosaic'!R17,'7 - RASA - Rockville'!R17)</f>
        <v>3818.15</v>
      </c>
      <c r="S17" s="15">
        <f>IFERROR(R17/R148, "NA")</f>
        <v>0.02643476895</v>
      </c>
      <c r="T17" s="28">
        <f>SUM('4 - RASA - MVT'!T17,'5 - RASA - National Landin'!T17,'6 - RASA - Mosaic'!T17,'7 - RASA - Rockville'!T17)</f>
        <v>3472.49</v>
      </c>
      <c r="U17" s="15">
        <f>IFERROR(T17/T148, "NA")</f>
        <v>0.027226183</v>
      </c>
      <c r="V17" s="28">
        <f>SUM('4 - RASA - MVT'!V17,'5 - RASA - National Landin'!V17,'6 - RASA - Mosaic'!V17,'7 - RASA - Rockville'!V17)</f>
        <v>3812.69</v>
      </c>
      <c r="W17" s="15">
        <f>IFERROR(V17/V148, "NA")</f>
        <v>0.02878050128</v>
      </c>
      <c r="X17" s="28">
        <f>SUM('4 - RASA - MVT'!X17,'5 - RASA - National Landin'!X17,'6 - RASA - Mosaic'!X17,'7 - RASA - Rockville'!X17)</f>
        <v>3991.9</v>
      </c>
      <c r="Y17" s="15">
        <f>IFERROR(X17/X148, "NA")</f>
        <v>0.02790550451</v>
      </c>
      <c r="Z17" s="28">
        <f>SUM('4 - RASA - MVT'!Z17,'5 - RASA - National Landin'!Z17,'6 - RASA - Mosaic'!Z17,'7 - RASA - Rockville'!Z17)</f>
        <v>11277.08</v>
      </c>
      <c r="AA17" s="15">
        <f>IFERROR(Z17/Z148, "NA")</f>
        <v>0.02797812943</v>
      </c>
      <c r="AB17" s="57">
        <f t="shared" si="7"/>
        <v>3773.8075</v>
      </c>
      <c r="AC17" s="15">
        <f>IFERROR(AB17/AB148, "NA")</f>
        <v>0.02757097679</v>
      </c>
      <c r="AD17" s="61">
        <f t="shared" si="8"/>
        <v>218.0925</v>
      </c>
      <c r="AE17" s="62">
        <f>IFERROR(AD17/AD148, "NA")</f>
        <v>0.0353212547</v>
      </c>
      <c r="AF17" s="61">
        <f t="shared" si="9"/>
        <v>0.05779110355</v>
      </c>
      <c r="AG17" s="57">
        <f t="shared" si="10"/>
        <v>3620.80375</v>
      </c>
      <c r="AH17" s="15">
        <f>IFERROR(AG17/AG148, "NA")</f>
        <v>0.02703330663</v>
      </c>
      <c r="AI17" s="61">
        <f t="shared" si="11"/>
        <v>371.09625</v>
      </c>
      <c r="AJ17" s="62">
        <f>IFERROR(AI17/AI148, "NA")</f>
        <v>0.04072605266</v>
      </c>
      <c r="AK17" s="61">
        <f t="shared" si="12"/>
        <v>0.1024900203</v>
      </c>
      <c r="AL17" s="62">
        <f>IFERROR(AK17/AK148, "NA")</f>
        <v>1.506513917</v>
      </c>
    </row>
    <row r="18" ht="16.5" customHeight="1">
      <c r="A18" s="26" t="s">
        <v>72</v>
      </c>
      <c r="B18" s="28">
        <f>SUM('4 - RASA - MVT'!B18,'5 - RASA - National Landin'!B18,'6 - RASA - Mosaic'!B18,'7 - RASA - Rockville'!B18)</f>
        <v>2497.75</v>
      </c>
      <c r="C18" s="15">
        <f>IFERROR(B18/B148, "NA")</f>
        <v>0.03379540342</v>
      </c>
      <c r="D18" s="28">
        <f>SUM('4 - RASA - MVT'!D18,'5 - RASA - National Landin'!D18,'6 - RASA - Mosaic'!D18,'7 - RASA - Rockville'!D18)</f>
        <v>3466.54</v>
      </c>
      <c r="E18" s="15">
        <f>IFERROR(D18/D148, "NA")</f>
        <v>0.03376455492</v>
      </c>
      <c r="F18" s="28">
        <f>SUM('4 - RASA - MVT'!F18,'5 - RASA - National Landin'!F18,'6 - RASA - Mosaic'!F18,'7 - RASA - Rockville'!F18)</f>
        <v>3464.39</v>
      </c>
      <c r="G18" s="15">
        <f>IFERROR(F18/F148, "NA")</f>
        <v>0.03168992086</v>
      </c>
      <c r="H18" s="28">
        <f>SUM('4 - RASA - MVT'!H18,'5 - RASA - National Landin'!H18,'6 - RASA - Mosaic'!H18,'7 - RASA - Rockville'!H18)</f>
        <v>3939.83</v>
      </c>
      <c r="I18" s="15">
        <f>IFERROR(H18/H148, "NA")</f>
        <v>0.03219717091</v>
      </c>
      <c r="J18" s="28">
        <f>SUM('4 - RASA - MVT'!J18,'5 - RASA - National Landin'!J18,'6 - RASA - Mosaic'!J18,'7 - RASA - Rockville'!J18)</f>
        <v>4100.06</v>
      </c>
      <c r="K18" s="15">
        <f>IFERROR(J18/J148, "NA")</f>
        <v>0.03599494498</v>
      </c>
      <c r="L18" s="28">
        <f>SUM('4 - RASA - MVT'!L18,'5 - RASA - National Landin'!L18,'6 - RASA - Mosaic'!L18,'7 - RASA - Rockville'!L18)</f>
        <v>4689.33</v>
      </c>
      <c r="M18" s="15">
        <f>IFERROR(L18/L148, "NA")</f>
        <v>0.03737639816</v>
      </c>
      <c r="N18" s="28">
        <f>SUM('4 - RASA - MVT'!N18,'5 - RASA - National Landin'!N18,'6 - RASA - Mosaic'!N18,'7 - RASA - Rockville'!N18)</f>
        <v>5251.69</v>
      </c>
      <c r="O18" s="15">
        <f>IFERROR(N18/N148, "NA")</f>
        <v>0.03825290171</v>
      </c>
      <c r="P18" s="28">
        <f>SUM('4 - RASA - MVT'!P18,'5 - RASA - National Landin'!P18,'6 - RASA - Mosaic'!P18,'7 - RASA - Rockville'!P18)</f>
        <v>5945.97</v>
      </c>
      <c r="Q18" s="15">
        <f>IFERROR(P18/P148, "NA")</f>
        <v>0.04035350829</v>
      </c>
      <c r="R18" s="28">
        <f>SUM('4 - RASA - MVT'!R18,'5 - RASA - National Landin'!R18,'6 - RASA - Mosaic'!R18,'7 - RASA - Rockville'!R18)</f>
        <v>5541.08</v>
      </c>
      <c r="S18" s="15">
        <f>IFERROR(R18/R148, "NA")</f>
        <v>0.03836338791</v>
      </c>
      <c r="T18" s="28">
        <f>SUM('4 - RASA - MVT'!T18,'5 - RASA - National Landin'!T18,'6 - RASA - Mosaic'!T18,'7 - RASA - Rockville'!T18)</f>
        <v>4531.77</v>
      </c>
      <c r="U18" s="15">
        <f>IFERROR(T18/T148, "NA")</f>
        <v>0.03553150602</v>
      </c>
      <c r="V18" s="28">
        <f>SUM('4 - RASA - MVT'!V18,'5 - RASA - National Landin'!V18,'6 - RASA - Mosaic'!V18,'7 - RASA - Rockville'!V18)</f>
        <v>5465.18</v>
      </c>
      <c r="W18" s="15">
        <f>IFERROR(V18/V148, "NA")</f>
        <v>0.0412545001</v>
      </c>
      <c r="X18" s="28">
        <f>SUM('4 - RASA - MVT'!X18,'5 - RASA - National Landin'!X18,'6 - RASA - Mosaic'!X18,'7 - RASA - Rockville'!X18)</f>
        <v>5983.3</v>
      </c>
      <c r="Y18" s="15">
        <f>IFERROR(X18/X148, "NA")</f>
        <v>0.04182644984</v>
      </c>
      <c r="Z18" s="28">
        <f>SUM('4 - RASA - MVT'!Z18,'5 - RASA - National Landin'!Z18,'6 - RASA - Mosaic'!Z18,'7 - RASA - Rockville'!Z18)</f>
        <v>15980.25</v>
      </c>
      <c r="AA18" s="15">
        <f>IFERROR(Z18/Z148, "NA")</f>
        <v>0.03964656656</v>
      </c>
      <c r="AB18" s="57">
        <f t="shared" si="7"/>
        <v>5380.3325</v>
      </c>
      <c r="AC18" s="15">
        <f>IFERROR(AB18/AB148, "NA")</f>
        <v>0.03930805227</v>
      </c>
      <c r="AD18" s="61">
        <f t="shared" si="8"/>
        <v>602.9675</v>
      </c>
      <c r="AE18" s="62">
        <f>IFERROR(AD18/AD148, "NA")</f>
        <v>0.09765383332</v>
      </c>
      <c r="AF18" s="61">
        <f t="shared" si="9"/>
        <v>0.1120688173</v>
      </c>
      <c r="AG18" s="57">
        <f t="shared" si="10"/>
        <v>5188.5475</v>
      </c>
      <c r="AH18" s="15">
        <f>IFERROR(AG18/AG148, "NA")</f>
        <v>0.03873824852</v>
      </c>
      <c r="AI18" s="61">
        <f t="shared" si="11"/>
        <v>794.7525</v>
      </c>
      <c r="AJ18" s="62">
        <f>IFERROR(AI18/AI148, "NA")</f>
        <v>0.08722031593</v>
      </c>
      <c r="AK18" s="61">
        <f t="shared" si="12"/>
        <v>0.1531743711</v>
      </c>
      <c r="AL18" s="62">
        <f>IFERROR(AK18/AK148, "NA")</f>
        <v>2.25152967</v>
      </c>
    </row>
    <row r="19" ht="16.5" customHeight="1">
      <c r="A19" s="26" t="s">
        <v>74</v>
      </c>
      <c r="B19" s="28">
        <f>SUM('4 - RASA - MVT'!B19,'5 - RASA - National Landin'!B19,'6 - RASA - Mosaic'!B19,'7 - RASA - Rockville'!B19)</f>
        <v>1676.21</v>
      </c>
      <c r="C19" s="15">
        <f>IFERROR(B19/B148, "NA")</f>
        <v>0.02267968899</v>
      </c>
      <c r="D19" s="28">
        <f>SUM('4 - RASA - MVT'!D19,'5 - RASA - National Landin'!D19,'6 - RASA - Mosaic'!D19,'7 - RASA - Rockville'!D19)</f>
        <v>2154.47</v>
      </c>
      <c r="E19" s="15">
        <f>IFERROR(D19/D148, "NA")</f>
        <v>0.02098482078</v>
      </c>
      <c r="F19" s="28">
        <f>SUM('4 - RASA - MVT'!F19,'5 - RASA - National Landin'!F19,'6 - RASA - Mosaic'!F19,'7 - RASA - Rockville'!F19)</f>
        <v>2368.18</v>
      </c>
      <c r="G19" s="15">
        <f>IFERROR(F19/F148, "NA")</f>
        <v>0.02166252552</v>
      </c>
      <c r="H19" s="28">
        <f>SUM('4 - RASA - MVT'!H19,'5 - RASA - National Landin'!H19,'6 - RASA - Mosaic'!H19,'7 - RASA - Rockville'!H19)</f>
        <v>2784.93</v>
      </c>
      <c r="I19" s="15">
        <f>IFERROR(H19/H148, "NA")</f>
        <v>0.02275907011</v>
      </c>
      <c r="J19" s="28">
        <f>SUM('4 - RASA - MVT'!J19,'5 - RASA - National Landin'!J19,'6 - RASA - Mosaic'!J19,'7 - RASA - Rockville'!J19)</f>
        <v>2388.62</v>
      </c>
      <c r="K19" s="15">
        <f>IFERROR(J19/J148, "NA")</f>
        <v>0.0209699969</v>
      </c>
      <c r="L19" s="28">
        <f>SUM('4 - RASA - MVT'!L19,'5 - RASA - National Landin'!L19,'6 - RASA - Mosaic'!L19,'7 - RASA - Rockville'!L19)</f>
        <v>2794.66</v>
      </c>
      <c r="M19" s="15">
        <f>IFERROR(L19/L148, "NA")</f>
        <v>0.02227489319</v>
      </c>
      <c r="N19" s="28">
        <f>SUM('4 - RASA - MVT'!N19,'5 - RASA - National Landin'!N19,'6 - RASA - Mosaic'!N19,'7 - RASA - Rockville'!N19)</f>
        <v>2945.26</v>
      </c>
      <c r="O19" s="15">
        <f>IFERROR(N19/N148, "NA")</f>
        <v>0.02145304489</v>
      </c>
      <c r="P19" s="28">
        <f>SUM('4 - RASA - MVT'!P19,'5 - RASA - National Landin'!P19,'6 - RASA - Mosaic'!P19,'7 - RASA - Rockville'!P19)</f>
        <v>3289.53</v>
      </c>
      <c r="Q19" s="15">
        <f>IFERROR(P19/P148, "NA")</f>
        <v>0.02232504976</v>
      </c>
      <c r="R19" s="28">
        <f>SUM('4 - RASA - MVT'!R19,'5 - RASA - National Landin'!R19,'6 - RASA - Mosaic'!R19,'7 - RASA - Rockville'!R19)</f>
        <v>3317.57</v>
      </c>
      <c r="S19" s="15">
        <f>IFERROR(R19/R148, "NA")</f>
        <v>0.02296902857</v>
      </c>
      <c r="T19" s="28">
        <f>SUM('4 - RASA - MVT'!T19,'5 - RASA - National Landin'!T19,'6 - RASA - Mosaic'!T19,'7 - RASA - Rockville'!T19)</f>
        <v>3046.91</v>
      </c>
      <c r="U19" s="15">
        <f>IFERROR(T19/T148, "NA")</f>
        <v>0.02388940767</v>
      </c>
      <c r="V19" s="28">
        <f>SUM('4 - RASA - MVT'!V19,'5 - RASA - National Landin'!V19,'6 - RASA - Mosaic'!V19,'7 - RASA - Rockville'!V19)</f>
        <v>3004.07</v>
      </c>
      <c r="W19" s="15">
        <f>IFERROR(V19/V148, "NA")</f>
        <v>0.02267654608</v>
      </c>
      <c r="X19" s="28">
        <f>SUM('4 - RASA - MVT'!X19,'5 - RASA - National Landin'!X19,'6 - RASA - Mosaic'!X19,'7 - RASA - Rockville'!X19)</f>
        <v>3604.35</v>
      </c>
      <c r="Y19" s="15">
        <f>IFERROR(X19/X148, "NA")</f>
        <v>0.02519632385</v>
      </c>
      <c r="Z19" s="28">
        <f>SUM('4 - RASA - MVT'!Z19,'5 - RASA - National Landin'!Z19,'6 - RASA - Mosaic'!Z19,'7 - RASA - Rockville'!Z19)</f>
        <v>9655.33</v>
      </c>
      <c r="AA19" s="15">
        <f>IFERROR(Z19/Z148, "NA")</f>
        <v>0.02395461169</v>
      </c>
      <c r="AB19" s="57">
        <f t="shared" si="7"/>
        <v>3243.225</v>
      </c>
      <c r="AC19" s="15">
        <f>IFERROR(AB19/AB148, "NA")</f>
        <v>0.02369460583</v>
      </c>
      <c r="AD19" s="61">
        <f t="shared" si="8"/>
        <v>361.125</v>
      </c>
      <c r="AE19" s="62">
        <f>IFERROR(AD19/AD148, "NA")</f>
        <v>0.05848613824</v>
      </c>
      <c r="AF19" s="61">
        <f t="shared" si="9"/>
        <v>0.1113475013</v>
      </c>
      <c r="AG19" s="57">
        <f t="shared" si="10"/>
        <v>3048.87125</v>
      </c>
      <c r="AH19" s="15">
        <f>IFERROR(AG19/AG148, "NA")</f>
        <v>0.02276319764</v>
      </c>
      <c r="AI19" s="61">
        <f t="shared" si="11"/>
        <v>555.47875</v>
      </c>
      <c r="AJ19" s="62">
        <f>IFERROR(AI19/AI148, "NA")</f>
        <v>0.06096115718</v>
      </c>
      <c r="AK19" s="61">
        <f t="shared" si="12"/>
        <v>0.1821916062</v>
      </c>
      <c r="AL19" s="62">
        <f>IFERROR(AK19/AK148, "NA")</f>
        <v>2.67805772</v>
      </c>
    </row>
    <row r="20" ht="16.5" customHeight="1">
      <c r="A20" s="26" t="s">
        <v>76</v>
      </c>
      <c r="B20" s="28">
        <f>SUM('4 - RASA - MVT'!B20,'5 - RASA - National Landin'!B20,'6 - RASA - Mosaic'!B20,'7 - RASA - Rockville'!B20)</f>
        <v>816.17</v>
      </c>
      <c r="C20" s="15">
        <f>IFERROR(B20/B148, "NA")</f>
        <v>0.01104305651</v>
      </c>
      <c r="D20" s="28">
        <f>SUM('4 - RASA - MVT'!D20,'5 - RASA - National Landin'!D20,'6 - RASA - Mosaic'!D20,'7 - RASA - Rockville'!D20)</f>
        <v>1160.93</v>
      </c>
      <c r="E20" s="15">
        <f>IFERROR(D20/D148, "NA")</f>
        <v>0.01130761069</v>
      </c>
      <c r="F20" s="28">
        <f>SUM('4 - RASA - MVT'!F20,'5 - RASA - National Landin'!F20,'6 - RASA - Mosaic'!F20,'7 - RASA - Rockville'!F20)</f>
        <v>1316.23</v>
      </c>
      <c r="G20" s="15">
        <f>IFERROR(F20/F148, "NA")</f>
        <v>0.01203999103</v>
      </c>
      <c r="H20" s="28">
        <f>SUM('4 - RASA - MVT'!H20,'5 - RASA - National Landin'!H20,'6 - RASA - Mosaic'!H20,'7 - RASA - Rockville'!H20)</f>
        <v>1286.32</v>
      </c>
      <c r="I20" s="15">
        <f>IFERROR(H20/H148, "NA")</f>
        <v>0.0105120944</v>
      </c>
      <c r="J20" s="28">
        <f>SUM('4 - RASA - MVT'!J20,'5 - RASA - National Landin'!J20,'6 - RASA - Mosaic'!J20,'7 - RASA - Rockville'!J20)</f>
        <v>1380.12</v>
      </c>
      <c r="K20" s="15">
        <f>IFERROR(J20/J148, "NA")</f>
        <v>0.01211624792</v>
      </c>
      <c r="L20" s="28">
        <f>SUM('4 - RASA - MVT'!L20,'5 - RASA - National Landin'!L20,'6 - RASA - Mosaic'!L20,'7 - RASA - Rockville'!L20)</f>
        <v>1134.57</v>
      </c>
      <c r="M20" s="15">
        <f>IFERROR(L20/L148, "NA")</f>
        <v>0.009043112781</v>
      </c>
      <c r="N20" s="28">
        <f>SUM('4 - RASA - MVT'!N20,'5 - RASA - National Landin'!N20,'6 - RASA - Mosaic'!N20,'7 - RASA - Rockville'!N20)</f>
        <v>1477.56</v>
      </c>
      <c r="O20" s="15">
        <f>IFERROR(N20/N148, "NA")</f>
        <v>0.01076243218</v>
      </c>
      <c r="P20" s="28">
        <f>SUM('4 - RASA - MVT'!P20,'5 - RASA - National Landin'!P20,'6 - RASA - Mosaic'!P20,'7 - RASA - Rockville'!P20)</f>
        <v>1394.79</v>
      </c>
      <c r="Q20" s="15">
        <f>IFERROR(P20/P148, "NA")</f>
        <v>0.009466019813</v>
      </c>
      <c r="R20" s="28">
        <f>SUM('4 - RASA - MVT'!R20,'5 - RASA - National Landin'!R20,'6 - RASA - Mosaic'!R20,'7 - RASA - Rockville'!R20)</f>
        <v>1392.09</v>
      </c>
      <c r="S20" s="15">
        <f>IFERROR(R20/R148, "NA")</f>
        <v>0.009638064904</v>
      </c>
      <c r="T20" s="28">
        <f>SUM('4 - RASA - MVT'!T20,'5 - RASA - National Landin'!T20,'6 - RASA - Mosaic'!T20,'7 - RASA - Rockville'!T20)</f>
        <v>1417.71</v>
      </c>
      <c r="U20" s="15">
        <f>IFERROR(T20/T148, "NA")</f>
        <v>0.01111560635</v>
      </c>
      <c r="V20" s="28">
        <f>SUM('4 - RASA - MVT'!V20,'5 - RASA - National Landin'!V20,'6 - RASA - Mosaic'!V20,'7 - RASA - Rockville'!V20)</f>
        <v>1585.58</v>
      </c>
      <c r="W20" s="15">
        <f>IFERROR(V20/V148, "NA")</f>
        <v>0.01196892148</v>
      </c>
      <c r="X20" s="28">
        <f>SUM('4 - RASA - MVT'!X20,'5 - RASA - National Landin'!X20,'6 - RASA - Mosaic'!X20,'7 - RASA - Rockville'!X20)</f>
        <v>1161.57</v>
      </c>
      <c r="Y20" s="15">
        <f>IFERROR(X20/X148, "NA")</f>
        <v>0.008119992201</v>
      </c>
      <c r="Z20" s="28">
        <f>SUM('4 - RASA - MVT'!Z20,'5 - RASA - National Landin'!Z20,'6 - RASA - Mosaic'!Z20,'7 - RASA - Rockville'!Z20)</f>
        <v>4164.86</v>
      </c>
      <c r="AA20" s="15">
        <f>IFERROR(Z20/Z148, "NA")</f>
        <v>0.01033290463</v>
      </c>
      <c r="AB20" s="57">
        <f t="shared" si="7"/>
        <v>1389.2375</v>
      </c>
      <c r="AC20" s="15">
        <f>IFERROR(AB20/AB148, "NA")</f>
        <v>0.01014959954</v>
      </c>
      <c r="AD20" s="61">
        <f t="shared" si="8"/>
        <v>-227.6675</v>
      </c>
      <c r="AE20" s="62">
        <f>IFERROR(AD20/AD148, "NA")</f>
        <v>-0.03687197751</v>
      </c>
      <c r="AF20" s="61">
        <f t="shared" si="9"/>
        <v>-0.1638794663</v>
      </c>
      <c r="AG20" s="57">
        <f t="shared" si="10"/>
        <v>1367.99875</v>
      </c>
      <c r="AH20" s="15">
        <f>IFERROR(AG20/AG148, "NA")</f>
        <v>0.01021362444</v>
      </c>
      <c r="AI20" s="61">
        <f t="shared" si="11"/>
        <v>-206.42875</v>
      </c>
      <c r="AJ20" s="62">
        <f>IFERROR(AI20/AI148, "NA")</f>
        <v>-0.02265457585</v>
      </c>
      <c r="AK20" s="61">
        <f t="shared" si="12"/>
        <v>-0.1508983469</v>
      </c>
      <c r="AL20" s="62">
        <f>IFERROR(AK20/AK148, "NA")</f>
        <v>-2.218074101</v>
      </c>
    </row>
    <row r="21" ht="16.5" customHeight="1">
      <c r="A21" s="26" t="s">
        <v>77</v>
      </c>
      <c r="B21" s="28">
        <f>SUM('4 - RASA - MVT'!B21,'5 - RASA - National Landin'!B21,'6 - RASA - Mosaic'!B21,'7 - RASA - Rockville'!B21)</f>
        <v>687.01</v>
      </c>
      <c r="C21" s="15">
        <f>IFERROR(B21/B148, "NA")</f>
        <v>0.009295477971</v>
      </c>
      <c r="D21" s="28">
        <f>SUM('4 - RASA - MVT'!D21,'5 - RASA - National Landin'!D21,'6 - RASA - Mosaic'!D21,'7 - RASA - Rockville'!D21)</f>
        <v>586.37</v>
      </c>
      <c r="E21" s="15">
        <f>IFERROR(D21/D148, "NA")</f>
        <v>0.005711320818</v>
      </c>
      <c r="F21" s="28">
        <f>SUM('4 - RASA - MVT'!F21,'5 - RASA - National Landin'!F21,'6 - RASA - Mosaic'!F21,'7 - RASA - Rockville'!F21)</f>
        <v>1111.86</v>
      </c>
      <c r="G21" s="15">
        <f>IFERROR(F21/F148, "NA")</f>
        <v>0.01017055107</v>
      </c>
      <c r="H21" s="28">
        <f>SUM('4 - RASA - MVT'!H21,'5 - RASA - National Landin'!H21,'6 - RASA - Mosaic'!H21,'7 - RASA - Rockville'!H21)</f>
        <v>990.53</v>
      </c>
      <c r="I21" s="15">
        <f>IFERROR(H21/H148, "NA")</f>
        <v>0.008094832442</v>
      </c>
      <c r="J21" s="28">
        <f>SUM('4 - RASA - MVT'!J21,'5 - RASA - National Landin'!J21,'6 - RASA - Mosaic'!J21,'7 - RASA - Rockville'!J21)</f>
        <v>1054.91</v>
      </c>
      <c r="K21" s="15">
        <f>IFERROR(J21/J148, "NA")</f>
        <v>0.009261188228</v>
      </c>
      <c r="L21" s="28">
        <f>SUM('4 - RASA - MVT'!L21,'5 - RASA - National Landin'!L21,'6 - RASA - Mosaic'!L21,'7 - RASA - Rockville'!L21)</f>
        <v>1232.92</v>
      </c>
      <c r="M21" s="15">
        <f>IFERROR(L21/L148, "NA")</f>
        <v>0.009827013415</v>
      </c>
      <c r="N21" s="28">
        <f>SUM('4 - RASA - MVT'!N21,'5 - RASA - National Landin'!N21,'6 - RASA - Mosaic'!N21,'7 - RASA - Rockville'!N21)</f>
        <v>832.19</v>
      </c>
      <c r="O21" s="15">
        <f>IFERROR(N21/N148, "NA")</f>
        <v>0.006061607269</v>
      </c>
      <c r="P21" s="28">
        <f>SUM('4 - RASA - MVT'!P21,'5 - RASA - National Landin'!P21,'6 - RASA - Mosaic'!P21,'7 - RASA - Rockville'!P21)</f>
        <v>1158.7</v>
      </c>
      <c r="Q21" s="15">
        <f>IFERROR(P21/P148, "NA")</f>
        <v>0.00786374806</v>
      </c>
      <c r="R21" s="28">
        <f>SUM('4 - RASA - MVT'!R21,'5 - RASA - National Landin'!R21,'6 - RASA - Mosaic'!R21,'7 - RASA - Rockville'!R21)</f>
        <v>909.34</v>
      </c>
      <c r="S21" s="15">
        <f>IFERROR(R21/R148, "NA")</f>
        <v>0.006295769627</v>
      </c>
      <c r="T21" s="28">
        <f>SUM('4 - RASA - MVT'!T21,'5 - RASA - National Landin'!T21,'6 - RASA - Mosaic'!T21,'7 - RASA - Rockville'!T21)</f>
        <v>919.81</v>
      </c>
      <c r="U21" s="15">
        <f>IFERROR(T21/T148, "NA")</f>
        <v>0.007211803457</v>
      </c>
      <c r="V21" s="28">
        <f>SUM('4 - RASA - MVT'!V21,'5 - RASA - National Landin'!V21,'6 - RASA - Mosaic'!V21,'7 - RASA - Rockville'!V21)</f>
        <v>902.8</v>
      </c>
      <c r="W21" s="15">
        <f>IFERROR(V21/V148, "NA")</f>
        <v>0.006814883077</v>
      </c>
      <c r="X21" s="28">
        <f>SUM('4 - RASA - MVT'!X21,'5 - RASA - National Landin'!X21,'6 - RASA - Mosaic'!X21,'7 - RASA - Rockville'!X21)</f>
        <v>1400.91</v>
      </c>
      <c r="Y21" s="15">
        <f>IFERROR(X21/X148, "NA")</f>
        <v>0.009793106119</v>
      </c>
      <c r="Z21" s="28">
        <f>SUM('4 - RASA - MVT'!Z21,'5 - RASA - National Landin'!Z21,'6 - RASA - Mosaic'!Z21,'7 - RASA - Rockville'!Z21)</f>
        <v>3223.52</v>
      </c>
      <c r="AA21" s="15">
        <f>IFERROR(Z21/Z148, "NA")</f>
        <v>0.007997465637</v>
      </c>
      <c r="AB21" s="57">
        <f t="shared" si="7"/>
        <v>1033.215</v>
      </c>
      <c r="AC21" s="15">
        <f>IFERROR(AB21/AB148, "NA")</f>
        <v>0.007548542627</v>
      </c>
      <c r="AD21" s="61">
        <f t="shared" si="8"/>
        <v>367.695</v>
      </c>
      <c r="AE21" s="62">
        <f>IFERROR(AD21/AD148, "NA")</f>
        <v>0.05955018512</v>
      </c>
      <c r="AF21" s="61">
        <f t="shared" si="9"/>
        <v>0.3558746244</v>
      </c>
      <c r="AG21" s="57">
        <f t="shared" si="10"/>
        <v>1051.4475</v>
      </c>
      <c r="AH21" s="15">
        <f>IFERROR(AG21/AG148, "NA")</f>
        <v>0.007850219077</v>
      </c>
      <c r="AI21" s="61">
        <f t="shared" si="11"/>
        <v>349.4625</v>
      </c>
      <c r="AJ21" s="62">
        <f>IFERROR(AI21/AI148, "NA")</f>
        <v>0.03835185124</v>
      </c>
      <c r="AK21" s="61">
        <f t="shared" si="12"/>
        <v>0.3323632421</v>
      </c>
      <c r="AL21" s="62">
        <f>IFERROR(AK21/AK148, "NA")</f>
        <v>4.885449803</v>
      </c>
    </row>
    <row r="22" ht="16.5" hidden="1" customHeight="1">
      <c r="A22" s="26" t="s">
        <v>78</v>
      </c>
      <c r="B22" s="28">
        <f>SUM('4 - RASA - MVT'!B22,'5 - RASA - National Landin'!B22,'6 - RASA - Mosaic'!B22,'7 - RASA - Rockville'!B22)</f>
        <v>0</v>
      </c>
      <c r="C22" s="15">
        <f>IFERROR(B22/B148, "NA")</f>
        <v>0</v>
      </c>
      <c r="D22" s="28">
        <f>SUM('4 - RASA - MVT'!D22,'5 - RASA - National Landin'!D22,'6 - RASA - Mosaic'!D22,'7 - RASA - Rockville'!D22)</f>
        <v>0</v>
      </c>
      <c r="E22" s="15">
        <f>IFERROR(D22/D148, "NA")</f>
        <v>0</v>
      </c>
      <c r="F22" s="28">
        <f>SUM('4 - RASA - MVT'!F22,'5 - RASA - National Landin'!F22,'6 - RASA - Mosaic'!F22,'7 - RASA - Rockville'!F22)</f>
        <v>0</v>
      </c>
      <c r="G22" s="15">
        <f>IFERROR(F22/F148, "NA")</f>
        <v>0</v>
      </c>
      <c r="H22" s="28">
        <f>SUM('4 - RASA - MVT'!H22,'5 - RASA - National Landin'!H22,'6 - RASA - Mosaic'!H22,'7 - RASA - Rockville'!H22)</f>
        <v>0</v>
      </c>
      <c r="I22" s="15">
        <f>IFERROR(H22/H148, "NA")</f>
        <v>0</v>
      </c>
      <c r="J22" s="28">
        <f>SUM('4 - RASA - MVT'!J22,'5 - RASA - National Landin'!J22,'6 - RASA - Mosaic'!J22,'7 - RASA - Rockville'!J22)</f>
        <v>0</v>
      </c>
      <c r="K22" s="15">
        <f>IFERROR(J22/J148, "NA")</f>
        <v>0</v>
      </c>
      <c r="L22" s="28">
        <f>SUM('4 - RASA - MVT'!L22,'5 - RASA - National Landin'!L22,'6 - RASA - Mosaic'!L22,'7 - RASA - Rockville'!L22)</f>
        <v>0</v>
      </c>
      <c r="M22" s="15">
        <f>IFERROR(L22/L148, "NA")</f>
        <v>0</v>
      </c>
      <c r="N22" s="28">
        <f>SUM('4 - RASA - MVT'!N22,'5 - RASA - National Landin'!N22,'6 - RASA - Mosaic'!N22,'7 - RASA - Rockville'!N22)</f>
        <v>0</v>
      </c>
      <c r="O22" s="15">
        <f>IFERROR(N22/N148, "NA")</f>
        <v>0</v>
      </c>
      <c r="P22" s="28">
        <f>SUM('4 - RASA - MVT'!P22,'5 - RASA - National Landin'!P22,'6 - RASA - Mosaic'!P22,'7 - RASA - Rockville'!P22)</f>
        <v>0</v>
      </c>
      <c r="Q22" s="15">
        <f>IFERROR(P22/P148, "NA")</f>
        <v>0</v>
      </c>
      <c r="R22" s="28">
        <f>SUM('4 - RASA - MVT'!R22,'5 - RASA - National Landin'!R22,'6 - RASA - Mosaic'!R22,'7 - RASA - Rockville'!R22)</f>
        <v>0</v>
      </c>
      <c r="S22" s="15">
        <f>IFERROR(R22/R148, "NA")</f>
        <v>0</v>
      </c>
      <c r="T22" s="28">
        <f>SUM('4 - RASA - MVT'!T22,'5 - RASA - National Landin'!T22,'6 - RASA - Mosaic'!T22,'7 - RASA - Rockville'!T22)</f>
        <v>0</v>
      </c>
      <c r="U22" s="15">
        <f>IFERROR(T22/T148, "NA")</f>
        <v>0</v>
      </c>
      <c r="V22" s="28">
        <f>SUM('4 - RASA - MVT'!V22,'5 - RASA - National Landin'!V22,'6 - RASA - Mosaic'!V22,'7 - RASA - Rockville'!V22)</f>
        <v>0</v>
      </c>
      <c r="W22" s="15">
        <f>IFERROR(V22/V148, "NA")</f>
        <v>0</v>
      </c>
      <c r="X22" s="28">
        <f>SUM('4 - RASA - MVT'!X22,'5 - RASA - National Landin'!X22,'6 - RASA - Mosaic'!X22,'7 - RASA - Rockville'!X22)</f>
        <v>0</v>
      </c>
      <c r="Y22" s="15">
        <f>IFERROR(X22/X148, "NA")</f>
        <v>0</v>
      </c>
      <c r="Z22" s="28">
        <f>SUM('4 - RASA - MVT'!Z22,'5 - RASA - National Landin'!Z22,'6 - RASA - Mosaic'!Z22,'7 - RASA - Rockville'!Z22)</f>
        <v>0</v>
      </c>
      <c r="AA22" s="15">
        <f>IFERROR(Z22/Z148, "NA")</f>
        <v>0</v>
      </c>
      <c r="AB22" s="57">
        <f t="shared" si="7"/>
        <v>0</v>
      </c>
      <c r="AC22" s="15">
        <f>IFERROR(AB22/AB148, "NA")</f>
        <v>0</v>
      </c>
      <c r="AD22" s="61">
        <f t="shared" si="8"/>
        <v>0</v>
      </c>
      <c r="AE22" s="62">
        <f>IFERROR(AD22/AD148, "NA")</f>
        <v>0</v>
      </c>
      <c r="AF22" s="61" t="str">
        <f t="shared" si="9"/>
        <v>NA</v>
      </c>
      <c r="AG22" s="57">
        <f t="shared" si="10"/>
        <v>0</v>
      </c>
      <c r="AH22" s="15">
        <f>IFERROR(AG22/AG148, "NA")</f>
        <v>0</v>
      </c>
      <c r="AI22" s="61">
        <f t="shared" si="11"/>
        <v>0</v>
      </c>
      <c r="AJ22" s="62">
        <f>IFERROR(AI22/AI148, "NA")</f>
        <v>0</v>
      </c>
      <c r="AK22" s="61" t="str">
        <f t="shared" si="12"/>
        <v>NA</v>
      </c>
      <c r="AL22" s="62" t="str">
        <f>IFERROR(AK22/AK148, "NA")</f>
        <v>NA</v>
      </c>
    </row>
    <row r="23" ht="16.5" customHeight="1">
      <c r="A23" s="26" t="s">
        <v>79</v>
      </c>
      <c r="B23" s="28">
        <f>SUM('4 - RASA - MVT'!B23,'5 - RASA - National Landin'!B23,'6 - RASA - Mosaic'!B23,'7 - RASA - Rockville'!B23)</f>
        <v>576.19</v>
      </c>
      <c r="C23" s="15">
        <f>IFERROR(B23/B148, "NA")</f>
        <v>0.00779604584</v>
      </c>
      <c r="D23" s="28">
        <f>SUM('4 - RASA - MVT'!D23,'5 - RASA - National Landin'!D23,'6 - RASA - Mosaic'!D23,'7 - RASA - Rockville'!D23)</f>
        <v>362.04</v>
      </c>
      <c r="E23" s="15">
        <f>IFERROR(D23/D148, "NA")</f>
        <v>0.003526317153</v>
      </c>
      <c r="F23" s="28">
        <f>SUM('4 - RASA - MVT'!F23,'5 - RASA - National Landin'!F23,'6 - RASA - Mosaic'!F23,'7 - RASA - Rockville'!F23)</f>
        <v>424.23</v>
      </c>
      <c r="G23" s="15">
        <f>IFERROR(F23/F148, "NA")</f>
        <v>0.003880572085</v>
      </c>
      <c r="H23" s="28">
        <f>SUM('4 - RASA - MVT'!H23,'5 - RASA - National Landin'!H23,'6 - RASA - Mosaic'!H23,'7 - RASA - Rockville'!H23)</f>
        <v>652.5</v>
      </c>
      <c r="I23" s="15">
        <f>IFERROR(H23/H148, "NA")</f>
        <v>0.005332375767</v>
      </c>
      <c r="J23" s="28">
        <f>SUM('4 - RASA - MVT'!J23,'5 - RASA - National Landin'!J23,'6 - RASA - Mosaic'!J23,'7 - RASA - Rockville'!J23)</f>
        <v>718.02</v>
      </c>
      <c r="K23" s="15">
        <f>IFERROR(J23/J148, "NA")</f>
        <v>0.006303588336</v>
      </c>
      <c r="L23" s="28">
        <f>SUM('4 - RASA - MVT'!L23,'5 - RASA - National Landin'!L23,'6 - RASA - Mosaic'!L23,'7 - RASA - Rockville'!L23)</f>
        <v>402.35</v>
      </c>
      <c r="M23" s="15">
        <f>IFERROR(L23/L148, "NA")</f>
        <v>0.003206938688</v>
      </c>
      <c r="N23" s="28">
        <f>SUM('4 - RASA - MVT'!N23,'5 - RASA - National Landin'!N23,'6 - RASA - Mosaic'!N23,'7 - RASA - Rockville'!N23)</f>
        <v>632.28</v>
      </c>
      <c r="O23" s="15">
        <f>IFERROR(N23/N148, "NA")</f>
        <v>0.004605478369</v>
      </c>
      <c r="P23" s="28">
        <f>SUM('4 - RASA - MVT'!P23,'5 - RASA - National Landin'!P23,'6 - RASA - Mosaic'!P23,'7 - RASA - Rockville'!P23)</f>
        <v>759.1</v>
      </c>
      <c r="Q23" s="15">
        <f>IFERROR(P23/P148, "NA")</f>
        <v>0.005151783164</v>
      </c>
      <c r="R23" s="28">
        <f>SUM('4 - RASA - MVT'!R23,'5 - RASA - National Landin'!R23,'6 - RASA - Mosaic'!R23,'7 - RASA - Rockville'!R23)</f>
        <v>419.59</v>
      </c>
      <c r="S23" s="15">
        <f>IFERROR(R23/R148, "NA")</f>
        <v>0.002905010203</v>
      </c>
      <c r="T23" s="28">
        <f>SUM('4 - RASA - MVT'!T23,'5 - RASA - National Landin'!T23,'6 - RASA - Mosaic'!T23,'7 - RASA - Rockville'!T23)</f>
        <v>485.13</v>
      </c>
      <c r="U23" s="15">
        <f>IFERROR(T23/T148, "NA")</f>
        <v>0.00380367925</v>
      </c>
      <c r="V23" s="28">
        <f>SUM('4 - RASA - MVT'!V23,'5 - RASA - National Landin'!V23,'6 - RASA - Mosaic'!V23,'7 - RASA - Rockville'!V23)</f>
        <v>804.08</v>
      </c>
      <c r="W23" s="15">
        <f>IFERROR(V23/V148, "NA")</f>
        <v>0.00606968452</v>
      </c>
      <c r="X23" s="28">
        <f>SUM('4 - RASA - MVT'!X23,'5 - RASA - National Landin'!X23,'6 - RASA - Mosaic'!X23,'7 - RASA - Rockville'!X23)</f>
        <v>776.59</v>
      </c>
      <c r="Y23" s="15">
        <f>IFERROR(X23/X148, "NA")</f>
        <v>0.00542877721</v>
      </c>
      <c r="Z23" s="28">
        <f>SUM('4 - RASA - MVT'!Z23,'5 - RASA - National Landin'!Z23,'6 - RASA - Mosaic'!Z23,'7 - RASA - Rockville'!Z23)</f>
        <v>2065.8</v>
      </c>
      <c r="AA23" s="15">
        <f>IFERROR(Z23/Z148, "NA")</f>
        <v>0.005125193736</v>
      </c>
      <c r="AB23" s="57">
        <f t="shared" si="7"/>
        <v>621.3475</v>
      </c>
      <c r="AC23" s="15">
        <f>IFERROR(AB23/AB148, "NA")</f>
        <v>0.004539488964</v>
      </c>
      <c r="AD23" s="61">
        <f t="shared" si="8"/>
        <v>155.2425</v>
      </c>
      <c r="AE23" s="62">
        <f>IFERROR(AD23/AD148, "NA")</f>
        <v>0.02514235878</v>
      </c>
      <c r="AF23" s="61">
        <f t="shared" si="9"/>
        <v>0.2498481124</v>
      </c>
      <c r="AG23" s="57">
        <f t="shared" si="10"/>
        <v>624.6425</v>
      </c>
      <c r="AH23" s="15">
        <f>IFERROR(AG23/AG148, "NA")</f>
        <v>0.004663647467</v>
      </c>
      <c r="AI23" s="61">
        <f t="shared" si="11"/>
        <v>151.9475</v>
      </c>
      <c r="AJ23" s="62">
        <f>IFERROR(AI23/AI148, "NA")</f>
        <v>0.01667551716</v>
      </c>
      <c r="AK23" s="61">
        <f t="shared" si="12"/>
        <v>0.2432551419</v>
      </c>
      <c r="AL23" s="62">
        <f>IFERROR(AK23/AK148, "NA")</f>
        <v>3.575638443</v>
      </c>
    </row>
    <row r="24" ht="16.5" customHeight="1">
      <c r="A24" s="26" t="s">
        <v>80</v>
      </c>
      <c r="B24" s="28">
        <f>SUM('4 - RASA - MVT'!B24,'5 - RASA - National Landin'!B24,'6 - RASA - Mosaic'!B24,'7 - RASA - Rockville'!B24)</f>
        <v>5496.14</v>
      </c>
      <c r="C24" s="15">
        <f>IFERROR(B24/B148, "NA")</f>
        <v>0.07436463559</v>
      </c>
      <c r="D24" s="28">
        <f>SUM('4 - RASA - MVT'!D24,'5 - RASA - National Landin'!D24,'6 - RASA - Mosaic'!D24,'7 - RASA - Rockville'!D24)</f>
        <v>7507.96</v>
      </c>
      <c r="E24" s="15">
        <f>IFERROR(D24/D148, "NA")</f>
        <v>0.07312851655</v>
      </c>
      <c r="F24" s="28">
        <f>SUM('4 - RASA - MVT'!F24,'5 - RASA - National Landin'!F24,'6 - RASA - Mosaic'!F24,'7 - RASA - Rockville'!F24)</f>
        <v>7185.02</v>
      </c>
      <c r="G24" s="15">
        <f>IFERROR(F24/F148, "NA")</f>
        <v>0.06572375372</v>
      </c>
      <c r="H24" s="28">
        <f>SUM('4 - RASA - MVT'!H24,'5 - RASA - National Landin'!H24,'6 - RASA - Mosaic'!H24,'7 - RASA - Rockville'!H24)</f>
        <v>8195.64</v>
      </c>
      <c r="I24" s="15">
        <f>IFERROR(H24/H148, "NA")</f>
        <v>0.06697660096</v>
      </c>
      <c r="J24" s="28">
        <f>SUM('4 - RASA - MVT'!J24,'5 - RASA - National Landin'!J24,'6 - RASA - Mosaic'!J24,'7 - RASA - Rockville'!J24)</f>
        <v>7500.85</v>
      </c>
      <c r="K24" s="15">
        <f>IFERROR(J24/J148, "NA")</f>
        <v>0.06585091024</v>
      </c>
      <c r="L24" s="28">
        <f>SUM('4 - RASA - MVT'!L24,'5 - RASA - National Landin'!L24,'6 - RASA - Mosaic'!L24,'7 - RASA - Rockville'!L24)</f>
        <v>7996.23</v>
      </c>
      <c r="M24" s="15">
        <f>IFERROR(L24/L148, "NA")</f>
        <v>0.06373411047</v>
      </c>
      <c r="N24" s="28">
        <f>SUM('4 - RASA - MVT'!N24,'5 - RASA - National Landin'!N24,'6 - RASA - Mosaic'!N24,'7 - RASA - Rockville'!N24)</f>
        <v>8293.27</v>
      </c>
      <c r="O24" s="15">
        <f>IFERROR(N24/N148, "NA")</f>
        <v>0.06040753399</v>
      </c>
      <c r="P24" s="28">
        <f>SUM('4 - RASA - MVT'!P24,'5 - RASA - National Landin'!P24,'6 - RASA - Mosaic'!P24,'7 - RASA - Rockville'!P24)</f>
        <v>8981.21</v>
      </c>
      <c r="Q24" s="15">
        <f>IFERROR(P24/P148, "NA")</f>
        <v>0.06095276838</v>
      </c>
      <c r="R24" s="28">
        <f>SUM('4 - RASA - MVT'!R24,'5 - RASA - National Landin'!R24,'6 - RASA - Mosaic'!R24,'7 - RASA - Rockville'!R24)</f>
        <v>8876.55</v>
      </c>
      <c r="S24" s="15">
        <f>IFERROR(R24/R148, "NA")</f>
        <v>0.06145634623</v>
      </c>
      <c r="T24" s="28">
        <f>SUM('4 - RASA - MVT'!T24,'5 - RASA - National Landin'!T24,'6 - RASA - Mosaic'!T24,'7 - RASA - Rockville'!T24)</f>
        <v>8718.21</v>
      </c>
      <c r="U24" s="15">
        <f>IFERROR(T24/T148, "NA")</f>
        <v>0.06835543972</v>
      </c>
      <c r="V24" s="28">
        <f>SUM('4 - RASA - MVT'!V24,'5 - RASA - National Landin'!V24,'6 - RASA - Mosaic'!V24,'7 - RASA - Rockville'!V24)</f>
        <v>8179.83</v>
      </c>
      <c r="W24" s="15">
        <f>IFERROR(V24/V148, "NA")</f>
        <v>0.06174632813</v>
      </c>
      <c r="X24" s="28">
        <f>SUM('4 - RASA - MVT'!X24,'5 - RASA - National Landin'!X24,'6 - RASA - Mosaic'!X24,'7 - RASA - Rockville'!X24)</f>
        <v>7740.45</v>
      </c>
      <c r="Y24" s="15">
        <f>IFERROR(X24/X148, "NA")</f>
        <v>0.05410986306</v>
      </c>
      <c r="Z24" s="28">
        <f>SUM('4 - RASA - MVT'!Z24,'5 - RASA - National Landin'!Z24,'6 - RASA - Mosaic'!Z24,'7 - RASA - Rockville'!Z24)</f>
        <v>24638.49</v>
      </c>
      <c r="AA24" s="15">
        <f>IFERROR(Z24/Z148, "NA")</f>
        <v>0.06112742502</v>
      </c>
      <c r="AB24" s="57">
        <f t="shared" si="7"/>
        <v>8378.76</v>
      </c>
      <c r="AC24" s="15">
        <f>IFERROR(AB24/AB148, "NA")</f>
        <v>0.06121419745</v>
      </c>
      <c r="AD24" s="61">
        <f t="shared" si="8"/>
        <v>-638.31</v>
      </c>
      <c r="AE24" s="62">
        <f>IFERROR(AD24/AD148, "NA")</f>
        <v>-0.1033777415</v>
      </c>
      <c r="AF24" s="61">
        <f t="shared" si="9"/>
        <v>-0.07618191713</v>
      </c>
      <c r="AG24" s="57">
        <f t="shared" si="10"/>
        <v>8285.825</v>
      </c>
      <c r="AH24" s="15">
        <f>IFERROR(AG24/AG148, "NA")</f>
        <v>0.06186285238</v>
      </c>
      <c r="AI24" s="61">
        <f t="shared" si="11"/>
        <v>-545.375</v>
      </c>
      <c r="AJ24" s="62">
        <f>IFERROR(AI24/AI148, "NA")</f>
        <v>-0.05985231855</v>
      </c>
      <c r="AK24" s="61">
        <f t="shared" si="12"/>
        <v>-0.0658202412</v>
      </c>
      <c r="AL24" s="62">
        <f>IFERROR(AK24/AK148, "NA")</f>
        <v>-0.9675001434</v>
      </c>
    </row>
    <row r="25" ht="16.5" hidden="1" customHeight="1">
      <c r="A25" s="26" t="s">
        <v>81</v>
      </c>
      <c r="B25" s="28">
        <f>SUM('4 - RASA - MVT'!B25,'5 - RASA - National Landin'!B25,'6 - RASA - Mosaic'!B25,'7 - RASA - Rockville'!B25)</f>
        <v>0</v>
      </c>
      <c r="C25" s="15">
        <f>IFERROR(B25/B148, "NA")</f>
        <v>0</v>
      </c>
      <c r="D25" s="28">
        <f>SUM('4 - RASA - MVT'!D25,'5 - RASA - National Landin'!D25,'6 - RASA - Mosaic'!D25,'7 - RASA - Rockville'!D25)</f>
        <v>0</v>
      </c>
      <c r="E25" s="15">
        <f>IFERROR(D25/D148, "NA")</f>
        <v>0</v>
      </c>
      <c r="F25" s="28">
        <f>SUM('4 - RASA - MVT'!F25,'5 - RASA - National Landin'!F25,'6 - RASA - Mosaic'!F25,'7 - RASA - Rockville'!F25)</f>
        <v>0</v>
      </c>
      <c r="G25" s="15">
        <f>IFERROR(F25/F148, "NA")</f>
        <v>0</v>
      </c>
      <c r="H25" s="28">
        <f>SUM('4 - RASA - MVT'!H25,'5 - RASA - National Landin'!H25,'6 - RASA - Mosaic'!H25,'7 - RASA - Rockville'!H25)</f>
        <v>0</v>
      </c>
      <c r="I25" s="15">
        <f>IFERROR(H25/H148, "NA")</f>
        <v>0</v>
      </c>
      <c r="J25" s="28">
        <f>SUM('4 - RASA - MVT'!J25,'5 - RASA - National Landin'!J25,'6 - RASA - Mosaic'!J25,'7 - RASA - Rockville'!J25)</f>
        <v>0</v>
      </c>
      <c r="K25" s="15">
        <f>IFERROR(J25/J148, "NA")</f>
        <v>0</v>
      </c>
      <c r="L25" s="28">
        <f>SUM('4 - RASA - MVT'!L25,'5 - RASA - National Landin'!L25,'6 - RASA - Mosaic'!L25,'7 - RASA - Rockville'!L25)</f>
        <v>0</v>
      </c>
      <c r="M25" s="15">
        <f>IFERROR(L25/L148, "NA")</f>
        <v>0</v>
      </c>
      <c r="N25" s="28">
        <f>SUM('4 - RASA - MVT'!N25,'5 - RASA - National Landin'!N25,'6 - RASA - Mosaic'!N25,'7 - RASA - Rockville'!N25)</f>
        <v>0</v>
      </c>
      <c r="O25" s="15">
        <f>IFERROR(N25/N148, "NA")</f>
        <v>0</v>
      </c>
      <c r="P25" s="28">
        <f>SUM('4 - RASA - MVT'!P25,'5 - RASA - National Landin'!P25,'6 - RASA - Mosaic'!P25,'7 - RASA - Rockville'!P25)</f>
        <v>0</v>
      </c>
      <c r="Q25" s="15">
        <f>IFERROR(P25/P148, "NA")</f>
        <v>0</v>
      </c>
      <c r="R25" s="28">
        <f>SUM('4 - RASA - MVT'!R25,'5 - RASA - National Landin'!R25,'6 - RASA - Mosaic'!R25,'7 - RASA - Rockville'!R25)</f>
        <v>0</v>
      </c>
      <c r="S25" s="15">
        <f>IFERROR(R25/R148, "NA")</f>
        <v>0</v>
      </c>
      <c r="T25" s="28">
        <f>SUM('4 - RASA - MVT'!T25,'5 - RASA - National Landin'!T25,'6 - RASA - Mosaic'!T25,'7 - RASA - Rockville'!T25)</f>
        <v>0</v>
      </c>
      <c r="U25" s="15">
        <f>IFERROR(T25/T148, "NA")</f>
        <v>0</v>
      </c>
      <c r="V25" s="28">
        <f>SUM('4 - RASA - MVT'!V25,'5 - RASA - National Landin'!V25,'6 - RASA - Mosaic'!V25,'7 - RASA - Rockville'!V25)</f>
        <v>0</v>
      </c>
      <c r="W25" s="15">
        <f>IFERROR(V25/V148, "NA")</f>
        <v>0</v>
      </c>
      <c r="X25" s="28">
        <f>SUM('4 - RASA - MVT'!X25,'5 - RASA - National Landin'!X25,'6 - RASA - Mosaic'!X25,'7 - RASA - Rockville'!X25)</f>
        <v>0</v>
      </c>
      <c r="Y25" s="15">
        <f>IFERROR(X25/X148, "NA")</f>
        <v>0</v>
      </c>
      <c r="Z25" s="28">
        <f>SUM('4 - RASA - MVT'!Z25,'5 - RASA - National Landin'!Z25,'6 - RASA - Mosaic'!Z25,'7 - RASA - Rockville'!Z25)</f>
        <v>0</v>
      </c>
      <c r="AA25" s="15">
        <f>IFERROR(Z25/Z148, "NA")</f>
        <v>0</v>
      </c>
      <c r="AB25" s="57">
        <f t="shared" si="7"/>
        <v>0</v>
      </c>
      <c r="AC25" s="15">
        <f>IFERROR(AB25/AB148, "NA")</f>
        <v>0</v>
      </c>
      <c r="AD25" s="61">
        <f t="shared" si="8"/>
        <v>0</v>
      </c>
      <c r="AE25" s="62">
        <f>IFERROR(AD25/AD148, "NA")</f>
        <v>0</v>
      </c>
      <c r="AF25" s="61" t="str">
        <f t="shared" si="9"/>
        <v>NA</v>
      </c>
      <c r="AG25" s="57">
        <f t="shared" si="10"/>
        <v>0</v>
      </c>
      <c r="AH25" s="15">
        <f>IFERROR(AG25/AG148, "NA")</f>
        <v>0</v>
      </c>
      <c r="AI25" s="61">
        <f t="shared" si="11"/>
        <v>0</v>
      </c>
      <c r="AJ25" s="62">
        <f>IFERROR(AI25/AI148, "NA")</f>
        <v>0</v>
      </c>
      <c r="AK25" s="61" t="str">
        <f t="shared" si="12"/>
        <v>NA</v>
      </c>
      <c r="AL25" s="62" t="str">
        <f>IFERROR(AK25/AK148, "NA")</f>
        <v>NA</v>
      </c>
    </row>
    <row r="26" ht="16.5" customHeight="1">
      <c r="A26" s="26" t="s">
        <v>82</v>
      </c>
      <c r="B26" s="28">
        <f>SUM('4 - RASA - MVT'!B26,'5 - RASA - National Landin'!B26,'6 - RASA - Mosaic'!B26,'7 - RASA - Rockville'!B26)</f>
        <v>0</v>
      </c>
      <c r="C26" s="15">
        <f>IFERROR(B26/B148, "NA")</f>
        <v>0</v>
      </c>
      <c r="D26" s="28">
        <f>SUM('4 - RASA - MVT'!D26,'5 - RASA - National Landin'!D26,'6 - RASA - Mosaic'!D26,'7 - RASA - Rockville'!D26)</f>
        <v>0</v>
      </c>
      <c r="E26" s="15">
        <f>IFERROR(D26/D148, "NA")</f>
        <v>0</v>
      </c>
      <c r="F26" s="28">
        <f>SUM('4 - RASA - MVT'!F26,'5 - RASA - National Landin'!F26,'6 - RASA - Mosaic'!F26,'7 - RASA - Rockville'!F26)</f>
        <v>-2.97</v>
      </c>
      <c r="G26" s="15">
        <f>IFERROR(F26/F148, "NA")</f>
        <v>-0.00002716757205</v>
      </c>
      <c r="H26" s="28">
        <f>SUM('4 - RASA - MVT'!H26,'5 - RASA - National Landin'!H26,'6 - RASA - Mosaic'!H26,'7 - RASA - Rockville'!H26)</f>
        <v>2.97</v>
      </c>
      <c r="I26" s="15">
        <f>IFERROR(H26/H148, "NA")</f>
        <v>0.00002427150349</v>
      </c>
      <c r="J26" s="28">
        <f>SUM('4 - RASA - MVT'!J26,'5 - RASA - National Landin'!J26,'6 - RASA - Mosaic'!J26,'7 - RASA - Rockville'!J26)</f>
        <v>0</v>
      </c>
      <c r="K26" s="15">
        <f>IFERROR(J26/J148, "NA")</f>
        <v>0</v>
      </c>
      <c r="L26" s="28">
        <f>SUM('4 - RASA - MVT'!L26,'5 - RASA - National Landin'!L26,'6 - RASA - Mosaic'!L26,'7 - RASA - Rockville'!L26)</f>
        <v>0</v>
      </c>
      <c r="M26" s="15">
        <f>IFERROR(L26/L148, "NA")</f>
        <v>0</v>
      </c>
      <c r="N26" s="28">
        <f>SUM('4 - RASA - MVT'!N26,'5 - RASA - National Landin'!N26,'6 - RASA - Mosaic'!N26,'7 - RASA - Rockville'!N26)</f>
        <v>0</v>
      </c>
      <c r="O26" s="15">
        <f>IFERROR(N26/N148, "NA")</f>
        <v>0</v>
      </c>
      <c r="P26" s="28">
        <f>SUM('4 - RASA - MVT'!P26,'5 - RASA - National Landin'!P26,'6 - RASA - Mosaic'!P26,'7 - RASA - Rockville'!P26)</f>
        <v>0</v>
      </c>
      <c r="Q26" s="15">
        <f>IFERROR(P26/P148, "NA")</f>
        <v>0</v>
      </c>
      <c r="R26" s="28">
        <f>SUM('4 - RASA - MVT'!R26,'5 - RASA - National Landin'!R26,'6 - RASA - Mosaic'!R26,'7 - RASA - Rockville'!R26)</f>
        <v>0</v>
      </c>
      <c r="S26" s="15">
        <f>IFERROR(R26/R148, "NA")</f>
        <v>0</v>
      </c>
      <c r="T26" s="28">
        <f>SUM('4 - RASA - MVT'!T26,'5 - RASA - National Landin'!T26,'6 - RASA - Mosaic'!T26,'7 - RASA - Rockville'!T26)</f>
        <v>0</v>
      </c>
      <c r="U26" s="15">
        <f>IFERROR(T26/T148, "NA")</f>
        <v>0</v>
      </c>
      <c r="V26" s="28">
        <f>SUM('4 - RASA - MVT'!V26,'5 - RASA - National Landin'!V26,'6 - RASA - Mosaic'!V26,'7 - RASA - Rockville'!V26)</f>
        <v>0</v>
      </c>
      <c r="W26" s="15">
        <f>IFERROR(V26/V148, "NA")</f>
        <v>0</v>
      </c>
      <c r="X26" s="28">
        <f>SUM('4 - RASA - MVT'!X26,'5 - RASA - National Landin'!X26,'6 - RASA - Mosaic'!X26,'7 - RASA - Rockville'!X26)</f>
        <v>0</v>
      </c>
      <c r="Y26" s="15">
        <f>IFERROR(X26/X148, "NA")</f>
        <v>0</v>
      </c>
      <c r="Z26" s="28">
        <f>SUM('4 - RASA - MVT'!Z26,'5 - RASA - National Landin'!Z26,'6 - RASA - Mosaic'!Z26,'7 - RASA - Rockville'!Z26)</f>
        <v>0</v>
      </c>
      <c r="AA26" s="15">
        <f>IFERROR(Z26/Z148, "NA")</f>
        <v>0</v>
      </c>
      <c r="AB26" s="57">
        <f t="shared" si="7"/>
        <v>0</v>
      </c>
      <c r="AC26" s="15">
        <f>IFERROR(AB26/AB148, "NA")</f>
        <v>0</v>
      </c>
      <c r="AD26" s="61">
        <f t="shared" si="8"/>
        <v>0</v>
      </c>
      <c r="AE26" s="62">
        <f>IFERROR(AD26/AD148, "NA")</f>
        <v>0</v>
      </c>
      <c r="AF26" s="61" t="str">
        <f t="shared" si="9"/>
        <v>NA</v>
      </c>
      <c r="AG26" s="57">
        <f t="shared" si="10"/>
        <v>0</v>
      </c>
      <c r="AH26" s="15">
        <f>IFERROR(AG26/AG148, "NA")</f>
        <v>0</v>
      </c>
      <c r="AI26" s="61">
        <f t="shared" si="11"/>
        <v>0</v>
      </c>
      <c r="AJ26" s="62">
        <f>IFERROR(AI26/AI148, "NA")</f>
        <v>0</v>
      </c>
      <c r="AK26" s="61" t="str">
        <f t="shared" si="12"/>
        <v>NA</v>
      </c>
      <c r="AL26" s="62" t="str">
        <f>IFERROR(AK26/AK148, "NA")</f>
        <v>NA</v>
      </c>
    </row>
    <row r="27" ht="16.5" customHeight="1">
      <c r="A27" s="67" t="s">
        <v>83</v>
      </c>
      <c r="B27" s="70">
        <f>IFERROR(B15+B16+B17+B18+B19+B20+B21+B22+B23+B24+B25+B26, "NA")</f>
        <v>17425.47</v>
      </c>
      <c r="C27" s="71">
        <f>IFERROR(B27/B148, "NA")</f>
        <v>0.2357725106</v>
      </c>
      <c r="D27" s="70">
        <f>IFERROR(D15+D16+D17+D18+D19+D20+D21+D22+D23+D24+D25+D26, "NA")</f>
        <v>23029.83</v>
      </c>
      <c r="E27" s="71">
        <f>IFERROR(D27/D148, "NA")</f>
        <v>0.2243135691</v>
      </c>
      <c r="F27" s="70">
        <f>IFERROR(F15+F16+F17+F18+F19+F20+F21+F22+F23+F24+F25+F26, "NA")</f>
        <v>23462.19</v>
      </c>
      <c r="G27" s="71">
        <f>IFERROR(F27/F148, "NA")</f>
        <v>0.2146164099</v>
      </c>
      <c r="H27" s="70">
        <f>IFERROR(H15+H16+H17+H18+H19+H20+H21+H22+H23+H24+H25+H26, "NA")</f>
        <v>26895.44</v>
      </c>
      <c r="I27" s="71">
        <f>IFERROR(H27/H148, "NA")</f>
        <v>0.219795544</v>
      </c>
      <c r="J27" s="70">
        <f>IFERROR(J15+J16+J17+J18+J19+J20+J21+J22+J23+J24+J25+J26, "NA")</f>
        <v>25871.71</v>
      </c>
      <c r="K27" s="71">
        <f>IFERROR(J27/J148, "NA")</f>
        <v>0.2271310122</v>
      </c>
      <c r="L27" s="70">
        <f>IFERROR(L15+L16+L17+L18+L19+L20+L21+L22+L23+L24+L25+L26, "NA")</f>
        <v>27302.53</v>
      </c>
      <c r="M27" s="71">
        <f>IFERROR(L27/L148, "NA")</f>
        <v>0.2176153591</v>
      </c>
      <c r="N27" s="70">
        <f>IFERROR(N15+N16+N17+N18+N19+N20+N21+N22+N23+N24+N25+N26, "NA")</f>
        <v>30367.76</v>
      </c>
      <c r="O27" s="71">
        <f>IFERROR(N27/N148, "NA")</f>
        <v>0.2211964032</v>
      </c>
      <c r="P27" s="70">
        <f>IFERROR(P15+P16+P17+P18+P19+P20+P21+P22+P23+P24+P25+P26, "NA")</f>
        <v>32203.29</v>
      </c>
      <c r="Q27" s="71">
        <f>IFERROR(P27/P148, "NA")</f>
        <v>0.2185540341</v>
      </c>
      <c r="R27" s="70">
        <f>IFERROR(R15+R16+R17+R18+R19+R20+R21+R22+R23+R24+R25+R26, "NA")</f>
        <v>31609.38</v>
      </c>
      <c r="S27" s="71">
        <f>IFERROR(R27/R148, "NA")</f>
        <v>0.2188459482</v>
      </c>
      <c r="T27" s="70">
        <f>IFERROR(T15+T16+T17+T18+T19+T20+T21+T22+T23+T24+T25+T26, "NA")</f>
        <v>28501.06</v>
      </c>
      <c r="U27" s="71">
        <f>IFERROR(T27/T148, "NA")</f>
        <v>0.2234635882</v>
      </c>
      <c r="V27" s="70">
        <f>IFERROR(V15+V16+V17+V18+V19+V20+V21+V22+V23+V24+V25+V26, "NA")</f>
        <v>30762.39</v>
      </c>
      <c r="W27" s="71">
        <f>IFERROR(V27/V148, "NA")</f>
        <v>0.2322132156</v>
      </c>
      <c r="X27" s="70">
        <f>IFERROR(X15+X16+X17+X18+X19+X20+X21+X22+X23+X24+X25+X26, "NA")</f>
        <v>31133.78</v>
      </c>
      <c r="Y27" s="71">
        <f>IFERROR(X27/X148, "NA")</f>
        <v>0.2176416839</v>
      </c>
      <c r="Z27" s="70">
        <f>IFERROR(Z15+Z16+Z17+Z18+Z19+Z20+Z21+Z22+Z23+Z24+Z25+Z26, "NA")</f>
        <v>90397.23</v>
      </c>
      <c r="AA27" s="71">
        <f>IFERROR(Z27/Z148, "NA")</f>
        <v>0.2242730743</v>
      </c>
      <c r="AB27" s="70">
        <f t="shared" si="7"/>
        <v>30501.6525</v>
      </c>
      <c r="AC27" s="71">
        <f>IFERROR(AB27/AB148, "NA")</f>
        <v>0.2228413487</v>
      </c>
      <c r="AD27" s="75">
        <f t="shared" si="8"/>
        <v>632.1275</v>
      </c>
      <c r="AE27" s="76">
        <f>IFERROR(AD27/AD148, "NA")</f>
        <v>0.1023764523</v>
      </c>
      <c r="AF27" s="75">
        <f t="shared" si="9"/>
        <v>0.02072436895</v>
      </c>
      <c r="AG27" s="70">
        <f t="shared" si="10"/>
        <v>29718.9875</v>
      </c>
      <c r="AH27" s="71">
        <f>IFERROR(AG27/AG148, "NA")</f>
        <v>0.2218851275</v>
      </c>
      <c r="AI27" s="75">
        <f t="shared" si="11"/>
        <v>1414.7925</v>
      </c>
      <c r="AJ27" s="76">
        <f>IFERROR(AI27/AI148, "NA")</f>
        <v>0.155266764</v>
      </c>
      <c r="AK27" s="75">
        <f t="shared" si="12"/>
        <v>0.04760567634</v>
      </c>
      <c r="AL27" s="76">
        <f>IFERROR(AK27/AK148, "NA")</f>
        <v>0.699761925</v>
      </c>
    </row>
    <row r="28" ht="16.5" customHeight="1">
      <c r="A28" s="22" t="s">
        <v>84</v>
      </c>
      <c r="B28" s="23"/>
      <c r="C28" s="10"/>
      <c r="D28" s="23"/>
      <c r="E28" s="10"/>
      <c r="F28" s="23"/>
      <c r="G28" s="10"/>
      <c r="H28" s="23"/>
      <c r="I28" s="10"/>
      <c r="J28" s="23"/>
      <c r="K28" s="10"/>
      <c r="L28" s="23"/>
      <c r="M28" s="10"/>
      <c r="N28" s="23"/>
      <c r="O28" s="10"/>
      <c r="P28" s="23"/>
      <c r="Q28" s="10"/>
      <c r="R28" s="23"/>
      <c r="S28" s="10"/>
      <c r="T28" s="23"/>
      <c r="U28" s="10"/>
      <c r="V28" s="23"/>
      <c r="W28" s="10"/>
      <c r="X28" s="23"/>
      <c r="Y28" s="10"/>
      <c r="Z28" s="23"/>
      <c r="AA28" s="10"/>
      <c r="AB28" s="23"/>
      <c r="AC28" s="10"/>
      <c r="AD28" s="24"/>
      <c r="AE28" s="25"/>
      <c r="AF28" s="24"/>
      <c r="AG28" s="23"/>
      <c r="AH28" s="10"/>
      <c r="AI28" s="24"/>
      <c r="AJ28" s="25"/>
      <c r="AK28" s="24"/>
      <c r="AL28" s="25"/>
    </row>
    <row r="29" ht="16.5" hidden="1" customHeight="1">
      <c r="A29" s="26" t="s">
        <v>85</v>
      </c>
      <c r="B29" s="28">
        <f>SUM('4 - RASA - MVT'!B29,'5 - RASA - National Landin'!B29,'6 - RASA - Mosaic'!B29,'7 - RASA - Rockville'!B29)</f>
        <v>0</v>
      </c>
      <c r="C29" s="15">
        <f>IFERROR(B29/B148, "NA")</f>
        <v>0</v>
      </c>
      <c r="D29" s="28">
        <f>SUM('4 - RASA - MVT'!D29,'5 - RASA - National Landin'!D29,'6 - RASA - Mosaic'!D29,'7 - RASA - Rockville'!D29)</f>
        <v>0</v>
      </c>
      <c r="E29" s="15">
        <f>IFERROR(D29/D148, "NA")</f>
        <v>0</v>
      </c>
      <c r="F29" s="28">
        <f>SUM('4 - RASA - MVT'!F29,'5 - RASA - National Landin'!F29,'6 - RASA - Mosaic'!F29,'7 - RASA - Rockville'!F29)</f>
        <v>0</v>
      </c>
      <c r="G29" s="15">
        <f>IFERROR(F29/F148, "NA")</f>
        <v>0</v>
      </c>
      <c r="H29" s="28">
        <f>SUM('4 - RASA - MVT'!H29,'5 - RASA - National Landin'!H29,'6 - RASA - Mosaic'!H29,'7 - RASA - Rockville'!H29)</f>
        <v>0</v>
      </c>
      <c r="I29" s="15">
        <f>IFERROR(H29/H148, "NA")</f>
        <v>0</v>
      </c>
      <c r="J29" s="28">
        <f>SUM('4 - RASA - MVT'!J29,'5 - RASA - National Landin'!J29,'6 - RASA - Mosaic'!J29,'7 - RASA - Rockville'!J29)</f>
        <v>0</v>
      </c>
      <c r="K29" s="15">
        <f>IFERROR(J29/J148, "NA")</f>
        <v>0</v>
      </c>
      <c r="L29" s="28">
        <f>SUM('4 - RASA - MVT'!L29,'5 - RASA - National Landin'!L29,'6 - RASA - Mosaic'!L29,'7 - RASA - Rockville'!L29)</f>
        <v>0</v>
      </c>
      <c r="M29" s="15">
        <f>IFERROR(L29/L148, "NA")</f>
        <v>0</v>
      </c>
      <c r="N29" s="28">
        <f>SUM('4 - RASA - MVT'!N29,'5 - RASA - National Landin'!N29,'6 - RASA - Mosaic'!N29,'7 - RASA - Rockville'!N29)</f>
        <v>0</v>
      </c>
      <c r="O29" s="15">
        <f>IFERROR(N29/N148, "NA")</f>
        <v>0</v>
      </c>
      <c r="P29" s="28">
        <f>SUM('4 - RASA - MVT'!P29,'5 - RASA - National Landin'!P29,'6 - RASA - Mosaic'!P29,'7 - RASA - Rockville'!P29)</f>
        <v>0</v>
      </c>
      <c r="Q29" s="15">
        <f>IFERROR(P29/P148, "NA")</f>
        <v>0</v>
      </c>
      <c r="R29" s="28">
        <f>SUM('4 - RASA - MVT'!R29,'5 - RASA - National Landin'!R29,'6 - RASA - Mosaic'!R29,'7 - RASA - Rockville'!R29)</f>
        <v>0</v>
      </c>
      <c r="S29" s="15">
        <f>IFERROR(R29/R148, "NA")</f>
        <v>0</v>
      </c>
      <c r="T29" s="28">
        <f>SUM('4 - RASA - MVT'!T29,'5 - RASA - National Landin'!T29,'6 - RASA - Mosaic'!T29,'7 - RASA - Rockville'!T29)</f>
        <v>0</v>
      </c>
      <c r="U29" s="15">
        <f>IFERROR(T29/T148, "NA")</f>
        <v>0</v>
      </c>
      <c r="V29" s="28">
        <f>SUM('4 - RASA - MVT'!V29,'5 - RASA - National Landin'!V29,'6 - RASA - Mosaic'!V29,'7 - RASA - Rockville'!V29)</f>
        <v>0</v>
      </c>
      <c r="W29" s="15">
        <f>IFERROR(V29/V148, "NA")</f>
        <v>0</v>
      </c>
      <c r="X29" s="28">
        <f>SUM('4 - RASA - MVT'!X29,'5 - RASA - National Landin'!X29,'6 - RASA - Mosaic'!X29,'7 - RASA - Rockville'!X29)</f>
        <v>0</v>
      </c>
      <c r="Y29" s="15">
        <f>IFERROR(X29/X148, "NA")</f>
        <v>0</v>
      </c>
      <c r="Z29" s="28">
        <f>SUM('4 - RASA - MVT'!Z29,'5 - RASA - National Landin'!Z29,'6 - RASA - Mosaic'!Z29,'7 - RASA - Rockville'!Z29)</f>
        <v>0</v>
      </c>
      <c r="AA29" s="15">
        <f>IFERROR(Z29/Z148, "NA")</f>
        <v>0</v>
      </c>
      <c r="AB29" s="57">
        <f t="shared" ref="AB29:AB35" si="13">IFERROR((R29+T29+V29+X29)/4, "NA")</f>
        <v>0</v>
      </c>
      <c r="AC29" s="15">
        <f>IFERROR(AB29/AB148, "NA")</f>
        <v>0</v>
      </c>
      <c r="AD29" s="61">
        <f t="shared" ref="AD29:AD35" si="14">IFERROR(X29-AB29, "NA")</f>
        <v>0</v>
      </c>
      <c r="AE29" s="62">
        <f>IFERROR(AD29/AD148, "NA")</f>
        <v>0</v>
      </c>
      <c r="AF29" s="61" t="str">
        <f t="shared" ref="AF29:AF35" si="15">IFERROR((X29-AB29)/AB29, "NA")</f>
        <v>NA</v>
      </c>
      <c r="AG29" s="57">
        <f t="shared" ref="AG29:AG35" si="16">IFERROR((J29+L29+N29+P29+R29+T29+V29+X29)/8, "NA")</f>
        <v>0</v>
      </c>
      <c r="AH29" s="15">
        <f>IFERROR(AG29/AG148, "NA")</f>
        <v>0</v>
      </c>
      <c r="AI29" s="61">
        <f t="shared" ref="AI29:AI35" si="17">IFERROR(X29-AG29, "NA")</f>
        <v>0</v>
      </c>
      <c r="AJ29" s="62">
        <f>IFERROR(AI29/AI148, "NA")</f>
        <v>0</v>
      </c>
      <c r="AK29" s="61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6" t="s">
        <v>88</v>
      </c>
      <c r="B30" s="28">
        <f>SUM('4 - RASA - MVT'!B30,'5 - RASA - National Landin'!B30,'6 - RASA - Mosaic'!B30,'7 - RASA - Rockville'!B30)</f>
        <v>879.15</v>
      </c>
      <c r="C30" s="15">
        <f>IFERROR(B30/B148, "NA")</f>
        <v>0.01189519724</v>
      </c>
      <c r="D30" s="28">
        <f>SUM('4 - RASA - MVT'!D30,'5 - RASA - National Landin'!D30,'6 - RASA - Mosaic'!D30,'7 - RASA - Rockville'!D30)</f>
        <v>1111.33</v>
      </c>
      <c r="E30" s="15">
        <f>IFERROR(D30/D148, "NA")</f>
        <v>0.01082450017</v>
      </c>
      <c r="F30" s="28">
        <f>SUM('4 - RASA - MVT'!F30,'5 - RASA - National Landin'!F30,'6 - RASA - Mosaic'!F30,'7 - RASA - Rockville'!F30)</f>
        <v>1582.41</v>
      </c>
      <c r="G30" s="15">
        <f>IFERROR(F30/F148, "NA")</f>
        <v>0.01447482751</v>
      </c>
      <c r="H30" s="28">
        <f>SUM('4 - RASA - MVT'!H30,'5 - RASA - National Landin'!H30,'6 - RASA - Mosaic'!H30,'7 - RASA - Rockville'!H30)</f>
        <v>940.63</v>
      </c>
      <c r="I30" s="15">
        <f>IFERROR(H30/H148, "NA")</f>
        <v>0.007687038494</v>
      </c>
      <c r="J30" s="28">
        <f>SUM('4 - RASA - MVT'!J30,'5 - RASA - National Landin'!J30,'6 - RASA - Mosaic'!J30,'7 - RASA - Rockville'!J30)</f>
        <v>1189.37</v>
      </c>
      <c r="K30" s="15">
        <f>IFERROR(J30/J148, "NA")</f>
        <v>0.01044162956</v>
      </c>
      <c r="L30" s="28">
        <f>SUM('4 - RASA - MVT'!L30,'5 - RASA - National Landin'!L30,'6 - RASA - Mosaic'!L30,'7 - RASA - Rockville'!L30)</f>
        <v>1428.17</v>
      </c>
      <c r="M30" s="15">
        <f>IFERROR(L30/L148, "NA")</f>
        <v>0.01138325743</v>
      </c>
      <c r="N30" s="28">
        <f>SUM('4 - RASA - MVT'!N30,'5 - RASA - National Landin'!N30,'6 - RASA - Mosaic'!N30,'7 - RASA - Rockville'!N30)</f>
        <v>1655.83</v>
      </c>
      <c r="O30" s="15">
        <f>IFERROR(N30/N148, "NA")</f>
        <v>0.012060937</v>
      </c>
      <c r="P30" s="28">
        <f>SUM('4 - RASA - MVT'!P30,'5 - RASA - National Landin'!P30,'6 - RASA - Mosaic'!P30,'7 - RASA - Rockville'!P30)</f>
        <v>1530.31</v>
      </c>
      <c r="Q30" s="15">
        <f>IFERROR(P30/P148, "NA")</f>
        <v>0.01038575325</v>
      </c>
      <c r="R30" s="28">
        <f>SUM('4 - RASA - MVT'!R30,'5 - RASA - National Landin'!R30,'6 - RASA - Mosaic'!R30,'7 - RASA - Rockville'!R30)</f>
        <v>1629.54</v>
      </c>
      <c r="S30" s="15">
        <f>IFERROR(R30/R148, "NA")</f>
        <v>0.011282038</v>
      </c>
      <c r="T30" s="28">
        <f>SUM('4 - RASA - MVT'!T30,'5 - RASA - National Landin'!T30,'6 - RASA - Mosaic'!T30,'7 - RASA - Rockville'!T30)</f>
        <v>1537.51</v>
      </c>
      <c r="U30" s="15">
        <f>IFERROR(T30/T148, "NA")</f>
        <v>0.01205490257</v>
      </c>
      <c r="V30" s="28">
        <f>SUM('4 - RASA - MVT'!V30,'5 - RASA - National Landin'!V30,'6 - RASA - Mosaic'!V30,'7 - RASA - Rockville'!V30)</f>
        <v>1501.56</v>
      </c>
      <c r="W30" s="15">
        <f>IFERROR(V30/V148, "NA")</f>
        <v>0.01133468745</v>
      </c>
      <c r="X30" s="28">
        <f>SUM('4 - RASA - MVT'!X30,'5 - RASA - National Landin'!X30,'6 - RASA - Mosaic'!X30,'7 - RASA - Rockville'!X30)</f>
        <v>1904.1</v>
      </c>
      <c r="Y30" s="15">
        <f>IFERROR(X30/X148, "NA")</f>
        <v>0.01331067189</v>
      </c>
      <c r="Z30" s="28">
        <f>SUM('4 - RASA - MVT'!Z30,'5 - RASA - National Landin'!Z30,'6 - RASA - Mosaic'!Z30,'7 - RASA - Rockville'!Z30)</f>
        <v>4943.17</v>
      </c>
      <c r="AA30" s="15">
        <f>IFERROR(Z30/Z148, "NA")</f>
        <v>0.01226387062</v>
      </c>
      <c r="AB30" s="57">
        <f t="shared" si="13"/>
        <v>1643.1775</v>
      </c>
      <c r="AC30" s="15">
        <f>IFERROR(AB30/AB148, "NA")</f>
        <v>0.01200485417</v>
      </c>
      <c r="AD30" s="61">
        <f t="shared" si="14"/>
        <v>260.9225</v>
      </c>
      <c r="AE30" s="62">
        <f>IFERROR(AD30/AD148, "NA")</f>
        <v>0.04225780382</v>
      </c>
      <c r="AF30" s="61">
        <f t="shared" si="15"/>
        <v>0.158791427</v>
      </c>
      <c r="AG30" s="57">
        <f t="shared" si="16"/>
        <v>1547.04875</v>
      </c>
      <c r="AH30" s="15">
        <f>IFERROR(AG30/AG148, "NA")</f>
        <v>0.01155043082</v>
      </c>
      <c r="AI30" s="61">
        <f t="shared" si="17"/>
        <v>357.05125</v>
      </c>
      <c r="AJ30" s="62">
        <f>IFERROR(AI30/AI148, "NA")</f>
        <v>0.03918468055</v>
      </c>
      <c r="AK30" s="61">
        <f t="shared" si="18"/>
        <v>0.2307950865</v>
      </c>
      <c r="AL30" s="62">
        <f>IFERROR(AK30/AK148, "NA")</f>
        <v>3.392486493</v>
      </c>
    </row>
    <row r="31" ht="16.5" customHeight="1">
      <c r="A31" s="26" t="s">
        <v>89</v>
      </c>
      <c r="B31" s="28">
        <f>SUM('4 - RASA - MVT'!B31,'5 - RASA - National Landin'!B31,'6 - RASA - Mosaic'!B31,'7 - RASA - Rockville'!B31)</f>
        <v>10.96</v>
      </c>
      <c r="C31" s="15">
        <f>IFERROR(B31/B148, "NA")</f>
        <v>0.0001482925119</v>
      </c>
      <c r="D31" s="28">
        <f>SUM('4 - RASA - MVT'!D31,'5 - RASA - National Landin'!D31,'6 - RASA - Mosaic'!D31,'7 - RASA - Rockville'!D31)</f>
        <v>9.06</v>
      </c>
      <c r="E31" s="15">
        <f>IFERROR(D31/D148, "NA")</f>
        <v>0.00008824559001</v>
      </c>
      <c r="F31" s="28">
        <f>SUM('4 - RASA - MVT'!F31,'5 - RASA - National Landin'!F31,'6 - RASA - Mosaic'!F31,'7 - RASA - Rockville'!F31)</f>
        <v>45.7</v>
      </c>
      <c r="G31" s="15">
        <f>IFERROR(F31/F148, "NA")</f>
        <v>0.0004180330111</v>
      </c>
      <c r="H31" s="28">
        <f>SUM('4 - RASA - MVT'!H31,'5 - RASA - National Landin'!H31,'6 - RASA - Mosaic'!H31,'7 - RASA - Rockville'!H31)</f>
        <v>12.08</v>
      </c>
      <c r="I31" s="15">
        <f>IFERROR(H31/H148, "NA")</f>
        <v>0.00009872045864</v>
      </c>
      <c r="J31" s="28">
        <f>SUM('4 - RASA - MVT'!J31,'5 - RASA - National Landin'!J31,'6 - RASA - Mosaic'!J31,'7 - RASA - Rockville'!J31)</f>
        <v>52.03</v>
      </c>
      <c r="K31" s="15">
        <f>IFERROR(J31/J148, "NA")</f>
        <v>0.0004567779465</v>
      </c>
      <c r="L31" s="28">
        <f>SUM('4 - RASA - MVT'!L31,'5 - RASA - National Landin'!L31,'6 - RASA - Mosaic'!L31,'7 - RASA - Rockville'!L31)</f>
        <v>14.06</v>
      </c>
      <c r="M31" s="15">
        <f>IFERROR(L31/L148, "NA")</f>
        <v>0.00011206551</v>
      </c>
      <c r="N31" s="28">
        <f>SUM('4 - RASA - MVT'!N31,'5 - RASA - National Landin'!N31,'6 - RASA - Mosaic'!N31,'7 - RASA - Rockville'!N31)</f>
        <v>59.52</v>
      </c>
      <c r="O31" s="15">
        <f>IFERROR(N31/N148, "NA")</f>
        <v>0.0004335390531</v>
      </c>
      <c r="P31" s="28">
        <f>SUM('4 - RASA - MVT'!P31,'5 - RASA - National Landin'!P31,'6 - RASA - Mosaic'!P31,'7 - RASA - Rockville'!P31)</f>
        <v>49.46</v>
      </c>
      <c r="Q31" s="15">
        <f>IFERROR(P31/P148, "NA")</f>
        <v>0.0003356701295</v>
      </c>
      <c r="R31" s="28">
        <f>SUM('4 - RASA - MVT'!R31,'5 - RASA - National Landin'!R31,'6 - RASA - Mosaic'!R31,'7 - RASA - Rockville'!R31)</f>
        <v>60.89</v>
      </c>
      <c r="S31" s="15">
        <f>IFERROR(R31/R148, "NA")</f>
        <v>0.000421568844</v>
      </c>
      <c r="T31" s="28">
        <f>SUM('4 - RASA - MVT'!T31,'5 - RASA - National Landin'!T31,'6 - RASA - Mosaic'!T31,'7 - RASA - Rockville'!T31)</f>
        <v>53.06</v>
      </c>
      <c r="U31" s="15">
        <f>IFERROR(T31/T148, "NA")</f>
        <v>0.0004160188424</v>
      </c>
      <c r="V31" s="28">
        <f>SUM('4 - RASA - MVT'!V31,'5 - RASA - National Landin'!V31,'6 - RASA - Mosaic'!V31,'7 - RASA - Rockville'!V31)</f>
        <v>40.07</v>
      </c>
      <c r="W31" s="15">
        <f>IFERROR(V31/V148, "NA")</f>
        <v>0.0003024727125</v>
      </c>
      <c r="X31" s="28">
        <f>SUM('4 - RASA - MVT'!X31,'5 - RASA - National Landin'!X31,'6 - RASA - Mosaic'!X31,'7 - RASA - Rockville'!X31)</f>
        <v>34.02</v>
      </c>
      <c r="Y31" s="15">
        <f>IFERROR(X31/X148, "NA")</f>
        <v>0.0002378178971</v>
      </c>
      <c r="Z31" s="28">
        <f>SUM('4 - RASA - MVT'!Z31,'5 - RASA - National Landin'!Z31,'6 - RASA - Mosaic'!Z31,'7 - RASA - Rockville'!Z31)</f>
        <v>127.15</v>
      </c>
      <c r="AA31" s="15">
        <f>IFERROR(Z31/Z148, "NA")</f>
        <v>0.0003154556993</v>
      </c>
      <c r="AB31" s="57">
        <f t="shared" si="13"/>
        <v>47.01</v>
      </c>
      <c r="AC31" s="15">
        <f>IFERROR(AB31/AB148, "NA")</f>
        <v>0.0003434493197</v>
      </c>
      <c r="AD31" s="61">
        <f t="shared" si="14"/>
        <v>-12.99</v>
      </c>
      <c r="AE31" s="62">
        <f>IFERROR(AD31/AD148, "NA")</f>
        <v>-0.002103800445</v>
      </c>
      <c r="AF31" s="61">
        <f t="shared" si="15"/>
        <v>-0.2763241863</v>
      </c>
      <c r="AG31" s="57">
        <f t="shared" si="16"/>
        <v>45.38875</v>
      </c>
      <c r="AH31" s="15">
        <f>IFERROR(AG31/AG148, "NA")</f>
        <v>0.0003388772441</v>
      </c>
      <c r="AI31" s="61">
        <f t="shared" si="17"/>
        <v>-11.36875</v>
      </c>
      <c r="AJ31" s="62">
        <f>IFERROR(AI31/AI148, "NA")</f>
        <v>-0.00124766637</v>
      </c>
      <c r="AK31" s="61">
        <f t="shared" si="18"/>
        <v>-0.2504750627</v>
      </c>
      <c r="AL31" s="62">
        <f>IFERROR(AK31/AK148, "NA")</f>
        <v>-3.681764981</v>
      </c>
    </row>
    <row r="32" ht="16.5" customHeight="1">
      <c r="A32" s="26" t="s">
        <v>90</v>
      </c>
      <c r="B32" s="28">
        <f>SUM('4 - RASA - MVT'!B32,'5 - RASA - National Landin'!B32,'6 - RASA - Mosaic'!B32,'7 - RASA - Rockville'!B32)</f>
        <v>-13.35</v>
      </c>
      <c r="C32" s="15">
        <f>IFERROR(B32/B148, "NA")</f>
        <v>-0.0001806300213</v>
      </c>
      <c r="D32" s="28">
        <f>SUM('4 - RASA - MVT'!D32,'5 - RASA - National Landin'!D32,'6 - RASA - Mosaic'!D32,'7 - RASA - Rockville'!D32)</f>
        <v>-13.36</v>
      </c>
      <c r="E32" s="15">
        <f>IFERROR(D32/D148, "NA")</f>
        <v>-0.0001301281548</v>
      </c>
      <c r="F32" s="28">
        <f>SUM('4 - RASA - MVT'!F32,'5 - RASA - National Landin'!F32,'6 - RASA - Mosaic'!F32,'7 - RASA - Rockville'!F32)</f>
        <v>14.95</v>
      </c>
      <c r="G32" s="15">
        <f>IFERROR(F32/F148, "NA")</f>
        <v>0.0001367525933</v>
      </c>
      <c r="H32" s="28">
        <f>SUM('4 - RASA - MVT'!H32,'5 - RASA - National Landin'!H32,'6 - RASA - Mosaic'!H32,'7 - RASA - Rockville'!H32)</f>
        <v>68.5</v>
      </c>
      <c r="I32" s="15">
        <f>IFERROR(H32/H148, "NA")</f>
        <v>0.0005597973027</v>
      </c>
      <c r="J32" s="28">
        <f>SUM('4 - RASA - MVT'!J32,'5 - RASA - National Landin'!J32,'6 - RASA - Mosaic'!J32,'7 - RASA - Rockville'!J32)</f>
        <v>-73.22</v>
      </c>
      <c r="K32" s="15">
        <f>IFERROR(J32/J148, "NA")</f>
        <v>-0.0006428076349</v>
      </c>
      <c r="L32" s="28">
        <f>SUM('4 - RASA - MVT'!L32,'5 - RASA - National Landin'!L32,'6 - RASA - Mosaic'!L32,'7 - RASA - Rockville'!L32)</f>
        <v>62.44</v>
      </c>
      <c r="M32" s="15">
        <f>IFERROR(L32/L148, "NA")</f>
        <v>0.0004976792636</v>
      </c>
      <c r="N32" s="28">
        <f>SUM('4 - RASA - MVT'!N32,'5 - RASA - National Landin'!N32,'6 - RASA - Mosaic'!N32,'7 - RASA - Rockville'!N32)</f>
        <v>82.66</v>
      </c>
      <c r="O32" s="15">
        <f>IFERROR(N32/N148, "NA")</f>
        <v>0.0006020890143</v>
      </c>
      <c r="P32" s="28">
        <f>SUM('4 - RASA - MVT'!P32,'5 - RASA - National Landin'!P32,'6 - RASA - Mosaic'!P32,'7 - RASA - Rockville'!P32)</f>
        <v>54.36</v>
      </c>
      <c r="Q32" s="15">
        <f>IFERROR(P32/P148, "NA")</f>
        <v>0.0003689249543</v>
      </c>
      <c r="R32" s="28">
        <f>SUM('4 - RASA - MVT'!R32,'5 - RASA - National Landin'!R32,'6 - RASA - Mosaic'!R32,'7 - RASA - Rockville'!R32)</f>
        <v>-1.6</v>
      </c>
      <c r="S32" s="15">
        <f>IFERROR(R32/R148, "NA")</f>
        <v>-0.0000110775193</v>
      </c>
      <c r="T32" s="28">
        <f>SUM('4 - RASA - MVT'!T32,'5 - RASA - National Landin'!T32,'6 - RASA - Mosaic'!T32,'7 - RASA - Rockville'!T32)</f>
        <v>-52.73</v>
      </c>
      <c r="U32" s="15">
        <f>IFERROR(T32/T148, "NA")</f>
        <v>-0.0004134314655</v>
      </c>
      <c r="V32" s="28">
        <f>SUM('4 - RASA - MVT'!V32,'5 - RASA - National Landin'!V32,'6 - RASA - Mosaic'!V32,'7 - RASA - Rockville'!V32)</f>
        <v>44.78</v>
      </c>
      <c r="W32" s="15">
        <f>IFERROR(V32/V148, "NA")</f>
        <v>0.000338026655</v>
      </c>
      <c r="X32" s="28">
        <f>SUM('4 - RASA - MVT'!X32,'5 - RASA - National Landin'!X32,'6 - RASA - Mosaic'!X32,'7 - RASA - Rockville'!X32)</f>
        <v>1.6</v>
      </c>
      <c r="Y32" s="15">
        <f>IFERROR(X32/X148, "NA")</f>
        <v>0.00001118485113</v>
      </c>
      <c r="Z32" s="28">
        <f>SUM('4 - RASA - MVT'!Z32,'5 - RASA - National Landin'!Z32,'6 - RASA - Mosaic'!Z32,'7 - RASA - Rockville'!Z32)</f>
        <v>-6.35</v>
      </c>
      <c r="AA32" s="15">
        <f>IFERROR(Z32/Z148, "NA")</f>
        <v>-0.00001575417767</v>
      </c>
      <c r="AB32" s="57">
        <f t="shared" si="13"/>
        <v>-1.9875</v>
      </c>
      <c r="AC32" s="15">
        <f>IFERROR(AB32/AB148, "NA")</f>
        <v>-0.00001452043231</v>
      </c>
      <c r="AD32" s="61">
        <f t="shared" si="14"/>
        <v>3.5875</v>
      </c>
      <c r="AE32" s="62">
        <f>IFERROR(AD32/AD148, "NA")</f>
        <v>0.000581014942</v>
      </c>
      <c r="AF32" s="61">
        <f t="shared" si="15"/>
        <v>-1.805031447</v>
      </c>
      <c r="AG32" s="57">
        <f t="shared" si="16"/>
        <v>14.78625</v>
      </c>
      <c r="AH32" s="15">
        <f>IFERROR(AG32/AG148, "NA")</f>
        <v>0.0001103957181</v>
      </c>
      <c r="AI32" s="61">
        <f t="shared" si="17"/>
        <v>-13.18625</v>
      </c>
      <c r="AJ32" s="62">
        <f>IFERROR(AI32/AI148, "NA")</f>
        <v>-0.001447128371</v>
      </c>
      <c r="AK32" s="61">
        <f t="shared" si="18"/>
        <v>-0.8917913602</v>
      </c>
      <c r="AL32" s="62">
        <f>IFERROR(AK32/AK148, "NA")</f>
        <v>-13.10855526</v>
      </c>
    </row>
    <row r="33" ht="16.5" customHeight="1">
      <c r="A33" s="26" t="s">
        <v>91</v>
      </c>
      <c r="B33" s="28">
        <f>SUM('4 - RASA - MVT'!B33,'5 - RASA - National Landin'!B33,'6 - RASA - Mosaic'!B33,'7 - RASA - Rockville'!B33)</f>
        <v>-17.1</v>
      </c>
      <c r="C33" s="15">
        <f>IFERROR(B33/B148, "NA")</f>
        <v>-0.0002313687913</v>
      </c>
      <c r="D33" s="28">
        <f>SUM('4 - RASA - MVT'!D33,'5 - RASA - National Landin'!D33,'6 - RASA - Mosaic'!D33,'7 - RASA - Rockville'!D33)</f>
        <v>9.93</v>
      </c>
      <c r="E33" s="15">
        <f>IFERROR(D33/D148, "NA")</f>
        <v>0.00009671950428</v>
      </c>
      <c r="F33" s="28">
        <f>SUM('4 - RASA - MVT'!F33,'5 - RASA - National Landin'!F33,'6 - RASA - Mosaic'!F33,'7 - RASA - Rockville'!F33)</f>
        <v>12.37</v>
      </c>
      <c r="G33" s="15">
        <f>IFERROR(F33/F148, "NA")</f>
        <v>0.0001131524802</v>
      </c>
      <c r="H33" s="28">
        <f>SUM('4 - RASA - MVT'!H33,'5 - RASA - National Landin'!H33,'6 - RASA - Mosaic'!H33,'7 - RASA - Rockville'!H33)</f>
        <v>3.35</v>
      </c>
      <c r="I33" s="15">
        <f>IFERROR(H33/H148, "NA")</f>
        <v>0.00002737694838</v>
      </c>
      <c r="J33" s="28">
        <f>SUM('4 - RASA - MVT'!J33,'5 - RASA - National Landin'!J33,'6 - RASA - Mosaic'!J33,'7 - RASA - Rockville'!J33)</f>
        <v>6.67</v>
      </c>
      <c r="K33" s="15">
        <f>IFERROR(J33/J148, "NA")</f>
        <v>0.00005855677307</v>
      </c>
      <c r="L33" s="28">
        <f>SUM('4 - RASA - MVT'!L33,'5 - RASA - National Landin'!L33,'6 - RASA - Mosaic'!L33,'7 - RASA - Rockville'!L33)</f>
        <v>14.34</v>
      </c>
      <c r="M33" s="15">
        <f>IFERROR(L33/L148, "NA")</f>
        <v>0.0001142972556</v>
      </c>
      <c r="N33" s="28">
        <f>SUM('4 - RASA - MVT'!N33,'5 - RASA - National Landin'!N33,'6 - RASA - Mosaic'!N33,'7 - RASA - Rockville'!N33)</f>
        <v>6.67</v>
      </c>
      <c r="O33" s="15">
        <f>IFERROR(N33/N148, "NA")</f>
        <v>0.0000485837615</v>
      </c>
      <c r="P33" s="28">
        <f>SUM('4 - RASA - MVT'!P33,'5 - RASA - National Landin'!P33,'6 - RASA - Mosaic'!P33,'7 - RASA - Rockville'!P33)</f>
        <v>41.67</v>
      </c>
      <c r="Q33" s="15">
        <f>IFERROR(P33/P148, "NA")</f>
        <v>0.0002828017448</v>
      </c>
      <c r="R33" s="28">
        <f>SUM('4 - RASA - MVT'!R33,'5 - RASA - National Landin'!R33,'6 - RASA - Mosaic'!R33,'7 - RASA - Rockville'!R33)</f>
        <v>24.37</v>
      </c>
      <c r="S33" s="15">
        <f>IFERROR(R33/R148, "NA")</f>
        <v>0.0001687244659</v>
      </c>
      <c r="T33" s="28">
        <f>SUM('4 - RASA - MVT'!T33,'5 - RASA - National Landin'!T33,'6 - RASA - Mosaic'!T33,'7 - RASA - Rockville'!T33)</f>
        <v>67.76</v>
      </c>
      <c r="U33" s="15">
        <f>IFERROR(T33/T148, "NA")</f>
        <v>0.0005312747222</v>
      </c>
      <c r="V33" s="28">
        <f>SUM('4 - RASA - MVT'!V33,'5 - RASA - National Landin'!V33,'6 - RASA - Mosaic'!V33,'7 - RASA - Rockville'!V33)</f>
        <v>4.75</v>
      </c>
      <c r="W33" s="15">
        <f>IFERROR(V33/V148, "NA")</f>
        <v>0.00003585588681</v>
      </c>
      <c r="X33" s="28">
        <f>SUM('4 - RASA - MVT'!X33,'5 - RASA - National Landin'!X33,'6 - RASA - Mosaic'!X33,'7 - RASA - Rockville'!X33)</f>
        <v>2.68</v>
      </c>
      <c r="Y33" s="15">
        <f>IFERROR(X33/X148, "NA")</f>
        <v>0.00001873462564</v>
      </c>
      <c r="Z33" s="28">
        <f>SUM('4 - RASA - MVT'!Z33,'5 - RASA - National Landin'!Z33,'6 - RASA - Mosaic'!Z33,'7 - RASA - Rockville'!Z33)</f>
        <v>75.19</v>
      </c>
      <c r="AA33" s="15">
        <f>IFERROR(Z33/Z148, "NA")</f>
        <v>0.0001865443494</v>
      </c>
      <c r="AB33" s="57">
        <f t="shared" si="13"/>
        <v>24.89</v>
      </c>
      <c r="AC33" s="15">
        <f>IFERROR(AB33/AB148, "NA")</f>
        <v>0.0001818433008</v>
      </c>
      <c r="AD33" s="61">
        <f t="shared" si="14"/>
        <v>-22.21</v>
      </c>
      <c r="AE33" s="62">
        <f>IFERROR(AD33/AD148, "NA")</f>
        <v>-0.00359702909</v>
      </c>
      <c r="AF33" s="61">
        <f t="shared" si="15"/>
        <v>-0.8923262354</v>
      </c>
      <c r="AG33" s="57">
        <f t="shared" si="16"/>
        <v>21.11375</v>
      </c>
      <c r="AH33" s="15">
        <f>IFERROR(AG33/AG148, "NA")</f>
        <v>0.0001576375074</v>
      </c>
      <c r="AI33" s="61">
        <f t="shared" si="17"/>
        <v>-18.43375</v>
      </c>
      <c r="AJ33" s="62">
        <f>IFERROR(AI33/AI148, "NA")</f>
        <v>-0.002023016598</v>
      </c>
      <c r="AK33" s="61">
        <f t="shared" si="18"/>
        <v>-0.873068498</v>
      </c>
      <c r="AL33" s="62">
        <f>IFERROR(AK33/AK148, "NA")</f>
        <v>-12.83334551</v>
      </c>
    </row>
    <row r="34" ht="16.5" customHeight="1">
      <c r="A34" s="67" t="s">
        <v>92</v>
      </c>
      <c r="B34" s="70">
        <f>IFERROR(B29+B30+B31+B32+B33, "NA")</f>
        <v>859.66</v>
      </c>
      <c r="C34" s="71">
        <f>IFERROR(B34/B148, "NA")</f>
        <v>0.01163149094</v>
      </c>
      <c r="D34" s="70">
        <f>IFERROR(D29+D30+D31+D32+D33, "NA")</f>
        <v>1116.96</v>
      </c>
      <c r="E34" s="71">
        <f>IFERROR(D34/D148, "NA")</f>
        <v>0.01087933711</v>
      </c>
      <c r="F34" s="70">
        <f>IFERROR(F29+F30+F31+F32+F33, "NA")</f>
        <v>1655.43</v>
      </c>
      <c r="G34" s="71">
        <f>IFERROR(F34/F148, "NA")</f>
        <v>0.01514276559</v>
      </c>
      <c r="H34" s="70">
        <f>IFERROR(H29+H30+H31+H32+H33, "NA")</f>
        <v>1024.56</v>
      </c>
      <c r="I34" s="71">
        <f>IFERROR(H34/H148, "NA")</f>
        <v>0.008372933204</v>
      </c>
      <c r="J34" s="70">
        <f>IFERROR(J29+J30+J31+J32+J33, "NA")</f>
        <v>1174.85</v>
      </c>
      <c r="K34" s="71">
        <f>IFERROR(J34/J148, "NA")</f>
        <v>0.01031415665</v>
      </c>
      <c r="L34" s="70">
        <f>IFERROR(L29+L30+L31+L32+L33, "NA")</f>
        <v>1519.01</v>
      </c>
      <c r="M34" s="71">
        <f>IFERROR(L34/L148, "NA")</f>
        <v>0.01210729946</v>
      </c>
      <c r="N34" s="70">
        <f>IFERROR(N29+N30+N31+N32+N33, "NA")</f>
        <v>1804.68</v>
      </c>
      <c r="O34" s="71">
        <f>IFERROR(N34/N148, "NA")</f>
        <v>0.01314514883</v>
      </c>
      <c r="P34" s="70">
        <f>IFERROR(P29+P30+P31+P32+P33, "NA")</f>
        <v>1675.8</v>
      </c>
      <c r="Q34" s="71">
        <f>IFERROR(P34/P148, "NA")</f>
        <v>0.01137315008</v>
      </c>
      <c r="R34" s="70">
        <f>IFERROR(R29+R30+R31+R32+R33, "NA")</f>
        <v>1713.2</v>
      </c>
      <c r="S34" s="71">
        <f>IFERROR(R34/R148, "NA")</f>
        <v>0.01186125379</v>
      </c>
      <c r="T34" s="70">
        <f>IFERROR(T29+T30+T31+T32+T33, "NA")</f>
        <v>1605.6</v>
      </c>
      <c r="U34" s="71">
        <f>IFERROR(T34/T148, "NA")</f>
        <v>0.01258876467</v>
      </c>
      <c r="V34" s="70">
        <f>IFERROR(V29+V30+V31+V32+V33, "NA")</f>
        <v>1591.16</v>
      </c>
      <c r="W34" s="71">
        <f>IFERROR(V34/V148, "NA")</f>
        <v>0.01201104271</v>
      </c>
      <c r="X34" s="70">
        <f>IFERROR(X29+X30+X31+X32+X33, "NA")</f>
        <v>1942.4</v>
      </c>
      <c r="Y34" s="71">
        <f>IFERROR(X34/X148, "NA")</f>
        <v>0.01357840927</v>
      </c>
      <c r="Z34" s="70">
        <f>IFERROR(Z29+Z30+Z31+Z32+Z33, "NA")</f>
        <v>5139.16</v>
      </c>
      <c r="AA34" s="71">
        <f>IFERROR(Z34/Z148, "NA")</f>
        <v>0.01275011649</v>
      </c>
      <c r="AB34" s="70">
        <f t="shared" si="13"/>
        <v>1713.09</v>
      </c>
      <c r="AC34" s="71">
        <f>IFERROR(AB34/AB148, "NA")</f>
        <v>0.01251562636</v>
      </c>
      <c r="AD34" s="75">
        <f t="shared" si="14"/>
        <v>229.31</v>
      </c>
      <c r="AE34" s="76">
        <f>IFERROR(AD34/AD148, "NA")</f>
        <v>0.03713798923</v>
      </c>
      <c r="AF34" s="75">
        <f t="shared" si="15"/>
        <v>0.1338575323</v>
      </c>
      <c r="AG34" s="70">
        <f t="shared" si="16"/>
        <v>1628.3375</v>
      </c>
      <c r="AH34" s="71">
        <f>IFERROR(AG34/AG148, "NA")</f>
        <v>0.01215734129</v>
      </c>
      <c r="AI34" s="75">
        <f t="shared" si="17"/>
        <v>314.0625</v>
      </c>
      <c r="AJ34" s="76">
        <f>IFERROR(AI34/AI148, "NA")</f>
        <v>0.03446686921</v>
      </c>
      <c r="AK34" s="75">
        <f t="shared" si="18"/>
        <v>0.1928730991</v>
      </c>
      <c r="AL34" s="76">
        <f>IFERROR(AK34/AK148, "NA")</f>
        <v>2.835066351</v>
      </c>
    </row>
    <row r="35" ht="16.5" customHeight="1">
      <c r="A35" s="67" t="s">
        <v>93</v>
      </c>
      <c r="B35" s="70">
        <f>IFERROR(B13+B15+B16+B17+B18+B19+B20+B21+B22+B23+B24+B25+B26+B29+B30+B31+B32+B33, "NA")</f>
        <v>18285.13</v>
      </c>
      <c r="C35" s="71">
        <f>IFERROR(B35/B148, "NA")</f>
        <v>0.2474040016</v>
      </c>
      <c r="D35" s="70">
        <f>IFERROR(D13+D15+D16+D17+D18+D19+D20+D21+D22+D23+D24+D25+D26+D29+D30+D31+D32+D33, "NA")</f>
        <v>24146.79</v>
      </c>
      <c r="E35" s="71">
        <f>IFERROR(D35/D148, "NA")</f>
        <v>0.2351929062</v>
      </c>
      <c r="F35" s="70">
        <f>IFERROR(F13+F15+F16+F17+F18+F19+F20+F21+F22+F23+F24+F25+F26+F29+F30+F31+F32+F33, "NA")</f>
        <v>25117.62</v>
      </c>
      <c r="G35" s="71">
        <f>IFERROR(F35/F148, "NA")</f>
        <v>0.2297591755</v>
      </c>
      <c r="H35" s="70">
        <f>IFERROR(H13+H15+H16+H17+H18+H19+H20+H21+H22+H23+H24+H25+H26+H29+H30+H31+H32+H33, "NA")</f>
        <v>27920</v>
      </c>
      <c r="I35" s="71">
        <f>IFERROR(H35/H148, "NA")</f>
        <v>0.2281684773</v>
      </c>
      <c r="J35" s="70">
        <f>IFERROR(J13+J15+J16+J17+J18+J19+J20+J21+J22+J23+J24+J25+J26+J29+J30+J31+J32+J33, "NA")</f>
        <v>27046.56</v>
      </c>
      <c r="K35" s="71">
        <f>IFERROR(J35/J148, "NA")</f>
        <v>0.2374451689</v>
      </c>
      <c r="L35" s="70">
        <f>IFERROR(L13+L15+L16+L17+L18+L19+L20+L21+L22+L23+L24+L25+L26+L29+L30+L31+L32+L33, "NA")</f>
        <v>28821.54</v>
      </c>
      <c r="M35" s="71">
        <f>IFERROR(L35/L148, "NA")</f>
        <v>0.2297226586</v>
      </c>
      <c r="N35" s="70">
        <f>IFERROR(N13+N15+N16+N17+N18+N19+N20+N21+N22+N23+N24+N25+N26+N29+N30+N31+N32+N33, "NA")</f>
        <v>32172.44</v>
      </c>
      <c r="O35" s="71">
        <f>IFERROR(N35/N148, "NA")</f>
        <v>0.234341552</v>
      </c>
      <c r="P35" s="70">
        <f>IFERROR(P13+P15+P16+P17+P18+P19+P20+P21+P22+P23+P24+P25+P26+P29+P30+P31+P32+P33, "NA")</f>
        <v>33879.09</v>
      </c>
      <c r="Q35" s="71">
        <f>IFERROR(P35/P148, "NA")</f>
        <v>0.2299271841</v>
      </c>
      <c r="R35" s="70">
        <f>IFERROR(R13+R15+R16+R17+R18+R19+R20+R21+R22+R23+R24+R25+R26+R29+R30+R31+R32+R33, "NA")</f>
        <v>33322.58</v>
      </c>
      <c r="S35" s="71">
        <f>IFERROR(R35/R148, "NA")</f>
        <v>0.230707202</v>
      </c>
      <c r="T35" s="70">
        <f>IFERROR(T13+T15+T16+T17+T18+T19+T20+T21+T22+T23+T24+T25+T26+T29+T30+T31+T32+T33, "NA")</f>
        <v>30106.66</v>
      </c>
      <c r="U35" s="71">
        <f>IFERROR(T35/T148, "NA")</f>
        <v>0.2360523528</v>
      </c>
      <c r="V35" s="70">
        <f>IFERROR(V13+V15+V16+V17+V18+V19+V20+V21+V22+V23+V24+V25+V26+V29+V30+V31+V32+V33, "NA")</f>
        <v>32353.55</v>
      </c>
      <c r="W35" s="71">
        <f>IFERROR(V35/V148, "NA")</f>
        <v>0.2442242583</v>
      </c>
      <c r="X35" s="70">
        <f>IFERROR(X13+X15+X16+X17+X18+X19+X20+X21+X22+X23+X24+X25+X26+X29+X30+X31+X32+X33, "NA")</f>
        <v>33076.18</v>
      </c>
      <c r="Y35" s="71">
        <f>IFERROR(X35/X148, "NA")</f>
        <v>0.2312200932</v>
      </c>
      <c r="Z35" s="70">
        <f>IFERROR(Z13+Z15+Z16+Z17+Z18+Z19+Z20+Z21+Z22+Z23+Z24+Z25+Z26+Z29+Z30+Z31+Z32+Z33, "NA")</f>
        <v>95536.39</v>
      </c>
      <c r="AA35" s="71">
        <f>IFERROR(Z35/Z148, "NA")</f>
        <v>0.2370231908</v>
      </c>
      <c r="AB35" s="70">
        <f t="shared" si="13"/>
        <v>32214.7425</v>
      </c>
      <c r="AC35" s="71">
        <f>IFERROR(AB35/AB148, "NA")</f>
        <v>0.2353569751</v>
      </c>
      <c r="AD35" s="75">
        <f t="shared" si="14"/>
        <v>861.4375</v>
      </c>
      <c r="AE35" s="76">
        <f>IFERROR(AD35/AD148, "NA")</f>
        <v>0.1395144416</v>
      </c>
      <c r="AF35" s="75">
        <f t="shared" si="15"/>
        <v>0.02674047449</v>
      </c>
      <c r="AG35" s="70">
        <f t="shared" si="16"/>
        <v>31347.325</v>
      </c>
      <c r="AH35" s="71">
        <f>IFERROR(AG35/AG148, "NA")</f>
        <v>0.2340424688</v>
      </c>
      <c r="AI35" s="75">
        <f t="shared" si="17"/>
        <v>1728.855</v>
      </c>
      <c r="AJ35" s="76">
        <f>IFERROR(AI35/AI148, "NA")</f>
        <v>0.1897336332</v>
      </c>
      <c r="AK35" s="75">
        <f t="shared" si="18"/>
        <v>0.05515159587</v>
      </c>
      <c r="AL35" s="76">
        <f>IFERROR(AK35/AK148, "NA")</f>
        <v>0.8106803613</v>
      </c>
    </row>
    <row r="36" ht="16.5" customHeight="1">
      <c r="A36" s="22" t="s">
        <v>94</v>
      </c>
      <c r="B36" s="23"/>
      <c r="C36" s="10"/>
      <c r="D36" s="23"/>
      <c r="E36" s="10"/>
      <c r="F36" s="23"/>
      <c r="G36" s="10"/>
      <c r="H36" s="23"/>
      <c r="I36" s="10"/>
      <c r="J36" s="23"/>
      <c r="K36" s="10"/>
      <c r="L36" s="23"/>
      <c r="M36" s="10"/>
      <c r="N36" s="23"/>
      <c r="O36" s="10"/>
      <c r="P36" s="23"/>
      <c r="Q36" s="10"/>
      <c r="R36" s="23"/>
      <c r="S36" s="10"/>
      <c r="T36" s="23"/>
      <c r="U36" s="10"/>
      <c r="V36" s="23"/>
      <c r="W36" s="10"/>
      <c r="X36" s="23"/>
      <c r="Y36" s="10"/>
      <c r="Z36" s="23"/>
      <c r="AA36" s="10"/>
      <c r="AB36" s="23"/>
      <c r="AC36" s="10"/>
      <c r="AD36" s="24"/>
      <c r="AE36" s="25"/>
      <c r="AF36" s="24"/>
      <c r="AG36" s="23"/>
      <c r="AH36" s="10"/>
      <c r="AI36" s="24"/>
      <c r="AJ36" s="25"/>
      <c r="AK36" s="24"/>
      <c r="AL36" s="25"/>
    </row>
    <row r="37" ht="16.5" hidden="1" customHeight="1">
      <c r="A37" s="26" t="s">
        <v>95</v>
      </c>
      <c r="B37" s="28">
        <f>SUM('4 - RASA - MVT'!B37,'5 - RASA - National Landin'!B37,'6 - RASA - Mosaic'!B37,'7 - RASA - Rockville'!B37)</f>
        <v>0</v>
      </c>
      <c r="C37" s="15">
        <f>IFERROR(B37/B148, "NA")</f>
        <v>0</v>
      </c>
      <c r="D37" s="28">
        <f>SUM('4 - RASA - MVT'!D37,'5 - RASA - National Landin'!D37,'6 - RASA - Mosaic'!D37,'7 - RASA - Rockville'!D37)</f>
        <v>0</v>
      </c>
      <c r="E37" s="15">
        <f>IFERROR(D37/D148, "NA")</f>
        <v>0</v>
      </c>
      <c r="F37" s="28">
        <f>SUM('4 - RASA - MVT'!F37,'5 - RASA - National Landin'!F37,'6 - RASA - Mosaic'!F37,'7 - RASA - Rockville'!F37)</f>
        <v>0</v>
      </c>
      <c r="G37" s="15">
        <f>IFERROR(F37/F148, "NA")</f>
        <v>0</v>
      </c>
      <c r="H37" s="28">
        <f>SUM('4 - RASA - MVT'!H37,'5 - RASA - National Landin'!H37,'6 - RASA - Mosaic'!H37,'7 - RASA - Rockville'!H37)</f>
        <v>0</v>
      </c>
      <c r="I37" s="15">
        <f>IFERROR(H37/H148, "NA")</f>
        <v>0</v>
      </c>
      <c r="J37" s="28">
        <f>SUM('4 - RASA - MVT'!J37,'5 - RASA - National Landin'!J37,'6 - RASA - Mosaic'!J37,'7 - RASA - Rockville'!J37)</f>
        <v>0</v>
      </c>
      <c r="K37" s="15">
        <f>IFERROR(J37/J148, "NA")</f>
        <v>0</v>
      </c>
      <c r="L37" s="28">
        <f>SUM('4 - RASA - MVT'!L37,'5 - RASA - National Landin'!L37,'6 - RASA - Mosaic'!L37,'7 - RASA - Rockville'!L37)</f>
        <v>0</v>
      </c>
      <c r="M37" s="15">
        <f>IFERROR(L37/L148, "NA")</f>
        <v>0</v>
      </c>
      <c r="N37" s="28">
        <f>SUM('4 - RASA - MVT'!N37,'5 - RASA - National Landin'!N37,'6 - RASA - Mosaic'!N37,'7 - RASA - Rockville'!N37)</f>
        <v>0</v>
      </c>
      <c r="O37" s="15">
        <f>IFERROR(N37/N148, "NA")</f>
        <v>0</v>
      </c>
      <c r="P37" s="28">
        <f>SUM('4 - RASA - MVT'!P37,'5 - RASA - National Landin'!P37,'6 - RASA - Mosaic'!P37,'7 - RASA - Rockville'!P37)</f>
        <v>0</v>
      </c>
      <c r="Q37" s="15">
        <f>IFERROR(P37/P148, "NA")</f>
        <v>0</v>
      </c>
      <c r="R37" s="28">
        <f>SUM('4 - RASA - MVT'!R37,'5 - RASA - National Landin'!R37,'6 - RASA - Mosaic'!R37,'7 - RASA - Rockville'!R37)</f>
        <v>0</v>
      </c>
      <c r="S37" s="15">
        <f>IFERROR(R37/R148, "NA")</f>
        <v>0</v>
      </c>
      <c r="T37" s="28">
        <f>SUM('4 - RASA - MVT'!T37,'5 - RASA - National Landin'!T37,'6 - RASA - Mosaic'!T37,'7 - RASA - Rockville'!T37)</f>
        <v>0</v>
      </c>
      <c r="U37" s="15">
        <f>IFERROR(T37/T148, "NA")</f>
        <v>0</v>
      </c>
      <c r="V37" s="28">
        <f>SUM('4 - RASA - MVT'!V37,'5 - RASA - National Landin'!V37,'6 - RASA - Mosaic'!V37,'7 - RASA - Rockville'!V37)</f>
        <v>0</v>
      </c>
      <c r="W37" s="15">
        <f>IFERROR(V37/V148, "NA")</f>
        <v>0</v>
      </c>
      <c r="X37" s="28">
        <f>SUM('4 - RASA - MVT'!X37,'5 - RASA - National Landin'!X37,'6 - RASA - Mosaic'!X37,'7 - RASA - Rockville'!X37)</f>
        <v>0</v>
      </c>
      <c r="Y37" s="15">
        <f>IFERROR(X37/X148, "NA")</f>
        <v>0</v>
      </c>
      <c r="Z37" s="28">
        <f>SUM('4 - RASA - MVT'!Z37,'5 - RASA - National Landin'!Z37,'6 - RASA - Mosaic'!Z37,'7 - RASA - Rockville'!Z37)</f>
        <v>0</v>
      </c>
      <c r="AA37" s="15">
        <f>IFERROR(Z37/Z148, "NA")</f>
        <v>0</v>
      </c>
      <c r="AB37" s="57">
        <f>IFERROR((R37+T37+V37+X37)/4, "NA")</f>
        <v>0</v>
      </c>
      <c r="AC37" s="15">
        <f>IFERROR(AB37/AB148, "NA")</f>
        <v>0</v>
      </c>
      <c r="AD37" s="61">
        <f>IFERROR(X37-AB37, "NA")</f>
        <v>0</v>
      </c>
      <c r="AE37" s="62">
        <f>IFERROR(AD37/AD148, "NA")</f>
        <v>0</v>
      </c>
      <c r="AF37" s="61" t="str">
        <f>IFERROR((X37-AB37)/AB37, "NA")</f>
        <v>NA</v>
      </c>
      <c r="AG37" s="57">
        <f>IFERROR((J37+L37+N37+P37+R37+T37+V37+X37)/8, "NA")</f>
        <v>0</v>
      </c>
      <c r="AH37" s="15">
        <f>IFERROR(AG37/AG148, "NA")</f>
        <v>0</v>
      </c>
      <c r="AI37" s="61">
        <f>IFERROR(X37-AG37, "NA")</f>
        <v>0</v>
      </c>
      <c r="AJ37" s="62">
        <f>IFERROR(AI37/AI148, "NA")</f>
        <v>0</v>
      </c>
      <c r="AK37" s="61" t="str">
        <f>IFERROR((X37-AG37)/AG37, "NA")</f>
        <v>NA</v>
      </c>
      <c r="AL37" s="62" t="str">
        <f>IFERROR(AK37/AK148, "NA")</f>
        <v>NA</v>
      </c>
    </row>
    <row r="38" ht="16.5" customHeight="1">
      <c r="A38" s="22" t="s">
        <v>96</v>
      </c>
      <c r="B38" s="23"/>
      <c r="C38" s="10"/>
      <c r="D38" s="23"/>
      <c r="E38" s="10"/>
      <c r="F38" s="23"/>
      <c r="G38" s="10"/>
      <c r="H38" s="23"/>
      <c r="I38" s="10"/>
      <c r="J38" s="23"/>
      <c r="K38" s="10"/>
      <c r="L38" s="23"/>
      <c r="M38" s="10"/>
      <c r="N38" s="23"/>
      <c r="O38" s="10"/>
      <c r="P38" s="23"/>
      <c r="Q38" s="10"/>
      <c r="R38" s="23"/>
      <c r="S38" s="10"/>
      <c r="T38" s="23"/>
      <c r="U38" s="10"/>
      <c r="V38" s="23"/>
      <c r="W38" s="10"/>
      <c r="X38" s="23"/>
      <c r="Y38" s="10"/>
      <c r="Z38" s="23"/>
      <c r="AA38" s="10"/>
      <c r="AB38" s="23"/>
      <c r="AC38" s="10"/>
      <c r="AD38" s="24"/>
      <c r="AE38" s="25"/>
      <c r="AF38" s="24"/>
      <c r="AG38" s="23"/>
      <c r="AH38" s="10"/>
      <c r="AI38" s="24"/>
      <c r="AJ38" s="25"/>
      <c r="AK38" s="24"/>
      <c r="AL38" s="25"/>
    </row>
    <row r="39" ht="16.5" hidden="1" customHeight="1">
      <c r="A39" s="26" t="s">
        <v>97</v>
      </c>
      <c r="B39" s="28">
        <f>SUM('4 - RASA - MVT'!B39,'5 - RASA - National Landin'!B39,'6 - RASA - Mosaic'!B39,'7 - RASA - Rockville'!B39)</f>
        <v>0</v>
      </c>
      <c r="C39" s="15">
        <f>IFERROR(B39/B148, "NA")</f>
        <v>0</v>
      </c>
      <c r="D39" s="28">
        <f>SUM('4 - RASA - MVT'!D39,'5 - RASA - National Landin'!D39,'6 - RASA - Mosaic'!D39,'7 - RASA - Rockville'!D39)</f>
        <v>0</v>
      </c>
      <c r="E39" s="15">
        <f>IFERROR(D39/D148, "NA")</f>
        <v>0</v>
      </c>
      <c r="F39" s="28">
        <f>SUM('4 - RASA - MVT'!F39,'5 - RASA - National Landin'!F39,'6 - RASA - Mosaic'!F39,'7 - RASA - Rockville'!F39)</f>
        <v>0</v>
      </c>
      <c r="G39" s="15">
        <f>IFERROR(F39/F148, "NA")</f>
        <v>0</v>
      </c>
      <c r="H39" s="28">
        <f>SUM('4 - RASA - MVT'!H39,'5 - RASA - National Landin'!H39,'6 - RASA - Mosaic'!H39,'7 - RASA - Rockville'!H39)</f>
        <v>0</v>
      </c>
      <c r="I39" s="15">
        <f>IFERROR(H39/H148, "NA")</f>
        <v>0</v>
      </c>
      <c r="J39" s="28">
        <f>SUM('4 - RASA - MVT'!J39,'5 - RASA - National Landin'!J39,'6 - RASA - Mosaic'!J39,'7 - RASA - Rockville'!J39)</f>
        <v>0</v>
      </c>
      <c r="K39" s="15">
        <f>IFERROR(J39/J148, "NA")</f>
        <v>0</v>
      </c>
      <c r="L39" s="28">
        <f>SUM('4 - RASA - MVT'!L39,'5 - RASA - National Landin'!L39,'6 - RASA - Mosaic'!L39,'7 - RASA - Rockville'!L39)</f>
        <v>0</v>
      </c>
      <c r="M39" s="15">
        <f>IFERROR(L39/L148, "NA")</f>
        <v>0</v>
      </c>
      <c r="N39" s="28">
        <f>SUM('4 - RASA - MVT'!N39,'5 - RASA - National Landin'!N39,'6 - RASA - Mosaic'!N39,'7 - RASA - Rockville'!N39)</f>
        <v>0</v>
      </c>
      <c r="O39" s="15">
        <f>IFERROR(N39/N148, "NA")</f>
        <v>0</v>
      </c>
      <c r="P39" s="28">
        <f>SUM('4 - RASA - MVT'!P39,'5 - RASA - National Landin'!P39,'6 - RASA - Mosaic'!P39,'7 - RASA - Rockville'!P39)</f>
        <v>0</v>
      </c>
      <c r="Q39" s="15">
        <f>IFERROR(P39/P148, "NA")</f>
        <v>0</v>
      </c>
      <c r="R39" s="28">
        <f>SUM('4 - RASA - MVT'!R39,'5 - RASA - National Landin'!R39,'6 - RASA - Mosaic'!R39,'7 - RASA - Rockville'!R39)</f>
        <v>0</v>
      </c>
      <c r="S39" s="15">
        <f>IFERROR(R39/R148, "NA")</f>
        <v>0</v>
      </c>
      <c r="T39" s="28">
        <f>SUM('4 - RASA - MVT'!T39,'5 - RASA - National Landin'!T39,'6 - RASA - Mosaic'!T39,'7 - RASA - Rockville'!T39)</f>
        <v>0</v>
      </c>
      <c r="U39" s="15">
        <f>IFERROR(T39/T148, "NA")</f>
        <v>0</v>
      </c>
      <c r="V39" s="28">
        <f>SUM('4 - RASA - MVT'!V39,'5 - RASA - National Landin'!V39,'6 - RASA - Mosaic'!V39,'7 - RASA - Rockville'!V39)</f>
        <v>0</v>
      </c>
      <c r="W39" s="15">
        <f>IFERROR(V39/V148, "NA")</f>
        <v>0</v>
      </c>
      <c r="X39" s="28">
        <f>SUM('4 - RASA - MVT'!X39,'5 - RASA - National Landin'!X39,'6 - RASA - Mosaic'!X39,'7 - RASA - Rockville'!X39)</f>
        <v>0</v>
      </c>
      <c r="Y39" s="15">
        <f>IFERROR(X39/X148, "NA")</f>
        <v>0</v>
      </c>
      <c r="Z39" s="28">
        <f>SUM('4 - RASA - MVT'!Z39,'5 - RASA - National Landin'!Z39,'6 - RASA - Mosaic'!Z39,'7 - RASA - Rockville'!Z39)</f>
        <v>0</v>
      </c>
      <c r="AA39" s="15">
        <f>IFERROR(Z39/Z148, "NA")</f>
        <v>0</v>
      </c>
      <c r="AB39" s="57">
        <f t="shared" ref="AB39:AB44" si="19">IFERROR((R39+T39+V39+X39)/4, "NA")</f>
        <v>0</v>
      </c>
      <c r="AC39" s="15">
        <f>IFERROR(AB39/AB148, "NA")</f>
        <v>0</v>
      </c>
      <c r="AD39" s="61">
        <f t="shared" ref="AD39:AD44" si="20">IFERROR(X39-AB39, "NA")</f>
        <v>0</v>
      </c>
      <c r="AE39" s="62">
        <f>IFERROR(AD39/AD148, "NA")</f>
        <v>0</v>
      </c>
      <c r="AF39" s="61" t="str">
        <f t="shared" ref="AF39:AF44" si="21">IFERROR((X39-AB39)/AB39, "NA")</f>
        <v>NA</v>
      </c>
      <c r="AG39" s="57">
        <f t="shared" ref="AG39:AG44" si="22">IFERROR((J39+L39+N39+P39+R39+T39+V39+X39)/8, "NA")</f>
        <v>0</v>
      </c>
      <c r="AH39" s="15">
        <f>IFERROR(AG39/AG148, "NA")</f>
        <v>0</v>
      </c>
      <c r="AI39" s="61">
        <f t="shared" ref="AI39:AI44" si="23">IFERROR(X39-AG39, "NA")</f>
        <v>0</v>
      </c>
      <c r="AJ39" s="62">
        <f>IFERROR(AI39/AI148, "NA")</f>
        <v>0</v>
      </c>
      <c r="AK39" s="61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6" t="s">
        <v>100</v>
      </c>
      <c r="B40" s="28">
        <f>SUM('4 - RASA - MVT'!B40,'5 - RASA - National Landin'!B40,'6 - RASA - Mosaic'!B40,'7 - RASA - Rockville'!B40)</f>
        <v>1699.1</v>
      </c>
      <c r="C40" s="15">
        <f>IFERROR(B40/B148, "NA")</f>
        <v>0.02298939844</v>
      </c>
      <c r="D40" s="28">
        <f>SUM('4 - RASA - MVT'!D40,'5 - RASA - National Landin'!D40,'6 - RASA - Mosaic'!D40,'7 - RASA - Rockville'!D40)</f>
        <v>2763.25</v>
      </c>
      <c r="E40" s="15">
        <f>IFERROR(D40/D148, "NA")</f>
        <v>0.02691441795</v>
      </c>
      <c r="F40" s="28">
        <f>SUM('4 - RASA - MVT'!F40,'5 - RASA - National Landin'!F40,'6 - RASA - Mosaic'!F40,'7 - RASA - Rockville'!F40)</f>
        <v>3429.38</v>
      </c>
      <c r="G40" s="15">
        <f>IFERROR(F40/F148, "NA")</f>
        <v>0.03136967281</v>
      </c>
      <c r="H40" s="28">
        <f>SUM('4 - RASA - MVT'!H40,'5 - RASA - National Landin'!H40,'6 - RASA - Mosaic'!H40,'7 - RASA - Rockville'!H40)</f>
        <v>3667.72</v>
      </c>
      <c r="I40" s="15">
        <f>IFERROR(H40/H148, "NA")</f>
        <v>0.0299734272</v>
      </c>
      <c r="J40" s="28">
        <f>SUM('4 - RASA - MVT'!J40,'5 - RASA - National Landin'!J40,'6 - RASA - Mosaic'!J40,'7 - RASA - Rockville'!J40)</f>
        <v>2875.8</v>
      </c>
      <c r="K40" s="15">
        <f>IFERROR(J40/J148, "NA")</f>
        <v>0.0252470117</v>
      </c>
      <c r="L40" s="28">
        <f>SUM('4 - RASA - MVT'!L40,'5 - RASA - National Landin'!L40,'6 - RASA - Mosaic'!L40,'7 - RASA - Rockville'!L40)</f>
        <v>3643.56</v>
      </c>
      <c r="M40" s="15">
        <f>IFERROR(L40/L148, "NA")</f>
        <v>0.02904106755</v>
      </c>
      <c r="N40" s="28">
        <f>SUM('4 - RASA - MVT'!N40,'5 - RASA - National Landin'!N40,'6 - RASA - Mosaic'!N40,'7 - RASA - Rockville'!N40)</f>
        <v>3745.08</v>
      </c>
      <c r="O40" s="15">
        <f>IFERROR(N40/N148, "NA")</f>
        <v>0.02727887159</v>
      </c>
      <c r="P40" s="28">
        <f>SUM('4 - RASA - MVT'!P40,'5 - RASA - National Landin'!P40,'6 - RASA - Mosaic'!P40,'7 - RASA - Rockville'!P40)</f>
        <v>3988.51</v>
      </c>
      <c r="Q40" s="15">
        <f>IFERROR(P40/P148, "NA")</f>
        <v>0.02706881658</v>
      </c>
      <c r="R40" s="28">
        <f>SUM('4 - RASA - MVT'!R40,'5 - RASA - National Landin'!R40,'6 - RASA - Mosaic'!R40,'7 - RASA - Rockville'!R40)</f>
        <v>3803.4</v>
      </c>
      <c r="S40" s="15">
        <f>IFERROR(R40/R148, "NA")</f>
        <v>0.02633264807</v>
      </c>
      <c r="T40" s="28">
        <f>SUM('4 - RASA - MVT'!T40,'5 - RASA - National Landin'!T40,'6 - RASA - Mosaic'!T40,'7 - RASA - Rockville'!T40)</f>
        <v>4090.56</v>
      </c>
      <c r="U40" s="15">
        <f>IFERROR(T40/T148, "NA")</f>
        <v>0.03207218311</v>
      </c>
      <c r="V40" s="28">
        <f>SUM('4 - RASA - MVT'!V40,'5 - RASA - National Landin'!V40,'6 - RASA - Mosaic'!V40,'7 - RASA - Rockville'!V40)</f>
        <v>3509.81</v>
      </c>
      <c r="W40" s="15">
        <f>IFERROR(V40/V148, "NA")</f>
        <v>0.02649417897</v>
      </c>
      <c r="X40" s="28">
        <f>SUM('4 - RASA - MVT'!X40,'5 - RASA - National Landin'!X40,'6 - RASA - Mosaic'!X40,'7 - RASA - Rockville'!X40)</f>
        <v>3345.95</v>
      </c>
      <c r="Y40" s="15">
        <f>IFERROR(X40/X148, "NA")</f>
        <v>0.02338997039</v>
      </c>
      <c r="Z40" s="28">
        <f>SUM('4 - RASA - MVT'!Z40,'5 - RASA - National Landin'!Z40,'6 - RASA - Mosaic'!Z40,'7 - RASA - Rockville'!Z40)</f>
        <v>10946.32</v>
      </c>
      <c r="AA40" s="15">
        <f>IFERROR(Z40/Z148, "NA")</f>
        <v>0.02715752285</v>
      </c>
      <c r="AB40" s="57">
        <f t="shared" si="19"/>
        <v>3687.43</v>
      </c>
      <c r="AC40" s="15">
        <f>IFERROR(AB40/AB148, "NA")</f>
        <v>0.02693991332</v>
      </c>
      <c r="AD40" s="61">
        <f t="shared" si="20"/>
        <v>-341.48</v>
      </c>
      <c r="AE40" s="62">
        <f>IFERROR(AD40/AD148, "NA")</f>
        <v>-0.05530452471</v>
      </c>
      <c r="AF40" s="61">
        <f t="shared" si="21"/>
        <v>-0.09260650372</v>
      </c>
      <c r="AG40" s="57">
        <f t="shared" si="22"/>
        <v>3625.33375</v>
      </c>
      <c r="AH40" s="15">
        <f>IFERROR(AG40/AG148, "NA")</f>
        <v>0.02706712809</v>
      </c>
      <c r="AI40" s="61">
        <f t="shared" si="23"/>
        <v>-279.38375</v>
      </c>
      <c r="AJ40" s="62">
        <f>IFERROR(AI40/AI148, "NA")</f>
        <v>-0.03066104094</v>
      </c>
      <c r="AK40" s="61">
        <f t="shared" si="24"/>
        <v>-0.07706428408</v>
      </c>
      <c r="AL40" s="62">
        <f>IFERROR(AK40/AK148, "NA")</f>
        <v>-1.132777768</v>
      </c>
    </row>
    <row r="41" ht="16.5" customHeight="1">
      <c r="A41" s="26" t="s">
        <v>101</v>
      </c>
      <c r="B41" s="28">
        <f>SUM('4 - RASA - MVT'!B41,'5 - RASA - National Landin'!B41,'6 - RASA - Mosaic'!B41,'7 - RASA - Rockville'!B41)</f>
        <v>1009.23</v>
      </c>
      <c r="C41" s="15">
        <f>IFERROR(B41/B148, "NA")</f>
        <v>0.0136552237</v>
      </c>
      <c r="D41" s="28">
        <f>SUM('4 - RASA - MVT'!D41,'5 - RASA - National Landin'!D41,'6 - RASA - Mosaic'!D41,'7 - RASA - Rockville'!D41)</f>
        <v>2143.32</v>
      </c>
      <c r="E41" s="15">
        <f>IFERROR(D41/D148, "NA")</f>
        <v>0.02087621832</v>
      </c>
      <c r="F41" s="28">
        <f>SUM('4 - RASA - MVT'!F41,'5 - RASA - National Landin'!F41,'6 - RASA - Mosaic'!F41,'7 - RASA - Rockville'!F41)</f>
        <v>1323.02</v>
      </c>
      <c r="G41" s="15">
        <f>IFERROR(F41/F148, "NA")</f>
        <v>0.01210210141</v>
      </c>
      <c r="H41" s="28">
        <f>SUM('4 - RASA - MVT'!H41,'5 - RASA - National Landin'!H41,'6 - RASA - Mosaic'!H41,'7 - RASA - Rockville'!H41)</f>
        <v>1665.96</v>
      </c>
      <c r="I41" s="15">
        <f>IFERROR(H41/H148, "NA")</f>
        <v>0.01361459729</v>
      </c>
      <c r="J41" s="28">
        <f>SUM('4 - RASA - MVT'!J41,'5 - RASA - National Landin'!J41,'6 - RASA - Mosaic'!J41,'7 - RASA - Rockville'!J41)</f>
        <v>1463.61</v>
      </c>
      <c r="K41" s="15">
        <f>IFERROR(J41/J148, "NA")</f>
        <v>0.01284921719</v>
      </c>
      <c r="L41" s="28">
        <f>SUM('4 - RASA - MVT'!L41,'5 - RASA - National Landin'!L41,'6 - RASA - Mosaic'!L41,'7 - RASA - Rockville'!L41)</f>
        <v>1487.83</v>
      </c>
      <c r="M41" s="15">
        <f>IFERROR(L41/L148, "NA")</f>
        <v>0.01185877865</v>
      </c>
      <c r="N41" s="28">
        <f>SUM('4 - RASA - MVT'!N41,'5 - RASA - National Landin'!N41,'6 - RASA - Mosaic'!N41,'7 - RASA - Rockville'!N41)</f>
        <v>1857.2</v>
      </c>
      <c r="O41" s="15">
        <f>IFERROR(N41/N148, "NA")</f>
        <v>0.01352770043</v>
      </c>
      <c r="P41" s="28">
        <f>SUM('4 - RASA - MVT'!P41,'5 - RASA - National Landin'!P41,'6 - RASA - Mosaic'!P41,'7 - RASA - Rockville'!P41)</f>
        <v>1692.11</v>
      </c>
      <c r="Q41" s="15">
        <f>IFERROR(P41/P148, "NA")</f>
        <v>0.01148384114</v>
      </c>
      <c r="R41" s="28">
        <f>SUM('4 - RASA - MVT'!R41,'5 - RASA - National Landin'!R41,'6 - RASA - Mosaic'!R41,'7 - RASA - Rockville'!R41)</f>
        <v>1665.38</v>
      </c>
      <c r="S41" s="15">
        <f>IFERROR(R41/R148, "NA")</f>
        <v>0.01153017444</v>
      </c>
      <c r="T41" s="28">
        <f>SUM('4 - RASA - MVT'!T41,'5 - RASA - National Landin'!T41,'6 - RASA - Mosaic'!T41,'7 - RASA - Rockville'!T41)</f>
        <v>1305.69</v>
      </c>
      <c r="U41" s="15">
        <f>IFERROR(T41/T148, "NA")</f>
        <v>0.0102373095</v>
      </c>
      <c r="V41" s="28">
        <f>SUM('4 - RASA - MVT'!V41,'5 - RASA - National Landin'!V41,'6 - RASA - Mosaic'!V41,'7 - RASA - Rockville'!V41)</f>
        <v>1432.7</v>
      </c>
      <c r="W41" s="15">
        <f>IFERROR(V41/V148, "NA")</f>
        <v>0.01081489032</v>
      </c>
      <c r="X41" s="28">
        <f>SUM('4 - RASA - MVT'!X41,'5 - RASA - National Landin'!X41,'6 - RASA - Mosaic'!X41,'7 - RASA - Rockville'!X41)</f>
        <v>1966.69</v>
      </c>
      <c r="Y41" s="15">
        <f>IFERROR(X41/X148, "NA")</f>
        <v>0.01374820929</v>
      </c>
      <c r="Z41" s="28">
        <f>SUM('4 - RASA - MVT'!Z41,'5 - RASA - National Landin'!Z41,'6 - RASA - Mosaic'!Z41,'7 - RASA - Rockville'!Z41)</f>
        <v>4705.08</v>
      </c>
      <c r="AA41" s="15">
        <f>IFERROR(Z41/Z148, "NA")</f>
        <v>0.01167317579</v>
      </c>
      <c r="AB41" s="57">
        <f t="shared" si="19"/>
        <v>1592.615</v>
      </c>
      <c r="AC41" s="15">
        <f>IFERROR(AB41/AB148, "NA")</f>
        <v>0.01163545072</v>
      </c>
      <c r="AD41" s="61">
        <f t="shared" si="20"/>
        <v>374.075</v>
      </c>
      <c r="AE41" s="62">
        <f>IFERROR(AD41/AD148, "NA")</f>
        <v>0.06058346047</v>
      </c>
      <c r="AF41" s="61">
        <f t="shared" si="21"/>
        <v>0.2348809976</v>
      </c>
      <c r="AG41" s="57">
        <f t="shared" si="22"/>
        <v>1608.90125</v>
      </c>
      <c r="AH41" s="15">
        <f>IFERROR(AG41/AG148, "NA")</f>
        <v>0.01201222818</v>
      </c>
      <c r="AI41" s="61">
        <f t="shared" si="23"/>
        <v>357.78875</v>
      </c>
      <c r="AJ41" s="62">
        <f>IFERROR(AI41/AI148, "NA")</f>
        <v>0.03926561768</v>
      </c>
      <c r="AK41" s="61">
        <f t="shared" si="24"/>
        <v>0.2223808018</v>
      </c>
      <c r="AL41" s="62">
        <f>IFERROR(AK41/AK148, "NA")</f>
        <v>3.268803847</v>
      </c>
    </row>
    <row r="42" ht="16.5" customHeight="1">
      <c r="A42" s="26" t="s">
        <v>102</v>
      </c>
      <c r="B42" s="28">
        <f>SUM('4 - RASA - MVT'!B42,'5 - RASA - National Landin'!B42,'6 - RASA - Mosaic'!B42,'7 - RASA - Rockville'!B42)</f>
        <v>28.19</v>
      </c>
      <c r="C42" s="15">
        <f>IFERROR(B42/B148, "NA")</f>
        <v>0.0003814202472</v>
      </c>
      <c r="D42" s="28">
        <f>SUM('4 - RASA - MVT'!D42,'5 - RASA - National Landin'!D42,'6 - RASA - Mosaic'!D42,'7 - RASA - Rockville'!D42)</f>
        <v>0</v>
      </c>
      <c r="E42" s="15">
        <f>IFERROR(D42/D148, "NA")</f>
        <v>0</v>
      </c>
      <c r="F42" s="28">
        <f>SUM('4 - RASA - MVT'!F42,'5 - RASA - National Landin'!F42,'6 - RASA - Mosaic'!F42,'7 - RASA - Rockville'!F42)</f>
        <v>0</v>
      </c>
      <c r="G42" s="15">
        <f>IFERROR(F42/F148, "NA")</f>
        <v>0</v>
      </c>
      <c r="H42" s="28">
        <f>SUM('4 - RASA - MVT'!H42,'5 - RASA - National Landin'!H42,'6 - RASA - Mosaic'!H42,'7 - RASA - Rockville'!H42)</f>
        <v>0</v>
      </c>
      <c r="I42" s="15">
        <f>IFERROR(H42/H148, "NA")</f>
        <v>0</v>
      </c>
      <c r="J42" s="28">
        <f>SUM('4 - RASA - MVT'!J42,'5 - RASA - National Landin'!J42,'6 - RASA - Mosaic'!J42,'7 - RASA - Rockville'!J42)</f>
        <v>0</v>
      </c>
      <c r="K42" s="15">
        <f>IFERROR(J42/J148, "NA")</f>
        <v>0</v>
      </c>
      <c r="L42" s="28">
        <f>SUM('4 - RASA - MVT'!L42,'5 - RASA - National Landin'!L42,'6 - RASA - Mosaic'!L42,'7 - RASA - Rockville'!L42)</f>
        <v>0</v>
      </c>
      <c r="M42" s="15">
        <f>IFERROR(L42/L148, "NA")</f>
        <v>0</v>
      </c>
      <c r="N42" s="28">
        <f>SUM('4 - RASA - MVT'!N42,'5 - RASA - National Landin'!N42,'6 - RASA - Mosaic'!N42,'7 - RASA - Rockville'!N42)</f>
        <v>108.14</v>
      </c>
      <c r="O42" s="15">
        <f>IFERROR(N42/N148, "NA")</f>
        <v>0.0007876833536</v>
      </c>
      <c r="P42" s="28">
        <f>SUM('4 - RASA - MVT'!P42,'5 - RASA - National Landin'!P42,'6 - RASA - Mosaic'!P42,'7 - RASA - Rockville'!P42)</f>
        <v>0</v>
      </c>
      <c r="Q42" s="15">
        <f>IFERROR(P42/P148, "NA")</f>
        <v>0</v>
      </c>
      <c r="R42" s="28">
        <f>SUM('4 - RASA - MVT'!R42,'5 - RASA - National Landin'!R42,'6 - RASA - Mosaic'!R42,'7 - RASA - Rockville'!R42)</f>
        <v>60.58</v>
      </c>
      <c r="S42" s="15">
        <f>IFERROR(R42/R148, "NA")</f>
        <v>0.0004194225746</v>
      </c>
      <c r="T42" s="28">
        <f>SUM('4 - RASA - MVT'!T42,'5 - RASA - National Landin'!T42,'6 - RASA - Mosaic'!T42,'7 - RASA - Rockville'!T42)</f>
        <v>0</v>
      </c>
      <c r="U42" s="15">
        <f>IFERROR(T42/T148, "NA")</f>
        <v>0</v>
      </c>
      <c r="V42" s="28">
        <f>SUM('4 - RASA - MVT'!V42,'5 - RASA - National Landin'!V42,'6 - RASA - Mosaic'!V42,'7 - RASA - Rockville'!V42)</f>
        <v>0</v>
      </c>
      <c r="W42" s="15">
        <f>IFERROR(V42/V148, "NA")</f>
        <v>0</v>
      </c>
      <c r="X42" s="28">
        <f>SUM('4 - RASA - MVT'!X42,'5 - RASA - National Landin'!X42,'6 - RASA - Mosaic'!X42,'7 - RASA - Rockville'!X42)</f>
        <v>0</v>
      </c>
      <c r="Y42" s="15">
        <f>IFERROR(X42/X148, "NA")</f>
        <v>0</v>
      </c>
      <c r="Z42" s="28">
        <f>SUM('4 - RASA - MVT'!Z42,'5 - RASA - National Landin'!Z42,'6 - RASA - Mosaic'!Z42,'7 - RASA - Rockville'!Z42)</f>
        <v>0</v>
      </c>
      <c r="AA42" s="15">
        <f>IFERROR(Z42/Z148, "NA")</f>
        <v>0</v>
      </c>
      <c r="AB42" s="57">
        <f t="shared" si="19"/>
        <v>15.145</v>
      </c>
      <c r="AC42" s="15">
        <f>IFERROR(AB42/AB148, "NA")</f>
        <v>0.0001106475207</v>
      </c>
      <c r="AD42" s="61">
        <f t="shared" si="20"/>
        <v>-15.145</v>
      </c>
      <c r="AE42" s="62">
        <f>IFERROR(AD42/AD148, "NA")</f>
        <v>-0.002452814299</v>
      </c>
      <c r="AF42" s="61">
        <f t="shared" si="21"/>
        <v>-1</v>
      </c>
      <c r="AG42" s="57">
        <f t="shared" si="22"/>
        <v>21.09</v>
      </c>
      <c r="AH42" s="15">
        <f>IFERROR(AG42/AG148, "NA")</f>
        <v>0.0001574601873</v>
      </c>
      <c r="AI42" s="61">
        <f t="shared" si="23"/>
        <v>-21.09</v>
      </c>
      <c r="AJ42" s="62">
        <f>IFERROR(AI42/AI148, "NA")</f>
        <v>-0.002314527432</v>
      </c>
      <c r="AK42" s="61">
        <f t="shared" si="24"/>
        <v>-1</v>
      </c>
      <c r="AL42" s="62">
        <f>IFERROR(AK42/AK148, "NA")</f>
        <v>-14.6991279</v>
      </c>
    </row>
    <row r="43" ht="16.5" hidden="1" customHeight="1">
      <c r="A43" s="26" t="s">
        <v>103</v>
      </c>
      <c r="B43" s="28">
        <f>SUM('4 - RASA - MVT'!B43,'5 - RASA - National Landin'!B43,'6 - RASA - Mosaic'!B43,'7 - RASA - Rockville'!B43)</f>
        <v>0</v>
      </c>
      <c r="C43" s="15">
        <f>IFERROR(B43/B148, "NA")</f>
        <v>0</v>
      </c>
      <c r="D43" s="28">
        <f>SUM('4 - RASA - MVT'!D43,'5 - RASA - National Landin'!D43,'6 - RASA - Mosaic'!D43,'7 - RASA - Rockville'!D43)</f>
        <v>0</v>
      </c>
      <c r="E43" s="15">
        <f>IFERROR(D43/D148, "NA")</f>
        <v>0</v>
      </c>
      <c r="F43" s="28">
        <f>SUM('4 - RASA - MVT'!F43,'5 - RASA - National Landin'!F43,'6 - RASA - Mosaic'!F43,'7 - RASA - Rockville'!F43)</f>
        <v>0</v>
      </c>
      <c r="G43" s="15">
        <f>IFERROR(F43/F148, "NA")</f>
        <v>0</v>
      </c>
      <c r="H43" s="28">
        <f>SUM('4 - RASA - MVT'!H43,'5 - RASA - National Landin'!H43,'6 - RASA - Mosaic'!H43,'7 - RASA - Rockville'!H43)</f>
        <v>0</v>
      </c>
      <c r="I43" s="15">
        <f>IFERROR(H43/H148, "NA")</f>
        <v>0</v>
      </c>
      <c r="J43" s="28">
        <f>SUM('4 - RASA - MVT'!J43,'5 - RASA - National Landin'!J43,'6 - RASA - Mosaic'!J43,'7 - RASA - Rockville'!J43)</f>
        <v>0</v>
      </c>
      <c r="K43" s="15">
        <f>IFERROR(J43/J148, "NA")</f>
        <v>0</v>
      </c>
      <c r="L43" s="28">
        <f>SUM('4 - RASA - MVT'!L43,'5 - RASA - National Landin'!L43,'6 - RASA - Mosaic'!L43,'7 - RASA - Rockville'!L43)</f>
        <v>0</v>
      </c>
      <c r="M43" s="15">
        <f>IFERROR(L43/L148, "NA")</f>
        <v>0</v>
      </c>
      <c r="N43" s="28">
        <f>SUM('4 - RASA - MVT'!N43,'5 - RASA - National Landin'!N43,'6 - RASA - Mosaic'!N43,'7 - RASA - Rockville'!N43)</f>
        <v>0</v>
      </c>
      <c r="O43" s="15">
        <f>IFERROR(N43/N148, "NA")</f>
        <v>0</v>
      </c>
      <c r="P43" s="28">
        <f>SUM('4 - RASA - MVT'!P43,'5 - RASA - National Landin'!P43,'6 - RASA - Mosaic'!P43,'7 - RASA - Rockville'!P43)</f>
        <v>0</v>
      </c>
      <c r="Q43" s="15">
        <f>IFERROR(P43/P148, "NA")</f>
        <v>0</v>
      </c>
      <c r="R43" s="28">
        <f>SUM('4 - RASA - MVT'!R43,'5 - RASA - National Landin'!R43,'6 - RASA - Mosaic'!R43,'7 - RASA - Rockville'!R43)</f>
        <v>0</v>
      </c>
      <c r="S43" s="15">
        <f>IFERROR(R43/R148, "NA")</f>
        <v>0</v>
      </c>
      <c r="T43" s="28">
        <f>SUM('4 - RASA - MVT'!T43,'5 - RASA - National Landin'!T43,'6 - RASA - Mosaic'!T43,'7 - RASA - Rockville'!T43)</f>
        <v>0</v>
      </c>
      <c r="U43" s="15">
        <f>IFERROR(T43/T148, "NA")</f>
        <v>0</v>
      </c>
      <c r="V43" s="28">
        <f>SUM('4 - RASA - MVT'!V43,'5 - RASA - National Landin'!V43,'6 - RASA - Mosaic'!V43,'7 - RASA - Rockville'!V43)</f>
        <v>0</v>
      </c>
      <c r="W43" s="15">
        <f>IFERROR(V43/V148, "NA")</f>
        <v>0</v>
      </c>
      <c r="X43" s="28">
        <f>SUM('4 - RASA - MVT'!X43,'5 - RASA - National Landin'!X43,'6 - RASA - Mosaic'!X43,'7 - RASA - Rockville'!X43)</f>
        <v>0</v>
      </c>
      <c r="Y43" s="15">
        <f>IFERROR(X43/X148, "NA")</f>
        <v>0</v>
      </c>
      <c r="Z43" s="28">
        <f>SUM('4 - RASA - MVT'!Z43,'5 - RASA - National Landin'!Z43,'6 - RASA - Mosaic'!Z43,'7 - RASA - Rockville'!Z43)</f>
        <v>0</v>
      </c>
      <c r="AA43" s="15">
        <f>IFERROR(Z43/Z148, "NA")</f>
        <v>0</v>
      </c>
      <c r="AB43" s="57">
        <f t="shared" si="19"/>
        <v>0</v>
      </c>
      <c r="AC43" s="15">
        <f>IFERROR(AB43/AB148, "NA")</f>
        <v>0</v>
      </c>
      <c r="AD43" s="61">
        <f t="shared" si="20"/>
        <v>0</v>
      </c>
      <c r="AE43" s="62">
        <f>IFERROR(AD43/AD148, "NA")</f>
        <v>0</v>
      </c>
      <c r="AF43" s="61" t="str">
        <f t="shared" si="21"/>
        <v>NA</v>
      </c>
      <c r="AG43" s="57">
        <f t="shared" si="22"/>
        <v>0</v>
      </c>
      <c r="AH43" s="15">
        <f>IFERROR(AG43/AG148, "NA")</f>
        <v>0</v>
      </c>
      <c r="AI43" s="61">
        <f t="shared" si="23"/>
        <v>0</v>
      </c>
      <c r="AJ43" s="62">
        <f>IFERROR(AI43/AI148, "NA")</f>
        <v>0</v>
      </c>
      <c r="AK43" s="61" t="str">
        <f t="shared" si="24"/>
        <v>NA</v>
      </c>
      <c r="AL43" s="62" t="str">
        <f>IFERROR(AK43/AK148, "NA")</f>
        <v>NA</v>
      </c>
    </row>
    <row r="44" ht="16.5" customHeight="1">
      <c r="A44" s="67" t="s">
        <v>104</v>
      </c>
      <c r="B44" s="70">
        <f>IFERROR(B39+B40+B41+B42+B43, "NA")</f>
        <v>2736.52</v>
      </c>
      <c r="C44" s="71">
        <f>IFERROR(B44/B148, "NA")</f>
        <v>0.03702604238</v>
      </c>
      <c r="D44" s="70">
        <f>IFERROR(D39+D40+D41+D42+D43, "NA")</f>
        <v>4906.57</v>
      </c>
      <c r="E44" s="71">
        <f>IFERROR(D44/D148, "NA")</f>
        <v>0.04779063627</v>
      </c>
      <c r="F44" s="70">
        <f>IFERROR(F39+F40+F41+F42+F43, "NA")</f>
        <v>4752.4</v>
      </c>
      <c r="G44" s="71">
        <f>IFERROR(F44/F148, "NA")</f>
        <v>0.04347177422</v>
      </c>
      <c r="H44" s="70">
        <f>IFERROR(H39+H40+H41+H42+H43, "NA")</f>
        <v>5333.68</v>
      </c>
      <c r="I44" s="71">
        <f>IFERROR(H44/H148, "NA")</f>
        <v>0.04358802449</v>
      </c>
      <c r="J44" s="70">
        <f>IFERROR(J39+J40+J41+J42+J43, "NA")</f>
        <v>4339.41</v>
      </c>
      <c r="K44" s="71">
        <f>IFERROR(J44/J148, "NA")</f>
        <v>0.03809622888</v>
      </c>
      <c r="L44" s="70">
        <f>IFERROR(L39+L40+L41+L42+L43, "NA")</f>
        <v>5131.39</v>
      </c>
      <c r="M44" s="71">
        <f>IFERROR(L44/L148, "NA")</f>
        <v>0.04089984619</v>
      </c>
      <c r="N44" s="70">
        <f>IFERROR(N39+N40+N41+N42+N43, "NA")</f>
        <v>5710.42</v>
      </c>
      <c r="O44" s="71">
        <f>IFERROR(N44/N148, "NA")</f>
        <v>0.04159425537</v>
      </c>
      <c r="P44" s="70">
        <f>IFERROR(P39+P40+P41+P42+P43, "NA")</f>
        <v>5680.62</v>
      </c>
      <c r="Q44" s="71">
        <f>IFERROR(P44/P148, "NA")</f>
        <v>0.03855265773</v>
      </c>
      <c r="R44" s="70">
        <f>IFERROR(R39+R40+R41+R42+R43, "NA")</f>
        <v>5529.36</v>
      </c>
      <c r="S44" s="71">
        <f>IFERROR(R44/R148, "NA")</f>
        <v>0.03828224508</v>
      </c>
      <c r="T44" s="70">
        <f>IFERROR(T39+T40+T41+T42+T43, "NA")</f>
        <v>5396.25</v>
      </c>
      <c r="U44" s="71">
        <f>IFERROR(T44/T148, "NA")</f>
        <v>0.04230949262</v>
      </c>
      <c r="V44" s="70">
        <f>IFERROR(V39+V40+V41+V42+V43, "NA")</f>
        <v>4942.51</v>
      </c>
      <c r="W44" s="71">
        <f>IFERROR(V44/V148, "NA")</f>
        <v>0.03730906929</v>
      </c>
      <c r="X44" s="70">
        <f>IFERROR(X39+X40+X41+X42+X43, "NA")</f>
        <v>5312.64</v>
      </c>
      <c r="Y44" s="71">
        <f>IFERROR(X44/X148, "NA")</f>
        <v>0.03713817968</v>
      </c>
      <c r="Z44" s="70">
        <f>IFERROR(Z39+Z40+Z41+Z42+Z43, "NA")</f>
        <v>15651.4</v>
      </c>
      <c r="AA44" s="71">
        <f>IFERROR(Z44/Z148, "NA")</f>
        <v>0.03883069864</v>
      </c>
      <c r="AB44" s="70">
        <f t="shared" si="19"/>
        <v>5295.19</v>
      </c>
      <c r="AC44" s="71">
        <f>IFERROR(AB44/AB148, "NA")</f>
        <v>0.03868601156</v>
      </c>
      <c r="AD44" s="75">
        <f t="shared" si="20"/>
        <v>17.45</v>
      </c>
      <c r="AE44" s="76">
        <f>IFERROR(AD44/AD148, "NA")</f>
        <v>0.00282612146</v>
      </c>
      <c r="AF44" s="75">
        <f t="shared" si="21"/>
        <v>0.003295443601</v>
      </c>
      <c r="AG44" s="70">
        <f t="shared" si="22"/>
        <v>5255.325</v>
      </c>
      <c r="AH44" s="71">
        <f>IFERROR(AG44/AG148, "NA")</f>
        <v>0.03923681645</v>
      </c>
      <c r="AI44" s="75">
        <f t="shared" si="23"/>
        <v>57.315</v>
      </c>
      <c r="AJ44" s="76">
        <f>IFERROR(AI44/AI148, "NA")</f>
        <v>0.006290049302</v>
      </c>
      <c r="AK44" s="75">
        <f t="shared" si="24"/>
        <v>0.01090608098</v>
      </c>
      <c r="AL44" s="76">
        <f>IFERROR(AK44/AK148, "NA")</f>
        <v>0.1603098791</v>
      </c>
    </row>
    <row r="45" ht="16.5" customHeight="1">
      <c r="A45" s="22" t="s">
        <v>105</v>
      </c>
      <c r="B45" s="23"/>
      <c r="C45" s="10"/>
      <c r="D45" s="23"/>
      <c r="E45" s="10"/>
      <c r="F45" s="23"/>
      <c r="G45" s="10"/>
      <c r="H45" s="23"/>
      <c r="I45" s="10"/>
      <c r="J45" s="23"/>
      <c r="K45" s="10"/>
      <c r="L45" s="23"/>
      <c r="M45" s="10"/>
      <c r="N45" s="23"/>
      <c r="O45" s="10"/>
      <c r="P45" s="23"/>
      <c r="Q45" s="10"/>
      <c r="R45" s="23"/>
      <c r="S45" s="10"/>
      <c r="T45" s="23"/>
      <c r="U45" s="10"/>
      <c r="V45" s="23"/>
      <c r="W45" s="10"/>
      <c r="X45" s="23"/>
      <c r="Y45" s="10"/>
      <c r="Z45" s="23"/>
      <c r="AA45" s="10"/>
      <c r="AB45" s="23"/>
      <c r="AC45" s="10"/>
      <c r="AD45" s="24"/>
      <c r="AE45" s="25"/>
      <c r="AF45" s="24"/>
      <c r="AG45" s="23"/>
      <c r="AH45" s="10"/>
      <c r="AI45" s="24"/>
      <c r="AJ45" s="25"/>
      <c r="AK45" s="24"/>
      <c r="AL45" s="25"/>
    </row>
    <row r="46" ht="16.5" hidden="1" customHeight="1">
      <c r="A46" s="26" t="s">
        <v>106</v>
      </c>
      <c r="B46" s="28">
        <f>SUM('4 - RASA - MVT'!B46,'5 - RASA - National Landin'!B46,'6 - RASA - Mosaic'!B46,'7 - RASA - Rockville'!B46)</f>
        <v>0</v>
      </c>
      <c r="C46" s="15">
        <f>IFERROR(B46/B148, "NA")</f>
        <v>0</v>
      </c>
      <c r="D46" s="28">
        <f>SUM('4 - RASA - MVT'!D46,'5 - RASA - National Landin'!D46,'6 - RASA - Mosaic'!D46,'7 - RASA - Rockville'!D46)</f>
        <v>0</v>
      </c>
      <c r="E46" s="15">
        <f>IFERROR(D46/D148, "NA")</f>
        <v>0</v>
      </c>
      <c r="F46" s="28">
        <f>SUM('4 - RASA - MVT'!F46,'5 - RASA - National Landin'!F46,'6 - RASA - Mosaic'!F46,'7 - RASA - Rockville'!F46)</f>
        <v>0</v>
      </c>
      <c r="G46" s="15">
        <f>IFERROR(F46/F148, "NA")</f>
        <v>0</v>
      </c>
      <c r="H46" s="28">
        <f>SUM('4 - RASA - MVT'!H46,'5 - RASA - National Landin'!H46,'6 - RASA - Mosaic'!H46,'7 - RASA - Rockville'!H46)</f>
        <v>0</v>
      </c>
      <c r="I46" s="15">
        <f>IFERROR(H46/H148, "NA")</f>
        <v>0</v>
      </c>
      <c r="J46" s="28">
        <f>SUM('4 - RASA - MVT'!J46,'5 - RASA - National Landin'!J46,'6 - RASA - Mosaic'!J46,'7 - RASA - Rockville'!J46)</f>
        <v>0</v>
      </c>
      <c r="K46" s="15">
        <f>IFERROR(J46/J148, "NA")</f>
        <v>0</v>
      </c>
      <c r="L46" s="28">
        <f>SUM('4 - RASA - MVT'!L46,'5 - RASA - National Landin'!L46,'6 - RASA - Mosaic'!L46,'7 - RASA - Rockville'!L46)</f>
        <v>0</v>
      </c>
      <c r="M46" s="15">
        <f>IFERROR(L46/L148, "NA")</f>
        <v>0</v>
      </c>
      <c r="N46" s="28">
        <f>SUM('4 - RASA - MVT'!N46,'5 - RASA - National Landin'!N46,'6 - RASA - Mosaic'!N46,'7 - RASA - Rockville'!N46)</f>
        <v>0</v>
      </c>
      <c r="O46" s="15">
        <f>IFERROR(N46/N148, "NA")</f>
        <v>0</v>
      </c>
      <c r="P46" s="28">
        <f>SUM('4 - RASA - MVT'!P46,'5 - RASA - National Landin'!P46,'6 - RASA - Mosaic'!P46,'7 - RASA - Rockville'!P46)</f>
        <v>0</v>
      </c>
      <c r="Q46" s="15">
        <f>IFERROR(P46/P148, "NA")</f>
        <v>0</v>
      </c>
      <c r="R46" s="28">
        <f>SUM('4 - RASA - MVT'!R46,'5 - RASA - National Landin'!R46,'6 - RASA - Mosaic'!R46,'7 - RASA - Rockville'!R46)</f>
        <v>0</v>
      </c>
      <c r="S46" s="15">
        <f>IFERROR(R46/R148, "NA")</f>
        <v>0</v>
      </c>
      <c r="T46" s="28">
        <f>SUM('4 - RASA - MVT'!T46,'5 - RASA - National Landin'!T46,'6 - RASA - Mosaic'!T46,'7 - RASA - Rockville'!T46)</f>
        <v>0</v>
      </c>
      <c r="U46" s="15">
        <f>IFERROR(T46/T148, "NA")</f>
        <v>0</v>
      </c>
      <c r="V46" s="28">
        <f>SUM('4 - RASA - MVT'!V46,'5 - RASA - National Landin'!V46,'6 - RASA - Mosaic'!V46,'7 - RASA - Rockville'!V46)</f>
        <v>0</v>
      </c>
      <c r="W46" s="15">
        <f>IFERROR(V46/V148, "NA")</f>
        <v>0</v>
      </c>
      <c r="X46" s="28">
        <f>SUM('4 - RASA - MVT'!X46,'5 - RASA - National Landin'!X46,'6 - RASA - Mosaic'!X46,'7 - RASA - Rockville'!X46)</f>
        <v>0</v>
      </c>
      <c r="Y46" s="15">
        <f>IFERROR(X46/X148, "NA")</f>
        <v>0</v>
      </c>
      <c r="Z46" s="28">
        <f>SUM('4 - RASA - MVT'!Z46,'5 - RASA - National Landin'!Z46,'6 - RASA - Mosaic'!Z46,'7 - RASA - Rockville'!Z46)</f>
        <v>0</v>
      </c>
      <c r="AA46" s="15">
        <f>IFERROR(Z46/Z148, "NA")</f>
        <v>0</v>
      </c>
      <c r="AB46" s="57">
        <f t="shared" ref="AB46:AB57" si="25">IFERROR((R46+T46+V46+X46)/4, "NA")</f>
        <v>0</v>
      </c>
      <c r="AC46" s="15">
        <f>IFERROR(AB46/AB148, "NA")</f>
        <v>0</v>
      </c>
      <c r="AD46" s="61">
        <f t="shared" ref="AD46:AD57" si="26">IFERROR(X46-AB46, "NA")</f>
        <v>0</v>
      </c>
      <c r="AE46" s="62">
        <f>IFERROR(AD46/AD148, "NA")</f>
        <v>0</v>
      </c>
      <c r="AF46" s="61" t="str">
        <f t="shared" ref="AF46:AF57" si="27">IFERROR((X46-AB46)/AB46, "NA")</f>
        <v>NA</v>
      </c>
      <c r="AG46" s="57">
        <f t="shared" ref="AG46:AG57" si="28">IFERROR((J46+L46+N46+P46+R46+T46+V46+X46)/8, "NA")</f>
        <v>0</v>
      </c>
      <c r="AH46" s="15">
        <f>IFERROR(AG46/AG148, "NA")</f>
        <v>0</v>
      </c>
      <c r="AI46" s="61">
        <f t="shared" ref="AI46:AI57" si="29">IFERROR(X46-AG46, "NA")</f>
        <v>0</v>
      </c>
      <c r="AJ46" s="62">
        <f>IFERROR(AI46/AI148, "NA")</f>
        <v>0</v>
      </c>
      <c r="AK46" s="61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6" t="s">
        <v>108</v>
      </c>
      <c r="B47" s="28">
        <f>SUM('4 - RASA - MVT'!B47,'5 - RASA - National Landin'!B47,'6 - RASA - Mosaic'!B47,'7 - RASA - Rockville'!B47)</f>
        <v>207.01</v>
      </c>
      <c r="C47" s="15">
        <f>IFERROR(B47/B148, "NA")</f>
        <v>0.002800915409</v>
      </c>
      <c r="D47" s="28">
        <f>SUM('4 - RASA - MVT'!D47,'5 - RASA - National Landin'!D47,'6 - RASA - Mosaic'!D47,'7 - RASA - Rockville'!D47)</f>
        <v>161.3</v>
      </c>
      <c r="E47" s="15">
        <f>IFERROR(D47/D148, "NA")</f>
        <v>0.001571083186</v>
      </c>
      <c r="F47" s="28">
        <f>SUM('4 - RASA - MVT'!F47,'5 - RASA - National Landin'!F47,'6 - RASA - Mosaic'!F47,'7 - RASA - Rockville'!F47)</f>
        <v>286.21</v>
      </c>
      <c r="G47" s="15">
        <f>IFERROR(F47/F148, "NA")</f>
        <v>0.002618057508</v>
      </c>
      <c r="H47" s="28">
        <f>SUM('4 - RASA - MVT'!H47,'5 - RASA - National Landin'!H47,'6 - RASA - Mosaic'!H47,'7 - RASA - Rockville'!H47)</f>
        <v>242.72</v>
      </c>
      <c r="I47" s="15">
        <f>IFERROR(H47/H148, "NA")</f>
        <v>0.001983562063</v>
      </c>
      <c r="J47" s="28">
        <f>SUM('4 - RASA - MVT'!J47,'5 - RASA - National Landin'!J47,'6 - RASA - Mosaic'!J47,'7 - RASA - Rockville'!J47)</f>
        <v>218</v>
      </c>
      <c r="K47" s="15">
        <f>IFERROR(J47/J148, "NA")</f>
        <v>0.001913849555</v>
      </c>
      <c r="L47" s="28">
        <f>SUM('4 - RASA - MVT'!L47,'5 - RASA - National Landin'!L47,'6 - RASA - Mosaic'!L47,'7 - RASA - Rockville'!L47)</f>
        <v>204</v>
      </c>
      <c r="M47" s="15">
        <f>IFERROR(L47/L148, "NA")</f>
        <v>0.001625986063</v>
      </c>
      <c r="N47" s="28">
        <f>SUM('4 - RASA - MVT'!N47,'5 - RASA - National Landin'!N47,'6 - RASA - Mosaic'!N47,'7 - RASA - Rockville'!N47)</f>
        <v>298.65</v>
      </c>
      <c r="O47" s="15">
        <f>IFERROR(N47/N148, "NA")</f>
        <v>0.002175343384</v>
      </c>
      <c r="P47" s="28">
        <f>SUM('4 - RASA - MVT'!P47,'5 - RASA - National Landin'!P47,'6 - RASA - Mosaic'!P47,'7 - RASA - Rockville'!P47)</f>
        <v>232.99</v>
      </c>
      <c r="Q47" s="15">
        <f>IFERROR(P47/P148, "NA")</f>
        <v>0.001581232986</v>
      </c>
      <c r="R47" s="28">
        <f>SUM('4 - RASA - MVT'!R47,'5 - RASA - National Landin'!R47,'6 - RASA - Mosaic'!R47,'7 - RASA - Rockville'!R47)</f>
        <v>263.8</v>
      </c>
      <c r="S47" s="15">
        <f>IFERROR(R47/R148, "NA")</f>
        <v>0.001826405995</v>
      </c>
      <c r="T47" s="28">
        <f>SUM('4 - RASA - MVT'!T47,'5 - RASA - National Landin'!T47,'6 - RASA - Mosaic'!T47,'7 - RASA - Rockville'!T47)</f>
        <v>306.61</v>
      </c>
      <c r="U47" s="15">
        <f>IFERROR(T47/T148, "NA")</f>
        <v>0.002403986756</v>
      </c>
      <c r="V47" s="28">
        <f>SUM('4 - RASA - MVT'!V47,'5 - RASA - National Landin'!V47,'6 - RASA - Mosaic'!V47,'7 - RASA - Rockville'!V47)</f>
        <v>273.77</v>
      </c>
      <c r="W47" s="15">
        <f>IFERROR(V47/V148, "NA")</f>
        <v>0.002066582344</v>
      </c>
      <c r="X47" s="28">
        <f>SUM('4 - RASA - MVT'!X47,'5 - RASA - National Landin'!X47,'6 - RASA - Mosaic'!X47,'7 - RASA - Rockville'!X47)</f>
        <v>349.34</v>
      </c>
      <c r="Y47" s="15">
        <f>IFERROR(X47/X148, "NA")</f>
        <v>0.002442072433</v>
      </c>
      <c r="Z47" s="28">
        <f>SUM('4 - RASA - MVT'!Z47,'5 - RASA - National Landin'!Z47,'6 - RASA - Mosaic'!Z47,'7 - RASA - Rockville'!Z47)</f>
        <v>929.72</v>
      </c>
      <c r="AA47" s="15">
        <f>IFERROR(Z47/Z148, "NA")</f>
        <v>0.002306610088</v>
      </c>
      <c r="AB47" s="57">
        <f t="shared" si="25"/>
        <v>298.38</v>
      </c>
      <c r="AC47" s="15">
        <f>IFERROR(AB47/AB148, "NA")</f>
        <v>0.002179927846</v>
      </c>
      <c r="AD47" s="61">
        <f t="shared" si="26"/>
        <v>50.96</v>
      </c>
      <c r="AE47" s="62">
        <f>IFERROR(AD47/AD148, "NA")</f>
        <v>0.008253246396</v>
      </c>
      <c r="AF47" s="61">
        <f t="shared" si="27"/>
        <v>0.1707889269</v>
      </c>
      <c r="AG47" s="57">
        <f t="shared" si="28"/>
        <v>268.395</v>
      </c>
      <c r="AH47" s="15">
        <f>IFERROR(AG47/AG148, "NA")</f>
        <v>0.00200386567</v>
      </c>
      <c r="AI47" s="61">
        <f t="shared" si="29"/>
        <v>80.945</v>
      </c>
      <c r="AJ47" s="62">
        <f>IFERROR(AI47/AI148, "NA")</f>
        <v>0.008883329682</v>
      </c>
      <c r="AK47" s="61">
        <f t="shared" si="30"/>
        <v>0.3015890758</v>
      </c>
      <c r="AL47" s="62">
        <f>IFERROR(AK47/AK148, "NA")</f>
        <v>4.433096397</v>
      </c>
    </row>
    <row r="48" ht="16.5" customHeight="1">
      <c r="A48" s="26" t="s">
        <v>109</v>
      </c>
      <c r="B48" s="28">
        <f>SUM('4 - RASA - MVT'!B48,'5 - RASA - National Landin'!B48,'6 - RASA - Mosaic'!B48,'7 - RASA - Rockville'!B48)</f>
        <v>0</v>
      </c>
      <c r="C48" s="15">
        <f>IFERROR(B48/B148, "NA")</f>
        <v>0</v>
      </c>
      <c r="D48" s="28">
        <f>SUM('4 - RASA - MVT'!D48,'5 - RASA - National Landin'!D48,'6 - RASA - Mosaic'!D48,'7 - RASA - Rockville'!D48)</f>
        <v>0</v>
      </c>
      <c r="E48" s="15">
        <f>IFERROR(D48/D148, "NA")</f>
        <v>0</v>
      </c>
      <c r="F48" s="28">
        <f>SUM('4 - RASA - MVT'!F48,'5 - RASA - National Landin'!F48,'6 - RASA - Mosaic'!F48,'7 - RASA - Rockville'!F48)</f>
        <v>0</v>
      </c>
      <c r="G48" s="15">
        <f>IFERROR(F48/F148, "NA")</f>
        <v>0</v>
      </c>
      <c r="H48" s="28">
        <f>SUM('4 - RASA - MVT'!H48,'5 - RASA - National Landin'!H48,'6 - RASA - Mosaic'!H48,'7 - RASA - Rockville'!H48)</f>
        <v>0</v>
      </c>
      <c r="I48" s="15">
        <f>IFERROR(H48/H148, "NA")</f>
        <v>0</v>
      </c>
      <c r="J48" s="28">
        <f>SUM('4 - RASA - MVT'!J48,'5 - RASA - National Landin'!J48,'6 - RASA - Mosaic'!J48,'7 - RASA - Rockville'!J48)</f>
        <v>0</v>
      </c>
      <c r="K48" s="15">
        <f>IFERROR(J48/J148, "NA")</f>
        <v>0</v>
      </c>
      <c r="L48" s="28">
        <f>SUM('4 - RASA - MVT'!L48,'5 - RASA - National Landin'!L48,'6 - RASA - Mosaic'!L48,'7 - RASA - Rockville'!L48)</f>
        <v>0</v>
      </c>
      <c r="M48" s="15">
        <f>IFERROR(L48/L148, "NA")</f>
        <v>0</v>
      </c>
      <c r="N48" s="28">
        <f>SUM('4 - RASA - MVT'!N48,'5 - RASA - National Landin'!N48,'6 - RASA - Mosaic'!N48,'7 - RASA - Rockville'!N48)</f>
        <v>0</v>
      </c>
      <c r="O48" s="15">
        <f>IFERROR(N48/N148, "NA")</f>
        <v>0</v>
      </c>
      <c r="P48" s="28">
        <f>SUM('4 - RASA - MVT'!P48,'5 - RASA - National Landin'!P48,'6 - RASA - Mosaic'!P48,'7 - RASA - Rockville'!P48)</f>
        <v>0</v>
      </c>
      <c r="Q48" s="15">
        <f>IFERROR(P48/P148, "NA")</f>
        <v>0</v>
      </c>
      <c r="R48" s="28">
        <f>SUM('4 - RASA - MVT'!R48,'5 - RASA - National Landin'!R48,'6 - RASA - Mosaic'!R48,'7 - RASA - Rockville'!R48)</f>
        <v>7.28</v>
      </c>
      <c r="S48" s="15">
        <f>IFERROR(R48/R148, "NA")</f>
        <v>0.00005040271283</v>
      </c>
      <c r="T48" s="28">
        <f>SUM('4 - RASA - MVT'!T48,'5 - RASA - National Landin'!T48,'6 - RASA - Mosaic'!T48,'7 - RASA - Rockville'!T48)</f>
        <v>0</v>
      </c>
      <c r="U48" s="15">
        <f>IFERROR(T48/T148, "NA")</f>
        <v>0</v>
      </c>
      <c r="V48" s="28">
        <f>SUM('4 - RASA - MVT'!V48,'5 - RASA - National Landin'!V48,'6 - RASA - Mosaic'!V48,'7 - RASA - Rockville'!V48)</f>
        <v>0</v>
      </c>
      <c r="W48" s="15">
        <f>IFERROR(V48/V148, "NA")</f>
        <v>0</v>
      </c>
      <c r="X48" s="28">
        <f>SUM('4 - RASA - MVT'!X48,'5 - RASA - National Landin'!X48,'6 - RASA - Mosaic'!X48,'7 - RASA - Rockville'!X48)</f>
        <v>0</v>
      </c>
      <c r="Y48" s="15">
        <f>IFERROR(X48/X148, "NA")</f>
        <v>0</v>
      </c>
      <c r="Z48" s="28">
        <f>SUM('4 - RASA - MVT'!Z48,'5 - RASA - National Landin'!Z48,'6 - RASA - Mosaic'!Z48,'7 - RASA - Rockville'!Z48)</f>
        <v>0</v>
      </c>
      <c r="AA48" s="15">
        <f>IFERROR(Z48/Z148, "NA")</f>
        <v>0</v>
      </c>
      <c r="AB48" s="57">
        <f t="shared" si="25"/>
        <v>1.82</v>
      </c>
      <c r="AC48" s="15">
        <f>IFERROR(AB48/AB148, "NA")</f>
        <v>0.00001329669777</v>
      </c>
      <c r="AD48" s="61">
        <f t="shared" si="26"/>
        <v>-1.82</v>
      </c>
      <c r="AE48" s="62">
        <f>IFERROR(AD48/AD148, "NA")</f>
        <v>-0.0002947587998</v>
      </c>
      <c r="AF48" s="61">
        <f t="shared" si="27"/>
        <v>-1</v>
      </c>
      <c r="AG48" s="57">
        <f t="shared" si="28"/>
        <v>0.91</v>
      </c>
      <c r="AH48" s="15">
        <f>IFERROR(AG48/AG148, "NA")</f>
        <v>0.000006794156969</v>
      </c>
      <c r="AI48" s="61">
        <f t="shared" si="29"/>
        <v>-0.91</v>
      </c>
      <c r="AJ48" s="62">
        <f>IFERROR(AI48/AI148, "NA")</f>
        <v>-0.00009986818223</v>
      </c>
      <c r="AK48" s="61">
        <f t="shared" si="30"/>
        <v>-1</v>
      </c>
      <c r="AL48" s="62">
        <f>IFERROR(AK48/AK148, "NA")</f>
        <v>-14.6991279</v>
      </c>
    </row>
    <row r="49" ht="16.5" customHeight="1">
      <c r="A49" s="26" t="s">
        <v>110</v>
      </c>
      <c r="B49" s="28">
        <f>SUM('4 - RASA - MVT'!B49,'5 - RASA - National Landin'!B49,'6 - RASA - Mosaic'!B49,'7 - RASA - Rockville'!B49)</f>
        <v>0</v>
      </c>
      <c r="C49" s="15">
        <f>IFERROR(B49/B148, "NA")</f>
        <v>0</v>
      </c>
      <c r="D49" s="28">
        <f>SUM('4 - RASA - MVT'!D49,'5 - RASA - National Landin'!D49,'6 - RASA - Mosaic'!D49,'7 - RASA - Rockville'!D49)</f>
        <v>0</v>
      </c>
      <c r="E49" s="15">
        <f>IFERROR(D49/D148, "NA")</f>
        <v>0</v>
      </c>
      <c r="F49" s="28">
        <f>SUM('4 - RASA - MVT'!F49,'5 - RASA - National Landin'!F49,'6 - RASA - Mosaic'!F49,'7 - RASA - Rockville'!F49)</f>
        <v>0</v>
      </c>
      <c r="G49" s="15">
        <f>IFERROR(F49/F148, "NA")</f>
        <v>0</v>
      </c>
      <c r="H49" s="28">
        <f>SUM('4 - RASA - MVT'!H49,'5 - RASA - National Landin'!H49,'6 - RASA - Mosaic'!H49,'7 - RASA - Rockville'!H49)</f>
        <v>0</v>
      </c>
      <c r="I49" s="15">
        <f>IFERROR(H49/H148, "NA")</f>
        <v>0</v>
      </c>
      <c r="J49" s="28">
        <f>SUM('4 - RASA - MVT'!J49,'5 - RASA - National Landin'!J49,'6 - RASA - Mosaic'!J49,'7 - RASA - Rockville'!J49)</f>
        <v>0</v>
      </c>
      <c r="K49" s="15">
        <f>IFERROR(J49/J148, "NA")</f>
        <v>0</v>
      </c>
      <c r="L49" s="28">
        <f>SUM('4 - RASA - MVT'!L49,'5 - RASA - National Landin'!L49,'6 - RASA - Mosaic'!L49,'7 - RASA - Rockville'!L49)</f>
        <v>0</v>
      </c>
      <c r="M49" s="15">
        <f>IFERROR(L49/L148, "NA")</f>
        <v>0</v>
      </c>
      <c r="N49" s="28">
        <f>SUM('4 - RASA - MVT'!N49,'5 - RASA - National Landin'!N49,'6 - RASA - Mosaic'!N49,'7 - RASA - Rockville'!N49)</f>
        <v>0</v>
      </c>
      <c r="O49" s="15">
        <f>IFERROR(N49/N148, "NA")</f>
        <v>0</v>
      </c>
      <c r="P49" s="28">
        <f>SUM('4 - RASA - MVT'!P49,'5 - RASA - National Landin'!P49,'6 - RASA - Mosaic'!P49,'7 - RASA - Rockville'!P49)</f>
        <v>1.4</v>
      </c>
      <c r="Q49" s="15">
        <f>IFERROR(P49/P148, "NA")</f>
        <v>0.000009501378514</v>
      </c>
      <c r="R49" s="28">
        <f>SUM('4 - RASA - MVT'!R49,'5 - RASA - National Landin'!R49,'6 - RASA - Mosaic'!R49,'7 - RASA - Rockville'!R49)</f>
        <v>0</v>
      </c>
      <c r="S49" s="15">
        <f>IFERROR(R49/R148, "NA")</f>
        <v>0</v>
      </c>
      <c r="T49" s="28">
        <f>SUM('4 - RASA - MVT'!T49,'5 - RASA - National Landin'!T49,'6 - RASA - Mosaic'!T49,'7 - RASA - Rockville'!T49)</f>
        <v>0</v>
      </c>
      <c r="U49" s="15">
        <f>IFERROR(T49/T148, "NA")</f>
        <v>0</v>
      </c>
      <c r="V49" s="28">
        <f>SUM('4 - RASA - MVT'!V49,'5 - RASA - National Landin'!V49,'6 - RASA - Mosaic'!V49,'7 - RASA - Rockville'!V49)</f>
        <v>0</v>
      </c>
      <c r="W49" s="15">
        <f>IFERROR(V49/V148, "NA")</f>
        <v>0</v>
      </c>
      <c r="X49" s="28">
        <f>SUM('4 - RASA - MVT'!X49,'5 - RASA - National Landin'!X49,'6 - RASA - Mosaic'!X49,'7 - RASA - Rockville'!X49)</f>
        <v>0</v>
      </c>
      <c r="Y49" s="15">
        <f>IFERROR(X49/X148, "NA")</f>
        <v>0</v>
      </c>
      <c r="Z49" s="28">
        <f>SUM('4 - RASA - MVT'!Z49,'5 - RASA - National Landin'!Z49,'6 - RASA - Mosaic'!Z49,'7 - RASA - Rockville'!Z49)</f>
        <v>0</v>
      </c>
      <c r="AA49" s="15">
        <f>IFERROR(Z49/Z148, "NA")</f>
        <v>0</v>
      </c>
      <c r="AB49" s="57">
        <f t="shared" si="25"/>
        <v>0</v>
      </c>
      <c r="AC49" s="15">
        <f>IFERROR(AB49/AB148, "NA")</f>
        <v>0</v>
      </c>
      <c r="AD49" s="61">
        <f t="shared" si="26"/>
        <v>0</v>
      </c>
      <c r="AE49" s="62">
        <f>IFERROR(AD49/AD148, "NA")</f>
        <v>0</v>
      </c>
      <c r="AF49" s="61" t="str">
        <f t="shared" si="27"/>
        <v>NA</v>
      </c>
      <c r="AG49" s="57">
        <f t="shared" si="28"/>
        <v>0.175</v>
      </c>
      <c r="AH49" s="15">
        <f>IFERROR(AG49/AG148, "NA")</f>
        <v>0.000001306568648</v>
      </c>
      <c r="AI49" s="61">
        <f t="shared" si="29"/>
        <v>-0.175</v>
      </c>
      <c r="AJ49" s="62">
        <f>IFERROR(AI49/AI148, "NA")</f>
        <v>-0.00001920541966</v>
      </c>
      <c r="AK49" s="61">
        <f t="shared" si="30"/>
        <v>-1</v>
      </c>
      <c r="AL49" s="62">
        <f>IFERROR(AK49/AK148, "NA")</f>
        <v>-14.6991279</v>
      </c>
    </row>
    <row r="50" ht="16.5" hidden="1" customHeight="1">
      <c r="A50" s="26" t="s">
        <v>111</v>
      </c>
      <c r="B50" s="28">
        <f>SUM('4 - RASA - MVT'!B50,'5 - RASA - National Landin'!B50,'6 - RASA - Mosaic'!B50,'7 - RASA - Rockville'!B50)</f>
        <v>0</v>
      </c>
      <c r="C50" s="15">
        <f>IFERROR(B50/B148, "NA")</f>
        <v>0</v>
      </c>
      <c r="D50" s="28">
        <f>SUM('4 - RASA - MVT'!D50,'5 - RASA - National Landin'!D50,'6 - RASA - Mosaic'!D50,'7 - RASA - Rockville'!D50)</f>
        <v>0</v>
      </c>
      <c r="E50" s="15">
        <f>IFERROR(D50/D148, "NA")</f>
        <v>0</v>
      </c>
      <c r="F50" s="28">
        <f>SUM('4 - RASA - MVT'!F50,'5 - RASA - National Landin'!F50,'6 - RASA - Mosaic'!F50,'7 - RASA - Rockville'!F50)</f>
        <v>0</v>
      </c>
      <c r="G50" s="15">
        <f>IFERROR(F50/F148, "NA")</f>
        <v>0</v>
      </c>
      <c r="H50" s="28">
        <f>SUM('4 - RASA - MVT'!H50,'5 - RASA - National Landin'!H50,'6 - RASA - Mosaic'!H50,'7 - RASA - Rockville'!H50)</f>
        <v>0</v>
      </c>
      <c r="I50" s="15">
        <f>IFERROR(H50/H148, "NA")</f>
        <v>0</v>
      </c>
      <c r="J50" s="28">
        <f>SUM('4 - RASA - MVT'!J50,'5 - RASA - National Landin'!J50,'6 - RASA - Mosaic'!J50,'7 - RASA - Rockville'!J50)</f>
        <v>0</v>
      </c>
      <c r="K50" s="15">
        <f>IFERROR(J50/J148, "NA")</f>
        <v>0</v>
      </c>
      <c r="L50" s="28">
        <f>SUM('4 - RASA - MVT'!L50,'5 - RASA - National Landin'!L50,'6 - RASA - Mosaic'!L50,'7 - RASA - Rockville'!L50)</f>
        <v>0</v>
      </c>
      <c r="M50" s="15">
        <f>IFERROR(L50/L148, "NA")</f>
        <v>0</v>
      </c>
      <c r="N50" s="28">
        <f>SUM('4 - RASA - MVT'!N50,'5 - RASA - National Landin'!N50,'6 - RASA - Mosaic'!N50,'7 - RASA - Rockville'!N50)</f>
        <v>0</v>
      </c>
      <c r="O50" s="15">
        <f>IFERROR(N50/N148, "NA")</f>
        <v>0</v>
      </c>
      <c r="P50" s="28">
        <f>SUM('4 - RASA - MVT'!P50,'5 - RASA - National Landin'!P50,'6 - RASA - Mosaic'!P50,'7 - RASA - Rockville'!P50)</f>
        <v>0</v>
      </c>
      <c r="Q50" s="15">
        <f>IFERROR(P50/P148, "NA")</f>
        <v>0</v>
      </c>
      <c r="R50" s="28">
        <f>SUM('4 - RASA - MVT'!R50,'5 - RASA - National Landin'!R50,'6 - RASA - Mosaic'!R50,'7 - RASA - Rockville'!R50)</f>
        <v>0</v>
      </c>
      <c r="S50" s="15">
        <f>IFERROR(R50/R148, "NA")</f>
        <v>0</v>
      </c>
      <c r="T50" s="28">
        <f>SUM('4 - RASA - MVT'!T50,'5 - RASA - National Landin'!T50,'6 - RASA - Mosaic'!T50,'7 - RASA - Rockville'!T50)</f>
        <v>0</v>
      </c>
      <c r="U50" s="15">
        <f>IFERROR(T50/T148, "NA")</f>
        <v>0</v>
      </c>
      <c r="V50" s="28">
        <f>SUM('4 - RASA - MVT'!V50,'5 - RASA - National Landin'!V50,'6 - RASA - Mosaic'!V50,'7 - RASA - Rockville'!V50)</f>
        <v>0</v>
      </c>
      <c r="W50" s="15">
        <f>IFERROR(V50/V148, "NA")</f>
        <v>0</v>
      </c>
      <c r="X50" s="28">
        <f>SUM('4 - RASA - MVT'!X50,'5 - RASA - National Landin'!X50,'6 - RASA - Mosaic'!X50,'7 - RASA - Rockville'!X50)</f>
        <v>0</v>
      </c>
      <c r="Y50" s="15">
        <f>IFERROR(X50/X148, "NA")</f>
        <v>0</v>
      </c>
      <c r="Z50" s="28">
        <f>SUM('4 - RASA - MVT'!Z50,'5 - RASA - National Landin'!Z50,'6 - RASA - Mosaic'!Z50,'7 - RASA - Rockville'!Z50)</f>
        <v>0</v>
      </c>
      <c r="AA50" s="15">
        <f>IFERROR(Z50/Z148, "NA")</f>
        <v>0</v>
      </c>
      <c r="AB50" s="57">
        <f t="shared" si="25"/>
        <v>0</v>
      </c>
      <c r="AC50" s="15">
        <f>IFERROR(AB50/AB148, "NA")</f>
        <v>0</v>
      </c>
      <c r="AD50" s="61">
        <f t="shared" si="26"/>
        <v>0</v>
      </c>
      <c r="AE50" s="62">
        <f>IFERROR(AD50/AD148, "NA")</f>
        <v>0</v>
      </c>
      <c r="AF50" s="61" t="str">
        <f t="shared" si="27"/>
        <v>NA</v>
      </c>
      <c r="AG50" s="57">
        <f t="shared" si="28"/>
        <v>0</v>
      </c>
      <c r="AH50" s="15">
        <f>IFERROR(AG50/AG148, "NA")</f>
        <v>0</v>
      </c>
      <c r="AI50" s="61">
        <f t="shared" si="29"/>
        <v>0</v>
      </c>
      <c r="AJ50" s="62">
        <f>IFERROR(AI50/AI148, "NA")</f>
        <v>0</v>
      </c>
      <c r="AK50" s="61" t="str">
        <f t="shared" si="30"/>
        <v>NA</v>
      </c>
      <c r="AL50" s="62" t="str">
        <f>IFERROR(AK50/AK148, "NA")</f>
        <v>NA</v>
      </c>
    </row>
    <row r="51" ht="16.5" hidden="1" customHeight="1">
      <c r="A51" s="26" t="s">
        <v>112</v>
      </c>
      <c r="B51" s="28">
        <f>SUM('4 - RASA - MVT'!B51,'5 - RASA - National Landin'!B51,'6 - RASA - Mosaic'!B51,'7 - RASA - Rockville'!B51)</f>
        <v>0</v>
      </c>
      <c r="C51" s="15">
        <f>IFERROR(B51/B148, "NA")</f>
        <v>0</v>
      </c>
      <c r="D51" s="28">
        <f>SUM('4 - RASA - MVT'!D51,'5 - RASA - National Landin'!D51,'6 - RASA - Mosaic'!D51,'7 - RASA - Rockville'!D51)</f>
        <v>0</v>
      </c>
      <c r="E51" s="15">
        <f>IFERROR(D51/D148, "NA")</f>
        <v>0</v>
      </c>
      <c r="F51" s="28">
        <f>SUM('4 - RASA - MVT'!F51,'5 - RASA - National Landin'!F51,'6 - RASA - Mosaic'!F51,'7 - RASA - Rockville'!F51)</f>
        <v>0</v>
      </c>
      <c r="G51" s="15">
        <f>IFERROR(F51/F148, "NA")</f>
        <v>0</v>
      </c>
      <c r="H51" s="28">
        <f>SUM('4 - RASA - MVT'!H51,'5 - RASA - National Landin'!H51,'6 - RASA - Mosaic'!H51,'7 - RASA - Rockville'!H51)</f>
        <v>0</v>
      </c>
      <c r="I51" s="15">
        <f>IFERROR(H51/H148, "NA")</f>
        <v>0</v>
      </c>
      <c r="J51" s="28">
        <f>SUM('4 - RASA - MVT'!J51,'5 - RASA - National Landin'!J51,'6 - RASA - Mosaic'!J51,'7 - RASA - Rockville'!J51)</f>
        <v>0</v>
      </c>
      <c r="K51" s="15">
        <f>IFERROR(J51/J148, "NA")</f>
        <v>0</v>
      </c>
      <c r="L51" s="28">
        <f>SUM('4 - RASA - MVT'!L51,'5 - RASA - National Landin'!L51,'6 - RASA - Mosaic'!L51,'7 - RASA - Rockville'!L51)</f>
        <v>0</v>
      </c>
      <c r="M51" s="15">
        <f>IFERROR(L51/L148, "NA")</f>
        <v>0</v>
      </c>
      <c r="N51" s="28">
        <f>SUM('4 - RASA - MVT'!N51,'5 - RASA - National Landin'!N51,'6 - RASA - Mosaic'!N51,'7 - RASA - Rockville'!N51)</f>
        <v>0</v>
      </c>
      <c r="O51" s="15">
        <f>IFERROR(N51/N148, "NA")</f>
        <v>0</v>
      </c>
      <c r="P51" s="28">
        <f>SUM('4 - RASA - MVT'!P51,'5 - RASA - National Landin'!P51,'6 - RASA - Mosaic'!P51,'7 - RASA - Rockville'!P51)</f>
        <v>0</v>
      </c>
      <c r="Q51" s="15">
        <f>IFERROR(P51/P148, "NA")</f>
        <v>0</v>
      </c>
      <c r="R51" s="28">
        <f>SUM('4 - RASA - MVT'!R51,'5 - RASA - National Landin'!R51,'6 - RASA - Mosaic'!R51,'7 - RASA - Rockville'!R51)</f>
        <v>0</v>
      </c>
      <c r="S51" s="15">
        <f>IFERROR(R51/R148, "NA")</f>
        <v>0</v>
      </c>
      <c r="T51" s="28">
        <f>SUM('4 - RASA - MVT'!T51,'5 - RASA - National Landin'!T51,'6 - RASA - Mosaic'!T51,'7 - RASA - Rockville'!T51)</f>
        <v>0</v>
      </c>
      <c r="U51" s="15">
        <f>IFERROR(T51/T148, "NA")</f>
        <v>0</v>
      </c>
      <c r="V51" s="28">
        <f>SUM('4 - RASA - MVT'!V51,'5 - RASA - National Landin'!V51,'6 - RASA - Mosaic'!V51,'7 - RASA - Rockville'!V51)</f>
        <v>0</v>
      </c>
      <c r="W51" s="15">
        <f>IFERROR(V51/V148, "NA")</f>
        <v>0</v>
      </c>
      <c r="X51" s="28">
        <f>SUM('4 - RASA - MVT'!X51,'5 - RASA - National Landin'!X51,'6 - RASA - Mosaic'!X51,'7 - RASA - Rockville'!X51)</f>
        <v>0</v>
      </c>
      <c r="Y51" s="15">
        <f>IFERROR(X51/X148, "NA")</f>
        <v>0</v>
      </c>
      <c r="Z51" s="28">
        <f>SUM('4 - RASA - MVT'!Z51,'5 - RASA - National Landin'!Z51,'6 - RASA - Mosaic'!Z51,'7 - RASA - Rockville'!Z51)</f>
        <v>0</v>
      </c>
      <c r="AA51" s="15">
        <f>IFERROR(Z51/Z148, "NA")</f>
        <v>0</v>
      </c>
      <c r="AB51" s="57">
        <f t="shared" si="25"/>
        <v>0</v>
      </c>
      <c r="AC51" s="15">
        <f>IFERROR(AB51/AB148, "NA")</f>
        <v>0</v>
      </c>
      <c r="AD51" s="61">
        <f t="shared" si="26"/>
        <v>0</v>
      </c>
      <c r="AE51" s="62">
        <f>IFERROR(AD51/AD148, "NA")</f>
        <v>0</v>
      </c>
      <c r="AF51" s="61" t="str">
        <f t="shared" si="27"/>
        <v>NA</v>
      </c>
      <c r="AG51" s="57">
        <f t="shared" si="28"/>
        <v>0</v>
      </c>
      <c r="AH51" s="15">
        <f>IFERROR(AG51/AG148, "NA")</f>
        <v>0</v>
      </c>
      <c r="AI51" s="61">
        <f t="shared" si="29"/>
        <v>0</v>
      </c>
      <c r="AJ51" s="62">
        <f>IFERROR(AI51/AI148, "NA")</f>
        <v>0</v>
      </c>
      <c r="AK51" s="61" t="str">
        <f t="shared" si="30"/>
        <v>NA</v>
      </c>
      <c r="AL51" s="62" t="str">
        <f>IFERROR(AK51/AK148, "NA")</f>
        <v>NA</v>
      </c>
    </row>
    <row r="52" ht="16.5" customHeight="1">
      <c r="A52" s="67" t="s">
        <v>113</v>
      </c>
      <c r="B52" s="70">
        <f>IFERROR(B46+B47+B48+B49+B50+B51, "NA")</f>
        <v>207.01</v>
      </c>
      <c r="C52" s="71">
        <f>IFERROR(B52/B148, "NA")</f>
        <v>0.002800915409</v>
      </c>
      <c r="D52" s="70">
        <f>IFERROR(D46+D47+D48+D49+D50+D51, "NA")</f>
        <v>161.3</v>
      </c>
      <c r="E52" s="71">
        <f>IFERROR(D52/D148, "NA")</f>
        <v>0.001571083186</v>
      </c>
      <c r="F52" s="70">
        <f>IFERROR(F46+F47+F48+F49+F50+F51, "NA")</f>
        <v>286.21</v>
      </c>
      <c r="G52" s="71">
        <f>IFERROR(F52/F148, "NA")</f>
        <v>0.002618057508</v>
      </c>
      <c r="H52" s="70">
        <f>IFERROR(H46+H47+H48+H49+H50+H51, "NA")</f>
        <v>242.72</v>
      </c>
      <c r="I52" s="71">
        <f>IFERROR(H52/H148, "NA")</f>
        <v>0.001983562063</v>
      </c>
      <c r="J52" s="70">
        <f>IFERROR(J46+J47+J48+J49+J50+J51, "NA")</f>
        <v>218</v>
      </c>
      <c r="K52" s="71">
        <f>IFERROR(J52/J148, "NA")</f>
        <v>0.001913849555</v>
      </c>
      <c r="L52" s="70">
        <f>IFERROR(L46+L47+L48+L49+L50+L51, "NA")</f>
        <v>204</v>
      </c>
      <c r="M52" s="71">
        <f>IFERROR(L52/L148, "NA")</f>
        <v>0.001625986063</v>
      </c>
      <c r="N52" s="70">
        <f>IFERROR(N46+N47+N48+N49+N50+N51, "NA")</f>
        <v>298.65</v>
      </c>
      <c r="O52" s="71">
        <f>IFERROR(N52/N148, "NA")</f>
        <v>0.002175343384</v>
      </c>
      <c r="P52" s="70">
        <f>IFERROR(P46+P47+P48+P49+P50+P51, "NA")</f>
        <v>234.39</v>
      </c>
      <c r="Q52" s="71">
        <f>IFERROR(P52/P148, "NA")</f>
        <v>0.001590734364</v>
      </c>
      <c r="R52" s="70">
        <f>IFERROR(R46+R47+R48+R49+R50+R51, "NA")</f>
        <v>271.08</v>
      </c>
      <c r="S52" s="71">
        <f>IFERROR(R52/R148, "NA")</f>
        <v>0.001876808708</v>
      </c>
      <c r="T52" s="70">
        <f>IFERROR(T46+T47+T48+T49+T50+T51, "NA")</f>
        <v>306.61</v>
      </c>
      <c r="U52" s="71">
        <f>IFERROR(T52/T148, "NA")</f>
        <v>0.002403986756</v>
      </c>
      <c r="V52" s="70">
        <f>IFERROR(V46+V47+V48+V49+V50+V51, "NA")</f>
        <v>273.77</v>
      </c>
      <c r="W52" s="71">
        <f>IFERROR(V52/V148, "NA")</f>
        <v>0.002066582344</v>
      </c>
      <c r="X52" s="70">
        <f>IFERROR(X46+X47+X48+X49+X50+X51, "NA")</f>
        <v>349.34</v>
      </c>
      <c r="Y52" s="71">
        <f>IFERROR(X52/X148, "NA")</f>
        <v>0.002442072433</v>
      </c>
      <c r="Z52" s="70">
        <f>IFERROR(Z46+Z47+Z48+Z49+Z50+Z51, "NA")</f>
        <v>929.72</v>
      </c>
      <c r="AA52" s="71">
        <f>IFERROR(Z52/Z148, "NA")</f>
        <v>0.002306610088</v>
      </c>
      <c r="AB52" s="70">
        <f t="shared" si="25"/>
        <v>300.2</v>
      </c>
      <c r="AC52" s="71">
        <f>IFERROR(AB52/AB148, "NA")</f>
        <v>0.002193224543</v>
      </c>
      <c r="AD52" s="75">
        <f t="shared" si="26"/>
        <v>49.14</v>
      </c>
      <c r="AE52" s="76">
        <f>IFERROR(AD52/AD148, "NA")</f>
        <v>0.007958487596</v>
      </c>
      <c r="AF52" s="75">
        <f t="shared" si="27"/>
        <v>0.1636908728</v>
      </c>
      <c r="AG52" s="70">
        <f t="shared" si="28"/>
        <v>269.48</v>
      </c>
      <c r="AH52" s="71">
        <f>IFERROR(AG52/AG148, "NA")</f>
        <v>0.002011966396</v>
      </c>
      <c r="AI52" s="75">
        <f t="shared" si="29"/>
        <v>79.86</v>
      </c>
      <c r="AJ52" s="76">
        <f>IFERROR(AI52/AI148, "NA")</f>
        <v>0.00876425608</v>
      </c>
      <c r="AK52" s="75">
        <f t="shared" si="30"/>
        <v>0.2963485231</v>
      </c>
      <c r="AL52" s="76">
        <f>IFERROR(AK52/AK148, "NA")</f>
        <v>4.356064842</v>
      </c>
    </row>
    <row r="53" ht="16.5" customHeight="1">
      <c r="A53" s="26" t="s">
        <v>114</v>
      </c>
      <c r="B53" s="28">
        <f>SUM('4 - RASA - MVT'!B53,'5 - RASA - National Landin'!B53,'6 - RASA - Mosaic'!B53,'7 - RASA - Rockville'!B53)</f>
        <v>119.02</v>
      </c>
      <c r="C53" s="15">
        <f>IFERROR(B53/B148, "NA")</f>
        <v>0.001610380909</v>
      </c>
      <c r="D53" s="28">
        <f>SUM('4 - RASA - MVT'!D53,'5 - RASA - National Landin'!D53,'6 - RASA - Mosaic'!D53,'7 - RASA - Rockville'!D53)</f>
        <v>113.44</v>
      </c>
      <c r="E53" s="15">
        <f>IFERROR(D53/D148, "NA")</f>
        <v>0.0011049205</v>
      </c>
      <c r="F53" s="28">
        <f>SUM('4 - RASA - MVT'!F53,'5 - RASA - National Landin'!F53,'6 - RASA - Mosaic'!F53,'7 - RASA - Rockville'!F53)</f>
        <v>279.26</v>
      </c>
      <c r="G53" s="15">
        <f>IFERROR(F53/F148, "NA")</f>
        <v>0.00255448356</v>
      </c>
      <c r="H53" s="28">
        <f>SUM('4 - RASA - MVT'!H53,'5 - RASA - National Landin'!H53,'6 - RASA - Mosaic'!H53,'7 - RASA - Rockville'!H53)</f>
        <v>179.94</v>
      </c>
      <c r="I53" s="15">
        <f>IFERROR(H53/H148, "NA")</f>
        <v>0.001470509878</v>
      </c>
      <c r="J53" s="28">
        <f>SUM('4 - RASA - MVT'!J53,'5 - RASA - National Landin'!J53,'6 - RASA - Mosaic'!J53,'7 - RASA - Rockville'!J53)</f>
        <v>139.52</v>
      </c>
      <c r="K53" s="15">
        <f>IFERROR(J53/J148, "NA")</f>
        <v>0.001224863715</v>
      </c>
      <c r="L53" s="28">
        <f>SUM('4 - RASA - MVT'!L53,'5 - RASA - National Landin'!L53,'6 - RASA - Mosaic'!L53,'7 - RASA - Rockville'!L53)</f>
        <v>231.86</v>
      </c>
      <c r="M53" s="15">
        <f>IFERROR(L53/L148, "NA")</f>
        <v>0.001848044748</v>
      </c>
      <c r="N53" s="28">
        <f>SUM('4 - RASA - MVT'!N53,'5 - RASA - National Landin'!N53,'6 - RASA - Mosaic'!N53,'7 - RASA - Rockville'!N53)</f>
        <v>210.83</v>
      </c>
      <c r="O53" s="15">
        <f>IFERROR(N53/N148, "NA")</f>
        <v>0.001535669331</v>
      </c>
      <c r="P53" s="28">
        <f>SUM('4 - RASA - MVT'!P53,'5 - RASA - National Landin'!P53,'6 - RASA - Mosaic'!P53,'7 - RASA - Rockville'!P53)</f>
        <v>219.62</v>
      </c>
      <c r="Q53" s="15">
        <f>IFERROR(P53/P148, "NA")</f>
        <v>0.001490494821</v>
      </c>
      <c r="R53" s="28">
        <f>SUM('4 - RASA - MVT'!R53,'5 - RASA - National Landin'!R53,'6 - RASA - Mosaic'!R53,'7 - RASA - Rockville'!R53)</f>
        <v>159.59</v>
      </c>
      <c r="S53" s="15">
        <f>IFERROR(R53/R148, "NA")</f>
        <v>0.001104913316</v>
      </c>
      <c r="T53" s="28">
        <f>SUM('4 - RASA - MVT'!T53,'5 - RASA - National Landin'!T53,'6 - RASA - Mosaic'!T53,'7 - RASA - Rockville'!T53)</f>
        <v>197.97</v>
      </c>
      <c r="U53" s="15">
        <f>IFERROR(T53/T148, "NA")</f>
        <v>0.00155219092</v>
      </c>
      <c r="V53" s="28">
        <f>SUM('4 - RASA - MVT'!V53,'5 - RASA - National Landin'!V53,'6 - RASA - Mosaic'!V53,'7 - RASA - Rockville'!V53)</f>
        <v>202.74</v>
      </c>
      <c r="W53" s="15">
        <f>IFERROR(V53/V148, "NA")</f>
        <v>0.001530404735</v>
      </c>
      <c r="X53" s="28">
        <f>SUM('4 - RASA - MVT'!X53,'5 - RASA - National Landin'!X53,'6 - RASA - Mosaic'!X53,'7 - RASA - Rockville'!X53)</f>
        <v>197.73</v>
      </c>
      <c r="Y53" s="15">
        <f>IFERROR(X53/X148, "NA")</f>
        <v>0.001382237883</v>
      </c>
      <c r="Z53" s="28">
        <f>SUM('4 - RASA - MVT'!Z53,'5 - RASA - National Landin'!Z53,'6 - RASA - Mosaic'!Z53,'7 - RASA - Rockville'!Z53)</f>
        <v>598.44</v>
      </c>
      <c r="AA53" s="15">
        <f>IFERROR(Z53/Z148, "NA")</f>
        <v>0.001484713399</v>
      </c>
      <c r="AB53" s="57">
        <f t="shared" si="25"/>
        <v>189.5075</v>
      </c>
      <c r="AC53" s="15">
        <f>IFERROR(AB53/AB148, "NA")</f>
        <v>0.001384518655</v>
      </c>
      <c r="AD53" s="61">
        <f t="shared" si="26"/>
        <v>8.2225</v>
      </c>
      <c r="AE53" s="62">
        <f>IFERROR(AD53/AD148, "NA")</f>
        <v>0.001331678149</v>
      </c>
      <c r="AF53" s="61">
        <f t="shared" si="27"/>
        <v>0.04338878409</v>
      </c>
      <c r="AG53" s="57">
        <f t="shared" si="28"/>
        <v>194.9825</v>
      </c>
      <c r="AH53" s="15">
        <f>IFERROR(AG53/AG148, "NA")</f>
        <v>0.001455760122</v>
      </c>
      <c r="AI53" s="61">
        <f t="shared" si="29"/>
        <v>2.7475</v>
      </c>
      <c r="AJ53" s="62">
        <f>IFERROR(AI53/AI148, "NA")</f>
        <v>0.0003015250887</v>
      </c>
      <c r="AK53" s="61">
        <f t="shared" si="30"/>
        <v>0.01409100817</v>
      </c>
      <c r="AL53" s="62">
        <f>IFERROR(AK53/AK148, "NA")</f>
        <v>0.2071255312</v>
      </c>
    </row>
    <row r="54" ht="16.5" customHeight="1">
      <c r="A54" s="26" t="s">
        <v>115</v>
      </c>
      <c r="B54" s="28">
        <f>SUM('4 - RASA - MVT'!B54,'5 - RASA - National Landin'!B54,'6 - RASA - Mosaic'!B54,'7 - RASA - Rockville'!B54)</f>
        <v>18.31</v>
      </c>
      <c r="C54" s="15">
        <f>IFERROR(B54/B148, "NA")</f>
        <v>0.0002477405011</v>
      </c>
      <c r="D54" s="28">
        <f>SUM('4 - RASA - MVT'!D54,'5 - RASA - National Landin'!D54,'6 - RASA - Mosaic'!D54,'7 - RASA - Rockville'!D54)</f>
        <v>30</v>
      </c>
      <c r="E54" s="15">
        <f>IFERROR(D54/D148, "NA")</f>
        <v>0.0002922039404</v>
      </c>
      <c r="F54" s="28">
        <f>SUM('4 - RASA - MVT'!F54,'5 - RASA - National Landin'!F54,'6 - RASA - Mosaic'!F54,'7 - RASA - Rockville'!F54)</f>
        <v>30.31</v>
      </c>
      <c r="G54" s="15">
        <f>IFERROR(F54/F148, "NA")</f>
        <v>0.0002772555922</v>
      </c>
      <c r="H54" s="28">
        <f>SUM('4 - RASA - MVT'!H54,'5 - RASA - National Landin'!H54,'6 - RASA - Mosaic'!H54,'7 - RASA - Rockville'!H54)</f>
        <v>42.62</v>
      </c>
      <c r="I54" s="15">
        <f>IFERROR(H54/H148, "NA")</f>
        <v>0.0003483001612</v>
      </c>
      <c r="J54" s="28">
        <f>SUM('4 - RASA - MVT'!J54,'5 - RASA - National Landin'!J54,'6 - RASA - Mosaic'!J54,'7 - RASA - Rockville'!J54)</f>
        <v>39.93</v>
      </c>
      <c r="K54" s="15">
        <f>IFERROR(J54/J148, "NA")</f>
        <v>0.0003505505171</v>
      </c>
      <c r="L54" s="28">
        <f>SUM('4 - RASA - MVT'!L54,'5 - RASA - National Landin'!L54,'6 - RASA - Mosaic'!L54,'7 - RASA - Rockville'!L54)</f>
        <v>36</v>
      </c>
      <c r="M54" s="15">
        <f>IFERROR(L54/L148, "NA")</f>
        <v>0.000286938717</v>
      </c>
      <c r="N54" s="28">
        <f>SUM('4 - RASA - MVT'!N54,'5 - RASA - National Landin'!N54,'6 - RASA - Mosaic'!N54,'7 - RASA - Rockville'!N54)</f>
        <v>57.62</v>
      </c>
      <c r="O54" s="15">
        <f>IFERROR(N54/N148, "NA")</f>
        <v>0.0004196996008</v>
      </c>
      <c r="P54" s="28">
        <f>SUM('4 - RASA - MVT'!P54,'5 - RASA - National Landin'!P54,'6 - RASA - Mosaic'!P54,'7 - RASA - Rockville'!P54)</f>
        <v>120.31</v>
      </c>
      <c r="Q54" s="15">
        <f>IFERROR(P54/P148, "NA")</f>
        <v>0.0008165077493</v>
      </c>
      <c r="R54" s="28">
        <f>SUM('4 - RASA - MVT'!R54,'5 - RASA - National Landin'!R54,'6 - RASA - Mosaic'!R54,'7 - RASA - Rockville'!R54)</f>
        <v>552.97</v>
      </c>
      <c r="S54" s="15">
        <f>IFERROR(R54/R148, "NA")</f>
        <v>0.003828459906</v>
      </c>
      <c r="T54" s="28">
        <f>SUM('4 - RASA - MVT'!T54,'5 - RASA - National Landin'!T54,'6 - RASA - Mosaic'!T54,'7 - RASA - Rockville'!T54)</f>
        <v>114.62</v>
      </c>
      <c r="U54" s="15">
        <f>IFERROR(T54/T148, "NA")</f>
        <v>0.0008986822411</v>
      </c>
      <c r="V54" s="28">
        <f>SUM('4 - RASA - MVT'!V54,'5 - RASA - National Landin'!V54,'6 - RASA - Mosaic'!V54,'7 - RASA - Rockville'!V54)</f>
        <v>120.56</v>
      </c>
      <c r="W54" s="15">
        <f>IFERROR(V54/V148, "NA")</f>
        <v>0.0009100601503</v>
      </c>
      <c r="X54" s="28">
        <f>SUM('4 - RASA - MVT'!X54,'5 - RASA - National Landin'!X54,'6 - RASA - Mosaic'!X54,'7 - RASA - Rockville'!X54)</f>
        <v>139.37</v>
      </c>
      <c r="Y54" s="15">
        <f>IFERROR(X54/X148, "NA")</f>
        <v>0.0009742704384</v>
      </c>
      <c r="Z54" s="28">
        <f>SUM('4 - RASA - MVT'!Z54,'5 - RASA - National Landin'!Z54,'6 - RASA - Mosaic'!Z54,'7 - RASA - Rockville'!Z54)</f>
        <v>374.55</v>
      </c>
      <c r="AA54" s="15">
        <f>IFERROR(Z54/Z148, "NA")</f>
        <v>0.0009292483851</v>
      </c>
      <c r="AB54" s="57">
        <f t="shared" si="25"/>
        <v>231.88</v>
      </c>
      <c r="AC54" s="15">
        <f>IFERROR(AB54/AB148, "NA")</f>
        <v>0.001694086966</v>
      </c>
      <c r="AD54" s="61">
        <f t="shared" si="26"/>
        <v>-92.51</v>
      </c>
      <c r="AE54" s="62">
        <f>IFERROR(AD54/AD148, "NA")</f>
        <v>-0.01498249262</v>
      </c>
      <c r="AF54" s="61">
        <f t="shared" si="27"/>
        <v>-0.3989563567</v>
      </c>
      <c r="AG54" s="57">
        <f t="shared" si="28"/>
        <v>147.6725</v>
      </c>
      <c r="AH54" s="15">
        <f>IFERROR(AG54/AG148, "NA")</f>
        <v>0.001102538621</v>
      </c>
      <c r="AI54" s="61">
        <f t="shared" si="29"/>
        <v>-8.3025</v>
      </c>
      <c r="AJ54" s="62">
        <f>IFERROR(AI54/AI148, "NA")</f>
        <v>-0.0009111599813</v>
      </c>
      <c r="AK54" s="61">
        <f t="shared" si="30"/>
        <v>-0.05622238399</v>
      </c>
      <c r="AL54" s="62">
        <f>IFERROR(AK54/AK148, "NA")</f>
        <v>-0.8264200129</v>
      </c>
    </row>
    <row r="55" ht="16.5" customHeight="1">
      <c r="A55" s="26" t="s">
        <v>116</v>
      </c>
      <c r="B55" s="28">
        <f>SUM('4 - RASA - MVT'!B55,'5 - RASA - National Landin'!B55,'6 - RASA - Mosaic'!B55,'7 - RASA - Rockville'!B55)</f>
        <v>-746.22</v>
      </c>
      <c r="C55" s="15">
        <f>IFERROR(B55/B148, "NA")</f>
        <v>-0.01009660932</v>
      </c>
      <c r="D55" s="28">
        <f>SUM('4 - RASA - MVT'!D55,'5 - RASA - National Landin'!D55,'6 - RASA - Mosaic'!D55,'7 - RASA - Rockville'!D55)</f>
        <v>-823.43</v>
      </c>
      <c r="E55" s="15">
        <f>IFERROR(D55/D148, "NA")</f>
        <v>-0.008020316356</v>
      </c>
      <c r="F55" s="28">
        <f>SUM('4 - RASA - MVT'!F55,'5 - RASA - National Landin'!F55,'6 - RASA - Mosaic'!F55,'7 - RASA - Rockville'!F55)</f>
        <v>-884.63</v>
      </c>
      <c r="G55" s="15">
        <f>IFERROR(F55/F148, "NA")</f>
        <v>-0.00809200312</v>
      </c>
      <c r="H55" s="28">
        <f>SUM('4 - RASA - MVT'!H55,'5 - RASA - National Landin'!H55,'6 - RASA - Mosaic'!H55,'7 - RASA - Rockville'!H55)</f>
        <v>-986.55</v>
      </c>
      <c r="I55" s="15">
        <f>IFERROR(H55/H148, "NA")</f>
        <v>-0.008062306993</v>
      </c>
      <c r="J55" s="28">
        <f>SUM('4 - RASA - MVT'!J55,'5 - RASA - National Landin'!J55,'6 - RASA - Mosaic'!J55,'7 - RASA - Rockville'!J55)</f>
        <v>-925.14</v>
      </c>
      <c r="K55" s="15">
        <f>IFERROR(J55/J148, "NA")</f>
        <v>-0.008121920996</v>
      </c>
      <c r="L55" s="28">
        <f>SUM('4 - RASA - MVT'!L55,'5 - RASA - National Landin'!L55,'6 - RASA - Mosaic'!L55,'7 - RASA - Rockville'!L55)</f>
        <v>-1017.26</v>
      </c>
      <c r="M55" s="15">
        <f>IFERROR(L55/L148, "NA")</f>
        <v>-0.00810809109</v>
      </c>
      <c r="N55" s="28">
        <f>SUM('4 - RASA - MVT'!N55,'5 - RASA - National Landin'!N55,'6 - RASA - Mosaic'!N55,'7 - RASA - Rockville'!N55)</f>
        <v>-1147.74</v>
      </c>
      <c r="O55" s="15">
        <f>IFERROR(N55/N148, "NA")</f>
        <v>-0.008360048939</v>
      </c>
      <c r="P55" s="28">
        <f>SUM('4 - RASA - MVT'!P55,'5 - RASA - National Landin'!P55,'6 - RASA - Mosaic'!P55,'7 - RASA - Rockville'!P55)</f>
        <v>-1145.41</v>
      </c>
      <c r="Q55" s="15">
        <f>IFERROR(P55/P148, "NA")</f>
        <v>-0.007773552831</v>
      </c>
      <c r="R55" s="28">
        <f>SUM('4 - RASA - MVT'!R55,'5 - RASA - National Landin'!R55,'6 - RASA - Mosaic'!R55,'7 - RASA - Rockville'!R55)</f>
        <v>-1034.6</v>
      </c>
      <c r="S55" s="15">
        <f>IFERROR(R55/R148, "NA")</f>
        <v>-0.007163000919</v>
      </c>
      <c r="T55" s="28">
        <f>SUM('4 - RASA - MVT'!T55,'5 - RASA - National Landin'!T55,'6 - RASA - Mosaic'!T55,'7 - RASA - Rockville'!T55)</f>
        <v>-832.87</v>
      </c>
      <c r="U55" s="15">
        <f>IFERROR(T55/T148, "NA")</f>
        <v>-0.006530147253</v>
      </c>
      <c r="V55" s="28">
        <f>SUM('4 - RASA - MVT'!V55,'5 - RASA - National Landin'!V55,'6 - RASA - Mosaic'!V55,'7 - RASA - Rockville'!V55)</f>
        <v>-1068.04</v>
      </c>
      <c r="W55" s="15">
        <f>IFERROR(V55/V148, "NA")</f>
        <v>-0.008062215021</v>
      </c>
      <c r="X55" s="28">
        <f>SUM('4 - RASA - MVT'!X55,'5 - RASA - National Landin'!X55,'6 - RASA - Mosaic'!X55,'7 - RASA - Rockville'!X55)</f>
        <v>-1044.31</v>
      </c>
      <c r="Y55" s="15">
        <f>IFERROR(X55/X148, "NA")</f>
        <v>-0.007300282424</v>
      </c>
      <c r="Z55" s="28">
        <f>SUM('4 - RASA - MVT'!Z55,'5 - RASA - National Landin'!Z55,'6 - RASA - Mosaic'!Z55,'7 - RASA - Rockville'!Z55)</f>
        <v>-2945.22</v>
      </c>
      <c r="AA55" s="15">
        <f>IFERROR(Z55/Z148, "NA")</f>
        <v>-0.007307010889</v>
      </c>
      <c r="AB55" s="57">
        <f t="shared" si="25"/>
        <v>-994.955</v>
      </c>
      <c r="AC55" s="15">
        <f>IFERROR(AB55/AB148, "NA")</f>
        <v>-0.007269019739</v>
      </c>
      <c r="AD55" s="61">
        <f t="shared" si="26"/>
        <v>-49.355</v>
      </c>
      <c r="AE55" s="62">
        <f>IFERROR(AD55/AD148, "NA")</f>
        <v>-0.007993308004</v>
      </c>
      <c r="AF55" s="61">
        <f t="shared" si="27"/>
        <v>0.04960525853</v>
      </c>
      <c r="AG55" s="57">
        <f t="shared" si="28"/>
        <v>-1026.92125</v>
      </c>
      <c r="AH55" s="15">
        <f>IFERROR(AG55/AG148, "NA")</f>
        <v>-0.007667103481</v>
      </c>
      <c r="AI55" s="61">
        <f t="shared" si="29"/>
        <v>-17.38875</v>
      </c>
      <c r="AJ55" s="62">
        <f>IFERROR(AI55/AI148, "NA")</f>
        <v>-0.001908332806</v>
      </c>
      <c r="AK55" s="61">
        <f t="shared" si="30"/>
        <v>0.01693289529</v>
      </c>
      <c r="AL55" s="62">
        <f>IFERROR(AK55/AK148, "NA")</f>
        <v>0.2488987935</v>
      </c>
    </row>
    <row r="56" ht="16.5" customHeight="1">
      <c r="A56" s="67" t="s">
        <v>117</v>
      </c>
      <c r="B56" s="70">
        <f>IFERROR(B37+B39+B40+B41+B42+B43+B46+B47+B48+B49+B50+B51+B53+B54+B55, "NA")</f>
        <v>2334.64</v>
      </c>
      <c r="C56" s="71">
        <f>IFERROR(B56/B148, "NA")</f>
        <v>0.03158846988</v>
      </c>
      <c r="D56" s="70">
        <f>IFERROR(D37+D39+D40+D41+D42+D43+D46+D47+D48+D49+D50+D51+D53+D54+D55, "NA")</f>
        <v>4387.88</v>
      </c>
      <c r="E56" s="71">
        <f>IFERROR(D56/D148, "NA")</f>
        <v>0.04273852754</v>
      </c>
      <c r="F56" s="70">
        <f>IFERROR(F37+F39+F40+F41+F42+F43+F46+F47+F48+F49+F50+F51+F53+F54+F55, "NA")</f>
        <v>4463.55</v>
      </c>
      <c r="G56" s="71">
        <f>IFERROR(F56/F148, "NA")</f>
        <v>0.04082956776</v>
      </c>
      <c r="H56" s="70">
        <f>IFERROR(H37+H39+H40+H41+H42+H43+H46+H47+H48+H49+H50+H51+H53+H54+H55, "NA")</f>
        <v>4812.41</v>
      </c>
      <c r="I56" s="71">
        <f>IFERROR(H56/H148, "NA")</f>
        <v>0.0393280896</v>
      </c>
      <c r="J56" s="70">
        <f>IFERROR(J37+J39+J40+J41+J42+J43+J46+J47+J48+J49+J50+J51+J53+J54+J55, "NA")</f>
        <v>3811.72</v>
      </c>
      <c r="K56" s="71">
        <f>IFERROR(J56/J148, "NA")</f>
        <v>0.03346357167</v>
      </c>
      <c r="L56" s="70">
        <f>IFERROR(L37+L39+L40+L41+L42+L43+L46+L47+L48+L49+L50+L51+L53+L54+L55, "NA")</f>
        <v>4585.99</v>
      </c>
      <c r="M56" s="71">
        <f>IFERROR(L56/L148, "NA")</f>
        <v>0.03655272463</v>
      </c>
      <c r="N56" s="70">
        <f>IFERROR(N37+N39+N40+N41+N42+N43+N46+N47+N48+N49+N50+N51+N53+N54+N55, "NA")</f>
        <v>5129.78</v>
      </c>
      <c r="O56" s="71">
        <f>IFERROR(N56/N148, "NA")</f>
        <v>0.03736491875</v>
      </c>
      <c r="P56" s="70">
        <f>IFERROR(P37+P39+P40+P41+P42+P43+P46+P47+P48+P49+P50+P51+P53+P54+P55, "NA")</f>
        <v>5109.53</v>
      </c>
      <c r="Q56" s="71">
        <f>IFERROR(P56/P148, "NA")</f>
        <v>0.03467684183</v>
      </c>
      <c r="R56" s="70">
        <f>IFERROR(R37+R39+R40+R41+R42+R43+R46+R47+R48+R49+R50+R51+R53+R54+R55, "NA")</f>
        <v>5478.4</v>
      </c>
      <c r="S56" s="71">
        <f>IFERROR(R56/R148, "NA")</f>
        <v>0.03792942609</v>
      </c>
      <c r="T56" s="70">
        <f>IFERROR(T37+T39+T40+T41+T42+T43+T46+T47+T48+T49+T50+T51+T53+T54+T55, "NA")</f>
        <v>5182.58</v>
      </c>
      <c r="U56" s="71">
        <f>IFERROR(T56/T148, "NA")</f>
        <v>0.04063420528</v>
      </c>
      <c r="V56" s="70">
        <f>IFERROR(V37+V39+V40+V41+V42+V43+V46+V47+V48+V49+V50+V51+V53+V54+V55, "NA")</f>
        <v>4471.54</v>
      </c>
      <c r="W56" s="71">
        <f>IFERROR(V56/V148, "NA")</f>
        <v>0.0337539015</v>
      </c>
      <c r="X56" s="70">
        <f>IFERROR(X37+X39+X40+X41+X42+X43+X46+X47+X48+X49+X50+X51+X53+X54+X55, "NA")</f>
        <v>4954.77</v>
      </c>
      <c r="Y56" s="71">
        <f>IFERROR(X56/X148, "NA")</f>
        <v>0.03463647801</v>
      </c>
      <c r="Z56" s="70">
        <f>IFERROR(Z37+Z39+Z40+Z41+Z42+Z43+Z46+Z47+Z48+Z49+Z50+Z51+Z53+Z54+Z55, "NA")</f>
        <v>14608.89</v>
      </c>
      <c r="AA56" s="71">
        <f>IFERROR(Z56/Z148, "NA")</f>
        <v>0.03624425962</v>
      </c>
      <c r="AB56" s="70">
        <f t="shared" si="25"/>
        <v>5021.8225</v>
      </c>
      <c r="AC56" s="71">
        <f>IFERROR(AB56/AB148, "NA")</f>
        <v>0.03668882198</v>
      </c>
      <c r="AD56" s="75">
        <f t="shared" si="26"/>
        <v>-67.0525</v>
      </c>
      <c r="AE56" s="76">
        <f>IFERROR(AD56/AD148, "NA")</f>
        <v>-0.01085951342</v>
      </c>
      <c r="AF56" s="75">
        <f t="shared" si="27"/>
        <v>-0.01335222422</v>
      </c>
      <c r="AG56" s="70">
        <f t="shared" si="28"/>
        <v>4840.53875</v>
      </c>
      <c r="AH56" s="71">
        <f>IFERROR(AG56/AG148, "NA")</f>
        <v>0.03613997811</v>
      </c>
      <c r="AI56" s="75">
        <f t="shared" si="29"/>
        <v>114.23125</v>
      </c>
      <c r="AJ56" s="76">
        <f>IFERROR(AI56/AI148, "NA")</f>
        <v>0.01253633768</v>
      </c>
      <c r="AK56" s="75">
        <f t="shared" si="30"/>
        <v>0.0235988711</v>
      </c>
      <c r="AL56" s="76">
        <f>IFERROR(AK56/AK148, "NA")</f>
        <v>0.3468828244</v>
      </c>
    </row>
    <row r="57" ht="16.5" customHeight="1">
      <c r="A57" s="67" t="s">
        <v>54</v>
      </c>
      <c r="B57" s="118">
        <f>IFERROR(B13+B15+B16+B17+B18+B19+B20+B21+B22+B23+B24+B25+B26+B29+B30+B31+B32+B33+B37+B39+B40+B41+B42+B43+B46+B47+B48+B49+B50+B51+B53+B54+B55, "NA")</f>
        <v>20619.77</v>
      </c>
      <c r="C57" s="94">
        <f>IFERROR(B57/B148, "NA")</f>
        <v>0.2789924714</v>
      </c>
      <c r="D57" s="118">
        <f>IFERROR(D13+D15+D16+D17+D18+D19+D20+D21+D22+D23+D24+D25+D26+D29+D30+D31+D32+D33+D37+D39+D40+D41+D42+D43+D46+D47+D48+D49+D50+D51+D53+D54+D55, "NA")</f>
        <v>28534.67</v>
      </c>
      <c r="E57" s="94">
        <f>IFERROR(D57/D148, "NA")</f>
        <v>0.2779314338</v>
      </c>
      <c r="F57" s="118">
        <f>IFERROR(F13+F15+F16+F17+F18+F19+F20+F21+F22+F23+F24+F25+F26+F29+F30+F31+F32+F33+F37+F39+F40+F41+F42+F43+F46+F47+F48+F49+F50+F51+F53+F54+F55, "NA")</f>
        <v>29581.17</v>
      </c>
      <c r="G57" s="94">
        <f>IFERROR(F57/F148, "NA")</f>
        <v>0.2705887432</v>
      </c>
      <c r="H57" s="118">
        <f>IFERROR(H13+H15+H16+H17+H18+H19+H20+H21+H22+H23+H24+H25+H26+H29+H30+H31+H32+H33+H37+H39+H40+H41+H42+H43+H46+H47+H48+H49+H50+H51+H53+H54+H55, "NA")</f>
        <v>32732.41</v>
      </c>
      <c r="I57" s="94">
        <f>IFERROR(H57/H148, "NA")</f>
        <v>0.2674965668</v>
      </c>
      <c r="J57" s="118">
        <f>IFERROR(J13+J15+J16+J17+J18+J19+J20+J21+J22+J23+J24+J25+J26+J29+J30+J31+J32+J33+J37+J39+J40+J41+J42+J43+J46+J47+J48+J49+J50+J51+J53+J54+J55, "NA")</f>
        <v>30858.28</v>
      </c>
      <c r="K57" s="94">
        <f>IFERROR(J57/J148, "NA")</f>
        <v>0.2709087405</v>
      </c>
      <c r="L57" s="118">
        <f>IFERROR(L13+L15+L16+L17+L18+L19+L20+L21+L22+L23+L24+L25+L26+L29+L30+L31+L32+L33+L37+L39+L40+L41+L42+L43+L46+L47+L48+L49+L50+L51+L53+L54+L55, "NA")</f>
        <v>33407.53</v>
      </c>
      <c r="M57" s="94">
        <f>IFERROR(L57/L148, "NA")</f>
        <v>0.2662753832</v>
      </c>
      <c r="N57" s="118">
        <f>IFERROR(N13+N15+N16+N17+N18+N19+N20+N21+N22+N23+N24+N25+N26+N29+N30+N31+N32+N33+N37+N39+N40+N41+N42+N43+N46+N47+N48+N49+N50+N51+N53+N54+N55, "NA")</f>
        <v>37302.22</v>
      </c>
      <c r="O57" s="94">
        <f>IFERROR(N57/N148, "NA")</f>
        <v>0.2717064708</v>
      </c>
      <c r="P57" s="118">
        <f>IFERROR(P13+P15+P16+P17+P18+P19+P20+P21+P22+P23+P24+P25+P26+P29+P30+P31+P32+P33+P37+P39+P40+P41+P42+P43+P46+P47+P48+P49+P50+P51+P53+P54+P55, "NA")</f>
        <v>38988.62</v>
      </c>
      <c r="Q57" s="94">
        <f>IFERROR(P57/P148, "NA")</f>
        <v>0.264604026</v>
      </c>
      <c r="R57" s="118">
        <f>IFERROR(R13+R15+R16+R17+R18+R19+R20+R21+R22+R23+R24+R25+R26+R29+R30+R31+R32+R33+R37+R39+R40+R41+R42+R43+R46+R47+R48+R49+R50+R51+R53+R54+R55, "NA")</f>
        <v>38800.98</v>
      </c>
      <c r="S57" s="94">
        <f>IFERROR(R57/R148, "NA")</f>
        <v>0.2686366281</v>
      </c>
      <c r="T57" s="118">
        <f>IFERROR(T13+T15+T16+T17+T18+T19+T20+T21+T22+T23+T24+T25+T26+T29+T30+T31+T32+T33+T37+T39+T40+T41+T42+T43+T46+T47+T48+T49+T50+T51+T53+T54+T55, "NA")</f>
        <v>35289.24</v>
      </c>
      <c r="U57" s="94">
        <f>IFERROR(T57/T148, "NA")</f>
        <v>0.2766865581</v>
      </c>
      <c r="V57" s="118">
        <f>IFERROR(V13+V15+V16+V17+V18+V19+V20+V21+V22+V23+V24+V25+V26+V29+V30+V31+V32+V33+V37+V39+V40+V41+V42+V43+V46+V47+V48+V49+V50+V51+V53+V54+V55, "NA")</f>
        <v>36825.09</v>
      </c>
      <c r="W57" s="94">
        <f>IFERROR(V57/V148, "NA")</f>
        <v>0.2779781598</v>
      </c>
      <c r="X57" s="118">
        <f>IFERROR(X13+X15+X16+X17+X18+X19+X20+X21+X22+X23+X24+X25+X26+X29+X30+X31+X32+X33+X37+X39+X40+X41+X42+X43+X46+X47+X48+X49+X50+X51+X53+X54+X55, "NA")</f>
        <v>38030.95</v>
      </c>
      <c r="Y57" s="94">
        <f>IFERROR(X57/X148, "NA")</f>
        <v>0.2658565712</v>
      </c>
      <c r="Z57" s="118">
        <f>IFERROR(Z13+Z15+Z16+Z17+Z18+Z19+Z20+Z21+Z22+Z23+Z24+Z25+Z26+Z29+Z30+Z31+Z32+Z33+Z37+Z39+Z40+Z41+Z42+Z43+Z46+Z47+Z48+Z49+Z50+Z51+Z53+Z54+Z55, "NA")</f>
        <v>110145.28</v>
      </c>
      <c r="AA57" s="94">
        <f>IFERROR(Z57/Z148, "NA")</f>
        <v>0.2732674504</v>
      </c>
      <c r="AB57" s="118">
        <f t="shared" si="25"/>
        <v>37236.565</v>
      </c>
      <c r="AC57" s="94">
        <f>IFERROR(AB57/AB148, "NA")</f>
        <v>0.272045797</v>
      </c>
      <c r="AD57" s="119">
        <f t="shared" si="26"/>
        <v>794.385</v>
      </c>
      <c r="AE57" s="120">
        <f>IFERROR(AD57/AD148, "NA")</f>
        <v>0.1286549281</v>
      </c>
      <c r="AF57" s="119">
        <f t="shared" si="27"/>
        <v>0.02133346618</v>
      </c>
      <c r="AG57" s="118">
        <f t="shared" si="28"/>
        <v>36187.86375</v>
      </c>
      <c r="AH57" s="94">
        <f>IFERROR(AG57/AG148, "NA")</f>
        <v>0.2701824469</v>
      </c>
      <c r="AI57" s="119">
        <f t="shared" si="29"/>
        <v>1843.08625</v>
      </c>
      <c r="AJ57" s="120">
        <f>IFERROR(AI57/AI148, "NA")</f>
        <v>0.2022699709</v>
      </c>
      <c r="AK57" s="119">
        <f t="shared" si="30"/>
        <v>0.05093105973</v>
      </c>
      <c r="AL57" s="120">
        <f>IFERROR(AK57/AK148, "NA")</f>
        <v>0.7486421608</v>
      </c>
    </row>
    <row r="58" ht="3.75" customHeight="1">
      <c r="A58" s="79"/>
      <c r="B58" s="80"/>
      <c r="C58" s="74"/>
      <c r="D58" s="80"/>
      <c r="E58" s="74"/>
      <c r="F58" s="80"/>
      <c r="G58" s="74"/>
      <c r="H58" s="80"/>
      <c r="I58" s="74"/>
      <c r="J58" s="80"/>
      <c r="K58" s="74"/>
      <c r="L58" s="80"/>
      <c r="M58" s="74"/>
      <c r="N58" s="80"/>
      <c r="O58" s="74"/>
      <c r="P58" s="80"/>
      <c r="Q58" s="74"/>
      <c r="R58" s="80"/>
      <c r="S58" s="74"/>
      <c r="T58" s="80"/>
      <c r="U58" s="74"/>
      <c r="V58" s="80"/>
      <c r="W58" s="74"/>
      <c r="X58" s="80"/>
      <c r="Y58" s="74"/>
      <c r="Z58" s="80"/>
      <c r="AA58" s="74"/>
      <c r="AB58" s="80"/>
      <c r="AC58" s="74"/>
      <c r="AD58" s="81"/>
      <c r="AE58" s="82"/>
      <c r="AF58" s="81"/>
      <c r="AG58" s="80"/>
      <c r="AH58" s="74"/>
      <c r="AI58" s="81"/>
      <c r="AJ58" s="82"/>
      <c r="AK58" s="81"/>
      <c r="AL58" s="82"/>
    </row>
    <row r="59" ht="16.5" customHeight="1">
      <c r="A59" s="121" t="s">
        <v>120</v>
      </c>
      <c r="B59" s="122">
        <f>IFERROR(B9-B57, "NA")</f>
        <v>53288.21</v>
      </c>
      <c r="C59" s="98">
        <f>IFERROR(B59/B148, "NA")</f>
        <v>0.7210075286</v>
      </c>
      <c r="D59" s="122">
        <f>IFERROR(D9-D57, "NA")</f>
        <v>74133.35</v>
      </c>
      <c r="E59" s="98">
        <f>IFERROR(D59/D148, "NA")</f>
        <v>0.7220685662</v>
      </c>
      <c r="F59" s="122">
        <f>IFERROR(F9-F57, "NA")</f>
        <v>79740.34</v>
      </c>
      <c r="G59" s="98">
        <f>IFERROR(F59/F148, "NA")</f>
        <v>0.7294112568</v>
      </c>
      <c r="H59" s="122">
        <f>IFERROR(H9-H57, "NA")</f>
        <v>89633.31</v>
      </c>
      <c r="I59" s="98">
        <f>IFERROR(H59/H148, "NA")</f>
        <v>0.7325034332</v>
      </c>
      <c r="J59" s="122">
        <f>IFERROR(J9-J57, "NA")</f>
        <v>83048.27</v>
      </c>
      <c r="K59" s="98">
        <f>IFERROR(J59/J148, "NA")</f>
        <v>0.7290912595</v>
      </c>
      <c r="L59" s="122">
        <f>IFERROR(L9-L57, "NA")</f>
        <v>92054.8</v>
      </c>
      <c r="M59" s="98">
        <f>IFERROR(L59/L148, "NA")</f>
        <v>0.7337246168</v>
      </c>
      <c r="N59" s="122">
        <f>IFERROR(N9-N57, "NA")</f>
        <v>99986.45</v>
      </c>
      <c r="O59" s="98">
        <f>IFERROR(N59/N148, "NA")</f>
        <v>0.7282935292</v>
      </c>
      <c r="P59" s="122">
        <f>IFERROR(P9-P57, "NA")</f>
        <v>108358.42</v>
      </c>
      <c r="Q59" s="98">
        <f>IFERROR(P59/P148, "NA")</f>
        <v>0.735395974</v>
      </c>
      <c r="R59" s="122">
        <f>IFERROR(R9-R57, "NA")</f>
        <v>105635.69</v>
      </c>
      <c r="S59" s="98">
        <f>IFERROR(R59/R148, "NA")</f>
        <v>0.7313633719</v>
      </c>
      <c r="T59" s="122">
        <f>IFERROR(T9-T57, "NA")</f>
        <v>92253.06</v>
      </c>
      <c r="U59" s="98">
        <f>IFERROR(T59/T148, "NA")</f>
        <v>0.7233134419</v>
      </c>
      <c r="V59" s="122">
        <f>IFERROR(V9-V57, "NA")</f>
        <v>95649.67</v>
      </c>
      <c r="W59" s="98">
        <f>IFERROR(V59/V148, "NA")</f>
        <v>0.7220218402</v>
      </c>
      <c r="X59" s="122">
        <f>IFERROR(X9-X57, "NA")</f>
        <v>105019.68</v>
      </c>
      <c r="Y59" s="98">
        <f>IFERROR(X59/X148, "NA")</f>
        <v>0.7341434288</v>
      </c>
      <c r="Z59" s="122">
        <f>IFERROR(Z9-Z57, "NA")</f>
        <v>292922.41</v>
      </c>
      <c r="AA59" s="98">
        <f>IFERROR(Z59/Z148, "NA")</f>
        <v>0.7267325496</v>
      </c>
      <c r="AB59" s="122">
        <f>IFERROR((R59+T59+V59+X59)/4, "NA")</f>
        <v>99639.525</v>
      </c>
      <c r="AC59" s="98">
        <f>IFERROR(AB59/AB148, "NA")</f>
        <v>0.727954203</v>
      </c>
      <c r="AD59" s="75">
        <f>IFERROR(X59-AB59, "NA")</f>
        <v>5380.155</v>
      </c>
      <c r="AE59" s="76">
        <f>IFERROR(AD59/AD148, "NA")</f>
        <v>0.8713450719</v>
      </c>
      <c r="AF59" s="75">
        <f>IFERROR((X59-AB59)/AB59, "NA")</f>
        <v>0.05399619278</v>
      </c>
      <c r="AG59" s="122">
        <f>IFERROR((J59+L59+N59+P59+R59+T59+V59+X59)/8, "NA")</f>
        <v>97750.755</v>
      </c>
      <c r="AH59" s="98">
        <f>IFERROR(AG59/AG148, "NA")</f>
        <v>0.7298175531</v>
      </c>
      <c r="AI59" s="75">
        <f>IFERROR(X59-AG59, "NA")</f>
        <v>7268.925</v>
      </c>
      <c r="AJ59" s="76">
        <f>IFERROR(AI59/AI148, "NA")</f>
        <v>0.7977300291</v>
      </c>
      <c r="AK59" s="75">
        <f>IFERROR((X59-AG59)/AG59, "NA")</f>
        <v>0.07436182974</v>
      </c>
      <c r="AL59" s="76">
        <f>IFERROR(AK59/AK148, "NA")</f>
        <v>1.093054046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2"/>
      <c r="AF60" s="125"/>
      <c r="AG60" s="124"/>
      <c r="AH60" s="74"/>
      <c r="AI60" s="125"/>
      <c r="AJ60" s="82"/>
      <c r="AK60" s="125"/>
      <c r="AL60" s="82"/>
    </row>
    <row r="61" ht="16.5" customHeight="1">
      <c r="A61" s="22" t="s">
        <v>121</v>
      </c>
      <c r="B61" s="23"/>
      <c r="C61" s="10"/>
      <c r="D61" s="23"/>
      <c r="E61" s="10"/>
      <c r="F61" s="23"/>
      <c r="G61" s="10"/>
      <c r="H61" s="23"/>
      <c r="I61" s="10"/>
      <c r="J61" s="23"/>
      <c r="K61" s="10"/>
      <c r="L61" s="23"/>
      <c r="M61" s="10"/>
      <c r="N61" s="23"/>
      <c r="O61" s="10"/>
      <c r="P61" s="23"/>
      <c r="Q61" s="10"/>
      <c r="R61" s="23"/>
      <c r="S61" s="10"/>
      <c r="T61" s="23"/>
      <c r="U61" s="10"/>
      <c r="V61" s="23"/>
      <c r="W61" s="10"/>
      <c r="X61" s="23"/>
      <c r="Y61" s="10"/>
      <c r="Z61" s="23"/>
      <c r="AA61" s="10"/>
      <c r="AB61" s="23"/>
      <c r="AC61" s="10"/>
      <c r="AD61" s="24"/>
      <c r="AE61" s="25"/>
      <c r="AF61" s="24"/>
      <c r="AG61" s="23"/>
      <c r="AH61" s="10"/>
      <c r="AI61" s="24"/>
      <c r="AJ61" s="25"/>
      <c r="AK61" s="24"/>
      <c r="AL61" s="25"/>
    </row>
    <row r="62" ht="16.5" customHeight="1">
      <c r="A62" s="22" t="s">
        <v>121</v>
      </c>
      <c r="B62" s="23"/>
      <c r="C62" s="10"/>
      <c r="D62" s="23"/>
      <c r="E62" s="10"/>
      <c r="F62" s="23"/>
      <c r="G62" s="10"/>
      <c r="H62" s="23"/>
      <c r="I62" s="10"/>
      <c r="J62" s="23"/>
      <c r="K62" s="10"/>
      <c r="L62" s="23"/>
      <c r="M62" s="10"/>
      <c r="N62" s="23"/>
      <c r="O62" s="10"/>
      <c r="P62" s="23"/>
      <c r="Q62" s="10"/>
      <c r="R62" s="23"/>
      <c r="S62" s="10"/>
      <c r="T62" s="23"/>
      <c r="U62" s="10"/>
      <c r="V62" s="23"/>
      <c r="W62" s="10"/>
      <c r="X62" s="23"/>
      <c r="Y62" s="10"/>
      <c r="Z62" s="23"/>
      <c r="AA62" s="10"/>
      <c r="AB62" s="23"/>
      <c r="AC62" s="10"/>
      <c r="AD62" s="24"/>
      <c r="AE62" s="25"/>
      <c r="AF62" s="24"/>
      <c r="AG62" s="23"/>
      <c r="AH62" s="10"/>
      <c r="AI62" s="24"/>
      <c r="AJ62" s="25"/>
      <c r="AK62" s="24"/>
      <c r="AL62" s="25"/>
    </row>
    <row r="63" ht="16.5" hidden="1" customHeight="1">
      <c r="A63" s="26" t="s">
        <v>122</v>
      </c>
      <c r="B63" s="28">
        <f>SUM('4 - RASA - MVT'!B63,'5 - RASA - National Landin'!B63,'6 - RASA - Mosaic'!B63,'7 - RASA - Rockville'!B63)</f>
        <v>0</v>
      </c>
      <c r="C63" s="15">
        <f>IFERROR(B63/B148, "NA")</f>
        <v>0</v>
      </c>
      <c r="D63" s="28">
        <f>SUM('4 - RASA - MVT'!D63,'5 - RASA - National Landin'!D63,'6 - RASA - Mosaic'!D63,'7 - RASA - Rockville'!D63)</f>
        <v>0</v>
      </c>
      <c r="E63" s="15">
        <f>IFERROR(D63/D148, "NA")</f>
        <v>0</v>
      </c>
      <c r="F63" s="28">
        <f>SUM('4 - RASA - MVT'!F63,'5 - RASA - National Landin'!F63,'6 - RASA - Mosaic'!F63,'7 - RASA - Rockville'!F63)</f>
        <v>0</v>
      </c>
      <c r="G63" s="15">
        <f>IFERROR(F63/F148, "NA")</f>
        <v>0</v>
      </c>
      <c r="H63" s="28">
        <f>SUM('4 - RASA - MVT'!H63,'5 - RASA - National Landin'!H63,'6 - RASA - Mosaic'!H63,'7 - RASA - Rockville'!H63)</f>
        <v>0</v>
      </c>
      <c r="I63" s="15">
        <f>IFERROR(H63/H148, "NA")</f>
        <v>0</v>
      </c>
      <c r="J63" s="28">
        <f>SUM('4 - RASA - MVT'!J63,'5 - RASA - National Landin'!J63,'6 - RASA - Mosaic'!J63,'7 - RASA - Rockville'!J63)</f>
        <v>0</v>
      </c>
      <c r="K63" s="15">
        <f>IFERROR(J63/J148, "NA")</f>
        <v>0</v>
      </c>
      <c r="L63" s="28">
        <f>SUM('4 - RASA - MVT'!L63,'5 - RASA - National Landin'!L63,'6 - RASA - Mosaic'!L63,'7 - RASA - Rockville'!L63)</f>
        <v>0</v>
      </c>
      <c r="M63" s="15">
        <f>IFERROR(L63/L148, "NA")</f>
        <v>0</v>
      </c>
      <c r="N63" s="28">
        <f>SUM('4 - RASA - MVT'!N63,'5 - RASA - National Landin'!N63,'6 - RASA - Mosaic'!N63,'7 - RASA - Rockville'!N63)</f>
        <v>0</v>
      </c>
      <c r="O63" s="15">
        <f>IFERROR(N63/N148, "NA")</f>
        <v>0</v>
      </c>
      <c r="P63" s="28">
        <f>SUM('4 - RASA - MVT'!P63,'5 - RASA - National Landin'!P63,'6 - RASA - Mosaic'!P63,'7 - RASA - Rockville'!P63)</f>
        <v>0</v>
      </c>
      <c r="Q63" s="15">
        <f>IFERROR(P63/P148, "NA")</f>
        <v>0</v>
      </c>
      <c r="R63" s="28">
        <f>SUM('4 - RASA - MVT'!R63,'5 - RASA - National Landin'!R63,'6 - RASA - Mosaic'!R63,'7 - RASA - Rockville'!R63)</f>
        <v>0</v>
      </c>
      <c r="S63" s="15">
        <f>IFERROR(R63/R148, "NA")</f>
        <v>0</v>
      </c>
      <c r="T63" s="28">
        <f>SUM('4 - RASA - MVT'!T63,'5 - RASA - National Landin'!T63,'6 - RASA - Mosaic'!T63,'7 - RASA - Rockville'!T63)</f>
        <v>0</v>
      </c>
      <c r="U63" s="15">
        <f>IFERROR(T63/T148, "NA")</f>
        <v>0</v>
      </c>
      <c r="V63" s="28">
        <f>SUM('4 - RASA - MVT'!V63,'5 - RASA - National Landin'!V63,'6 - RASA - Mosaic'!V63,'7 - RASA - Rockville'!V63)</f>
        <v>0</v>
      </c>
      <c r="W63" s="15">
        <f>IFERROR(V63/V148, "NA")</f>
        <v>0</v>
      </c>
      <c r="X63" s="28">
        <f>SUM('4 - RASA - MVT'!X63,'5 - RASA - National Landin'!X63,'6 - RASA - Mosaic'!X63,'7 - RASA - Rockville'!X63)</f>
        <v>0</v>
      </c>
      <c r="Y63" s="15">
        <f>IFERROR(X63/X148, "NA")</f>
        <v>0</v>
      </c>
      <c r="Z63" s="28">
        <f>SUM('4 - RASA - MVT'!Z63,'5 - RASA - National Landin'!Z63,'6 - RASA - Mosaic'!Z63,'7 - RASA - Rockville'!Z63)</f>
        <v>0</v>
      </c>
      <c r="AA63" s="15">
        <f>IFERROR(Z63/Z148, "NA")</f>
        <v>0</v>
      </c>
      <c r="AB63" s="57">
        <f>IFERROR((R63+T63+V63+X63)/4, "NA")</f>
        <v>0</v>
      </c>
      <c r="AC63" s="15">
        <f>IFERROR(AB63/AB148, "NA")</f>
        <v>0</v>
      </c>
      <c r="AD63" s="61">
        <f>IFERROR(X63-AB63, "NA")</f>
        <v>0</v>
      </c>
      <c r="AE63" s="62">
        <f>IFERROR(AD63/AD148, "NA")</f>
        <v>0</v>
      </c>
      <c r="AF63" s="61" t="str">
        <f>IFERROR((X63-AB63)/AB63, "NA")</f>
        <v>NA</v>
      </c>
      <c r="AG63" s="57">
        <f>IFERROR((J63+L63+N63+P63+R63+T63+V63+X63)/8, "NA")</f>
        <v>0</v>
      </c>
      <c r="AH63" s="15">
        <f>IFERROR(AG63/AG148, "NA")</f>
        <v>0</v>
      </c>
      <c r="AI63" s="61">
        <f>IFERROR(X63-AG63, "NA")</f>
        <v>0</v>
      </c>
      <c r="AJ63" s="62">
        <f>IFERROR(AI63/AI148, "NA")</f>
        <v>0</v>
      </c>
      <c r="AK63" s="61" t="str">
        <f>IFERROR((X63-AG63)/AG63, "NA")</f>
        <v>NA</v>
      </c>
      <c r="AL63" s="62" t="str">
        <f>IFERROR(AK63/AK148, "NA")</f>
        <v>NA</v>
      </c>
    </row>
    <row r="64" ht="16.5" customHeight="1">
      <c r="A64" s="22" t="s">
        <v>123</v>
      </c>
      <c r="B64" s="23"/>
      <c r="C64" s="10"/>
      <c r="D64" s="23"/>
      <c r="E64" s="10"/>
      <c r="F64" s="23"/>
      <c r="G64" s="10"/>
      <c r="H64" s="23"/>
      <c r="I64" s="10"/>
      <c r="J64" s="23"/>
      <c r="K64" s="10"/>
      <c r="L64" s="23"/>
      <c r="M64" s="10"/>
      <c r="N64" s="23"/>
      <c r="O64" s="10"/>
      <c r="P64" s="23"/>
      <c r="Q64" s="10"/>
      <c r="R64" s="23"/>
      <c r="S64" s="10"/>
      <c r="T64" s="23"/>
      <c r="U64" s="10"/>
      <c r="V64" s="23"/>
      <c r="W64" s="10"/>
      <c r="X64" s="23"/>
      <c r="Y64" s="10"/>
      <c r="Z64" s="23"/>
      <c r="AA64" s="10"/>
      <c r="AB64" s="23"/>
      <c r="AC64" s="10"/>
      <c r="AD64" s="24"/>
      <c r="AE64" s="25"/>
      <c r="AF64" s="24"/>
      <c r="AG64" s="23"/>
      <c r="AH64" s="10"/>
      <c r="AI64" s="24"/>
      <c r="AJ64" s="25"/>
      <c r="AK64" s="24"/>
      <c r="AL64" s="25"/>
    </row>
    <row r="65" ht="16.5" hidden="1" customHeight="1">
      <c r="A65" s="26" t="s">
        <v>124</v>
      </c>
      <c r="B65" s="28">
        <f>SUM('4 - RASA - MVT'!B65,'5 - RASA - National Landin'!B65,'6 - RASA - Mosaic'!B65,'7 - RASA - Rockville'!B65)</f>
        <v>0</v>
      </c>
      <c r="C65" s="15">
        <f>IFERROR(B65/B148, "NA")</f>
        <v>0</v>
      </c>
      <c r="D65" s="28">
        <f>SUM('4 - RASA - MVT'!D65,'5 - RASA - National Landin'!D65,'6 - RASA - Mosaic'!D65,'7 - RASA - Rockville'!D65)</f>
        <v>0</v>
      </c>
      <c r="E65" s="15">
        <f>IFERROR(D65/D148, "NA")</f>
        <v>0</v>
      </c>
      <c r="F65" s="28">
        <f>SUM('4 - RASA - MVT'!F65,'5 - RASA - National Landin'!F65,'6 - RASA - Mosaic'!F65,'7 - RASA - Rockville'!F65)</f>
        <v>0</v>
      </c>
      <c r="G65" s="15">
        <f>IFERROR(F65/F148, "NA")</f>
        <v>0</v>
      </c>
      <c r="H65" s="28">
        <f>SUM('4 - RASA - MVT'!H65,'5 - RASA - National Landin'!H65,'6 - RASA - Mosaic'!H65,'7 - RASA - Rockville'!H65)</f>
        <v>0</v>
      </c>
      <c r="I65" s="15">
        <f>IFERROR(H65/H148, "NA")</f>
        <v>0</v>
      </c>
      <c r="J65" s="28">
        <f>SUM('4 - RASA - MVT'!J65,'5 - RASA - National Landin'!J65,'6 - RASA - Mosaic'!J65,'7 - RASA - Rockville'!J65)</f>
        <v>0</v>
      </c>
      <c r="K65" s="15">
        <f>IFERROR(J65/J148, "NA")</f>
        <v>0</v>
      </c>
      <c r="L65" s="28">
        <f>SUM('4 - RASA - MVT'!L65,'5 - RASA - National Landin'!L65,'6 - RASA - Mosaic'!L65,'7 - RASA - Rockville'!L65)</f>
        <v>0</v>
      </c>
      <c r="M65" s="15">
        <f>IFERROR(L65/L148, "NA")</f>
        <v>0</v>
      </c>
      <c r="N65" s="28">
        <f>SUM('4 - RASA - MVT'!N65,'5 - RASA - National Landin'!N65,'6 - RASA - Mosaic'!N65,'7 - RASA - Rockville'!N65)</f>
        <v>0</v>
      </c>
      <c r="O65" s="15">
        <f>IFERROR(N65/N148, "NA")</f>
        <v>0</v>
      </c>
      <c r="P65" s="28">
        <f>SUM('4 - RASA - MVT'!P65,'5 - RASA - National Landin'!P65,'6 - RASA - Mosaic'!P65,'7 - RASA - Rockville'!P65)</f>
        <v>0</v>
      </c>
      <c r="Q65" s="15">
        <f>IFERROR(P65/P148, "NA")</f>
        <v>0</v>
      </c>
      <c r="R65" s="28">
        <f>SUM('4 - RASA - MVT'!R65,'5 - RASA - National Landin'!R65,'6 - RASA - Mosaic'!R65,'7 - RASA - Rockville'!R65)</f>
        <v>0</v>
      </c>
      <c r="S65" s="15">
        <f>IFERROR(R65/R148, "NA")</f>
        <v>0</v>
      </c>
      <c r="T65" s="28">
        <f>SUM('4 - RASA - MVT'!T65,'5 - RASA - National Landin'!T65,'6 - RASA - Mosaic'!T65,'7 - RASA - Rockville'!T65)</f>
        <v>0</v>
      </c>
      <c r="U65" s="15">
        <f>IFERROR(T65/T148, "NA")</f>
        <v>0</v>
      </c>
      <c r="V65" s="28">
        <f>SUM('4 - RASA - MVT'!V65,'5 - RASA - National Landin'!V65,'6 - RASA - Mosaic'!V65,'7 - RASA - Rockville'!V65)</f>
        <v>0</v>
      </c>
      <c r="W65" s="15">
        <f>IFERROR(V65/V148, "NA")</f>
        <v>0</v>
      </c>
      <c r="X65" s="28">
        <f>SUM('4 - RASA - MVT'!X65,'5 - RASA - National Landin'!X65,'6 - RASA - Mosaic'!X65,'7 - RASA - Rockville'!X65)</f>
        <v>0</v>
      </c>
      <c r="Y65" s="15">
        <f>IFERROR(X65/X148, "NA")</f>
        <v>0</v>
      </c>
      <c r="Z65" s="28">
        <f>SUM('4 - RASA - MVT'!Z65,'5 - RASA - National Landin'!Z65,'6 - RASA - Mosaic'!Z65,'7 - RASA - Rockville'!Z65)</f>
        <v>0</v>
      </c>
      <c r="AA65" s="15">
        <f>IFERROR(Z65/Z148, "NA")</f>
        <v>0</v>
      </c>
      <c r="AB65" s="57">
        <f t="shared" ref="AB65:AB72" si="31">IFERROR((R65+T65+V65+X65)/4, "NA")</f>
        <v>0</v>
      </c>
      <c r="AC65" s="15">
        <f>IFERROR(AB65/AB148, "NA")</f>
        <v>0</v>
      </c>
      <c r="AD65" s="61">
        <f t="shared" ref="AD65:AD72" si="32">IFERROR(X65-AB65, "NA")</f>
        <v>0</v>
      </c>
      <c r="AE65" s="62">
        <f>IFERROR(AD65/AD148, "NA")</f>
        <v>0</v>
      </c>
      <c r="AF65" s="61" t="str">
        <f t="shared" ref="AF65:AF72" si="33">IFERROR((X65-AB65)/AB65, "NA")</f>
        <v>NA</v>
      </c>
      <c r="AG65" s="57">
        <f t="shared" ref="AG65:AG72" si="34">IFERROR((J65+L65+N65+P65+R65+T65+V65+X65)/8, "NA")</f>
        <v>0</v>
      </c>
      <c r="AH65" s="15">
        <f>IFERROR(AG65/AG148, "NA")</f>
        <v>0</v>
      </c>
      <c r="AI65" s="61">
        <f t="shared" ref="AI65:AI72" si="35">IFERROR(X65-AG65, "NA")</f>
        <v>0</v>
      </c>
      <c r="AJ65" s="62">
        <f>IFERROR(AI65/AI148, "NA")</f>
        <v>0</v>
      </c>
      <c r="AK65" s="61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6" t="s">
        <v>125</v>
      </c>
      <c r="B66" s="28">
        <f>SUM('4 - RASA - MVT'!B66,'5 - RASA - National Landin'!B66,'6 - RASA - Mosaic'!B66,'7 - RASA - Rockville'!B66)</f>
        <v>6688.85</v>
      </c>
      <c r="C66" s="15">
        <f>IFERROR(B66/B148, "NA")</f>
        <v>0.09050240583</v>
      </c>
      <c r="D66" s="28">
        <f>SUM('4 - RASA - MVT'!D66,'5 - RASA - National Landin'!D66,'6 - RASA - Mosaic'!D66,'7 - RASA - Rockville'!D66)</f>
        <v>6688.85</v>
      </c>
      <c r="E66" s="15">
        <f>IFERROR(D66/D148, "NA")</f>
        <v>0.06515027756</v>
      </c>
      <c r="F66" s="28">
        <f>SUM('4 - RASA - MVT'!F66,'5 - RASA - National Landin'!F66,'6 - RASA - Mosaic'!F66,'7 - RASA - Rockville'!F66)</f>
        <v>6688.85</v>
      </c>
      <c r="G66" s="15">
        <f>IFERROR(F66/F148, "NA")</f>
        <v>0.06118512267</v>
      </c>
      <c r="H66" s="28">
        <f>SUM('4 - RASA - MVT'!H66,'5 - RASA - National Landin'!H66,'6 - RASA - Mosaic'!H66,'7 - RASA - Rockville'!H66)</f>
        <v>6688.85</v>
      </c>
      <c r="I66" s="15">
        <f>IFERROR(H66/H148, "NA")</f>
        <v>0.05466277647</v>
      </c>
      <c r="J66" s="28">
        <f>SUM('4 - RASA - MVT'!J66,'5 - RASA - National Landin'!J66,'6 - RASA - Mosaic'!J66,'7 - RASA - Rockville'!J66)</f>
        <v>6688.85</v>
      </c>
      <c r="K66" s="15">
        <f>IFERROR(J66/J148, "NA")</f>
        <v>0.05872225961</v>
      </c>
      <c r="L66" s="28">
        <f>SUM('4 - RASA - MVT'!L66,'5 - RASA - National Landin'!L66,'6 - RASA - Mosaic'!L66,'7 - RASA - Rockville'!L66)</f>
        <v>6688.85</v>
      </c>
      <c r="M66" s="15">
        <f>IFERROR(L66/L148, "NA")</f>
        <v>0.05331361214</v>
      </c>
      <c r="N66" s="28">
        <f>SUM('4 - RASA - MVT'!N66,'5 - RASA - National Landin'!N66,'6 - RASA - Mosaic'!N66,'7 - RASA - Rockville'!N66)</f>
        <v>6688.85</v>
      </c>
      <c r="O66" s="15">
        <f>IFERROR(N66/N148, "NA")</f>
        <v>0.04872106344</v>
      </c>
      <c r="P66" s="28">
        <f>SUM('4 - RASA - MVT'!P66,'5 - RASA - National Landin'!P66,'6 - RASA - Mosaic'!P66,'7 - RASA - Rockville'!P66)</f>
        <v>6688.85</v>
      </c>
      <c r="Q66" s="15">
        <f>IFERROR(P66/P148, "NA")</f>
        <v>0.0453952112</v>
      </c>
      <c r="R66" s="28">
        <f>SUM('4 - RASA - MVT'!R66,'5 - RASA - National Landin'!R66,'6 - RASA - Mosaic'!R66,'7 - RASA - Rockville'!R66)</f>
        <v>6688.85</v>
      </c>
      <c r="S66" s="15">
        <f>IFERROR(R66/R148, "NA")</f>
        <v>0.04630991562</v>
      </c>
      <c r="T66" s="28">
        <f>SUM('4 - RASA - MVT'!T66,'5 - RASA - National Landin'!T66,'6 - RASA - Mosaic'!T66,'7 - RASA - Rockville'!T66)</f>
        <v>6688.85</v>
      </c>
      <c r="U66" s="15">
        <f>IFERROR(T66/T148, "NA")</f>
        <v>0.0524441695</v>
      </c>
      <c r="V66" s="28">
        <f>SUM('4 - RASA - MVT'!V66,'5 - RASA - National Landin'!V66,'6 - RASA - Mosaic'!V66,'7 - RASA - Rockville'!V66)</f>
        <v>6688.85</v>
      </c>
      <c r="W66" s="15">
        <f>IFERROR(V66/V148, "NA")</f>
        <v>0.05049150495</v>
      </c>
      <c r="X66" s="28">
        <f>SUM('4 - RASA - MVT'!X66,'5 - RASA - National Landin'!X66,'6 - RASA - Mosaic'!X66,'7 - RASA - Rockville'!X66)</f>
        <v>6688.85</v>
      </c>
      <c r="Y66" s="15">
        <f>IFERROR(X66/X148, "NA")</f>
        <v>0.04675861966</v>
      </c>
      <c r="Z66" s="28">
        <f>SUM('4 - RASA - MVT'!Z66,'5 - RASA - National Landin'!Z66,'6 - RASA - Mosaic'!Z66,'7 - RASA - Rockville'!Z66)</f>
        <v>20066.55</v>
      </c>
      <c r="AA66" s="15">
        <f>IFERROR(Z66/Z148, "NA")</f>
        <v>0.04978456596</v>
      </c>
      <c r="AB66" s="57">
        <f t="shared" si="31"/>
        <v>6688.85</v>
      </c>
      <c r="AC66" s="15">
        <f>IFERROR(AB66/AB148, "NA")</f>
        <v>0.04886792134</v>
      </c>
      <c r="AD66" s="61">
        <f t="shared" si="32"/>
        <v>0</v>
      </c>
      <c r="AE66" s="62">
        <f>IFERROR(AD66/AD148, "NA")</f>
        <v>0</v>
      </c>
      <c r="AF66" s="61">
        <f t="shared" si="33"/>
        <v>0</v>
      </c>
      <c r="AG66" s="57">
        <f t="shared" si="34"/>
        <v>6688.85</v>
      </c>
      <c r="AH66" s="15">
        <f>IFERROR(AG66/AG148, "NA")</f>
        <v>0.04993966686</v>
      </c>
      <c r="AI66" s="61">
        <f t="shared" si="35"/>
        <v>0</v>
      </c>
      <c r="AJ66" s="62">
        <f>IFERROR(AI66/AI148, "NA")</f>
        <v>0</v>
      </c>
      <c r="AK66" s="61">
        <f t="shared" si="36"/>
        <v>0</v>
      </c>
      <c r="AL66" s="62">
        <f>IFERROR(AK66/AK148, "NA")</f>
        <v>0</v>
      </c>
    </row>
    <row r="67" ht="16.5" hidden="1" customHeight="1">
      <c r="A67" s="26" t="s">
        <v>128</v>
      </c>
      <c r="B67" s="28">
        <f>SUM('4 - RASA - MVT'!B67,'5 - RASA - National Landin'!B67,'6 - RASA - Mosaic'!B67,'7 - RASA - Rockville'!B67)</f>
        <v>0</v>
      </c>
      <c r="C67" s="15">
        <f>IFERROR(B67/B148, "NA")</f>
        <v>0</v>
      </c>
      <c r="D67" s="28">
        <f>SUM('4 - RASA - MVT'!D67,'5 - RASA - National Landin'!D67,'6 - RASA - Mosaic'!D67,'7 - RASA - Rockville'!D67)</f>
        <v>0</v>
      </c>
      <c r="E67" s="15">
        <f>IFERROR(D67/D148, "NA")</f>
        <v>0</v>
      </c>
      <c r="F67" s="28">
        <f>SUM('4 - RASA - MVT'!F67,'5 - RASA - National Landin'!F67,'6 - RASA - Mosaic'!F67,'7 - RASA - Rockville'!F67)</f>
        <v>0</v>
      </c>
      <c r="G67" s="15">
        <f>IFERROR(F67/F148, "NA")</f>
        <v>0</v>
      </c>
      <c r="H67" s="28">
        <f>SUM('4 - RASA - MVT'!H67,'5 - RASA - National Landin'!H67,'6 - RASA - Mosaic'!H67,'7 - RASA - Rockville'!H67)</f>
        <v>0</v>
      </c>
      <c r="I67" s="15">
        <f>IFERROR(H67/H148, "NA")</f>
        <v>0</v>
      </c>
      <c r="J67" s="28">
        <f>SUM('4 - RASA - MVT'!J67,'5 - RASA - National Landin'!J67,'6 - RASA - Mosaic'!J67,'7 - RASA - Rockville'!J67)</f>
        <v>0</v>
      </c>
      <c r="K67" s="15">
        <f>IFERROR(J67/J148, "NA")</f>
        <v>0</v>
      </c>
      <c r="L67" s="28">
        <f>SUM('4 - RASA - MVT'!L67,'5 - RASA - National Landin'!L67,'6 - RASA - Mosaic'!L67,'7 - RASA - Rockville'!L67)</f>
        <v>0</v>
      </c>
      <c r="M67" s="15">
        <f>IFERROR(L67/L148, "NA")</f>
        <v>0</v>
      </c>
      <c r="N67" s="28">
        <f>SUM('4 - RASA - MVT'!N67,'5 - RASA - National Landin'!N67,'6 - RASA - Mosaic'!N67,'7 - RASA - Rockville'!N67)</f>
        <v>0</v>
      </c>
      <c r="O67" s="15">
        <f>IFERROR(N67/N148, "NA")</f>
        <v>0</v>
      </c>
      <c r="P67" s="28">
        <f>SUM('4 - RASA - MVT'!P67,'5 - RASA - National Landin'!P67,'6 - RASA - Mosaic'!P67,'7 - RASA - Rockville'!P67)</f>
        <v>0</v>
      </c>
      <c r="Q67" s="15">
        <f>IFERROR(P67/P148, "NA")</f>
        <v>0</v>
      </c>
      <c r="R67" s="28">
        <f>SUM('4 - RASA - MVT'!R67,'5 - RASA - National Landin'!R67,'6 - RASA - Mosaic'!R67,'7 - RASA - Rockville'!R67)</f>
        <v>0</v>
      </c>
      <c r="S67" s="15">
        <f>IFERROR(R67/R148, "NA")</f>
        <v>0</v>
      </c>
      <c r="T67" s="28">
        <f>SUM('4 - RASA - MVT'!T67,'5 - RASA - National Landin'!T67,'6 - RASA - Mosaic'!T67,'7 - RASA - Rockville'!T67)</f>
        <v>0</v>
      </c>
      <c r="U67" s="15">
        <f>IFERROR(T67/T148, "NA")</f>
        <v>0</v>
      </c>
      <c r="V67" s="28">
        <f>SUM('4 - RASA - MVT'!V67,'5 - RASA - National Landin'!V67,'6 - RASA - Mosaic'!V67,'7 - RASA - Rockville'!V67)</f>
        <v>0</v>
      </c>
      <c r="W67" s="15">
        <f>IFERROR(V67/V148, "NA")</f>
        <v>0</v>
      </c>
      <c r="X67" s="28">
        <f>SUM('4 - RASA - MVT'!X67,'5 - RASA - National Landin'!X67,'6 - RASA - Mosaic'!X67,'7 - RASA - Rockville'!X67)</f>
        <v>0</v>
      </c>
      <c r="Y67" s="15">
        <f>IFERROR(X67/X148, "NA")</f>
        <v>0</v>
      </c>
      <c r="Z67" s="28">
        <f>SUM('4 - RASA - MVT'!Z67,'5 - RASA - National Landin'!Z67,'6 - RASA - Mosaic'!Z67,'7 - RASA - Rockville'!Z67)</f>
        <v>0</v>
      </c>
      <c r="AA67" s="15">
        <f>IFERROR(Z67/Z148, "NA")</f>
        <v>0</v>
      </c>
      <c r="AB67" s="57">
        <f t="shared" si="31"/>
        <v>0</v>
      </c>
      <c r="AC67" s="15">
        <f>IFERROR(AB67/AB148, "NA")</f>
        <v>0</v>
      </c>
      <c r="AD67" s="61">
        <f t="shared" si="32"/>
        <v>0</v>
      </c>
      <c r="AE67" s="62">
        <f>IFERROR(AD67/AD148, "NA")</f>
        <v>0</v>
      </c>
      <c r="AF67" s="61" t="str">
        <f t="shared" si="33"/>
        <v>NA</v>
      </c>
      <c r="AG67" s="57">
        <f t="shared" si="34"/>
        <v>0</v>
      </c>
      <c r="AH67" s="15">
        <f>IFERROR(AG67/AG148, "NA")</f>
        <v>0</v>
      </c>
      <c r="AI67" s="61">
        <f t="shared" si="35"/>
        <v>0</v>
      </c>
      <c r="AJ67" s="62">
        <f>IFERROR(AI67/AI148, "NA")</f>
        <v>0</v>
      </c>
      <c r="AK67" s="61" t="str">
        <f t="shared" si="36"/>
        <v>NA</v>
      </c>
      <c r="AL67" s="62" t="str">
        <f>IFERROR(AK67/AK148, "NA")</f>
        <v>NA</v>
      </c>
    </row>
    <row r="68" ht="16.5" customHeight="1">
      <c r="A68" s="26" t="s">
        <v>131</v>
      </c>
      <c r="B68" s="28">
        <f>SUM('4 - RASA - MVT'!B68,'5 - RASA - National Landin'!B68,'6 - RASA - Mosaic'!B68,'7 - RASA - Rockville'!B68)</f>
        <v>16871.12</v>
      </c>
      <c r="C68" s="15">
        <f>IFERROR(B68/B148, "NA")</f>
        <v>0.2282719674</v>
      </c>
      <c r="D68" s="28">
        <f>SUM('4 - RASA - MVT'!D68,'5 - RASA - National Landin'!D68,'6 - RASA - Mosaic'!D68,'7 - RASA - Rockville'!D68)</f>
        <v>18705.96</v>
      </c>
      <c r="E68" s="15">
        <f>IFERROR(D68/D148, "NA")</f>
        <v>0.1821985074</v>
      </c>
      <c r="F68" s="28">
        <f>SUM('4 - RASA - MVT'!F68,'5 - RASA - National Landin'!F68,'6 - RASA - Mosaic'!F68,'7 - RASA - Rockville'!F68)</f>
        <v>19338.28</v>
      </c>
      <c r="G68" s="15">
        <f>IFERROR(F68/F148, "NA")</f>
        <v>0.1768936415</v>
      </c>
      <c r="H68" s="28">
        <f>SUM('4 - RASA - MVT'!H68,'5 - RASA - National Landin'!H68,'6 - RASA - Mosaic'!H68,'7 - RASA - Rockville'!H68)</f>
        <v>19760.32</v>
      </c>
      <c r="I68" s="15">
        <f>IFERROR(H68/H148, "NA")</f>
        <v>0.1614857494</v>
      </c>
      <c r="J68" s="28">
        <f>SUM('4 - RASA - MVT'!J68,'5 - RASA - National Landin'!J68,'6 - RASA - Mosaic'!J68,'7 - RASA - Rockville'!J68)</f>
        <v>19930.09</v>
      </c>
      <c r="K68" s="15">
        <f>IFERROR(J68/J148, "NA")</f>
        <v>0.1749687792</v>
      </c>
      <c r="L68" s="28">
        <f>SUM('4 - RASA - MVT'!L68,'5 - RASA - National Landin'!L68,'6 - RASA - Mosaic'!L68,'7 - RASA - Rockville'!L68)</f>
        <v>20443.35</v>
      </c>
      <c r="M68" s="15">
        <f>IFERROR(L68/L148, "NA")</f>
        <v>0.1629441283</v>
      </c>
      <c r="N68" s="28">
        <f>SUM('4 - RASA - MVT'!N68,'5 - RASA - National Landin'!N68,'6 - RASA - Mosaic'!N68,'7 - RASA - Rockville'!N68)</f>
        <v>22436.57</v>
      </c>
      <c r="O68" s="15">
        <f>IFERROR(N68/N148, "NA")</f>
        <v>0.1634262317</v>
      </c>
      <c r="P68" s="28">
        <f>SUM('4 - RASA - MVT'!P68,'5 - RASA - National Landin'!P68,'6 - RASA - Mosaic'!P68,'7 - RASA - Rockville'!P68)</f>
        <v>22942.81</v>
      </c>
      <c r="Q68" s="15">
        <f>IFERROR(P68/P148, "NA")</f>
        <v>0.1557059443</v>
      </c>
      <c r="R68" s="28">
        <f>SUM('4 - RASA - MVT'!R68,'5 - RASA - National Landin'!R68,'6 - RASA - Mosaic'!R68,'7 - RASA - Rockville'!R68)</f>
        <v>22236.31</v>
      </c>
      <c r="S68" s="15">
        <f>IFERROR(R68/R148, "NA")</f>
        <v>0.1539519708</v>
      </c>
      <c r="T68" s="28">
        <f>SUM('4 - RASA - MVT'!T68,'5 - RASA - National Landin'!T68,'6 - RASA - Mosaic'!T68,'7 - RASA - Rockville'!T68)</f>
        <v>21398.56</v>
      </c>
      <c r="U68" s="15">
        <f>IFERROR(T68/T148, "NA")</f>
        <v>0.1677761809</v>
      </c>
      <c r="V68" s="28">
        <f>SUM('4 - RASA - MVT'!V68,'5 - RASA - National Landin'!V68,'6 - RASA - Mosaic'!V68,'7 - RASA - Rockville'!V68)</f>
        <v>22076.51</v>
      </c>
      <c r="W68" s="15">
        <f>IFERROR(V68/V148, "NA")</f>
        <v>0.1666469145</v>
      </c>
      <c r="X68" s="28">
        <f>SUM('4 - RASA - MVT'!X68,'5 - RASA - National Landin'!X68,'6 - RASA - Mosaic'!X68,'7 - RASA - Rockville'!X68)</f>
        <v>23235.31</v>
      </c>
      <c r="Y68" s="15">
        <f>IFERROR(X68/X148, "NA")</f>
        <v>0.162427177</v>
      </c>
      <c r="Z68" s="28">
        <f>SUM('4 - RASA - MVT'!Z68,'5 - RASA - National Landin'!Z68,'6 - RASA - Mosaic'!Z68,'7 - RASA - Rockville'!Z68)</f>
        <v>66710.38</v>
      </c>
      <c r="AA68" s="15">
        <f>IFERROR(Z68/Z148, "NA")</f>
        <v>0.1655066423</v>
      </c>
      <c r="AB68" s="57">
        <f t="shared" si="31"/>
        <v>22236.6725</v>
      </c>
      <c r="AC68" s="15">
        <f>IFERROR(AB68/AB148, "NA")</f>
        <v>0.162458414</v>
      </c>
      <c r="AD68" s="61">
        <f t="shared" si="32"/>
        <v>998.6375</v>
      </c>
      <c r="AE68" s="62">
        <f>IFERROR(AD68/AD148, "NA")</f>
        <v>0.1617347203</v>
      </c>
      <c r="AF68" s="61">
        <f t="shared" si="33"/>
        <v>0.04490948455</v>
      </c>
      <c r="AG68" s="57">
        <f t="shared" si="34"/>
        <v>21837.43875</v>
      </c>
      <c r="AH68" s="15">
        <f>IFERROR(AG68/AG148, "NA")</f>
        <v>0.1630406447</v>
      </c>
      <c r="AI68" s="61">
        <f t="shared" si="35"/>
        <v>1397.87125</v>
      </c>
      <c r="AJ68" s="62">
        <f>IFERROR(AI68/AI148, "NA")</f>
        <v>0.1534097371</v>
      </c>
      <c r="AK68" s="61">
        <f t="shared" si="36"/>
        <v>0.06401260084</v>
      </c>
      <c r="AL68" s="62">
        <f>IFERROR(AK68/AK148, "NA")</f>
        <v>0.9409294066</v>
      </c>
    </row>
    <row r="69" ht="16.5" customHeight="1">
      <c r="A69" s="26" t="s">
        <v>134</v>
      </c>
      <c r="B69" s="28">
        <f>SUM('4 - RASA - MVT'!B69,'5 - RASA - National Landin'!B69,'6 - RASA - Mosaic'!B69,'7 - RASA - Rockville'!B69)</f>
        <v>0</v>
      </c>
      <c r="C69" s="15">
        <f>IFERROR(B69/B148, "NA")</f>
        <v>0</v>
      </c>
      <c r="D69" s="28">
        <f>SUM('4 - RASA - MVT'!D69,'5 - RASA - National Landin'!D69,'6 - RASA - Mosaic'!D69,'7 - RASA - Rockville'!D69)</f>
        <v>108.33</v>
      </c>
      <c r="E69" s="15">
        <f>IFERROR(D69/D148, "NA")</f>
        <v>0.001055148429</v>
      </c>
      <c r="F69" s="28">
        <f>SUM('4 - RASA - MVT'!F69,'5 - RASA - National Landin'!F69,'6 - RASA - Mosaic'!F69,'7 - RASA - Rockville'!F69)</f>
        <v>27.44</v>
      </c>
      <c r="G69" s="15">
        <f>IFERROR(F69/F148, "NA")</f>
        <v>0.0002510027533</v>
      </c>
      <c r="H69" s="28">
        <f>SUM('4 - RASA - MVT'!H69,'5 - RASA - National Landin'!H69,'6 - RASA - Mosaic'!H69,'7 - RASA - Rockville'!H69)</f>
        <v>167.75</v>
      </c>
      <c r="I69" s="15">
        <f>IFERROR(H69/H148, "NA")</f>
        <v>0.001370890475</v>
      </c>
      <c r="J69" s="28">
        <f>SUM('4 - RASA - MVT'!J69,'5 - RASA - National Landin'!J69,'6 - RASA - Mosaic'!J69,'7 - RASA - Rockville'!J69)</f>
        <v>54.46</v>
      </c>
      <c r="K69" s="15">
        <f>IFERROR(J69/J148, "NA")</f>
        <v>0.0004781112236</v>
      </c>
      <c r="L69" s="28">
        <f>SUM('4 - RASA - MVT'!L69,'5 - RASA - National Landin'!L69,'6 - RASA - Mosaic'!L69,'7 - RASA - Rockville'!L69)</f>
        <v>19.44</v>
      </c>
      <c r="M69" s="15">
        <f>IFERROR(L69/L148, "NA")</f>
        <v>0.0001549469072</v>
      </c>
      <c r="N69" s="28">
        <f>SUM('4 - RASA - MVT'!N69,'5 - RASA - National Landin'!N69,'6 - RASA - Mosaic'!N69,'7 - RASA - Rockville'!N69)</f>
        <v>365.35</v>
      </c>
      <c r="O69" s="15">
        <f>IFERROR(N69/N148, "NA")</f>
        <v>0.002661180999</v>
      </c>
      <c r="P69" s="28">
        <f>SUM('4 - RASA - MVT'!P69,'5 - RASA - National Landin'!P69,'6 - RASA - Mosaic'!P69,'7 - RASA - Rockville'!P69)</f>
        <v>1178.51</v>
      </c>
      <c r="Q69" s="15">
        <f>IFERROR(P69/P148, "NA")</f>
        <v>0.007998192566</v>
      </c>
      <c r="R69" s="28">
        <f>SUM('4 - RASA - MVT'!R69,'5 - RASA - National Landin'!R69,'6 - RASA - Mosaic'!R69,'7 - RASA - Rockville'!R69)</f>
        <v>618.74</v>
      </c>
      <c r="S69" s="15">
        <f>IFERROR(R69/R148, "NA")</f>
        <v>0.004283815183</v>
      </c>
      <c r="T69" s="28">
        <f>SUM('4 - RASA - MVT'!T69,'5 - RASA - National Landin'!T69,'6 - RASA - Mosaic'!T69,'7 - RASA - Rockville'!T69)</f>
        <v>32.16</v>
      </c>
      <c r="U69" s="15">
        <f>IFERROR(T69/T148, "NA")</f>
        <v>0.0002521516391</v>
      </c>
      <c r="V69" s="28">
        <f>SUM('4 - RASA - MVT'!V69,'5 - RASA - National Landin'!V69,'6 - RASA - Mosaic'!V69,'7 - RASA - Rockville'!V69)</f>
        <v>746.7</v>
      </c>
      <c r="W69" s="15">
        <f>IFERROR(V69/V148, "NA")</f>
        <v>0.005636545407</v>
      </c>
      <c r="X69" s="28">
        <f>SUM('4 - RASA - MVT'!X69,'5 - RASA - National Landin'!X69,'6 - RASA - Mosaic'!X69,'7 - RASA - Rockville'!X69)</f>
        <v>588.03</v>
      </c>
      <c r="Y69" s="15">
        <f>IFERROR(X69/X148, "NA")</f>
        <v>0.004110642505</v>
      </c>
      <c r="Z69" s="28">
        <f>SUM('4 - RASA - MVT'!Z69,'5 - RASA - National Landin'!Z69,'6 - RASA - Mosaic'!Z69,'7 - RASA - Rockville'!Z69)</f>
        <v>1366.89</v>
      </c>
      <c r="AA69" s="15">
        <f>IFERROR(Z69/Z148, "NA")</f>
        <v>0.003391216994</v>
      </c>
      <c r="AB69" s="57">
        <f t="shared" si="31"/>
        <v>496.4075</v>
      </c>
      <c r="AC69" s="15">
        <f>IFERROR(AB69/AB148, "NA")</f>
        <v>0.00362669258</v>
      </c>
      <c r="AD69" s="61">
        <f t="shared" si="32"/>
        <v>91.6225</v>
      </c>
      <c r="AE69" s="62">
        <f>IFERROR(AD69/AD148, "NA")</f>
        <v>0.01483875722</v>
      </c>
      <c r="AF69" s="61">
        <f t="shared" si="33"/>
        <v>0.1845711437</v>
      </c>
      <c r="AG69" s="57">
        <f t="shared" si="34"/>
        <v>450.42375</v>
      </c>
      <c r="AH69" s="15">
        <f>IFERROR(AG69/AG148, "NA")</f>
        <v>0.003362911714</v>
      </c>
      <c r="AI69" s="61">
        <f t="shared" si="35"/>
        <v>137.60625</v>
      </c>
      <c r="AJ69" s="62">
        <f>IFERROR(AI69/AI148, "NA")</f>
        <v>0.01510163302</v>
      </c>
      <c r="AK69" s="61">
        <f t="shared" si="36"/>
        <v>0.3055039837</v>
      </c>
      <c r="AL69" s="62">
        <f>IFERROR(AK69/AK148, "NA")</f>
        <v>4.49064213</v>
      </c>
    </row>
    <row r="70" ht="16.5" customHeight="1">
      <c r="A70" s="67" t="s">
        <v>138</v>
      </c>
      <c r="B70" s="70">
        <f>IFERROR(B65+B66+B67+B68+B69, "NA")</f>
        <v>23559.97</v>
      </c>
      <c r="C70" s="71">
        <f>IFERROR(B70/B148, "NA")</f>
        <v>0.3187743732</v>
      </c>
      <c r="D70" s="70">
        <f>IFERROR(D65+D66+D67+D68+D69, "NA")</f>
        <v>25503.14</v>
      </c>
      <c r="E70" s="71">
        <f>IFERROR(D70/D148, "NA")</f>
        <v>0.2484039334</v>
      </c>
      <c r="F70" s="70">
        <f>IFERROR(F65+F66+F67+F68+F69, "NA")</f>
        <v>26054.57</v>
      </c>
      <c r="G70" s="71">
        <f>IFERROR(F70/F148, "NA")</f>
        <v>0.2383297669</v>
      </c>
      <c r="H70" s="70">
        <f>IFERROR(H65+H66+H67+H68+H69, "NA")</f>
        <v>26616.92</v>
      </c>
      <c r="I70" s="71">
        <f>IFERROR(H70/H148, "NA")</f>
        <v>0.2175194164</v>
      </c>
      <c r="J70" s="70">
        <f>IFERROR(J65+J66+J67+J68+J69, "NA")</f>
        <v>26673.4</v>
      </c>
      <c r="K70" s="71">
        <f>IFERROR(J70/J148, "NA")</f>
        <v>0.2341691501</v>
      </c>
      <c r="L70" s="70">
        <f>IFERROR(L65+L66+L67+L68+L69, "NA")</f>
        <v>27151.64</v>
      </c>
      <c r="M70" s="71">
        <f>IFERROR(L70/L148, "NA")</f>
        <v>0.2164126874</v>
      </c>
      <c r="N70" s="70">
        <f>IFERROR(N65+N66+N67+N68+N69, "NA")</f>
        <v>29490.77</v>
      </c>
      <c r="O70" s="71">
        <f>IFERROR(N70/N148, "NA")</f>
        <v>0.2148084762</v>
      </c>
      <c r="P70" s="70">
        <f>IFERROR(P65+P66+P67+P68+P69, "NA")</f>
        <v>30810.17</v>
      </c>
      <c r="Q70" s="71">
        <f>IFERROR(P70/P148, "NA")</f>
        <v>0.209099348</v>
      </c>
      <c r="R70" s="70">
        <f>IFERROR(R65+R66+R67+R68+R69, "NA")</f>
        <v>29543.9</v>
      </c>
      <c r="S70" s="71">
        <f>IFERROR(R70/R148, "NA")</f>
        <v>0.2045457016</v>
      </c>
      <c r="T70" s="70">
        <f>IFERROR(T65+T66+T67+T68+T69, "NA")</f>
        <v>28119.57</v>
      </c>
      <c r="U70" s="71">
        <f>IFERROR(T70/T148, "NA")</f>
        <v>0.2204725021</v>
      </c>
      <c r="V70" s="70">
        <f>IFERROR(V65+V66+V67+V68+V69, "NA")</f>
        <v>29512.06</v>
      </c>
      <c r="W70" s="71">
        <f>IFERROR(V70/V148, "NA")</f>
        <v>0.2227749648</v>
      </c>
      <c r="X70" s="70">
        <f>IFERROR(X65+X66+X67+X68+X69, "NA")</f>
        <v>30512.19</v>
      </c>
      <c r="Y70" s="71">
        <f>IFERROR(X70/X148, "NA")</f>
        <v>0.2132964392</v>
      </c>
      <c r="Z70" s="70">
        <f>IFERROR(Z65+Z66+Z67+Z68+Z69, "NA")</f>
        <v>88143.82</v>
      </c>
      <c r="AA70" s="71">
        <f>IFERROR(Z70/Z148, "NA")</f>
        <v>0.2186824253</v>
      </c>
      <c r="AB70" s="70">
        <f t="shared" si="31"/>
        <v>29421.93</v>
      </c>
      <c r="AC70" s="71">
        <f>IFERROR(AB70/AB148, "NA")</f>
        <v>0.214953028</v>
      </c>
      <c r="AD70" s="75">
        <f t="shared" si="32"/>
        <v>1090.26</v>
      </c>
      <c r="AE70" s="76">
        <f>IFERROR(AD70/AD148, "NA")</f>
        <v>0.1765734775</v>
      </c>
      <c r="AF70" s="75">
        <f t="shared" si="33"/>
        <v>0.03705603269</v>
      </c>
      <c r="AG70" s="70">
        <f t="shared" si="34"/>
        <v>28976.7125</v>
      </c>
      <c r="AH70" s="71">
        <f>IFERROR(AG70/AG148, "NA")</f>
        <v>0.2163432233</v>
      </c>
      <c r="AI70" s="75">
        <f t="shared" si="35"/>
        <v>1535.4775</v>
      </c>
      <c r="AJ70" s="76">
        <f>IFERROR(AI70/AI148, "NA")</f>
        <v>0.1685113701</v>
      </c>
      <c r="AK70" s="75">
        <f t="shared" si="36"/>
        <v>0.05299005193</v>
      </c>
      <c r="AL70" s="76">
        <f>IFERROR(AK70/AK148, "NA")</f>
        <v>0.7789075504</v>
      </c>
    </row>
    <row r="71" ht="16.5" hidden="1" customHeight="1">
      <c r="A71" s="26" t="s">
        <v>143</v>
      </c>
      <c r="B71" s="28">
        <f>SUM('4 - RASA - MVT'!B71,'5 - RASA - National Landin'!B71,'6 - RASA - Mosaic'!B71,'7 - RASA - Rockville'!B71)</f>
        <v>0</v>
      </c>
      <c r="C71" s="15">
        <f>IFERROR(B71/B148, "NA")</f>
        <v>0</v>
      </c>
      <c r="D71" s="28">
        <f>SUM('4 - RASA - MVT'!D71,'5 - RASA - National Landin'!D71,'6 - RASA - Mosaic'!D71,'7 - RASA - Rockville'!D71)</f>
        <v>0</v>
      </c>
      <c r="E71" s="15">
        <f>IFERROR(D71/D148, "NA")</f>
        <v>0</v>
      </c>
      <c r="F71" s="28">
        <f>SUM('4 - RASA - MVT'!F71,'5 - RASA - National Landin'!F71,'6 - RASA - Mosaic'!F71,'7 - RASA - Rockville'!F71)</f>
        <v>0</v>
      </c>
      <c r="G71" s="15">
        <f>IFERROR(F71/F148, "NA")</f>
        <v>0</v>
      </c>
      <c r="H71" s="28">
        <f>SUM('4 - RASA - MVT'!H71,'5 - RASA - National Landin'!H71,'6 - RASA - Mosaic'!H71,'7 - RASA - Rockville'!H71)</f>
        <v>0</v>
      </c>
      <c r="I71" s="15">
        <f>IFERROR(H71/H148, "NA")</f>
        <v>0</v>
      </c>
      <c r="J71" s="28">
        <f>SUM('4 - RASA - MVT'!J71,'5 - RASA - National Landin'!J71,'6 - RASA - Mosaic'!J71,'7 - RASA - Rockville'!J71)</f>
        <v>0</v>
      </c>
      <c r="K71" s="15">
        <f>IFERROR(J71/J148, "NA")</f>
        <v>0</v>
      </c>
      <c r="L71" s="28">
        <f>SUM('4 - RASA - MVT'!L71,'5 - RASA - National Landin'!L71,'6 - RASA - Mosaic'!L71,'7 - RASA - Rockville'!L71)</f>
        <v>0</v>
      </c>
      <c r="M71" s="15">
        <f>IFERROR(L71/L148, "NA")</f>
        <v>0</v>
      </c>
      <c r="N71" s="28">
        <f>SUM('4 - RASA - MVT'!N71,'5 - RASA - National Landin'!N71,'6 - RASA - Mosaic'!N71,'7 - RASA - Rockville'!N71)</f>
        <v>0</v>
      </c>
      <c r="O71" s="15">
        <f>IFERROR(N71/N148, "NA")</f>
        <v>0</v>
      </c>
      <c r="P71" s="28">
        <f>SUM('4 - RASA - MVT'!P71,'5 - RASA - National Landin'!P71,'6 - RASA - Mosaic'!P71,'7 - RASA - Rockville'!P71)</f>
        <v>0</v>
      </c>
      <c r="Q71" s="15">
        <f>IFERROR(P71/P148, "NA")</f>
        <v>0</v>
      </c>
      <c r="R71" s="28">
        <f>SUM('4 - RASA - MVT'!R71,'5 - RASA - National Landin'!R71,'6 - RASA - Mosaic'!R71,'7 - RASA - Rockville'!R71)</f>
        <v>0</v>
      </c>
      <c r="S71" s="15">
        <f>IFERROR(R71/R148, "NA")</f>
        <v>0</v>
      </c>
      <c r="T71" s="28">
        <f>SUM('4 - RASA - MVT'!T71,'5 - RASA - National Landin'!T71,'6 - RASA - Mosaic'!T71,'7 - RASA - Rockville'!T71)</f>
        <v>0</v>
      </c>
      <c r="U71" s="15">
        <f>IFERROR(T71/T148, "NA")</f>
        <v>0</v>
      </c>
      <c r="V71" s="28">
        <f>SUM('4 - RASA - MVT'!V71,'5 - RASA - National Landin'!V71,'6 - RASA - Mosaic'!V71,'7 - RASA - Rockville'!V71)</f>
        <v>0</v>
      </c>
      <c r="W71" s="15">
        <f>IFERROR(V71/V148, "NA")</f>
        <v>0</v>
      </c>
      <c r="X71" s="28">
        <f>SUM('4 - RASA - MVT'!X71,'5 - RASA - National Landin'!X71,'6 - RASA - Mosaic'!X71,'7 - RASA - Rockville'!X71)</f>
        <v>0</v>
      </c>
      <c r="Y71" s="15">
        <f>IFERROR(X71/X148, "NA")</f>
        <v>0</v>
      </c>
      <c r="Z71" s="28">
        <f>SUM('4 - RASA - MVT'!Z71,'5 - RASA - National Landin'!Z71,'6 - RASA - Mosaic'!Z71,'7 - RASA - Rockville'!Z71)</f>
        <v>0</v>
      </c>
      <c r="AA71" s="15">
        <f>IFERROR(Z71/Z148, "NA")</f>
        <v>0</v>
      </c>
      <c r="AB71" s="57">
        <f t="shared" si="31"/>
        <v>0</v>
      </c>
      <c r="AC71" s="15">
        <f>IFERROR(AB71/AB148, "NA")</f>
        <v>0</v>
      </c>
      <c r="AD71" s="61">
        <f t="shared" si="32"/>
        <v>0</v>
      </c>
      <c r="AE71" s="62">
        <f>IFERROR(AD71/AD148, "NA")</f>
        <v>0</v>
      </c>
      <c r="AF71" s="61" t="str">
        <f t="shared" si="33"/>
        <v>NA</v>
      </c>
      <c r="AG71" s="57">
        <f t="shared" si="34"/>
        <v>0</v>
      </c>
      <c r="AH71" s="15">
        <f>IFERROR(AG71/AG148, "NA")</f>
        <v>0</v>
      </c>
      <c r="AI71" s="61">
        <f t="shared" si="35"/>
        <v>0</v>
      </c>
      <c r="AJ71" s="62">
        <f>IFERROR(AI71/AI148, "NA")</f>
        <v>0</v>
      </c>
      <c r="AK71" s="61" t="str">
        <f t="shared" si="36"/>
        <v>NA</v>
      </c>
      <c r="AL71" s="62" t="str">
        <f>IFERROR(AK71/AK148, "NA")</f>
        <v>NA</v>
      </c>
    </row>
    <row r="72" ht="16.5" customHeight="1">
      <c r="A72" s="26" t="s">
        <v>146</v>
      </c>
      <c r="B72" s="28">
        <f>SUM('4 - RASA - MVT'!B72,'5 - RASA - National Landin'!B72,'6 - RASA - Mosaic'!B72,'7 - RASA - Rockville'!B72)</f>
        <v>0</v>
      </c>
      <c r="C72" s="15">
        <f>IFERROR(B72/B148, "NA")</f>
        <v>0</v>
      </c>
      <c r="D72" s="28">
        <f>SUM('4 - RASA - MVT'!D72,'5 - RASA - National Landin'!D72,'6 - RASA - Mosaic'!D72,'7 - RASA - Rockville'!D72)</f>
        <v>0</v>
      </c>
      <c r="E72" s="15">
        <f>IFERROR(D72/D148, "NA")</f>
        <v>0</v>
      </c>
      <c r="F72" s="28">
        <f>SUM('4 - RASA - MVT'!F72,'5 - RASA - National Landin'!F72,'6 - RASA - Mosaic'!F72,'7 - RASA - Rockville'!F72)</f>
        <v>0</v>
      </c>
      <c r="G72" s="15">
        <f>IFERROR(F72/F148, "NA")</f>
        <v>0</v>
      </c>
      <c r="H72" s="28">
        <f>SUM('4 - RASA - MVT'!H72,'5 - RASA - National Landin'!H72,'6 - RASA - Mosaic'!H72,'7 - RASA - Rockville'!H72)</f>
        <v>1831</v>
      </c>
      <c r="I72" s="15">
        <f>IFERROR(H72/H148, "NA")</f>
        <v>0.01496334104</v>
      </c>
      <c r="J72" s="28">
        <f>SUM('4 - RASA - MVT'!J72,'5 - RASA - National Landin'!J72,'6 - RASA - Mosaic'!J72,'7 - RASA - Rockville'!J72)</f>
        <v>0</v>
      </c>
      <c r="K72" s="15">
        <f>IFERROR(J72/J148, "NA")</f>
        <v>0</v>
      </c>
      <c r="L72" s="28">
        <f>SUM('4 - RASA - MVT'!L72,'5 - RASA - National Landin'!L72,'6 - RASA - Mosaic'!L72,'7 - RASA - Rockville'!L72)</f>
        <v>0</v>
      </c>
      <c r="M72" s="15">
        <f>IFERROR(L72/L148, "NA")</f>
        <v>0</v>
      </c>
      <c r="N72" s="28">
        <f>SUM('4 - RASA - MVT'!N72,'5 - RASA - National Landin'!N72,'6 - RASA - Mosaic'!N72,'7 - RASA - Rockville'!N72)</f>
        <v>0</v>
      </c>
      <c r="O72" s="15">
        <f>IFERROR(N72/N148, "NA")</f>
        <v>0</v>
      </c>
      <c r="P72" s="28">
        <f>SUM('4 - RASA - MVT'!P72,'5 - RASA - National Landin'!P72,'6 - RASA - Mosaic'!P72,'7 - RASA - Rockville'!P72)</f>
        <v>0</v>
      </c>
      <c r="Q72" s="15">
        <f>IFERROR(P72/P148, "NA")</f>
        <v>0</v>
      </c>
      <c r="R72" s="28">
        <f>SUM('4 - RASA - MVT'!R72,'5 - RASA - National Landin'!R72,'6 - RASA - Mosaic'!R72,'7 - RASA - Rockville'!R72)</f>
        <v>-4201</v>
      </c>
      <c r="S72" s="15">
        <f>IFERROR(R72/R148, "NA")</f>
        <v>-0.02908541162</v>
      </c>
      <c r="T72" s="28">
        <f>SUM('4 - RASA - MVT'!T72,'5 - RASA - National Landin'!T72,'6 - RASA - Mosaic'!T72,'7 - RASA - Rockville'!T72)</f>
        <v>0</v>
      </c>
      <c r="U72" s="15">
        <f>IFERROR(T72/T148, "NA")</f>
        <v>0</v>
      </c>
      <c r="V72" s="28">
        <f>SUM('4 - RASA - MVT'!V72,'5 - RASA - National Landin'!V72,'6 - RASA - Mosaic'!V72,'7 - RASA - Rockville'!V72)</f>
        <v>0</v>
      </c>
      <c r="W72" s="15">
        <f>IFERROR(V72/V148, "NA")</f>
        <v>0</v>
      </c>
      <c r="X72" s="28">
        <f>SUM('4 - RASA - MVT'!X72,'5 - RASA - National Landin'!X72,'6 - RASA - Mosaic'!X72,'7 - RASA - Rockville'!X72)</f>
        <v>0</v>
      </c>
      <c r="Y72" s="15">
        <f>IFERROR(X72/X148, "NA")</f>
        <v>0</v>
      </c>
      <c r="Z72" s="28">
        <f>SUM('4 - RASA - MVT'!Z72,'5 - RASA - National Landin'!Z72,'6 - RASA - Mosaic'!Z72,'7 - RASA - Rockville'!Z72)</f>
        <v>0</v>
      </c>
      <c r="AA72" s="15">
        <f>IFERROR(Z72/Z148, "NA")</f>
        <v>0</v>
      </c>
      <c r="AB72" s="57">
        <f t="shared" si="31"/>
        <v>-1050.25</v>
      </c>
      <c r="AC72" s="15">
        <f>IFERROR(AB72/AB148, "NA")</f>
        <v>-0.007672998257</v>
      </c>
      <c r="AD72" s="61">
        <f t="shared" si="32"/>
        <v>1050.25</v>
      </c>
      <c r="AE72" s="62">
        <f>IFERROR(AD72/AD148, "NA")</f>
        <v>0.1700936426</v>
      </c>
      <c r="AF72" s="61">
        <f t="shared" si="33"/>
        <v>-1</v>
      </c>
      <c r="AG72" s="57">
        <f t="shared" si="34"/>
        <v>-525.125</v>
      </c>
      <c r="AH72" s="15">
        <f>IFERROR(AG72/AG148, "NA")</f>
        <v>-0.003920639207</v>
      </c>
      <c r="AI72" s="61">
        <f t="shared" si="35"/>
        <v>525.125</v>
      </c>
      <c r="AJ72" s="62">
        <f>IFERROR(AI72/AI148, "NA")</f>
        <v>0.05762997714</v>
      </c>
      <c r="AK72" s="61">
        <f t="shared" si="36"/>
        <v>-1</v>
      </c>
      <c r="AL72" s="62">
        <f>IFERROR(AK72/AK148, "NA")</f>
        <v>-14.6991279</v>
      </c>
    </row>
    <row r="73" ht="16.5" customHeight="1">
      <c r="A73" s="22" t="s">
        <v>151</v>
      </c>
      <c r="B73" s="23"/>
      <c r="C73" s="10"/>
      <c r="D73" s="23"/>
      <c r="E73" s="10"/>
      <c r="F73" s="23"/>
      <c r="G73" s="10"/>
      <c r="H73" s="23"/>
      <c r="I73" s="10"/>
      <c r="J73" s="23"/>
      <c r="K73" s="10"/>
      <c r="L73" s="23"/>
      <c r="M73" s="10"/>
      <c r="N73" s="23"/>
      <c r="O73" s="10"/>
      <c r="P73" s="23"/>
      <c r="Q73" s="10"/>
      <c r="R73" s="23"/>
      <c r="S73" s="10"/>
      <c r="T73" s="23"/>
      <c r="U73" s="10"/>
      <c r="V73" s="23"/>
      <c r="W73" s="10"/>
      <c r="X73" s="23"/>
      <c r="Y73" s="10"/>
      <c r="Z73" s="23"/>
      <c r="AA73" s="10"/>
      <c r="AB73" s="23"/>
      <c r="AC73" s="10"/>
      <c r="AD73" s="24"/>
      <c r="AE73" s="25"/>
      <c r="AF73" s="24"/>
      <c r="AG73" s="23"/>
      <c r="AH73" s="10"/>
      <c r="AI73" s="24"/>
      <c r="AJ73" s="25"/>
      <c r="AK73" s="24"/>
      <c r="AL73" s="25"/>
    </row>
    <row r="74" ht="16.5" customHeight="1">
      <c r="A74" s="26" t="s">
        <v>153</v>
      </c>
      <c r="B74" s="28">
        <f>SUM('4 - RASA - MVT'!B74,'5 - RASA - National Landin'!B74,'6 - RASA - Mosaic'!B74,'7 - RASA - Rockville'!B74)</f>
        <v>2397.87</v>
      </c>
      <c r="C74" s="15">
        <f>IFERROR(B74/B148, "NA")</f>
        <v>0.03244399319</v>
      </c>
      <c r="D74" s="28">
        <f>SUM('4 - RASA - MVT'!D74,'5 - RASA - National Landin'!D74,'6 - RASA - Mosaic'!D74,'7 - RASA - Rockville'!D74)</f>
        <v>2536.87</v>
      </c>
      <c r="E74" s="15">
        <f>IFERROR(D74/D148, "NA")</f>
        <v>0.02470944701</v>
      </c>
      <c r="F74" s="28">
        <f>SUM('4 - RASA - MVT'!F74,'5 - RASA - National Landin'!F74,'6 - RASA - Mosaic'!F74,'7 - RASA - Rockville'!F74)</f>
        <v>2656.43</v>
      </c>
      <c r="G74" s="15">
        <f>IFERROR(F74/F148, "NA")</f>
        <v>0.02429924358</v>
      </c>
      <c r="H74" s="28">
        <f>SUM('4 - RASA - MVT'!H74,'5 - RASA - National Landin'!H74,'6 - RASA - Mosaic'!H74,'7 - RASA - Rockville'!H74)</f>
        <v>2827.9</v>
      </c>
      <c r="I74" s="15">
        <f>IFERROR(H74/H148, "NA")</f>
        <v>0.02311023054</v>
      </c>
      <c r="J74" s="28">
        <f>SUM('4 - RASA - MVT'!J74,'5 - RASA - National Landin'!J74,'6 - RASA - Mosaic'!J74,'7 - RASA - Rockville'!J74)</f>
        <v>2820.44</v>
      </c>
      <c r="K74" s="15">
        <f>IFERROR(J74/J148, "NA")</f>
        <v>0.02476099926</v>
      </c>
      <c r="L74" s="28">
        <f>SUM('4 - RASA - MVT'!L74,'5 - RASA - National Landin'!L74,'6 - RASA - Mosaic'!L74,'7 - RASA - Rockville'!L74)</f>
        <v>2664.73</v>
      </c>
      <c r="M74" s="15">
        <f>IFERROR(L74/L148, "NA")</f>
        <v>0.02123928354</v>
      </c>
      <c r="N74" s="28">
        <f>SUM('4 - RASA - MVT'!N74,'5 - RASA - National Landin'!N74,'6 - RASA - Mosaic'!N74,'7 - RASA - Rockville'!N74)</f>
        <v>2898.55</v>
      </c>
      <c r="O74" s="15">
        <f>IFERROR(N74/N148, "NA")</f>
        <v>0.02111281288</v>
      </c>
      <c r="P74" s="28">
        <f>SUM('4 - RASA - MVT'!P74,'5 - RASA - National Landin'!P74,'6 - RASA - Mosaic'!P74,'7 - RASA - Rockville'!P74)</f>
        <v>3166.78</v>
      </c>
      <c r="Q74" s="15">
        <f>IFERROR(P74/P148, "NA")</f>
        <v>0.02149198247</v>
      </c>
      <c r="R74" s="28">
        <f>SUM('4 - RASA - MVT'!R74,'5 - RASA - National Landin'!R74,'6 - RASA - Mosaic'!R74,'7 - RASA - Rockville'!R74)</f>
        <v>2862.36</v>
      </c>
      <c r="S74" s="15">
        <f>IFERROR(R74/R148, "NA")</f>
        <v>0.0198174051</v>
      </c>
      <c r="T74" s="28">
        <f>SUM('4 - RASA - MVT'!T74,'5 - RASA - National Landin'!T74,'6 - RASA - Mosaic'!T74,'7 - RASA - Rockville'!T74)</f>
        <v>2598.56</v>
      </c>
      <c r="U74" s="15">
        <f>IFERROR(T74/T148, "NA")</f>
        <v>0.02037410334</v>
      </c>
      <c r="V74" s="28">
        <f>SUM('4 - RASA - MVT'!V74,'5 - RASA - National Landin'!V74,'6 - RASA - Mosaic'!V74,'7 - RASA - Rockville'!V74)</f>
        <v>2583.87</v>
      </c>
      <c r="W74" s="15">
        <f>IFERROR(V74/V148, "NA")</f>
        <v>0.01950462111</v>
      </c>
      <c r="X74" s="28">
        <f>SUM('4 - RASA - MVT'!X74,'5 - RASA - National Landin'!X74,'6 - RASA - Mosaic'!X74,'7 - RASA - Rockville'!X74)</f>
        <v>2822.07</v>
      </c>
      <c r="Y74" s="15">
        <f>IFERROR(X74/X148, "NA")</f>
        <v>0.01972777051</v>
      </c>
      <c r="Z74" s="28">
        <f>SUM('4 - RASA - MVT'!Z74,'5 - RASA - National Landin'!Z74,'6 - RASA - Mosaic'!Z74,'7 - RASA - Rockville'!Z74)</f>
        <v>8004.5</v>
      </c>
      <c r="AA74" s="15">
        <f>IFERROR(Z74/Z148, "NA")</f>
        <v>0.01985894727</v>
      </c>
      <c r="AB74" s="57">
        <f t="shared" ref="AB74:AB85" si="37">IFERROR((R74+T74+V74+X74)/4, "NA")</f>
        <v>2716.715</v>
      </c>
      <c r="AC74" s="15">
        <f>IFERROR(AB74/AB148, "NA")</f>
        <v>0.01984798806</v>
      </c>
      <c r="AD74" s="61">
        <f t="shared" ref="AD74:AD85" si="38">IFERROR(X74-AB74, "NA")</f>
        <v>105.355</v>
      </c>
      <c r="AE74" s="62">
        <f>IFERROR(AD74/AD148, "NA")</f>
        <v>0.01706280954</v>
      </c>
      <c r="AF74" s="61">
        <f t="shared" ref="AF74:AF85" si="39">IFERROR((X74-AB74)/AB74, "NA")</f>
        <v>0.03878029164</v>
      </c>
      <c r="AG74" s="57">
        <f t="shared" ref="AG74:AG85" si="40">IFERROR((J74+L74+N74+P74+R74+T74+V74+X74)/8, "NA")</f>
        <v>2802.17</v>
      </c>
      <c r="AH74" s="15">
        <f>IFERROR(AG74/AG148, "NA")</f>
        <v>0.02092129982</v>
      </c>
      <c r="AI74" s="61">
        <f t="shared" ref="AI74:AI85" si="41">IFERROR(X74-AG74, "NA")</f>
        <v>19.9</v>
      </c>
      <c r="AJ74" s="62">
        <f>IFERROR(AI74/AI148, "NA")</f>
        <v>0.002183930578</v>
      </c>
      <c r="AK74" s="61">
        <f t="shared" ref="AK74:AK85" si="42">IFERROR((X74-AG74)/AG74, "NA")</f>
        <v>0.007101639087</v>
      </c>
      <c r="AL74" s="62">
        <f>IFERROR(AK74/AK148, "NA")</f>
        <v>0.1043879012</v>
      </c>
    </row>
    <row r="75" ht="16.5" hidden="1" customHeight="1">
      <c r="A75" s="26" t="s">
        <v>158</v>
      </c>
      <c r="B75" s="28">
        <f>SUM('4 - RASA - MVT'!B75,'5 - RASA - National Landin'!B75,'6 - RASA - Mosaic'!B75,'7 - RASA - Rockville'!B75)</f>
        <v>0</v>
      </c>
      <c r="C75" s="15">
        <f>IFERROR(B75/B148, "NA")</f>
        <v>0</v>
      </c>
      <c r="D75" s="28">
        <f>SUM('4 - RASA - MVT'!D75,'5 - RASA - National Landin'!D75,'6 - RASA - Mosaic'!D75,'7 - RASA - Rockville'!D75)</f>
        <v>0</v>
      </c>
      <c r="E75" s="15">
        <f>IFERROR(D75/D148, "NA")</f>
        <v>0</v>
      </c>
      <c r="F75" s="28">
        <f>SUM('4 - RASA - MVT'!F75,'5 - RASA - National Landin'!F75,'6 - RASA - Mosaic'!F75,'7 - RASA - Rockville'!F75)</f>
        <v>0</v>
      </c>
      <c r="G75" s="15">
        <f>IFERROR(F75/F148, "NA")</f>
        <v>0</v>
      </c>
      <c r="H75" s="28">
        <f>SUM('4 - RASA - MVT'!H75,'5 - RASA - National Landin'!H75,'6 - RASA - Mosaic'!H75,'7 - RASA - Rockville'!H75)</f>
        <v>0</v>
      </c>
      <c r="I75" s="15">
        <f>IFERROR(H75/H148, "NA")</f>
        <v>0</v>
      </c>
      <c r="J75" s="28">
        <f>SUM('4 - RASA - MVT'!J75,'5 - RASA - National Landin'!J75,'6 - RASA - Mosaic'!J75,'7 - RASA - Rockville'!J75)</f>
        <v>0</v>
      </c>
      <c r="K75" s="15">
        <f>IFERROR(J75/J148, "NA")</f>
        <v>0</v>
      </c>
      <c r="L75" s="28">
        <f>SUM('4 - RASA - MVT'!L75,'5 - RASA - National Landin'!L75,'6 - RASA - Mosaic'!L75,'7 - RASA - Rockville'!L75)</f>
        <v>0</v>
      </c>
      <c r="M75" s="15">
        <f>IFERROR(L75/L148, "NA")</f>
        <v>0</v>
      </c>
      <c r="N75" s="28">
        <f>SUM('4 - RASA - MVT'!N75,'5 - RASA - National Landin'!N75,'6 - RASA - Mosaic'!N75,'7 - RASA - Rockville'!N75)</f>
        <v>0</v>
      </c>
      <c r="O75" s="15">
        <f>IFERROR(N75/N148, "NA")</f>
        <v>0</v>
      </c>
      <c r="P75" s="28">
        <f>SUM('4 - RASA - MVT'!P75,'5 - RASA - National Landin'!P75,'6 - RASA - Mosaic'!P75,'7 - RASA - Rockville'!P75)</f>
        <v>0</v>
      </c>
      <c r="Q75" s="15">
        <f>IFERROR(P75/P148, "NA")</f>
        <v>0</v>
      </c>
      <c r="R75" s="28">
        <f>SUM('4 - RASA - MVT'!R75,'5 - RASA - National Landin'!R75,'6 - RASA - Mosaic'!R75,'7 - RASA - Rockville'!R75)</f>
        <v>0</v>
      </c>
      <c r="S75" s="15">
        <f>IFERROR(R75/R148, "NA")</f>
        <v>0</v>
      </c>
      <c r="T75" s="28">
        <f>SUM('4 - RASA - MVT'!T75,'5 - RASA - National Landin'!T75,'6 - RASA - Mosaic'!T75,'7 - RASA - Rockville'!T75)</f>
        <v>0</v>
      </c>
      <c r="U75" s="15">
        <f>IFERROR(T75/T148, "NA")</f>
        <v>0</v>
      </c>
      <c r="V75" s="28">
        <f>SUM('4 - RASA - MVT'!V75,'5 - RASA - National Landin'!V75,'6 - RASA - Mosaic'!V75,'7 - RASA - Rockville'!V75)</f>
        <v>0</v>
      </c>
      <c r="W75" s="15">
        <f>IFERROR(V75/V148, "NA")</f>
        <v>0</v>
      </c>
      <c r="X75" s="28">
        <f>SUM('4 - RASA - MVT'!X75,'5 - RASA - National Landin'!X75,'6 - RASA - Mosaic'!X75,'7 - RASA - Rockville'!X75)</f>
        <v>0</v>
      </c>
      <c r="Y75" s="15">
        <f>IFERROR(X75/X148, "NA")</f>
        <v>0</v>
      </c>
      <c r="Z75" s="28">
        <f>SUM('4 - RASA - MVT'!Z75,'5 - RASA - National Landin'!Z75,'6 - RASA - Mosaic'!Z75,'7 - RASA - Rockville'!Z75)</f>
        <v>0</v>
      </c>
      <c r="AA75" s="15">
        <f>IFERROR(Z75/Z148, "NA")</f>
        <v>0</v>
      </c>
      <c r="AB75" s="57">
        <f t="shared" si="37"/>
        <v>0</v>
      </c>
      <c r="AC75" s="15">
        <f>IFERROR(AB75/AB148, "NA")</f>
        <v>0</v>
      </c>
      <c r="AD75" s="61">
        <f t="shared" si="38"/>
        <v>0</v>
      </c>
      <c r="AE75" s="62">
        <f>IFERROR(AD75/AD148, "NA")</f>
        <v>0</v>
      </c>
      <c r="AF75" s="61" t="str">
        <f t="shared" si="39"/>
        <v>NA</v>
      </c>
      <c r="AG75" s="57">
        <f t="shared" si="40"/>
        <v>0</v>
      </c>
      <c r="AH75" s="15">
        <f>IFERROR(AG75/AG148, "NA")</f>
        <v>0</v>
      </c>
      <c r="AI75" s="61">
        <f t="shared" si="41"/>
        <v>0</v>
      </c>
      <c r="AJ75" s="62">
        <f>IFERROR(AI75/AI148, "NA")</f>
        <v>0</v>
      </c>
      <c r="AK75" s="61" t="str">
        <f t="shared" si="42"/>
        <v>NA</v>
      </c>
      <c r="AL75" s="62" t="str">
        <f>IFERROR(AK75/AK148, "NA")</f>
        <v>NA</v>
      </c>
    </row>
    <row r="76" ht="16.5" hidden="1" customHeight="1">
      <c r="A76" s="26" t="s">
        <v>160</v>
      </c>
      <c r="B76" s="28">
        <f>SUM('4 - RASA - MVT'!B76,'5 - RASA - National Landin'!B76,'6 - RASA - Mosaic'!B76,'7 - RASA - Rockville'!B76)</f>
        <v>0</v>
      </c>
      <c r="C76" s="15">
        <f>IFERROR(B76/B148, "NA")</f>
        <v>0</v>
      </c>
      <c r="D76" s="28">
        <f>SUM('4 - RASA - MVT'!D76,'5 - RASA - National Landin'!D76,'6 - RASA - Mosaic'!D76,'7 - RASA - Rockville'!D76)</f>
        <v>0</v>
      </c>
      <c r="E76" s="15">
        <f>IFERROR(D76/D148, "NA")</f>
        <v>0</v>
      </c>
      <c r="F76" s="28">
        <f>SUM('4 - RASA - MVT'!F76,'5 - RASA - National Landin'!F76,'6 - RASA - Mosaic'!F76,'7 - RASA - Rockville'!F76)</f>
        <v>0</v>
      </c>
      <c r="G76" s="15">
        <f>IFERROR(F76/F148, "NA")</f>
        <v>0</v>
      </c>
      <c r="H76" s="28">
        <f>SUM('4 - RASA - MVT'!H76,'5 - RASA - National Landin'!H76,'6 - RASA - Mosaic'!H76,'7 - RASA - Rockville'!H76)</f>
        <v>0</v>
      </c>
      <c r="I76" s="15">
        <f>IFERROR(H76/H148, "NA")</f>
        <v>0</v>
      </c>
      <c r="J76" s="28">
        <f>SUM('4 - RASA - MVT'!J76,'5 - RASA - National Landin'!J76,'6 - RASA - Mosaic'!J76,'7 - RASA - Rockville'!J76)</f>
        <v>0</v>
      </c>
      <c r="K76" s="15">
        <f>IFERROR(J76/J148, "NA")</f>
        <v>0</v>
      </c>
      <c r="L76" s="28">
        <f>SUM('4 - RASA - MVT'!L76,'5 - RASA - National Landin'!L76,'6 - RASA - Mosaic'!L76,'7 - RASA - Rockville'!L76)</f>
        <v>0</v>
      </c>
      <c r="M76" s="15">
        <f>IFERROR(L76/L148, "NA")</f>
        <v>0</v>
      </c>
      <c r="N76" s="28">
        <f>SUM('4 - RASA - MVT'!N76,'5 - RASA - National Landin'!N76,'6 - RASA - Mosaic'!N76,'7 - RASA - Rockville'!N76)</f>
        <v>0</v>
      </c>
      <c r="O76" s="15">
        <f>IFERROR(N76/N148, "NA")</f>
        <v>0</v>
      </c>
      <c r="P76" s="28">
        <f>SUM('4 - RASA - MVT'!P76,'5 - RASA - National Landin'!P76,'6 - RASA - Mosaic'!P76,'7 - RASA - Rockville'!P76)</f>
        <v>0</v>
      </c>
      <c r="Q76" s="15">
        <f>IFERROR(P76/P148, "NA")</f>
        <v>0</v>
      </c>
      <c r="R76" s="28">
        <f>SUM('4 - RASA - MVT'!R76,'5 - RASA - National Landin'!R76,'6 - RASA - Mosaic'!R76,'7 - RASA - Rockville'!R76)</f>
        <v>0</v>
      </c>
      <c r="S76" s="15">
        <f>IFERROR(R76/R148, "NA")</f>
        <v>0</v>
      </c>
      <c r="T76" s="28">
        <f>SUM('4 - RASA - MVT'!T76,'5 - RASA - National Landin'!T76,'6 - RASA - Mosaic'!T76,'7 - RASA - Rockville'!T76)</f>
        <v>0</v>
      </c>
      <c r="U76" s="15">
        <f>IFERROR(T76/T148, "NA")</f>
        <v>0</v>
      </c>
      <c r="V76" s="28">
        <f>SUM('4 - RASA - MVT'!V76,'5 - RASA - National Landin'!V76,'6 - RASA - Mosaic'!V76,'7 - RASA - Rockville'!V76)</f>
        <v>0</v>
      </c>
      <c r="W76" s="15">
        <f>IFERROR(V76/V148, "NA")</f>
        <v>0</v>
      </c>
      <c r="X76" s="28">
        <f>SUM('4 - RASA - MVT'!X76,'5 - RASA - National Landin'!X76,'6 - RASA - Mosaic'!X76,'7 - RASA - Rockville'!X76)</f>
        <v>0</v>
      </c>
      <c r="Y76" s="15">
        <f>IFERROR(X76/X148, "NA")</f>
        <v>0</v>
      </c>
      <c r="Z76" s="28">
        <f>SUM('4 - RASA - MVT'!Z76,'5 - RASA - National Landin'!Z76,'6 - RASA - Mosaic'!Z76,'7 - RASA - Rockville'!Z76)</f>
        <v>0</v>
      </c>
      <c r="AA76" s="15">
        <f>IFERROR(Z76/Z148, "NA")</f>
        <v>0</v>
      </c>
      <c r="AB76" s="57">
        <f t="shared" si="37"/>
        <v>0</v>
      </c>
      <c r="AC76" s="15">
        <f>IFERROR(AB76/AB148, "NA")</f>
        <v>0</v>
      </c>
      <c r="AD76" s="61">
        <f t="shared" si="38"/>
        <v>0</v>
      </c>
      <c r="AE76" s="62">
        <f>IFERROR(AD76/AD148, "NA")</f>
        <v>0</v>
      </c>
      <c r="AF76" s="61" t="str">
        <f t="shared" si="39"/>
        <v>NA</v>
      </c>
      <c r="AG76" s="57">
        <f t="shared" si="40"/>
        <v>0</v>
      </c>
      <c r="AH76" s="15">
        <f>IFERROR(AG76/AG148, "NA")</f>
        <v>0</v>
      </c>
      <c r="AI76" s="61">
        <f t="shared" si="41"/>
        <v>0</v>
      </c>
      <c r="AJ76" s="62">
        <f>IFERROR(AI76/AI148, "NA")</f>
        <v>0</v>
      </c>
      <c r="AK76" s="61" t="str">
        <f t="shared" si="42"/>
        <v>NA</v>
      </c>
      <c r="AL76" s="62" t="str">
        <f>IFERROR(AK76/AK148, "NA")</f>
        <v>NA</v>
      </c>
    </row>
    <row r="77" ht="16.5" hidden="1" customHeight="1">
      <c r="A77" s="26" t="s">
        <v>163</v>
      </c>
      <c r="B77" s="28">
        <f>SUM('4 - RASA - MVT'!B77,'5 - RASA - National Landin'!B77,'6 - RASA - Mosaic'!B77,'7 - RASA - Rockville'!B77)</f>
        <v>0</v>
      </c>
      <c r="C77" s="15">
        <f>IFERROR(B77/B148, "NA")</f>
        <v>0</v>
      </c>
      <c r="D77" s="28">
        <f>SUM('4 - RASA - MVT'!D77,'5 - RASA - National Landin'!D77,'6 - RASA - Mosaic'!D77,'7 - RASA - Rockville'!D77)</f>
        <v>0</v>
      </c>
      <c r="E77" s="15">
        <f>IFERROR(D77/D148, "NA")</f>
        <v>0</v>
      </c>
      <c r="F77" s="28">
        <f>SUM('4 - RASA - MVT'!F77,'5 - RASA - National Landin'!F77,'6 - RASA - Mosaic'!F77,'7 - RASA - Rockville'!F77)</f>
        <v>0</v>
      </c>
      <c r="G77" s="15">
        <f>IFERROR(F77/F148, "NA")</f>
        <v>0</v>
      </c>
      <c r="H77" s="28">
        <f>SUM('4 - RASA - MVT'!H77,'5 - RASA - National Landin'!H77,'6 - RASA - Mosaic'!H77,'7 - RASA - Rockville'!H77)</f>
        <v>0</v>
      </c>
      <c r="I77" s="15">
        <f>IFERROR(H77/H148, "NA")</f>
        <v>0</v>
      </c>
      <c r="J77" s="28">
        <f>SUM('4 - RASA - MVT'!J77,'5 - RASA - National Landin'!J77,'6 - RASA - Mosaic'!J77,'7 - RASA - Rockville'!J77)</f>
        <v>0</v>
      </c>
      <c r="K77" s="15">
        <f>IFERROR(J77/J148, "NA")</f>
        <v>0</v>
      </c>
      <c r="L77" s="28">
        <f>SUM('4 - RASA - MVT'!L77,'5 - RASA - National Landin'!L77,'6 - RASA - Mosaic'!L77,'7 - RASA - Rockville'!L77)</f>
        <v>0</v>
      </c>
      <c r="M77" s="15">
        <f>IFERROR(L77/L148, "NA")</f>
        <v>0</v>
      </c>
      <c r="N77" s="28">
        <f>SUM('4 - RASA - MVT'!N77,'5 - RASA - National Landin'!N77,'6 - RASA - Mosaic'!N77,'7 - RASA - Rockville'!N77)</f>
        <v>0</v>
      </c>
      <c r="O77" s="15">
        <f>IFERROR(N77/N148, "NA")</f>
        <v>0</v>
      </c>
      <c r="P77" s="28">
        <f>SUM('4 - RASA - MVT'!P77,'5 - RASA - National Landin'!P77,'6 - RASA - Mosaic'!P77,'7 - RASA - Rockville'!P77)</f>
        <v>0</v>
      </c>
      <c r="Q77" s="15">
        <f>IFERROR(P77/P148, "NA")</f>
        <v>0</v>
      </c>
      <c r="R77" s="28">
        <f>SUM('4 - RASA - MVT'!R77,'5 - RASA - National Landin'!R77,'6 - RASA - Mosaic'!R77,'7 - RASA - Rockville'!R77)</f>
        <v>0</v>
      </c>
      <c r="S77" s="15">
        <f>IFERROR(R77/R148, "NA")</f>
        <v>0</v>
      </c>
      <c r="T77" s="28">
        <f>SUM('4 - RASA - MVT'!T77,'5 - RASA - National Landin'!T77,'6 - RASA - Mosaic'!T77,'7 - RASA - Rockville'!T77)</f>
        <v>0</v>
      </c>
      <c r="U77" s="15">
        <f>IFERROR(T77/T148, "NA")</f>
        <v>0</v>
      </c>
      <c r="V77" s="28">
        <f>SUM('4 - RASA - MVT'!V77,'5 - RASA - National Landin'!V77,'6 - RASA - Mosaic'!V77,'7 - RASA - Rockville'!V77)</f>
        <v>0</v>
      </c>
      <c r="W77" s="15">
        <f>IFERROR(V77/V148, "NA")</f>
        <v>0</v>
      </c>
      <c r="X77" s="28">
        <f>SUM('4 - RASA - MVT'!X77,'5 - RASA - National Landin'!X77,'6 - RASA - Mosaic'!X77,'7 - RASA - Rockville'!X77)</f>
        <v>0</v>
      </c>
      <c r="Y77" s="15">
        <f>IFERROR(X77/X148, "NA")</f>
        <v>0</v>
      </c>
      <c r="Z77" s="28">
        <f>SUM('4 - RASA - MVT'!Z77,'5 - RASA - National Landin'!Z77,'6 - RASA - Mosaic'!Z77,'7 - RASA - Rockville'!Z77)</f>
        <v>0</v>
      </c>
      <c r="AA77" s="15">
        <f>IFERROR(Z77/Z148, "NA")</f>
        <v>0</v>
      </c>
      <c r="AB77" s="57">
        <f t="shared" si="37"/>
        <v>0</v>
      </c>
      <c r="AC77" s="15">
        <f>IFERROR(AB77/AB148, "NA")</f>
        <v>0</v>
      </c>
      <c r="AD77" s="61">
        <f t="shared" si="38"/>
        <v>0</v>
      </c>
      <c r="AE77" s="62">
        <f>IFERROR(AD77/AD148, "NA")</f>
        <v>0</v>
      </c>
      <c r="AF77" s="61" t="str">
        <f t="shared" si="39"/>
        <v>NA</v>
      </c>
      <c r="AG77" s="57">
        <f t="shared" si="40"/>
        <v>0</v>
      </c>
      <c r="AH77" s="15">
        <f>IFERROR(AG77/AG148, "NA")</f>
        <v>0</v>
      </c>
      <c r="AI77" s="61">
        <f t="shared" si="41"/>
        <v>0</v>
      </c>
      <c r="AJ77" s="62">
        <f>IFERROR(AI77/AI148, "NA")</f>
        <v>0</v>
      </c>
      <c r="AK77" s="61" t="str">
        <f t="shared" si="42"/>
        <v>NA</v>
      </c>
      <c r="AL77" s="62" t="str">
        <f>IFERROR(AK77/AK148, "NA")</f>
        <v>NA</v>
      </c>
    </row>
    <row r="78" ht="16.5" hidden="1" customHeight="1">
      <c r="A78" s="26" t="s">
        <v>167</v>
      </c>
      <c r="B78" s="28">
        <f>SUM('4 - RASA - MVT'!B78,'5 - RASA - National Landin'!B78,'6 - RASA - Mosaic'!B78,'7 - RASA - Rockville'!B78)</f>
        <v>0</v>
      </c>
      <c r="C78" s="15">
        <f>IFERROR(B78/B148, "NA")</f>
        <v>0</v>
      </c>
      <c r="D78" s="28">
        <f>SUM('4 - RASA - MVT'!D78,'5 - RASA - National Landin'!D78,'6 - RASA - Mosaic'!D78,'7 - RASA - Rockville'!D78)</f>
        <v>0</v>
      </c>
      <c r="E78" s="15">
        <f>IFERROR(D78/D148, "NA")</f>
        <v>0</v>
      </c>
      <c r="F78" s="28">
        <f>SUM('4 - RASA - MVT'!F78,'5 - RASA - National Landin'!F78,'6 - RASA - Mosaic'!F78,'7 - RASA - Rockville'!F78)</f>
        <v>0</v>
      </c>
      <c r="G78" s="15">
        <f>IFERROR(F78/F148, "NA")</f>
        <v>0</v>
      </c>
      <c r="H78" s="28">
        <f>SUM('4 - RASA - MVT'!H78,'5 - RASA - National Landin'!H78,'6 - RASA - Mosaic'!H78,'7 - RASA - Rockville'!H78)</f>
        <v>0</v>
      </c>
      <c r="I78" s="15">
        <f>IFERROR(H78/H148, "NA")</f>
        <v>0</v>
      </c>
      <c r="J78" s="28">
        <f>SUM('4 - RASA - MVT'!J78,'5 - RASA - National Landin'!J78,'6 - RASA - Mosaic'!J78,'7 - RASA - Rockville'!J78)</f>
        <v>0</v>
      </c>
      <c r="K78" s="15">
        <f>IFERROR(J78/J148, "NA")</f>
        <v>0</v>
      </c>
      <c r="L78" s="28">
        <f>SUM('4 - RASA - MVT'!L78,'5 - RASA - National Landin'!L78,'6 - RASA - Mosaic'!L78,'7 - RASA - Rockville'!L78)</f>
        <v>0</v>
      </c>
      <c r="M78" s="15">
        <f>IFERROR(L78/L148, "NA")</f>
        <v>0</v>
      </c>
      <c r="N78" s="28">
        <f>SUM('4 - RASA - MVT'!N78,'5 - RASA - National Landin'!N78,'6 - RASA - Mosaic'!N78,'7 - RASA - Rockville'!N78)</f>
        <v>0</v>
      </c>
      <c r="O78" s="15">
        <f>IFERROR(N78/N148, "NA")</f>
        <v>0</v>
      </c>
      <c r="P78" s="28">
        <f>SUM('4 - RASA - MVT'!P78,'5 - RASA - National Landin'!P78,'6 - RASA - Mosaic'!P78,'7 - RASA - Rockville'!P78)</f>
        <v>0</v>
      </c>
      <c r="Q78" s="15">
        <f>IFERROR(P78/P148, "NA")</f>
        <v>0</v>
      </c>
      <c r="R78" s="28">
        <f>SUM('4 - RASA - MVT'!R78,'5 - RASA - National Landin'!R78,'6 - RASA - Mosaic'!R78,'7 - RASA - Rockville'!R78)</f>
        <v>0</v>
      </c>
      <c r="S78" s="15">
        <f>IFERROR(R78/R148, "NA")</f>
        <v>0</v>
      </c>
      <c r="T78" s="28">
        <f>SUM('4 - RASA - MVT'!T78,'5 - RASA - National Landin'!T78,'6 - RASA - Mosaic'!T78,'7 - RASA - Rockville'!T78)</f>
        <v>0</v>
      </c>
      <c r="U78" s="15">
        <f>IFERROR(T78/T148, "NA")</f>
        <v>0</v>
      </c>
      <c r="V78" s="28">
        <f>SUM('4 - RASA - MVT'!V78,'5 - RASA - National Landin'!V78,'6 - RASA - Mosaic'!V78,'7 - RASA - Rockville'!V78)</f>
        <v>0</v>
      </c>
      <c r="W78" s="15">
        <f>IFERROR(V78/V148, "NA")</f>
        <v>0</v>
      </c>
      <c r="X78" s="28">
        <f>SUM('4 - RASA - MVT'!X78,'5 - RASA - National Landin'!X78,'6 - RASA - Mosaic'!X78,'7 - RASA - Rockville'!X78)</f>
        <v>0</v>
      </c>
      <c r="Y78" s="15">
        <f>IFERROR(X78/X148, "NA")</f>
        <v>0</v>
      </c>
      <c r="Z78" s="28">
        <f>SUM('4 - RASA - MVT'!Z78,'5 - RASA - National Landin'!Z78,'6 - RASA - Mosaic'!Z78,'7 - RASA - Rockville'!Z78)</f>
        <v>0</v>
      </c>
      <c r="AA78" s="15">
        <f>IFERROR(Z78/Z148, "NA")</f>
        <v>0</v>
      </c>
      <c r="AB78" s="57">
        <f t="shared" si="37"/>
        <v>0</v>
      </c>
      <c r="AC78" s="15">
        <f>IFERROR(AB78/AB148, "NA")</f>
        <v>0</v>
      </c>
      <c r="AD78" s="61">
        <f t="shared" si="38"/>
        <v>0</v>
      </c>
      <c r="AE78" s="62">
        <f>IFERROR(AD78/AD148, "NA")</f>
        <v>0</v>
      </c>
      <c r="AF78" s="61" t="str">
        <f t="shared" si="39"/>
        <v>NA</v>
      </c>
      <c r="AG78" s="57">
        <f t="shared" si="40"/>
        <v>0</v>
      </c>
      <c r="AH78" s="15">
        <f>IFERROR(AG78/AG148, "NA")</f>
        <v>0</v>
      </c>
      <c r="AI78" s="61">
        <f t="shared" si="41"/>
        <v>0</v>
      </c>
      <c r="AJ78" s="62">
        <f>IFERROR(AI78/AI148, "NA")</f>
        <v>0</v>
      </c>
      <c r="AK78" s="61" t="str">
        <f t="shared" si="42"/>
        <v>NA</v>
      </c>
      <c r="AL78" s="62" t="str">
        <f>IFERROR(AK78/AK148, "NA")</f>
        <v>NA</v>
      </c>
    </row>
    <row r="79" ht="16.5" hidden="1" customHeight="1">
      <c r="A79" s="26" t="s">
        <v>169</v>
      </c>
      <c r="B79" s="28">
        <f>SUM('4 - RASA - MVT'!B79,'5 - RASA - National Landin'!B79,'6 - RASA - Mosaic'!B79,'7 - RASA - Rockville'!B79)</f>
        <v>0</v>
      </c>
      <c r="C79" s="15">
        <f>IFERROR(B79/B148, "NA")</f>
        <v>0</v>
      </c>
      <c r="D79" s="28">
        <f>SUM('4 - RASA - MVT'!D79,'5 - RASA - National Landin'!D79,'6 - RASA - Mosaic'!D79,'7 - RASA - Rockville'!D79)</f>
        <v>0</v>
      </c>
      <c r="E79" s="15">
        <f>IFERROR(D79/D148, "NA")</f>
        <v>0</v>
      </c>
      <c r="F79" s="28">
        <f>SUM('4 - RASA - MVT'!F79,'5 - RASA - National Landin'!F79,'6 - RASA - Mosaic'!F79,'7 - RASA - Rockville'!F79)</f>
        <v>0</v>
      </c>
      <c r="G79" s="15">
        <f>IFERROR(F79/F148, "NA")</f>
        <v>0</v>
      </c>
      <c r="H79" s="28">
        <f>SUM('4 - RASA - MVT'!H79,'5 - RASA - National Landin'!H79,'6 - RASA - Mosaic'!H79,'7 - RASA - Rockville'!H79)</f>
        <v>0</v>
      </c>
      <c r="I79" s="15">
        <f>IFERROR(H79/H148, "NA")</f>
        <v>0</v>
      </c>
      <c r="J79" s="28">
        <f>SUM('4 - RASA - MVT'!J79,'5 - RASA - National Landin'!J79,'6 - RASA - Mosaic'!J79,'7 - RASA - Rockville'!J79)</f>
        <v>0</v>
      </c>
      <c r="K79" s="15">
        <f>IFERROR(J79/J148, "NA")</f>
        <v>0</v>
      </c>
      <c r="L79" s="28">
        <f>SUM('4 - RASA - MVT'!L79,'5 - RASA - National Landin'!L79,'6 - RASA - Mosaic'!L79,'7 - RASA - Rockville'!L79)</f>
        <v>0</v>
      </c>
      <c r="M79" s="15">
        <f>IFERROR(L79/L148, "NA")</f>
        <v>0</v>
      </c>
      <c r="N79" s="28">
        <f>SUM('4 - RASA - MVT'!N79,'5 - RASA - National Landin'!N79,'6 - RASA - Mosaic'!N79,'7 - RASA - Rockville'!N79)</f>
        <v>0</v>
      </c>
      <c r="O79" s="15">
        <f>IFERROR(N79/N148, "NA")</f>
        <v>0</v>
      </c>
      <c r="P79" s="28">
        <f>SUM('4 - RASA - MVT'!P79,'5 - RASA - National Landin'!P79,'6 - RASA - Mosaic'!P79,'7 - RASA - Rockville'!P79)</f>
        <v>0</v>
      </c>
      <c r="Q79" s="15">
        <f>IFERROR(P79/P148, "NA")</f>
        <v>0</v>
      </c>
      <c r="R79" s="28">
        <f>SUM('4 - RASA - MVT'!R79,'5 - RASA - National Landin'!R79,'6 - RASA - Mosaic'!R79,'7 - RASA - Rockville'!R79)</f>
        <v>0</v>
      </c>
      <c r="S79" s="15">
        <f>IFERROR(R79/R148, "NA")</f>
        <v>0</v>
      </c>
      <c r="T79" s="28">
        <f>SUM('4 - RASA - MVT'!T79,'5 - RASA - National Landin'!T79,'6 - RASA - Mosaic'!T79,'7 - RASA - Rockville'!T79)</f>
        <v>0</v>
      </c>
      <c r="U79" s="15">
        <f>IFERROR(T79/T148, "NA")</f>
        <v>0</v>
      </c>
      <c r="V79" s="28">
        <f>SUM('4 - RASA - MVT'!V79,'5 - RASA - National Landin'!V79,'6 - RASA - Mosaic'!V79,'7 - RASA - Rockville'!V79)</f>
        <v>0</v>
      </c>
      <c r="W79" s="15">
        <f>IFERROR(V79/V148, "NA")</f>
        <v>0</v>
      </c>
      <c r="X79" s="28">
        <f>SUM('4 - RASA - MVT'!X79,'5 - RASA - National Landin'!X79,'6 - RASA - Mosaic'!X79,'7 - RASA - Rockville'!X79)</f>
        <v>0</v>
      </c>
      <c r="Y79" s="15">
        <f>IFERROR(X79/X148, "NA")</f>
        <v>0</v>
      </c>
      <c r="Z79" s="28">
        <f>SUM('4 - RASA - MVT'!Z79,'5 - RASA - National Landin'!Z79,'6 - RASA - Mosaic'!Z79,'7 - RASA - Rockville'!Z79)</f>
        <v>0</v>
      </c>
      <c r="AA79" s="15">
        <f>IFERROR(Z79/Z148, "NA")</f>
        <v>0</v>
      </c>
      <c r="AB79" s="57">
        <f t="shared" si="37"/>
        <v>0</v>
      </c>
      <c r="AC79" s="15">
        <f>IFERROR(AB79/AB148, "NA")</f>
        <v>0</v>
      </c>
      <c r="AD79" s="61">
        <f t="shared" si="38"/>
        <v>0</v>
      </c>
      <c r="AE79" s="62">
        <f>IFERROR(AD79/AD148, "NA")</f>
        <v>0</v>
      </c>
      <c r="AF79" s="61" t="str">
        <f t="shared" si="39"/>
        <v>NA</v>
      </c>
      <c r="AG79" s="57">
        <f t="shared" si="40"/>
        <v>0</v>
      </c>
      <c r="AH79" s="15">
        <f>IFERROR(AG79/AG148, "NA")</f>
        <v>0</v>
      </c>
      <c r="AI79" s="61">
        <f t="shared" si="41"/>
        <v>0</v>
      </c>
      <c r="AJ79" s="62">
        <f>IFERROR(AI79/AI148, "NA")</f>
        <v>0</v>
      </c>
      <c r="AK79" s="61" t="str">
        <f t="shared" si="42"/>
        <v>NA</v>
      </c>
      <c r="AL79" s="62" t="str">
        <f>IFERROR(AK79/AK148, "NA")</f>
        <v>NA</v>
      </c>
    </row>
    <row r="80" ht="16.5" hidden="1" customHeight="1">
      <c r="A80" s="26" t="s">
        <v>172</v>
      </c>
      <c r="B80" s="28">
        <f>SUM('4 - RASA - MVT'!B80,'5 - RASA - National Landin'!B80,'6 - RASA - Mosaic'!B80,'7 - RASA - Rockville'!B80)</f>
        <v>0</v>
      </c>
      <c r="C80" s="15">
        <f>IFERROR(B80/B148, "NA")</f>
        <v>0</v>
      </c>
      <c r="D80" s="28">
        <f>SUM('4 - RASA - MVT'!D80,'5 - RASA - National Landin'!D80,'6 - RASA - Mosaic'!D80,'7 - RASA - Rockville'!D80)</f>
        <v>0</v>
      </c>
      <c r="E80" s="15">
        <f>IFERROR(D80/D148, "NA")</f>
        <v>0</v>
      </c>
      <c r="F80" s="28">
        <f>SUM('4 - RASA - MVT'!F80,'5 - RASA - National Landin'!F80,'6 - RASA - Mosaic'!F80,'7 - RASA - Rockville'!F80)</f>
        <v>0</v>
      </c>
      <c r="G80" s="15">
        <f>IFERROR(F80/F148, "NA")</f>
        <v>0</v>
      </c>
      <c r="H80" s="28">
        <f>SUM('4 - RASA - MVT'!H80,'5 - RASA - National Landin'!H80,'6 - RASA - Mosaic'!H80,'7 - RASA - Rockville'!H80)</f>
        <v>0</v>
      </c>
      <c r="I80" s="15">
        <f>IFERROR(H80/H148, "NA")</f>
        <v>0</v>
      </c>
      <c r="J80" s="28">
        <f>SUM('4 - RASA - MVT'!J80,'5 - RASA - National Landin'!J80,'6 - RASA - Mosaic'!J80,'7 - RASA - Rockville'!J80)</f>
        <v>0</v>
      </c>
      <c r="K80" s="15">
        <f>IFERROR(J80/J148, "NA")</f>
        <v>0</v>
      </c>
      <c r="L80" s="28">
        <f>SUM('4 - RASA - MVT'!L80,'5 - RASA - National Landin'!L80,'6 - RASA - Mosaic'!L80,'7 - RASA - Rockville'!L80)</f>
        <v>0</v>
      </c>
      <c r="M80" s="15">
        <f>IFERROR(L80/L148, "NA")</f>
        <v>0</v>
      </c>
      <c r="N80" s="28">
        <f>SUM('4 - RASA - MVT'!N80,'5 - RASA - National Landin'!N80,'6 - RASA - Mosaic'!N80,'7 - RASA - Rockville'!N80)</f>
        <v>0</v>
      </c>
      <c r="O80" s="15">
        <f>IFERROR(N80/N148, "NA")</f>
        <v>0</v>
      </c>
      <c r="P80" s="28">
        <f>SUM('4 - RASA - MVT'!P80,'5 - RASA - National Landin'!P80,'6 - RASA - Mosaic'!P80,'7 - RASA - Rockville'!P80)</f>
        <v>0</v>
      </c>
      <c r="Q80" s="15">
        <f>IFERROR(P80/P148, "NA")</f>
        <v>0</v>
      </c>
      <c r="R80" s="28">
        <f>SUM('4 - RASA - MVT'!R80,'5 - RASA - National Landin'!R80,'6 - RASA - Mosaic'!R80,'7 - RASA - Rockville'!R80)</f>
        <v>0</v>
      </c>
      <c r="S80" s="15">
        <f>IFERROR(R80/R148, "NA")</f>
        <v>0</v>
      </c>
      <c r="T80" s="28">
        <f>SUM('4 - RASA - MVT'!T80,'5 - RASA - National Landin'!T80,'6 - RASA - Mosaic'!T80,'7 - RASA - Rockville'!T80)</f>
        <v>0</v>
      </c>
      <c r="U80" s="15">
        <f>IFERROR(T80/T148, "NA")</f>
        <v>0</v>
      </c>
      <c r="V80" s="28">
        <f>SUM('4 - RASA - MVT'!V80,'5 - RASA - National Landin'!V80,'6 - RASA - Mosaic'!V80,'7 - RASA - Rockville'!V80)</f>
        <v>0</v>
      </c>
      <c r="W80" s="15">
        <f>IFERROR(V80/V148, "NA")</f>
        <v>0</v>
      </c>
      <c r="X80" s="28">
        <f>SUM('4 - RASA - MVT'!X80,'5 - RASA - National Landin'!X80,'6 - RASA - Mosaic'!X80,'7 - RASA - Rockville'!X80)</f>
        <v>0</v>
      </c>
      <c r="Y80" s="15">
        <f>IFERROR(X80/X148, "NA")</f>
        <v>0</v>
      </c>
      <c r="Z80" s="28">
        <f>SUM('4 - RASA - MVT'!Z80,'5 - RASA - National Landin'!Z80,'6 - RASA - Mosaic'!Z80,'7 - RASA - Rockville'!Z80)</f>
        <v>0</v>
      </c>
      <c r="AA80" s="15">
        <f>IFERROR(Z80/Z148, "NA")</f>
        <v>0</v>
      </c>
      <c r="AB80" s="57">
        <f t="shared" si="37"/>
        <v>0</v>
      </c>
      <c r="AC80" s="15">
        <f>IFERROR(AB80/AB148, "NA")</f>
        <v>0</v>
      </c>
      <c r="AD80" s="61">
        <f t="shared" si="38"/>
        <v>0</v>
      </c>
      <c r="AE80" s="62">
        <f>IFERROR(AD80/AD148, "NA")</f>
        <v>0</v>
      </c>
      <c r="AF80" s="61" t="str">
        <f t="shared" si="39"/>
        <v>NA</v>
      </c>
      <c r="AG80" s="57">
        <f t="shared" si="40"/>
        <v>0</v>
      </c>
      <c r="AH80" s="15">
        <f>IFERROR(AG80/AG148, "NA")</f>
        <v>0</v>
      </c>
      <c r="AI80" s="61">
        <f t="shared" si="41"/>
        <v>0</v>
      </c>
      <c r="AJ80" s="62">
        <f>IFERROR(AI80/AI148, "NA")</f>
        <v>0</v>
      </c>
      <c r="AK80" s="61" t="str">
        <f t="shared" si="42"/>
        <v>NA</v>
      </c>
      <c r="AL80" s="62" t="str">
        <f>IFERROR(AK80/AK148, "NA")</f>
        <v>NA</v>
      </c>
    </row>
    <row r="81" ht="16.5" customHeight="1">
      <c r="A81" s="67" t="s">
        <v>176</v>
      </c>
      <c r="B81" s="70">
        <f>IFERROR(B74+B75+B76+B77+B78+B79+B80, "NA")</f>
        <v>2397.87</v>
      </c>
      <c r="C81" s="71">
        <f>IFERROR(B81/B148, "NA")</f>
        <v>0.03244399319</v>
      </c>
      <c r="D81" s="70">
        <f>IFERROR(D74+D75+D76+D77+D78+D79+D80, "NA")</f>
        <v>2536.87</v>
      </c>
      <c r="E81" s="71">
        <f>IFERROR(D81/D148, "NA")</f>
        <v>0.02470944701</v>
      </c>
      <c r="F81" s="70">
        <f>IFERROR(F74+F75+F76+F77+F78+F79+F80, "NA")</f>
        <v>2656.43</v>
      </c>
      <c r="G81" s="71">
        <f>IFERROR(F81/F148, "NA")</f>
        <v>0.02429924358</v>
      </c>
      <c r="H81" s="70">
        <f>IFERROR(H74+H75+H76+H77+H78+H79+H80, "NA")</f>
        <v>2827.9</v>
      </c>
      <c r="I81" s="71">
        <f>IFERROR(H81/H148, "NA")</f>
        <v>0.02311023054</v>
      </c>
      <c r="J81" s="70">
        <f>IFERROR(J74+J75+J76+J77+J78+J79+J80, "NA")</f>
        <v>2820.44</v>
      </c>
      <c r="K81" s="71">
        <f>IFERROR(J81/J148, "NA")</f>
        <v>0.02476099926</v>
      </c>
      <c r="L81" s="70">
        <f>IFERROR(L74+L75+L76+L77+L78+L79+L80, "NA")</f>
        <v>2664.73</v>
      </c>
      <c r="M81" s="71">
        <f>IFERROR(L81/L148, "NA")</f>
        <v>0.02123928354</v>
      </c>
      <c r="N81" s="70">
        <f>IFERROR(N74+N75+N76+N77+N78+N79+N80, "NA")</f>
        <v>2898.55</v>
      </c>
      <c r="O81" s="71">
        <f>IFERROR(N81/N148, "NA")</f>
        <v>0.02111281288</v>
      </c>
      <c r="P81" s="70">
        <f>IFERROR(P74+P75+P76+P77+P78+P79+P80, "NA")</f>
        <v>3166.78</v>
      </c>
      <c r="Q81" s="71">
        <f>IFERROR(P81/P148, "NA")</f>
        <v>0.02149198247</v>
      </c>
      <c r="R81" s="70">
        <f>IFERROR(R74+R75+R76+R77+R78+R79+R80, "NA")</f>
        <v>2862.36</v>
      </c>
      <c r="S81" s="71">
        <f>IFERROR(R81/R148, "NA")</f>
        <v>0.0198174051</v>
      </c>
      <c r="T81" s="70">
        <f>IFERROR(T74+T75+T76+T77+T78+T79+T80, "NA")</f>
        <v>2598.56</v>
      </c>
      <c r="U81" s="71">
        <f>IFERROR(T81/T148, "NA")</f>
        <v>0.02037410334</v>
      </c>
      <c r="V81" s="70">
        <f>IFERROR(V74+V75+V76+V77+V78+V79+V80, "NA")</f>
        <v>2583.87</v>
      </c>
      <c r="W81" s="71">
        <f>IFERROR(V81/V148, "NA")</f>
        <v>0.01950462111</v>
      </c>
      <c r="X81" s="70">
        <f>IFERROR(X74+X75+X76+X77+X78+X79+X80, "NA")</f>
        <v>2822.07</v>
      </c>
      <c r="Y81" s="71">
        <f>IFERROR(X81/X148, "NA")</f>
        <v>0.01972777051</v>
      </c>
      <c r="Z81" s="70">
        <f>IFERROR(Z74+Z75+Z76+Z77+Z78+Z79+Z80, "NA")</f>
        <v>8004.5</v>
      </c>
      <c r="AA81" s="71">
        <f>IFERROR(Z81/Z148, "NA")</f>
        <v>0.01985894727</v>
      </c>
      <c r="AB81" s="70">
        <f t="shared" si="37"/>
        <v>2716.715</v>
      </c>
      <c r="AC81" s="71">
        <f>IFERROR(AB81/AB148, "NA")</f>
        <v>0.01984798806</v>
      </c>
      <c r="AD81" s="75">
        <f t="shared" si="38"/>
        <v>105.355</v>
      </c>
      <c r="AE81" s="76">
        <f>IFERROR(AD81/AD148, "NA")</f>
        <v>0.01706280954</v>
      </c>
      <c r="AF81" s="75">
        <f t="shared" si="39"/>
        <v>0.03878029164</v>
      </c>
      <c r="AG81" s="70">
        <f t="shared" si="40"/>
        <v>2802.17</v>
      </c>
      <c r="AH81" s="71">
        <f>IFERROR(AG81/AG148, "NA")</f>
        <v>0.02092129982</v>
      </c>
      <c r="AI81" s="75">
        <f t="shared" si="41"/>
        <v>19.9</v>
      </c>
      <c r="AJ81" s="76">
        <f>IFERROR(AI81/AI148, "NA")</f>
        <v>0.002183930578</v>
      </c>
      <c r="AK81" s="75">
        <f t="shared" si="42"/>
        <v>0.007101639087</v>
      </c>
      <c r="AL81" s="76">
        <f>IFERROR(AK81/AK148, "NA")</f>
        <v>0.1043879012</v>
      </c>
    </row>
    <row r="82" ht="16.5" customHeight="1">
      <c r="A82" s="26" t="s">
        <v>179</v>
      </c>
      <c r="B82" s="28">
        <f>SUM('4 - RASA - MVT'!B82,'5 - RASA - National Landin'!B82,'6 - RASA - Mosaic'!B82,'7 - RASA - Rockville'!B82)</f>
        <v>1406.16</v>
      </c>
      <c r="C82" s="15">
        <f>IFERROR(B82/B148, "NA")</f>
        <v>0.01902582103</v>
      </c>
      <c r="D82" s="28">
        <f>SUM('4 - RASA - MVT'!D82,'5 - RASA - National Landin'!D82,'6 - RASA - Mosaic'!D82,'7 - RASA - Rockville'!D82)</f>
        <v>0</v>
      </c>
      <c r="E82" s="15">
        <f>IFERROR(D82/D148, "NA")</f>
        <v>0</v>
      </c>
      <c r="F82" s="28">
        <f>SUM('4 - RASA - MVT'!F82,'5 - RASA - National Landin'!F82,'6 - RASA - Mosaic'!F82,'7 - RASA - Rockville'!F82)</f>
        <v>0</v>
      </c>
      <c r="G82" s="15">
        <f>IFERROR(F82/F148, "NA")</f>
        <v>0</v>
      </c>
      <c r="H82" s="28">
        <f>SUM('4 - RASA - MVT'!H82,'5 - RASA - National Landin'!H82,'6 - RASA - Mosaic'!H82,'7 - RASA - Rockville'!H82)</f>
        <v>0</v>
      </c>
      <c r="I82" s="15">
        <f>IFERROR(H82/H148, "NA")</f>
        <v>0</v>
      </c>
      <c r="J82" s="28">
        <f>SUM('4 - RASA - MVT'!J82,'5 - RASA - National Landin'!J82,'6 - RASA - Mosaic'!J82,'7 - RASA - Rockville'!J82)</f>
        <v>881.13</v>
      </c>
      <c r="K82" s="15">
        <f>IFERROR(J82/J148, "NA")</f>
        <v>0.007735551643</v>
      </c>
      <c r="L82" s="28">
        <f>SUM('4 - RASA - MVT'!L82,'5 - RASA - National Landin'!L82,'6 - RASA - Mosaic'!L82,'7 - RASA - Rockville'!L82)</f>
        <v>0</v>
      </c>
      <c r="M82" s="15">
        <f>IFERROR(L82/L148, "NA")</f>
        <v>0</v>
      </c>
      <c r="N82" s="28">
        <f>SUM('4 - RASA - MVT'!N82,'5 - RASA - National Landin'!N82,'6 - RASA - Mosaic'!N82,'7 - RASA - Rockville'!N82)</f>
        <v>0</v>
      </c>
      <c r="O82" s="15">
        <f>IFERROR(N82/N148, "NA")</f>
        <v>0</v>
      </c>
      <c r="P82" s="28">
        <f>SUM('4 - RASA - MVT'!P82,'5 - RASA - National Landin'!P82,'6 - RASA - Mosaic'!P82,'7 - RASA - Rockville'!P82)</f>
        <v>0</v>
      </c>
      <c r="Q82" s="15">
        <f>IFERROR(P82/P148, "NA")</f>
        <v>0</v>
      </c>
      <c r="R82" s="28">
        <f>SUM('4 - RASA - MVT'!R82,'5 - RASA - National Landin'!R82,'6 - RASA - Mosaic'!R82,'7 - RASA - Rockville'!R82)</f>
        <v>0</v>
      </c>
      <c r="S82" s="15">
        <f>IFERROR(R82/R148, "NA")</f>
        <v>0</v>
      </c>
      <c r="T82" s="28">
        <f>SUM('4 - RASA - MVT'!T82,'5 - RASA - National Landin'!T82,'6 - RASA - Mosaic'!T82,'7 - RASA - Rockville'!T82)</f>
        <v>926.62</v>
      </c>
      <c r="U82" s="15">
        <f>IFERROR(T82/T148, "NA")</f>
        <v>0.007265197507</v>
      </c>
      <c r="V82" s="28">
        <f>SUM('4 - RASA - MVT'!V82,'5 - RASA - National Landin'!V82,'6 - RASA - Mosaic'!V82,'7 - RASA - Rockville'!V82)</f>
        <v>0</v>
      </c>
      <c r="W82" s="15">
        <f>IFERROR(V82/V148, "NA")</f>
        <v>0</v>
      </c>
      <c r="X82" s="28">
        <f>SUM('4 - RASA - MVT'!X82,'5 - RASA - National Landin'!X82,'6 - RASA - Mosaic'!X82,'7 - RASA - Rockville'!X82)</f>
        <v>0</v>
      </c>
      <c r="Y82" s="15">
        <f>IFERROR(X82/X148, "NA")</f>
        <v>0</v>
      </c>
      <c r="Z82" s="28">
        <f>SUM('4 - RASA - MVT'!Z82,'5 - RASA - National Landin'!Z82,'6 - RASA - Mosaic'!Z82,'7 - RASA - Rockville'!Z82)</f>
        <v>926.62</v>
      </c>
      <c r="AA82" s="15">
        <f>IFERROR(Z82/Z148, "NA")</f>
        <v>0.002298919072</v>
      </c>
      <c r="AB82" s="57">
        <f t="shared" si="37"/>
        <v>231.655</v>
      </c>
      <c r="AC82" s="15">
        <f>IFERROR(AB82/AB148, "NA")</f>
        <v>0.001692443143</v>
      </c>
      <c r="AD82" s="61">
        <f t="shared" si="38"/>
        <v>-231.655</v>
      </c>
      <c r="AE82" s="62">
        <f>IFERROR(AD82/AD148, "NA")</f>
        <v>-0.0375177746</v>
      </c>
      <c r="AF82" s="61">
        <f t="shared" si="39"/>
        <v>-1</v>
      </c>
      <c r="AG82" s="57">
        <f t="shared" si="40"/>
        <v>225.96875</v>
      </c>
      <c r="AH82" s="15">
        <f>IFERROR(AG82/AG148, "NA")</f>
        <v>0.001687106767</v>
      </c>
      <c r="AI82" s="61">
        <f t="shared" si="41"/>
        <v>-225.96875</v>
      </c>
      <c r="AJ82" s="62">
        <f>IFERROR(AI82/AI148, "NA")</f>
        <v>-0.02479899814</v>
      </c>
      <c r="AK82" s="61">
        <f t="shared" si="42"/>
        <v>-1</v>
      </c>
      <c r="AL82" s="62">
        <f>IFERROR(AK82/AK148, "NA")</f>
        <v>-14.6991279</v>
      </c>
    </row>
    <row r="83" ht="16.5" customHeight="1">
      <c r="A83" s="26" t="s">
        <v>181</v>
      </c>
      <c r="B83" s="28">
        <f>SUM('4 - RASA - MVT'!B83,'5 - RASA - National Landin'!B83,'6 - RASA - Mosaic'!B83,'7 - RASA - Rockville'!B83)</f>
        <v>-297.74</v>
      </c>
      <c r="C83" s="15">
        <f>IFERROR(B83/B148, "NA")</f>
        <v>-0.004028523036</v>
      </c>
      <c r="D83" s="28">
        <f>SUM('4 - RASA - MVT'!D83,'5 - RASA - National Landin'!D83,'6 - RASA - Mosaic'!D83,'7 - RASA - Rockville'!D83)</f>
        <v>-297.74</v>
      </c>
      <c r="E83" s="15">
        <f>IFERROR(D83/D148, "NA")</f>
        <v>-0.002900026707</v>
      </c>
      <c r="F83" s="28">
        <f>SUM('4 - RASA - MVT'!F83,'5 - RASA - National Landin'!F83,'6 - RASA - Mosaic'!F83,'7 - RASA - Rockville'!F83)</f>
        <v>2812.3</v>
      </c>
      <c r="G83" s="15">
        <f>IFERROR(F83/F148, "NA")</f>
        <v>0.02572503801</v>
      </c>
      <c r="H83" s="28">
        <f>SUM('4 - RASA - MVT'!H83,'5 - RASA - National Landin'!H83,'6 - RASA - Mosaic'!H83,'7 - RASA - Rockville'!H83)</f>
        <v>-297.74</v>
      </c>
      <c r="I83" s="15">
        <f>IFERROR(H83/H148, "NA")</f>
        <v>-0.002433197794</v>
      </c>
      <c r="J83" s="28">
        <f>SUM('4 - RASA - MVT'!J83,'5 - RASA - National Landin'!J83,'6 - RASA - Mosaic'!J83,'7 - RASA - Rockville'!J83)</f>
        <v>-297.74</v>
      </c>
      <c r="K83" s="15">
        <f>IFERROR(J83/J148, "NA")</f>
        <v>-0.002613897094</v>
      </c>
      <c r="L83" s="28">
        <f>SUM('4 - RASA - MVT'!L83,'5 - RASA - National Landin'!L83,'6 - RASA - Mosaic'!L83,'7 - RASA - Rockville'!L83)</f>
        <v>-297.74</v>
      </c>
      <c r="M83" s="15">
        <f>IFERROR(L83/L148, "NA")</f>
        <v>-0.0023731426</v>
      </c>
      <c r="N83" s="28">
        <f>SUM('4 - RASA - MVT'!N83,'5 - RASA - National Landin'!N83,'6 - RASA - Mosaic'!N83,'7 - RASA - Rockville'!N83)</f>
        <v>2812.3</v>
      </c>
      <c r="O83" s="15">
        <f>IFERROR(N83/N148, "NA")</f>
        <v>0.02048457458</v>
      </c>
      <c r="P83" s="28">
        <f>SUM('4 - RASA - MVT'!P83,'5 - RASA - National Landin'!P83,'6 - RASA - Mosaic'!P83,'7 - RASA - Rockville'!P83)</f>
        <v>-297.74</v>
      </c>
      <c r="Q83" s="15">
        <f>IFERROR(P83/P148, "NA")</f>
        <v>-0.002020671742</v>
      </c>
      <c r="R83" s="28">
        <f>SUM('4 - RASA - MVT'!R83,'5 - RASA - National Landin'!R83,'6 - RASA - Mosaic'!R83,'7 - RASA - Rockville'!R83)</f>
        <v>-297.74</v>
      </c>
      <c r="S83" s="15">
        <f>IFERROR(R83/R148, "NA")</f>
        <v>-0.002061387873</v>
      </c>
      <c r="T83" s="28">
        <f>SUM('4 - RASA - MVT'!T83,'5 - RASA - National Landin'!T83,'6 - RASA - Mosaic'!T83,'7 - RASA - Rockville'!T83)</f>
        <v>2605.64</v>
      </c>
      <c r="U83" s="15">
        <f>IFERROR(T83/T148, "NA")</f>
        <v>0.02042961433</v>
      </c>
      <c r="V83" s="28">
        <f>SUM('4 - RASA - MVT'!V83,'5 - RASA - National Landin'!V83,'6 - RASA - Mosaic'!V83,'7 - RASA - Rockville'!V83)</f>
        <v>-297.74</v>
      </c>
      <c r="W83" s="15">
        <f>IFERROR(V83/V148, "NA")</f>
        <v>-0.002247522471</v>
      </c>
      <c r="X83" s="28">
        <f>SUM('4 - RASA - MVT'!X83,'5 - RASA - National Landin'!X83,'6 - RASA - Mosaic'!X83,'7 - RASA - Rockville'!X83)</f>
        <v>-91.08</v>
      </c>
      <c r="Y83" s="15">
        <f>IFERROR(X83/X148, "NA")</f>
        <v>-0.0006366976503</v>
      </c>
      <c r="Z83" s="28">
        <f>SUM('4 - RASA - MVT'!Z83,'5 - RASA - National Landin'!Z83,'6 - RASA - Mosaic'!Z83,'7 - RASA - Rockville'!Z83)</f>
        <v>2216.82</v>
      </c>
      <c r="AA83" s="15">
        <f>IFERROR(Z83/Z148, "NA")</f>
        <v>0.005499870258</v>
      </c>
      <c r="AB83" s="57">
        <f t="shared" si="37"/>
        <v>479.77</v>
      </c>
      <c r="AC83" s="15">
        <f>IFERROR(AB83/AB148, "NA")</f>
        <v>0.003505141037</v>
      </c>
      <c r="AD83" s="61">
        <f t="shared" si="38"/>
        <v>-570.85</v>
      </c>
      <c r="AE83" s="62">
        <f>IFERROR(AD83/AD148, "NA")</f>
        <v>-0.09245223126</v>
      </c>
      <c r="AF83" s="61">
        <f t="shared" si="39"/>
        <v>-1.189840965</v>
      </c>
      <c r="AG83" s="57">
        <f t="shared" si="40"/>
        <v>479.77</v>
      </c>
      <c r="AH83" s="15">
        <f>IFERROR(AG83/AG148, "NA")</f>
        <v>0.003582013944</v>
      </c>
      <c r="AI83" s="61">
        <f t="shared" si="41"/>
        <v>-570.85</v>
      </c>
      <c r="AJ83" s="62">
        <f>IFERROR(AI83/AI148, "NA")</f>
        <v>-0.06264807893</v>
      </c>
      <c r="AK83" s="61">
        <f t="shared" si="42"/>
        <v>-1.189840965</v>
      </c>
      <c r="AL83" s="62">
        <f>IFERROR(AK83/AK148, "NA")</f>
        <v>-17.48962453</v>
      </c>
    </row>
    <row r="84" ht="16.5" customHeight="1">
      <c r="A84" s="67" t="s">
        <v>55</v>
      </c>
      <c r="B84" s="70">
        <f>IFERROR(B63+B65+B66+B67+B68+B69+B71+B72+B74+B75+B76+B77+B78+B79+B80+B82+B83, "NA")</f>
        <v>27066.26</v>
      </c>
      <c r="C84" s="71">
        <f>IFERROR(B84/B148, "NA")</f>
        <v>0.3662156644</v>
      </c>
      <c r="D84" s="70">
        <f>IFERROR(D63+D65+D66+D67+D68+D69+D71+D72+D74+D75+D76+D77+D78+D79+D80+D82+D83, "NA")</f>
        <v>27742.27</v>
      </c>
      <c r="E84" s="71">
        <f>IFERROR(D84/D148, "NA")</f>
        <v>0.2702133537</v>
      </c>
      <c r="F84" s="70">
        <f>IFERROR(F63+F65+F66+F67+F68+F69+F71+F72+F74+F75+F76+F77+F78+F79+F80+F82+F83, "NA")</f>
        <v>31523.3</v>
      </c>
      <c r="G84" s="71">
        <f>IFERROR(F84/F148, "NA")</f>
        <v>0.2883540485</v>
      </c>
      <c r="H84" s="70">
        <f>IFERROR(H63+H65+H66+H67+H68+H69+H71+H72+H74+H75+H76+H77+H78+H79+H80+H82+H83, "NA")</f>
        <v>30978.08</v>
      </c>
      <c r="I84" s="71">
        <f>IFERROR(H84/H148, "NA")</f>
        <v>0.2531597902</v>
      </c>
      <c r="J84" s="70">
        <f>IFERROR(J63+J65+J66+J67+J68+J69+J71+J72+J74+J75+J76+J77+J78+J79+J80+J82+J83, "NA")</f>
        <v>30077.23</v>
      </c>
      <c r="K84" s="71">
        <f>IFERROR(J84/J148, "NA")</f>
        <v>0.2640518039</v>
      </c>
      <c r="L84" s="70">
        <f>IFERROR(L63+L65+L66+L67+L68+L69+L71+L72+L74+L75+L76+L77+L78+L79+L80+L82+L83, "NA")</f>
        <v>29518.63</v>
      </c>
      <c r="M84" s="71">
        <f>IFERROR(L84/L148, "NA")</f>
        <v>0.2352788283</v>
      </c>
      <c r="N84" s="70">
        <f>IFERROR(N63+N65+N66+N67+N68+N69+N71+N72+N74+N75+N76+N77+N78+N79+N80+N82+N83, "NA")</f>
        <v>35201.62</v>
      </c>
      <c r="O84" s="71">
        <f>IFERROR(N84/N148, "NA")</f>
        <v>0.2564058636</v>
      </c>
      <c r="P84" s="70">
        <f>IFERROR(P63+P65+P66+P67+P68+P69+P71+P72+P74+P75+P76+P77+P78+P79+P80+P82+P83, "NA")</f>
        <v>33679.21</v>
      </c>
      <c r="Q84" s="71">
        <f>IFERROR(P84/P148, "NA")</f>
        <v>0.2285706588</v>
      </c>
      <c r="R84" s="70">
        <f>IFERROR(R63+R65+R66+R67+R68+R69+R71+R72+R74+R75+R76+R77+R78+R79+R80+R82+R83, "NA")</f>
        <v>27907.52</v>
      </c>
      <c r="S84" s="71">
        <f>IFERROR(R84/R148, "NA")</f>
        <v>0.1932163072</v>
      </c>
      <c r="T84" s="70">
        <f>IFERROR(T63+T65+T66+T67+T68+T69+T71+T72+T74+T75+T76+T77+T78+T79+T80+T82+T83, "NA")</f>
        <v>34250.39</v>
      </c>
      <c r="U84" s="71">
        <f>IFERROR(T84/T148, "NA")</f>
        <v>0.2685414172</v>
      </c>
      <c r="V84" s="70">
        <f>IFERROR(V63+V65+V66+V67+V68+V69+V71+V72+V74+V75+V76+V77+V78+V79+V80+V82+V83, "NA")</f>
        <v>31798.19</v>
      </c>
      <c r="W84" s="71">
        <f>IFERROR(V84/V148, "NA")</f>
        <v>0.2400320635</v>
      </c>
      <c r="X84" s="70">
        <f>IFERROR(X63+X65+X66+X67+X68+X69+X71+X72+X74+X75+X76+X77+X78+X79+X80+X82+X83, "NA")</f>
        <v>33243.18</v>
      </c>
      <c r="Y84" s="71">
        <f>IFERROR(X84/X148, "NA")</f>
        <v>0.232387512</v>
      </c>
      <c r="Z84" s="70">
        <f>IFERROR(Z63+Z65+Z66+Z67+Z68+Z69+Z71+Z72+Z74+Z75+Z76+Z77+Z78+Z79+Z80+Z82+Z83, "NA")</f>
        <v>99291.76</v>
      </c>
      <c r="AA84" s="71">
        <f>IFERROR(Z84/Z148, "NA")</f>
        <v>0.2463401619</v>
      </c>
      <c r="AB84" s="70">
        <f t="shared" si="37"/>
        <v>31799.82</v>
      </c>
      <c r="AC84" s="71">
        <f>IFERROR(AB84/AB148, "NA")</f>
        <v>0.2323256019</v>
      </c>
      <c r="AD84" s="75">
        <f t="shared" si="38"/>
        <v>1443.36</v>
      </c>
      <c r="AE84" s="76">
        <f>IFERROR(AD84/AD148, "NA")</f>
        <v>0.2337599238</v>
      </c>
      <c r="AF84" s="75">
        <f t="shared" si="39"/>
        <v>0.04538893616</v>
      </c>
      <c r="AG84" s="70">
        <f t="shared" si="40"/>
        <v>31959.49625</v>
      </c>
      <c r="AH84" s="71">
        <f>IFERROR(AG84/AG148, "NA")</f>
        <v>0.2386130046</v>
      </c>
      <c r="AI84" s="75">
        <f t="shared" si="41"/>
        <v>1283.68375</v>
      </c>
      <c r="AJ84" s="76">
        <f>IFERROR(AI84/AI148, "NA")</f>
        <v>0.1408782007</v>
      </c>
      <c r="AK84" s="75">
        <f t="shared" si="42"/>
        <v>0.04016595693</v>
      </c>
      <c r="AL84" s="76">
        <f>IFERROR(AK84/AK148, "NA")</f>
        <v>0.590404538</v>
      </c>
    </row>
    <row r="85" ht="16.5" customHeight="1">
      <c r="A85" s="67" t="s">
        <v>55</v>
      </c>
      <c r="B85" s="118">
        <f>IFERROR(B63+B65+B66+B67+B68+B69+B71+B72+B74+B75+B76+B77+B78+B79+B80+B82+B83, "NA")</f>
        <v>27066.26</v>
      </c>
      <c r="C85" s="94">
        <f>IFERROR(B85/B148, "NA")</f>
        <v>0.3662156644</v>
      </c>
      <c r="D85" s="118">
        <f>IFERROR(D63+D65+D66+D67+D68+D69+D71+D72+D74+D75+D76+D77+D78+D79+D80+D82+D83, "NA")</f>
        <v>27742.27</v>
      </c>
      <c r="E85" s="94">
        <f>IFERROR(D85/D148, "NA")</f>
        <v>0.2702133537</v>
      </c>
      <c r="F85" s="118">
        <f>IFERROR(F63+F65+F66+F67+F68+F69+F71+F72+F74+F75+F76+F77+F78+F79+F80+F82+F83, "NA")</f>
        <v>31523.3</v>
      </c>
      <c r="G85" s="94">
        <f>IFERROR(F85/F148, "NA")</f>
        <v>0.2883540485</v>
      </c>
      <c r="H85" s="118">
        <f>IFERROR(H63+H65+H66+H67+H68+H69+H71+H72+H74+H75+H76+H77+H78+H79+H80+H82+H83, "NA")</f>
        <v>30978.08</v>
      </c>
      <c r="I85" s="94">
        <f>IFERROR(H85/H148, "NA")</f>
        <v>0.2531597902</v>
      </c>
      <c r="J85" s="118">
        <f>IFERROR(J63+J65+J66+J67+J68+J69+J71+J72+J74+J75+J76+J77+J78+J79+J80+J82+J83, "NA")</f>
        <v>30077.23</v>
      </c>
      <c r="K85" s="94">
        <f>IFERROR(J85/J148, "NA")</f>
        <v>0.2640518039</v>
      </c>
      <c r="L85" s="118">
        <f>IFERROR(L63+L65+L66+L67+L68+L69+L71+L72+L74+L75+L76+L77+L78+L79+L80+L82+L83, "NA")</f>
        <v>29518.63</v>
      </c>
      <c r="M85" s="94">
        <f>IFERROR(L85/L148, "NA")</f>
        <v>0.2352788283</v>
      </c>
      <c r="N85" s="118">
        <f>IFERROR(N63+N65+N66+N67+N68+N69+N71+N72+N74+N75+N76+N77+N78+N79+N80+N82+N83, "NA")</f>
        <v>35201.62</v>
      </c>
      <c r="O85" s="94">
        <f>IFERROR(N85/N148, "NA")</f>
        <v>0.2564058636</v>
      </c>
      <c r="P85" s="118">
        <f>IFERROR(P63+P65+P66+P67+P68+P69+P71+P72+P74+P75+P76+P77+P78+P79+P80+P82+P83, "NA")</f>
        <v>33679.21</v>
      </c>
      <c r="Q85" s="94">
        <f>IFERROR(P85/P148, "NA")</f>
        <v>0.2285706588</v>
      </c>
      <c r="R85" s="118">
        <f>IFERROR(R63+R65+R66+R67+R68+R69+R71+R72+R74+R75+R76+R77+R78+R79+R80+R82+R83, "NA")</f>
        <v>27907.52</v>
      </c>
      <c r="S85" s="94">
        <f>IFERROR(R85/R148, "NA")</f>
        <v>0.1932163072</v>
      </c>
      <c r="T85" s="118">
        <f>IFERROR(T63+T65+T66+T67+T68+T69+T71+T72+T74+T75+T76+T77+T78+T79+T80+T82+T83, "NA")</f>
        <v>34250.39</v>
      </c>
      <c r="U85" s="94">
        <f>IFERROR(T85/T148, "NA")</f>
        <v>0.2685414172</v>
      </c>
      <c r="V85" s="118">
        <f>IFERROR(V63+V65+V66+V67+V68+V69+V71+V72+V74+V75+V76+V77+V78+V79+V80+V82+V83, "NA")</f>
        <v>31798.19</v>
      </c>
      <c r="W85" s="94">
        <f>IFERROR(V85/V148, "NA")</f>
        <v>0.2400320635</v>
      </c>
      <c r="X85" s="118">
        <f>IFERROR(X63+X65+X66+X67+X68+X69+X71+X72+X74+X75+X76+X77+X78+X79+X80+X82+X83, "NA")</f>
        <v>33243.18</v>
      </c>
      <c r="Y85" s="94">
        <f>IFERROR(X85/X148, "NA")</f>
        <v>0.232387512</v>
      </c>
      <c r="Z85" s="118">
        <f>IFERROR(Z63+Z65+Z66+Z67+Z68+Z69+Z71+Z72+Z74+Z75+Z76+Z77+Z78+Z79+Z80+Z82+Z83, "NA")</f>
        <v>99291.76</v>
      </c>
      <c r="AA85" s="94">
        <f>IFERROR(Z85/Z148, "NA")</f>
        <v>0.2463401619</v>
      </c>
      <c r="AB85" s="118">
        <f t="shared" si="37"/>
        <v>31799.82</v>
      </c>
      <c r="AC85" s="94">
        <f>IFERROR(AB85/AB148, "NA")</f>
        <v>0.2323256019</v>
      </c>
      <c r="AD85" s="119">
        <f t="shared" si="38"/>
        <v>1443.36</v>
      </c>
      <c r="AE85" s="120">
        <f>IFERROR(AD85/AD148, "NA")</f>
        <v>0.2337599238</v>
      </c>
      <c r="AF85" s="119">
        <f t="shared" si="39"/>
        <v>0.04538893616</v>
      </c>
      <c r="AG85" s="118">
        <f t="shared" si="40"/>
        <v>31959.49625</v>
      </c>
      <c r="AH85" s="94">
        <f>IFERROR(AG85/AG148, "NA")</f>
        <v>0.2386130046</v>
      </c>
      <c r="AI85" s="119">
        <f t="shared" si="41"/>
        <v>1283.68375</v>
      </c>
      <c r="AJ85" s="120">
        <f>IFERROR(AI85/AI148, "NA")</f>
        <v>0.1408782007</v>
      </c>
      <c r="AK85" s="119">
        <f t="shared" si="42"/>
        <v>0.04016595693</v>
      </c>
      <c r="AL85" s="120">
        <f>IFERROR(AK85/AK148, "NA")</f>
        <v>0.590404538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2"/>
      <c r="AF86" s="125"/>
      <c r="AG86" s="124"/>
      <c r="AH86" s="74"/>
      <c r="AI86" s="125"/>
      <c r="AJ86" s="82"/>
      <c r="AK86" s="125"/>
      <c r="AL86" s="82"/>
    </row>
    <row r="87" ht="16.5" customHeight="1">
      <c r="A87" s="121" t="s">
        <v>56</v>
      </c>
      <c r="B87" s="122">
        <f>IFERROR(B59-B85, "NA")</f>
        <v>26221.95</v>
      </c>
      <c r="C87" s="98">
        <f>IFERROR(B87/B148, "NA")</f>
        <v>0.3547918642</v>
      </c>
      <c r="D87" s="122">
        <f>IFERROR(D59-D85, "NA")</f>
        <v>46391.08</v>
      </c>
      <c r="E87" s="98">
        <f>IFERROR(D87/D148, "NA")</f>
        <v>0.4518552126</v>
      </c>
      <c r="F87" s="122">
        <f>IFERROR(F59-F85, "NA")</f>
        <v>48217.04</v>
      </c>
      <c r="G87" s="98">
        <f>IFERROR(F87/F148, "NA")</f>
        <v>0.4410572082</v>
      </c>
      <c r="H87" s="122">
        <f>IFERROR(H59-H85, "NA")</f>
        <v>58655.23</v>
      </c>
      <c r="I87" s="98">
        <f>IFERROR(H87/H148, "NA")</f>
        <v>0.479343643</v>
      </c>
      <c r="J87" s="122">
        <f>IFERROR(J59-J85, "NA")</f>
        <v>52971.04</v>
      </c>
      <c r="K87" s="98">
        <f>IFERROR(J87/J148, "NA")</f>
        <v>0.4650394556</v>
      </c>
      <c r="L87" s="122">
        <f>IFERROR(L59-L85, "NA")</f>
        <v>62536.17</v>
      </c>
      <c r="M87" s="98">
        <f>IFERROR(L87/L148, "NA")</f>
        <v>0.4984457885</v>
      </c>
      <c r="N87" s="122">
        <f>IFERROR(N59-N85, "NA")</f>
        <v>64784.83</v>
      </c>
      <c r="O87" s="98">
        <f>IFERROR(N87/N148, "NA")</f>
        <v>0.4718876656</v>
      </c>
      <c r="P87" s="122">
        <f>IFERROR(P59-P85, "NA")</f>
        <v>74679.21</v>
      </c>
      <c r="Q87" s="98">
        <f>IFERROR(P87/P148, "NA")</f>
        <v>0.5068253153</v>
      </c>
      <c r="R87" s="122">
        <f>IFERROR(R59-R85, "NA")</f>
        <v>77728.17</v>
      </c>
      <c r="S87" s="98">
        <f>IFERROR(R87/R148, "NA")</f>
        <v>0.5381470647</v>
      </c>
      <c r="T87" s="122">
        <f>IFERROR(T59-T85, "NA")</f>
        <v>58002.67</v>
      </c>
      <c r="U87" s="98">
        <f>IFERROR(T87/T148, "NA")</f>
        <v>0.4547720247</v>
      </c>
      <c r="V87" s="122">
        <f>IFERROR(V59-V85, "NA")</f>
        <v>63851.48</v>
      </c>
      <c r="W87" s="98">
        <f>IFERROR(V87/V148, "NA")</f>
        <v>0.4819897768</v>
      </c>
      <c r="X87" s="122">
        <f>IFERROR(X59-X85, "NA")</f>
        <v>71776.5</v>
      </c>
      <c r="Y87" s="98">
        <f>IFERROR(X87/X148, "NA")</f>
        <v>0.5017559168</v>
      </c>
      <c r="Z87" s="122">
        <f>IFERROR(Z59-Z85, "NA")</f>
        <v>193630.65</v>
      </c>
      <c r="AA87" s="98">
        <f>IFERROR(Z87/Z148, "NA")</f>
        <v>0.4803923877</v>
      </c>
      <c r="AB87" s="122">
        <f>IFERROR((R87+T87+V87+X87)/4, "NA")</f>
        <v>67839.705</v>
      </c>
      <c r="AC87" s="98">
        <f>IFERROR(AB87/AB148, "NA")</f>
        <v>0.495628601</v>
      </c>
      <c r="AD87" s="75">
        <f>IFERROR(X87-AB87, "NA")</f>
        <v>3936.795</v>
      </c>
      <c r="AE87" s="76">
        <f>IFERROR(AD87/AD148, "NA")</f>
        <v>0.637585148</v>
      </c>
      <c r="AF87" s="75">
        <f>IFERROR((X87-AB87)/AB87, "NA")</f>
        <v>0.05803083902</v>
      </c>
      <c r="AG87" s="122">
        <f>IFERROR((J87+L87+N87+P87+R87+T87+V87+X87)/8, "NA")</f>
        <v>65791.25875</v>
      </c>
      <c r="AH87" s="98">
        <f>IFERROR(AG87/AG148, "NA")</f>
        <v>0.4912045485</v>
      </c>
      <c r="AI87" s="75">
        <f>IFERROR(X87-AG87, "NA")</f>
        <v>5985.24125</v>
      </c>
      <c r="AJ87" s="76">
        <f>IFERROR(AI87/AI148, "NA")</f>
        <v>0.6568518284</v>
      </c>
      <c r="AK87" s="75">
        <f>IFERROR((X87-AG87)/AG87, "NA")</f>
        <v>0.09097319862</v>
      </c>
      <c r="AL87" s="76">
        <f>IFERROR(AK87/AK148, "NA")</f>
        <v>1.337226682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2"/>
      <c r="AF88" s="125"/>
      <c r="AG88" s="124"/>
      <c r="AH88" s="74"/>
      <c r="AI88" s="125"/>
      <c r="AJ88" s="82"/>
      <c r="AK88" s="125"/>
      <c r="AL88" s="82"/>
    </row>
    <row r="89" ht="16.5" hidden="1" customHeight="1">
      <c r="A89" s="22" t="s">
        <v>206</v>
      </c>
      <c r="B89" s="23"/>
      <c r="C89" s="10"/>
      <c r="D89" s="23"/>
      <c r="E89" s="10"/>
      <c r="F89" s="23"/>
      <c r="G89" s="10"/>
      <c r="H89" s="23"/>
      <c r="I89" s="10"/>
      <c r="J89" s="23"/>
      <c r="K89" s="10"/>
      <c r="L89" s="23"/>
      <c r="M89" s="10"/>
      <c r="N89" s="23"/>
      <c r="O89" s="10"/>
      <c r="P89" s="23"/>
      <c r="Q89" s="10"/>
      <c r="R89" s="23"/>
      <c r="S89" s="10"/>
      <c r="T89" s="23"/>
      <c r="U89" s="10"/>
      <c r="V89" s="23"/>
      <c r="W89" s="10"/>
      <c r="X89" s="23"/>
      <c r="Y89" s="10"/>
      <c r="Z89" s="23"/>
      <c r="AA89" s="10"/>
      <c r="AB89" s="23"/>
      <c r="AC89" s="10"/>
      <c r="AD89" s="24"/>
      <c r="AE89" s="25"/>
      <c r="AF89" s="24"/>
      <c r="AG89" s="23"/>
      <c r="AH89" s="10"/>
      <c r="AI89" s="24"/>
      <c r="AJ89" s="25"/>
      <c r="AK89" s="24"/>
      <c r="AL89" s="25"/>
    </row>
    <row r="90" ht="16.5" hidden="1" customHeight="1">
      <c r="A90" s="26" t="s">
        <v>207</v>
      </c>
      <c r="B90" s="28">
        <f>SUM('4 - RASA - MVT'!B90,'5 - RASA - National Landin'!B90,'6 - RASA - Mosaic'!B90,'7 - RASA - Rockville'!B90)</f>
        <v>2086.48</v>
      </c>
      <c r="C90" s="15">
        <f>IFERROR(B90/B148, "NA")</f>
        <v>0.02823078103</v>
      </c>
      <c r="D90" s="28">
        <f>SUM('4 - RASA - MVT'!D90,'5 - RASA - National Landin'!D90,'6 - RASA - Mosaic'!D90,'7 - RASA - Rockville'!D90)</f>
        <v>2448.67</v>
      </c>
      <c r="E90" s="15">
        <f>IFERROR(D90/D148, "NA")</f>
        <v>0.02385036743</v>
      </c>
      <c r="F90" s="28">
        <f>SUM('4 - RASA - MVT'!F90,'5 - RASA - National Landin'!F90,'6 - RASA - Mosaic'!F90,'7 - RASA - Rockville'!F90)</f>
        <v>2338.34</v>
      </c>
      <c r="G90" s="15">
        <f>IFERROR(F90/F148, "NA")</f>
        <v>0.02138956917</v>
      </c>
      <c r="H90" s="28">
        <f>SUM('4 - RASA - MVT'!H90,'5 - RASA - National Landin'!H90,'6 - RASA - Mosaic'!H90,'7 - RASA - Rockville'!H90)</f>
        <v>2871.76</v>
      </c>
      <c r="I90" s="15">
        <f>IFERROR(H90/H148, "NA")</f>
        <v>0.02346866426</v>
      </c>
      <c r="J90" s="28">
        <f>SUM('4 - RASA - MVT'!J90,'5 - RASA - National Landin'!J90,'6 - RASA - Mosaic'!J90,'7 - RASA - Rockville'!J90)</f>
        <v>4707.17</v>
      </c>
      <c r="K90" s="15">
        <f>IFERROR(J90/J148, "NA")</f>
        <v>0.04132484041</v>
      </c>
      <c r="L90" s="28">
        <f>SUM('4 - RASA - MVT'!L90,'5 - RASA - National Landin'!L90,'6 - RASA - Mosaic'!L90,'7 - RASA - Rockville'!L90)</f>
        <v>4041.52</v>
      </c>
      <c r="M90" s="15">
        <f>IFERROR(L90/L148, "NA")</f>
        <v>0.03221301565</v>
      </c>
      <c r="N90" s="28">
        <f>SUM('4 - RASA - MVT'!N90,'5 - RASA - National Landin'!N90,'6 - RASA - Mosaic'!N90,'7 - RASA - Rockville'!N90)</f>
        <v>3056.53</v>
      </c>
      <c r="O90" s="15">
        <f>IFERROR(N90/N148, "NA")</f>
        <v>0.02226352692</v>
      </c>
      <c r="P90" s="28">
        <f>SUM('4 - RASA - MVT'!P90,'5 - RASA - National Landin'!P90,'6 - RASA - Mosaic'!P90,'7 - RASA - Rockville'!P90)</f>
        <v>2864.45</v>
      </c>
      <c r="Q90" s="15">
        <f>IFERROR(P90/P148, "NA")</f>
        <v>0.01944015978</v>
      </c>
      <c r="R90" s="28">
        <f>SUM('4 - RASA - MVT'!R90,'5 - RASA - National Landin'!R90,'6 - RASA - Mosaic'!R90,'7 - RASA - Rockville'!R90)</f>
        <v>2376.68</v>
      </c>
      <c r="S90" s="15">
        <f>IFERROR(R90/R148, "NA")</f>
        <v>0.01645482411</v>
      </c>
      <c r="T90" s="28">
        <f>SUM('4 - RASA - MVT'!T90,'5 - RASA - National Landin'!T90,'6 - RASA - Mosaic'!T90,'7 - RASA - Rockville'!T90)</f>
        <v>3820.43</v>
      </c>
      <c r="U90" s="15">
        <f>IFERROR(T90/T148, "NA")</f>
        <v>0.02995421911</v>
      </c>
      <c r="V90" s="28">
        <f>SUM('4 - RASA - MVT'!V90,'5 - RASA - National Landin'!V90,'6 - RASA - Mosaic'!V90,'7 - RASA - Rockville'!V90)</f>
        <v>2899.3</v>
      </c>
      <c r="W90" s="15">
        <f>IFERROR(V90/V148, "NA")</f>
        <v>0.02188567845</v>
      </c>
      <c r="X90" s="28">
        <f>SUM('4 - RASA - MVT'!X90,'5 - RASA - National Landin'!X90,'6 - RASA - Mosaic'!X90,'7 - RASA - Rockville'!X90)</f>
        <v>2464.82</v>
      </c>
      <c r="Y90" s="15">
        <f>IFERROR(X90/X148, "NA")</f>
        <v>0.01723040297</v>
      </c>
      <c r="Z90" s="28">
        <f>SUM('4 - RASA - MVT'!Z90,'5 - RASA - National Landin'!Z90,'6 - RASA - Mosaic'!Z90,'7 - RASA - Rockville'!Z90)</f>
        <v>9184.55</v>
      </c>
      <c r="AA90" s="15">
        <f>IFERROR(Z90/Z148, "NA")</f>
        <v>0.02278661929</v>
      </c>
      <c r="AB90" s="57">
        <f t="shared" ref="AB90:AB99" si="43">IFERROR((R90+T90+V90+X90)/4, "NA")</f>
        <v>2890.3075</v>
      </c>
      <c r="AC90" s="15">
        <f>IFERROR(AB90/AB148, "NA")</f>
        <v>0.02111623367</v>
      </c>
      <c r="AD90" s="61">
        <f t="shared" ref="AD90:AD99" si="44">IFERROR(X90-AB90, "NA")</f>
        <v>-425.4875</v>
      </c>
      <c r="AE90" s="62">
        <f>IFERROR(AD90/AD148, "NA")</f>
        <v>-0.06890999168</v>
      </c>
      <c r="AF90" s="61">
        <f t="shared" ref="AF90:AF99" si="45">IFERROR((X90-AB90)/AB90, "NA")</f>
        <v>-0.1472118451</v>
      </c>
      <c r="AG90" s="57">
        <f t="shared" ref="AG90:AG99" si="46">IFERROR((J90+L90+N90+P90+R90+T90+V90+X90)/8, "NA")</f>
        <v>3278.8625</v>
      </c>
      <c r="AH90" s="15">
        <f>IFERROR(AG90/AG148, "NA")</f>
        <v>0.02448033682</v>
      </c>
      <c r="AI90" s="61">
        <f t="shared" ref="AI90:AI99" si="47">IFERROR(X90-AG90, "NA")</f>
        <v>-814.0425</v>
      </c>
      <c r="AJ90" s="62">
        <f>IFERROR(AI90/AI148, "NA")</f>
        <v>-0.0893373019</v>
      </c>
      <c r="AK90" s="61">
        <f t="shared" ref="AK90:AK99" si="48">IFERROR((X90-AG90)/AG90, "NA")</f>
        <v>-0.2482697887</v>
      </c>
      <c r="AL90" s="62">
        <f>IFERROR(AK90/AK148, "NA")</f>
        <v>-3.649349376</v>
      </c>
    </row>
    <row r="91" ht="16.5" hidden="1" customHeight="1">
      <c r="A91" s="26" t="s">
        <v>208</v>
      </c>
      <c r="B91" s="28">
        <f>SUM('4 - RASA - MVT'!B91,'5 - RASA - National Landin'!B91,'6 - RASA - Mosaic'!B91,'7 - RASA - Rockville'!B91)</f>
        <v>3271.6</v>
      </c>
      <c r="C91" s="15">
        <f>IFERROR(B91/B148, "NA")</f>
        <v>0.044265856</v>
      </c>
      <c r="D91" s="28">
        <f>SUM('4 - RASA - MVT'!D91,'5 - RASA - National Landin'!D91,'6 - RASA - Mosaic'!D91,'7 - RASA - Rockville'!D91)</f>
        <v>5129.38</v>
      </c>
      <c r="E91" s="15">
        <f>IFERROR(D91/D148, "NA")</f>
        <v>0.04996083493</v>
      </c>
      <c r="F91" s="28">
        <f>SUM('4 - RASA - MVT'!F91,'5 - RASA - National Landin'!F91,'6 - RASA - Mosaic'!F91,'7 - RASA - Rockville'!F91)</f>
        <v>5422.29</v>
      </c>
      <c r="G91" s="15">
        <f>IFERROR(F91/F148, "NA")</f>
        <v>0.04959947955</v>
      </c>
      <c r="H91" s="28">
        <f>SUM('4 - RASA - MVT'!H91,'5 - RASA - National Landin'!H91,'6 - RASA - Mosaic'!H91,'7 - RASA - Rockville'!H91)</f>
        <v>6544.45</v>
      </c>
      <c r="I91" s="15">
        <f>IFERROR(H91/H148, "NA")</f>
        <v>0.05348270741</v>
      </c>
      <c r="J91" s="28">
        <f>SUM('4 - RASA - MVT'!J91,'5 - RASA - National Landin'!J91,'6 - RASA - Mosaic'!J91,'7 - RASA - Rockville'!J91)</f>
        <v>6638.07</v>
      </c>
      <c r="K91" s="15">
        <f>IFERROR(J91/J148, "NA")</f>
        <v>0.05827645557</v>
      </c>
      <c r="L91" s="28">
        <f>SUM('4 - RASA - MVT'!L91,'5 - RASA - National Landin'!L91,'6 - RASA - Mosaic'!L91,'7 - RASA - Rockville'!L91)</f>
        <v>6042.31</v>
      </c>
      <c r="M91" s="15">
        <f>IFERROR(L91/L148, "NA")</f>
        <v>0.04816035219</v>
      </c>
      <c r="N91" s="28">
        <f>SUM('4 - RASA - MVT'!N91,'5 - RASA - National Landin'!N91,'6 - RASA - Mosaic'!N91,'7 - RASA - Rockville'!N91)</f>
        <v>6876.77</v>
      </c>
      <c r="O91" s="15">
        <f>IFERROR(N91/N148, "NA")</f>
        <v>0.05008985811</v>
      </c>
      <c r="P91" s="28">
        <f>SUM('4 - RASA - MVT'!P91,'5 - RASA - National Landin'!P91,'6 - RASA - Mosaic'!P91,'7 - RASA - Rockville'!P91)</f>
        <v>6985.55</v>
      </c>
      <c r="Q91" s="15">
        <f>IFERROR(P91/P148, "NA")</f>
        <v>0.04740882477</v>
      </c>
      <c r="R91" s="28">
        <f>SUM('4 - RASA - MVT'!R91,'5 - RASA - National Landin'!R91,'6 - RASA - Mosaic'!R91,'7 - RASA - Rockville'!R91)</f>
        <v>8855.39</v>
      </c>
      <c r="S91" s="15">
        <f>IFERROR(R91/R148, "NA")</f>
        <v>0.06130984604</v>
      </c>
      <c r="T91" s="28">
        <f>SUM('4 - RASA - MVT'!T91,'5 - RASA - National Landin'!T91,'6 - RASA - Mosaic'!T91,'7 - RASA - Rockville'!T91)</f>
        <v>8743.38</v>
      </c>
      <c r="U91" s="15">
        <f>IFERROR(T91/T148, "NA")</f>
        <v>0.06855278602</v>
      </c>
      <c r="V91" s="28">
        <f>SUM('4 - RASA - MVT'!V91,'5 - RASA - National Landin'!V91,'6 - RASA - Mosaic'!V91,'7 - RASA - Rockville'!V91)</f>
        <v>5458.18</v>
      </c>
      <c r="W91" s="15">
        <f>IFERROR(V91/V148, "NA")</f>
        <v>0.04120165985</v>
      </c>
      <c r="X91" s="28">
        <f>SUM('4 - RASA - MVT'!X91,'5 - RASA - National Landin'!X91,'6 - RASA - Mosaic'!X91,'7 - RASA - Rockville'!X91)</f>
        <v>4259.77</v>
      </c>
      <c r="Y91" s="15">
        <f>IFERROR(X91/X148, "NA")</f>
        <v>0.0297780583</v>
      </c>
      <c r="Z91" s="28">
        <f>SUM('4 - RASA - MVT'!Z91,'5 - RASA - National Landin'!Z91,'6 - RASA - Mosaic'!Z91,'7 - RASA - Rockville'!Z91)</f>
        <v>18461.33</v>
      </c>
      <c r="AA91" s="15">
        <f>IFERROR(Z91/Z148, "NA")</f>
        <v>0.04580205871</v>
      </c>
      <c r="AB91" s="57">
        <f t="shared" si="43"/>
        <v>6829.18</v>
      </c>
      <c r="AC91" s="15">
        <f>IFERROR(AB91/AB148, "NA")</f>
        <v>0.04989315519</v>
      </c>
      <c r="AD91" s="61">
        <f t="shared" si="44"/>
        <v>-2569.41</v>
      </c>
      <c r="AE91" s="62">
        <f>IFERROR(AD91/AD148, "NA")</f>
        <v>-0.4161297846</v>
      </c>
      <c r="AF91" s="61">
        <f t="shared" si="45"/>
        <v>-0.3762399</v>
      </c>
      <c r="AG91" s="57">
        <f t="shared" si="46"/>
        <v>6732.4275</v>
      </c>
      <c r="AH91" s="15">
        <f>IFERROR(AG91/AG148, "NA")</f>
        <v>0.05026502112</v>
      </c>
      <c r="AI91" s="61">
        <f t="shared" si="47"/>
        <v>-2472.6575</v>
      </c>
      <c r="AJ91" s="62">
        <f>IFERROR(AI91/AI148, "NA")</f>
        <v>-0.2713624284</v>
      </c>
      <c r="AK91" s="61">
        <f t="shared" si="48"/>
        <v>-0.3672757709</v>
      </c>
      <c r="AL91" s="62">
        <f>IFERROR(AK91/AK148, "NA")</f>
        <v>-5.398633529</v>
      </c>
    </row>
    <row r="92" ht="16.5" hidden="1" customHeight="1">
      <c r="A92" s="26" t="s">
        <v>209</v>
      </c>
      <c r="B92" s="28">
        <f>SUM('4 - RASA - MVT'!B92,'5 - RASA - National Landin'!B92,'6 - RASA - Mosaic'!B92,'7 - RASA - Rockville'!B92)</f>
        <v>1311.92</v>
      </c>
      <c r="C92" s="15">
        <f>IFERROR(B92/B148, "NA")</f>
        <v>0.01775072191</v>
      </c>
      <c r="D92" s="28">
        <f>SUM('4 - RASA - MVT'!D92,'5 - RASA - National Landin'!D92,'6 - RASA - Mosaic'!D92,'7 - RASA - Rockville'!D92)</f>
        <v>2123.13</v>
      </c>
      <c r="E92" s="15">
        <f>IFERROR(D92/D148, "NA")</f>
        <v>0.02067956507</v>
      </c>
      <c r="F92" s="28">
        <f>SUM('4 - RASA - MVT'!F92,'5 - RASA - National Landin'!F92,'6 - RASA - Mosaic'!F92,'7 - RASA - Rockville'!F92)</f>
        <v>2236.93</v>
      </c>
      <c r="G92" s="15">
        <f>IFERROR(F92/F148, "NA")</f>
        <v>0.02046193837</v>
      </c>
      <c r="H92" s="28">
        <f>SUM('4 - RASA - MVT'!H92,'5 - RASA - National Landin'!H92,'6 - RASA - Mosaic'!H92,'7 - RASA - Rockville'!H92)</f>
        <v>2116.29</v>
      </c>
      <c r="I92" s="15">
        <f>IFERROR(H92/H148, "NA")</f>
        <v>0.01729479465</v>
      </c>
      <c r="J92" s="28">
        <f>SUM('4 - RASA - MVT'!J92,'5 - RASA - National Landin'!J92,'6 - RASA - Mosaic'!J92,'7 - RASA - Rockville'!J92)</f>
        <v>2578.84</v>
      </c>
      <c r="K92" s="15">
        <f>IFERROR(J92/J148, "NA")</f>
        <v>0.02263996232</v>
      </c>
      <c r="L92" s="28">
        <f>SUM('4 - RASA - MVT'!L92,'5 - RASA - National Landin'!L92,'6 - RASA - Mosaic'!L92,'7 - RASA - Rockville'!L92)</f>
        <v>2208.56</v>
      </c>
      <c r="M92" s="15">
        <f>IFERROR(L92/L148, "NA")</f>
        <v>0.01760337147</v>
      </c>
      <c r="N92" s="28">
        <f>SUM('4 - RASA - MVT'!N92,'5 - RASA - National Landin'!N92,'6 - RASA - Mosaic'!N92,'7 - RASA - Rockville'!N92)</f>
        <v>2202.86</v>
      </c>
      <c r="O92" s="15">
        <f>IFERROR(N92/N148, "NA")</f>
        <v>0.016045461</v>
      </c>
      <c r="P92" s="28">
        <f>SUM('4 - RASA - MVT'!P92,'5 - RASA - National Landin'!P92,'6 - RASA - Mosaic'!P92,'7 - RASA - Rockville'!P92)</f>
        <v>2456.89</v>
      </c>
      <c r="Q92" s="15">
        <f>IFERROR(P92/P148, "NA")</f>
        <v>0.01667417276</v>
      </c>
      <c r="R92" s="28">
        <f>SUM('4 - RASA - MVT'!R92,'5 - RASA - National Landin'!R92,'6 - RASA - Mosaic'!R92,'7 - RASA - Rockville'!R92)</f>
        <v>2107.92</v>
      </c>
      <c r="S92" s="15">
        <f>IFERROR(R92/R148, "NA")</f>
        <v>0.01459407781</v>
      </c>
      <c r="T92" s="28">
        <f>SUM('4 - RASA - MVT'!T92,'5 - RASA - National Landin'!T92,'6 - RASA - Mosaic'!T92,'7 - RASA - Rockville'!T92)</f>
        <v>1907.42</v>
      </c>
      <c r="U92" s="15">
        <f>IFERROR(T92/T148, "NA")</f>
        <v>0.01495519526</v>
      </c>
      <c r="V92" s="28">
        <f>SUM('4 - RASA - MVT'!V92,'5 - RASA - National Landin'!V92,'6 - RASA - Mosaic'!V92,'7 - RASA - Rockville'!V92)</f>
        <v>2166.43</v>
      </c>
      <c r="W92" s="15">
        <f>IFERROR(V92/V148, "NA")</f>
        <v>0.01635353029</v>
      </c>
      <c r="X92" s="28">
        <f>SUM('4 - RASA - MVT'!X92,'5 - RASA - National Landin'!X92,'6 - RASA - Mosaic'!X92,'7 - RASA - Rockville'!X92)</f>
        <v>56.46</v>
      </c>
      <c r="Y92" s="15">
        <f>IFERROR(X92/X148, "NA")</f>
        <v>0.0003946854341</v>
      </c>
      <c r="Z92" s="28">
        <f>SUM('4 - RASA - MVT'!Z92,'5 - RASA - National Landin'!Z92,'6 - RASA - Mosaic'!Z92,'7 - RASA - Rockville'!Z92)</f>
        <v>4130.31</v>
      </c>
      <c r="AA92" s="15">
        <f>IFERROR(Z92/Z148, "NA")</f>
        <v>0.01024718702</v>
      </c>
      <c r="AB92" s="57">
        <f t="shared" si="43"/>
        <v>1559.5575</v>
      </c>
      <c r="AC92" s="15">
        <f>IFERROR(AB92/AB148, "NA")</f>
        <v>0.01139393666</v>
      </c>
      <c r="AD92" s="61">
        <f t="shared" si="44"/>
        <v>-1503.0975</v>
      </c>
      <c r="AE92" s="62">
        <f>IFERROR(AD92/AD148, "NA")</f>
        <v>-0.2434347336</v>
      </c>
      <c r="AF92" s="61">
        <f t="shared" si="45"/>
        <v>-0.9637974233</v>
      </c>
      <c r="AG92" s="57">
        <f t="shared" si="46"/>
        <v>1960.6725</v>
      </c>
      <c r="AH92" s="15">
        <f>IFERROR(AG92/AG148, "NA")</f>
        <v>0.01463858981</v>
      </c>
      <c r="AI92" s="61">
        <f t="shared" si="47"/>
        <v>-1904.2125</v>
      </c>
      <c r="AJ92" s="62">
        <f>IFERROR(AI92/AI148, "NA")</f>
        <v>-0.2089782868</v>
      </c>
      <c r="AK92" s="61">
        <f t="shared" si="48"/>
        <v>-0.9712037579</v>
      </c>
      <c r="AL92" s="62">
        <f>IFERROR(AK92/AK148, "NA")</f>
        <v>-14.27584825</v>
      </c>
    </row>
    <row r="93" ht="16.5" hidden="1" customHeight="1">
      <c r="A93" s="26" t="s">
        <v>210</v>
      </c>
      <c r="B93" s="28">
        <f>SUM('4 - RASA - MVT'!B93,'5 - RASA - National Landin'!B93,'6 - RASA - Mosaic'!B93,'7 - RASA - Rockville'!B93)</f>
        <v>5470.27</v>
      </c>
      <c r="C93" s="15">
        <f>IFERROR(B93/B148, "NA")</f>
        <v>0.07401460573</v>
      </c>
      <c r="D93" s="28">
        <f>SUM('4 - RASA - MVT'!D93,'5 - RASA - National Landin'!D93,'6 - RASA - Mosaic'!D93,'7 - RASA - Rockville'!D93)</f>
        <v>10023.31</v>
      </c>
      <c r="E93" s="15">
        <f>IFERROR(D93/D148, "NA")</f>
        <v>0.09762835594</v>
      </c>
      <c r="F93" s="28">
        <f>SUM('4 - RASA - MVT'!F93,'5 - RASA - National Landin'!F93,'6 - RASA - Mosaic'!F93,'7 - RASA - Rockville'!F93)</f>
        <v>9700.33</v>
      </c>
      <c r="G93" s="15">
        <f>IFERROR(F93/F148, "NA")</f>
        <v>0.088732126</v>
      </c>
      <c r="H93" s="28">
        <f>SUM('4 - RASA - MVT'!H93,'5 - RASA - National Landin'!H93,'6 - RASA - Mosaic'!H93,'7 - RASA - Rockville'!H93)</f>
        <v>11793.72</v>
      </c>
      <c r="I93" s="15">
        <f>IFERROR(H93/H148, "NA")</f>
        <v>0.09638091452</v>
      </c>
      <c r="J93" s="28">
        <f>SUM('4 - RASA - MVT'!J93,'5 - RASA - National Landin'!J93,'6 - RASA - Mosaic'!J93,'7 - RASA - Rockville'!J93)</f>
        <v>8693.67</v>
      </c>
      <c r="K93" s="15">
        <f>IFERROR(J93/J148, "NA")</f>
        <v>0.07632282779</v>
      </c>
      <c r="L93" s="28">
        <f>SUM('4 - RASA - MVT'!L93,'5 - RASA - National Landin'!L93,'6 - RASA - Mosaic'!L93,'7 - RASA - Rockville'!L93)</f>
        <v>12720.63</v>
      </c>
      <c r="M93" s="15">
        <f>IFERROR(L93/L148, "NA")</f>
        <v>0.1013900348</v>
      </c>
      <c r="N93" s="28">
        <f>SUM('4 - RASA - MVT'!N93,'5 - RASA - National Landin'!N93,'6 - RASA - Mosaic'!N93,'7 - RASA - Rockville'!N93)</f>
        <v>10490.87</v>
      </c>
      <c r="O93" s="15">
        <f>IFERROR(N93/N148, "NA")</f>
        <v>0.07641468156</v>
      </c>
      <c r="P93" s="28">
        <f>SUM('4 - RASA - MVT'!P93,'5 - RASA - National Landin'!P93,'6 - RASA - Mosaic'!P93,'7 - RASA - Rockville'!P93)</f>
        <v>11721.91</v>
      </c>
      <c r="Q93" s="15">
        <f>IFERROR(P93/P148, "NA")</f>
        <v>0.07955307416</v>
      </c>
      <c r="R93" s="28">
        <f>SUM('4 - RASA - MVT'!R93,'5 - RASA - National Landin'!R93,'6 - RASA - Mosaic'!R93,'7 - RASA - Rockville'!R93)</f>
        <v>11914.01</v>
      </c>
      <c r="S93" s="15">
        <f>IFERROR(R93/R148, "NA")</f>
        <v>0.08248604735</v>
      </c>
      <c r="T93" s="28">
        <f>SUM('4 - RASA - MVT'!T93,'5 - RASA - National Landin'!T93,'6 - RASA - Mosaic'!T93,'7 - RASA - Rockville'!T93)</f>
        <v>9790.3</v>
      </c>
      <c r="U93" s="15">
        <f>IFERROR(T93/T148, "NA")</f>
        <v>0.07676120001</v>
      </c>
      <c r="V93" s="28">
        <f>SUM('4 - RASA - MVT'!V93,'5 - RASA - National Landin'!V93,'6 - RASA - Mosaic'!V93,'7 - RASA - Rockville'!V93)</f>
        <v>11407.11</v>
      </c>
      <c r="W93" s="15">
        <f>IFERROR(V93/V148, "NA")</f>
        <v>0.08610779895</v>
      </c>
      <c r="X93" s="28">
        <f>SUM('4 - RASA - MVT'!X93,'5 - RASA - National Landin'!X93,'6 - RASA - Mosaic'!X93,'7 - RASA - Rockville'!X93)</f>
        <v>12465.47</v>
      </c>
      <c r="Y93" s="15">
        <f>IFERROR(X93/X148, "NA")</f>
        <v>0.08714026635</v>
      </c>
      <c r="Z93" s="28">
        <f>SUM('4 - RASA - MVT'!Z93,'5 - RASA - National Landin'!Z93,'6 - RASA - Mosaic'!Z93,'7 - RASA - Rockville'!Z93)</f>
        <v>33662.88</v>
      </c>
      <c r="AA93" s="15">
        <f>IFERROR(Z93/Z148, "NA")</f>
        <v>0.0835166917</v>
      </c>
      <c r="AB93" s="57">
        <f t="shared" si="43"/>
        <v>11394.2225</v>
      </c>
      <c r="AC93" s="15">
        <f>IFERROR(AB93/AB148, "NA")</f>
        <v>0.08324479827</v>
      </c>
      <c r="AD93" s="61">
        <f t="shared" si="44"/>
        <v>1071.2475</v>
      </c>
      <c r="AE93" s="62">
        <f>IFERROR(AD93/AD148, "NA")</f>
        <v>0.1734943008</v>
      </c>
      <c r="AF93" s="61">
        <f t="shared" si="45"/>
        <v>0.09401672646</v>
      </c>
      <c r="AG93" s="57">
        <f t="shared" si="46"/>
        <v>11150.49625</v>
      </c>
      <c r="AH93" s="15">
        <f>IFERROR(AG93/AG148, "NA")</f>
        <v>0.08325079319</v>
      </c>
      <c r="AI93" s="61">
        <f t="shared" si="47"/>
        <v>1314.97375</v>
      </c>
      <c r="AJ93" s="62">
        <f>IFERROR(AI93/AI148, "NA")</f>
        <v>0.1443121298</v>
      </c>
      <c r="AK93" s="61">
        <f t="shared" si="48"/>
        <v>0.1179296168</v>
      </c>
      <c r="AL93" s="62">
        <f>IFERROR(AK93/AK148, "NA")</f>
        <v>1.73346252</v>
      </c>
    </row>
    <row r="94" ht="16.5" hidden="1" customHeight="1">
      <c r="A94" s="26" t="s">
        <v>211</v>
      </c>
      <c r="B94" s="28">
        <f>SUM('4 - RASA - MVT'!B94,'5 - RASA - National Landin'!B94,'6 - RASA - Mosaic'!B94,'7 - RASA - Rockville'!B94)</f>
        <v>1757.75</v>
      </c>
      <c r="C94" s="15">
        <f>IFERROR(B94/B148, "NA")</f>
        <v>0.0237829528</v>
      </c>
      <c r="D94" s="28">
        <f>SUM('4 - RASA - MVT'!D94,'5 - RASA - National Landin'!D94,'6 - RASA - Mosaic'!D94,'7 - RASA - Rockville'!D94)</f>
        <v>2950.13</v>
      </c>
      <c r="E94" s="15">
        <f>IFERROR(D94/D148, "NA")</f>
        <v>0.02873465369</v>
      </c>
      <c r="F94" s="28">
        <f>SUM('4 - RASA - MVT'!F94,'5 - RASA - National Landin'!F94,'6 - RASA - Mosaic'!F94,'7 - RASA - Rockville'!F94)</f>
        <v>3055.2</v>
      </c>
      <c r="G94" s="15">
        <f>IFERROR(F94/F148, "NA")</f>
        <v>0.02794692463</v>
      </c>
      <c r="H94" s="28">
        <f>SUM('4 - RASA - MVT'!H94,'5 - RASA - National Landin'!H94,'6 - RASA - Mosaic'!H94,'7 - RASA - Rockville'!H94)</f>
        <v>3079.84</v>
      </c>
      <c r="I94" s="15">
        <f>IFERROR(H94/H148, "NA")</f>
        <v>0.02516914051</v>
      </c>
      <c r="J94" s="28">
        <f>SUM('4 - RASA - MVT'!J94,'5 - RASA - National Landin'!J94,'6 - RASA - Mosaic'!J94,'7 - RASA - Rockville'!J94)</f>
        <v>3225.6</v>
      </c>
      <c r="K94" s="15">
        <f>IFERROR(J94/J148, "NA")</f>
        <v>0.02831795011</v>
      </c>
      <c r="L94" s="28">
        <f>SUM('4 - RASA - MVT'!L94,'5 - RASA - National Landin'!L94,'6 - RASA - Mosaic'!L94,'7 - RASA - Rockville'!L94)</f>
        <v>3522.81</v>
      </c>
      <c r="M94" s="15">
        <f>IFERROR(L94/L148, "NA")</f>
        <v>0.02807862727</v>
      </c>
      <c r="N94" s="28">
        <f>SUM('4 - RASA - MVT'!N94,'5 - RASA - National Landin'!N94,'6 - RASA - Mosaic'!N94,'7 - RASA - Rockville'!N94)</f>
        <v>3586.74</v>
      </c>
      <c r="O94" s="15">
        <f>IFERROR(N94/N148, "NA")</f>
        <v>0.02612553534</v>
      </c>
      <c r="P94" s="28">
        <f>SUM('4 - RASA - MVT'!P94,'5 - RASA - National Landin'!P94,'6 - RASA - Mosaic'!P94,'7 - RASA - Rockville'!P94)</f>
        <v>4038.23</v>
      </c>
      <c r="Q94" s="15">
        <f>IFERROR(P94/P148, "NA")</f>
        <v>0.02740625126</v>
      </c>
      <c r="R94" s="28">
        <f>SUM('4 - RASA - MVT'!R94,'5 - RASA - National Landin'!R94,'6 - RASA - Mosaic'!R94,'7 - RASA - Rockville'!R94)</f>
        <v>3790.31</v>
      </c>
      <c r="S94" s="15">
        <f>IFERROR(R94/R148, "NA")</f>
        <v>0.02624202012</v>
      </c>
      <c r="T94" s="28">
        <f>SUM('4 - RASA - MVT'!T94,'5 - RASA - National Landin'!T94,'6 - RASA - Mosaic'!T94,'7 - RASA - Rockville'!T94)</f>
        <v>3536.59</v>
      </c>
      <c r="U94" s="15">
        <f>IFERROR(T94/T148, "NA")</f>
        <v>0.02772876136</v>
      </c>
      <c r="V94" s="28">
        <f>SUM('4 - RASA - MVT'!V94,'5 - RASA - National Landin'!V94,'6 - RASA - Mosaic'!V94,'7 - RASA - Rockville'!V94)</f>
        <v>3709.2</v>
      </c>
      <c r="W94" s="15">
        <f>IFERROR(V94/V148, "NA")</f>
        <v>0.02799929587</v>
      </c>
      <c r="X94" s="28">
        <f>SUM('4 - RASA - MVT'!X94,'5 - RASA - National Landin'!X94,'6 - RASA - Mosaic'!X94,'7 - RASA - Rockville'!X94)</f>
        <v>3884.73</v>
      </c>
      <c r="Y94" s="15">
        <f>IFERROR(X94/X148, "NA")</f>
        <v>0.0271563292</v>
      </c>
      <c r="Z94" s="28">
        <f>SUM('4 - RASA - MVT'!Z94,'5 - RASA - National Landin'!Z94,'6 - RASA - Mosaic'!Z94,'7 - RASA - Rockville'!Z94)</f>
        <v>11130.52</v>
      </c>
      <c r="AA94" s="15">
        <f>IFERROR(Z94/Z148, "NA")</f>
        <v>0.02761451805</v>
      </c>
      <c r="AB94" s="57">
        <f t="shared" si="43"/>
        <v>3730.2075</v>
      </c>
      <c r="AC94" s="15">
        <f>IFERROR(AB94/AB148, "NA")</f>
        <v>0.02725244051</v>
      </c>
      <c r="AD94" s="61">
        <f t="shared" si="44"/>
        <v>154.5225</v>
      </c>
      <c r="AE94" s="62">
        <f>IFERROR(AD94/AD148, "NA")</f>
        <v>0.02502575091</v>
      </c>
      <c r="AF94" s="61">
        <f t="shared" si="45"/>
        <v>0.04142463925</v>
      </c>
      <c r="AG94" s="57">
        <f t="shared" si="46"/>
        <v>3661.77625</v>
      </c>
      <c r="AH94" s="15">
        <f>IFERROR(AG94/AG148, "NA")</f>
        <v>0.02733921168</v>
      </c>
      <c r="AI94" s="61">
        <f t="shared" si="47"/>
        <v>222.95375</v>
      </c>
      <c r="AJ94" s="62">
        <f>IFERROR(AI94/AI148, "NA")</f>
        <v>0.02446811619</v>
      </c>
      <c r="AK94" s="61">
        <f t="shared" si="48"/>
        <v>0.06088677592</v>
      </c>
      <c r="AL94" s="62">
        <f>IFERROR(AK94/AK148, "NA")</f>
        <v>0.8949825064</v>
      </c>
    </row>
    <row r="95" ht="16.5" hidden="1" customHeight="1">
      <c r="A95" s="26" t="s">
        <v>212</v>
      </c>
      <c r="B95" s="28">
        <f>SUM('4 - RASA - MVT'!B95,'5 - RASA - National Landin'!B95,'6 - RASA - Mosaic'!B95,'7 - RASA - Rockville'!B95)</f>
        <v>0</v>
      </c>
      <c r="C95" s="15">
        <f>IFERROR(B95/B148, "NA")</f>
        <v>0</v>
      </c>
      <c r="D95" s="28">
        <f>SUM('4 - RASA - MVT'!D95,'5 - RASA - National Landin'!D95,'6 - RASA - Mosaic'!D95,'7 - RASA - Rockville'!D95)</f>
        <v>0</v>
      </c>
      <c r="E95" s="15">
        <f>IFERROR(D95/D148, "NA")</f>
        <v>0</v>
      </c>
      <c r="F95" s="28">
        <f>SUM('4 - RASA - MVT'!F95,'5 - RASA - National Landin'!F95,'6 - RASA - Mosaic'!F95,'7 - RASA - Rockville'!F95)</f>
        <v>0</v>
      </c>
      <c r="G95" s="15">
        <f>IFERROR(F95/F148, "NA")</f>
        <v>0</v>
      </c>
      <c r="H95" s="28">
        <f>SUM('4 - RASA - MVT'!H95,'5 - RASA - National Landin'!H95,'6 - RASA - Mosaic'!H95,'7 - RASA - Rockville'!H95)</f>
        <v>4978.8</v>
      </c>
      <c r="I95" s="15">
        <f>IFERROR(H95/H148, "NA")</f>
        <v>0.04068786585</v>
      </c>
      <c r="J95" s="28">
        <f>SUM('4 - RASA - MVT'!J95,'5 - RASA - National Landin'!J95,'6 - RASA - Mosaic'!J95,'7 - RASA - Rockville'!J95)</f>
        <v>0</v>
      </c>
      <c r="K95" s="15">
        <f>IFERROR(J95/J148, "NA")</f>
        <v>0</v>
      </c>
      <c r="L95" s="28">
        <f>SUM('4 - RASA - MVT'!L95,'5 - RASA - National Landin'!L95,'6 - RASA - Mosaic'!L95,'7 - RASA - Rockville'!L95)</f>
        <v>0</v>
      </c>
      <c r="M95" s="15">
        <f>IFERROR(L95/L148, "NA")</f>
        <v>0</v>
      </c>
      <c r="N95" s="28">
        <f>SUM('4 - RASA - MVT'!N95,'5 - RASA - National Landin'!N95,'6 - RASA - Mosaic'!N95,'7 - RASA - Rockville'!N95)</f>
        <v>0</v>
      </c>
      <c r="O95" s="15">
        <f>IFERROR(N95/N148, "NA")</f>
        <v>0</v>
      </c>
      <c r="P95" s="28">
        <f>SUM('4 - RASA - MVT'!P95,'5 - RASA - National Landin'!P95,'6 - RASA - Mosaic'!P95,'7 - RASA - Rockville'!P95)</f>
        <v>0</v>
      </c>
      <c r="Q95" s="15">
        <f>IFERROR(P95/P148, "NA")</f>
        <v>0</v>
      </c>
      <c r="R95" s="28">
        <f>SUM('4 - RASA - MVT'!R95,'5 - RASA - National Landin'!R95,'6 - RASA - Mosaic'!R95,'7 - RASA - Rockville'!R95)</f>
        <v>4944.53</v>
      </c>
      <c r="S95" s="15">
        <f>IFERROR(R95/R148, "NA")</f>
        <v>0.03423320407</v>
      </c>
      <c r="T95" s="28">
        <f>SUM('4 - RASA - MVT'!T95,'5 - RASA - National Landin'!T95,'6 - RASA - Mosaic'!T95,'7 - RASA - Rockville'!T95)</f>
        <v>0</v>
      </c>
      <c r="U95" s="15">
        <f>IFERROR(T95/T148, "NA")</f>
        <v>0</v>
      </c>
      <c r="V95" s="28">
        <f>SUM('4 - RASA - MVT'!V95,'5 - RASA - National Landin'!V95,'6 - RASA - Mosaic'!V95,'7 - RASA - Rockville'!V95)</f>
        <v>0</v>
      </c>
      <c r="W95" s="15">
        <f>IFERROR(V95/V148, "NA")</f>
        <v>0</v>
      </c>
      <c r="X95" s="28">
        <f>SUM('4 - RASA - MVT'!X95,'5 - RASA - National Landin'!X95,'6 - RASA - Mosaic'!X95,'7 - RASA - Rockville'!X95)</f>
        <v>0</v>
      </c>
      <c r="Y95" s="15">
        <f>IFERROR(X95/X148, "NA")</f>
        <v>0</v>
      </c>
      <c r="Z95" s="28">
        <f>SUM('4 - RASA - MVT'!Z95,'5 - RASA - National Landin'!Z95,'6 - RASA - Mosaic'!Z95,'7 - RASA - Rockville'!Z95)</f>
        <v>0</v>
      </c>
      <c r="AA95" s="15">
        <f>IFERROR(Z95/Z148, "NA")</f>
        <v>0</v>
      </c>
      <c r="AB95" s="57">
        <f t="shared" si="43"/>
        <v>1236.1325</v>
      </c>
      <c r="AC95" s="15">
        <f>IFERROR(AB95/AB148, "NA")</f>
        <v>0.009031033104</v>
      </c>
      <c r="AD95" s="61">
        <f t="shared" si="44"/>
        <v>-1236.1325</v>
      </c>
      <c r="AE95" s="62">
        <f>IFERROR(AD95/AD148, "NA")</f>
        <v>-0.2001983144</v>
      </c>
      <c r="AF95" s="61">
        <f t="shared" si="45"/>
        <v>-1</v>
      </c>
      <c r="AG95" s="57">
        <f t="shared" si="46"/>
        <v>618.06625</v>
      </c>
      <c r="AH95" s="15">
        <f>IFERROR(AG95/AG148, "NA")</f>
        <v>0.004614548483</v>
      </c>
      <c r="AI95" s="61">
        <f t="shared" si="47"/>
        <v>-618.06625</v>
      </c>
      <c r="AJ95" s="62">
        <f>IFERROR(AI95/AI148, "NA")</f>
        <v>-0.06782983834</v>
      </c>
      <c r="AK95" s="61">
        <f t="shared" si="48"/>
        <v>-1</v>
      </c>
      <c r="AL95" s="62">
        <f>IFERROR(AK95/AK148, "NA")</f>
        <v>-14.6991279</v>
      </c>
    </row>
    <row r="96" ht="16.5" hidden="1" customHeight="1">
      <c r="A96" s="26" t="s">
        <v>213</v>
      </c>
      <c r="B96" s="28">
        <f>SUM('4 - RASA - MVT'!B96,'5 - RASA - National Landin'!B96,'6 - RASA - Mosaic'!B96,'7 - RASA - Rockville'!B96)</f>
        <v>0</v>
      </c>
      <c r="C96" s="15">
        <f>IFERROR(B96/B148, "NA")</f>
        <v>0</v>
      </c>
      <c r="D96" s="28">
        <f>SUM('4 - RASA - MVT'!D96,'5 - RASA - National Landin'!D96,'6 - RASA - Mosaic'!D96,'7 - RASA - Rockville'!D96)</f>
        <v>0</v>
      </c>
      <c r="E96" s="15">
        <f>IFERROR(D96/D148, "NA")</f>
        <v>0</v>
      </c>
      <c r="F96" s="28">
        <f>SUM('4 - RASA - MVT'!F96,'5 - RASA - National Landin'!F96,'6 - RASA - Mosaic'!F96,'7 - RASA - Rockville'!F96)</f>
        <v>0</v>
      </c>
      <c r="G96" s="15">
        <f>IFERROR(F96/F148, "NA")</f>
        <v>0</v>
      </c>
      <c r="H96" s="28">
        <f>SUM('4 - RASA - MVT'!H96,'5 - RASA - National Landin'!H96,'6 - RASA - Mosaic'!H96,'7 - RASA - Rockville'!H96)</f>
        <v>0</v>
      </c>
      <c r="I96" s="15">
        <f>IFERROR(H96/H148, "NA")</f>
        <v>0</v>
      </c>
      <c r="J96" s="28">
        <f>SUM('4 - RASA - MVT'!J96,'5 - RASA - National Landin'!J96,'6 - RASA - Mosaic'!J96,'7 - RASA - Rockville'!J96)</f>
        <v>0</v>
      </c>
      <c r="K96" s="15">
        <f>IFERROR(J96/J148, "NA")</f>
        <v>0</v>
      </c>
      <c r="L96" s="28">
        <f>SUM('4 - RASA - MVT'!L96,'5 - RASA - National Landin'!L96,'6 - RASA - Mosaic'!L96,'7 - RASA - Rockville'!L96)</f>
        <v>0</v>
      </c>
      <c r="M96" s="15">
        <f>IFERROR(L96/L148, "NA")</f>
        <v>0</v>
      </c>
      <c r="N96" s="28">
        <f>SUM('4 - RASA - MVT'!N96,'5 - RASA - National Landin'!N96,'6 - RASA - Mosaic'!N96,'7 - RASA - Rockville'!N96)</f>
        <v>0</v>
      </c>
      <c r="O96" s="15">
        <f>IFERROR(N96/N148, "NA")</f>
        <v>0</v>
      </c>
      <c r="P96" s="28">
        <f>SUM('4 - RASA - MVT'!P96,'5 - RASA - National Landin'!P96,'6 - RASA - Mosaic'!P96,'7 - RASA - Rockville'!P96)</f>
        <v>0</v>
      </c>
      <c r="Q96" s="15">
        <f>IFERROR(P96/P148, "NA")</f>
        <v>0</v>
      </c>
      <c r="R96" s="28">
        <f>SUM('4 - RASA - MVT'!R96,'5 - RASA - National Landin'!R96,'6 - RASA - Mosaic'!R96,'7 - RASA - Rockville'!R96)</f>
        <v>0</v>
      </c>
      <c r="S96" s="15">
        <f>IFERROR(R96/R148, "NA")</f>
        <v>0</v>
      </c>
      <c r="T96" s="28">
        <f>SUM('4 - RASA - MVT'!T96,'5 - RASA - National Landin'!T96,'6 - RASA - Mosaic'!T96,'7 - RASA - Rockville'!T96)</f>
        <v>0</v>
      </c>
      <c r="U96" s="15">
        <f>IFERROR(T96/T148, "NA")</f>
        <v>0</v>
      </c>
      <c r="V96" s="28">
        <f>SUM('4 - RASA - MVT'!V96,'5 - RASA - National Landin'!V96,'6 - RASA - Mosaic'!V96,'7 - RASA - Rockville'!V96)</f>
        <v>0</v>
      </c>
      <c r="W96" s="15">
        <f>IFERROR(V96/V148, "NA")</f>
        <v>0</v>
      </c>
      <c r="X96" s="28">
        <f>SUM('4 - RASA - MVT'!X96,'5 - RASA - National Landin'!X96,'6 - RASA - Mosaic'!X96,'7 - RASA - Rockville'!X96)</f>
        <v>0</v>
      </c>
      <c r="Y96" s="15">
        <f>IFERROR(X96/X148, "NA")</f>
        <v>0</v>
      </c>
      <c r="Z96" s="28">
        <f>SUM('4 - RASA - MVT'!Z96,'5 - RASA - National Landin'!Z96,'6 - RASA - Mosaic'!Z96,'7 - RASA - Rockville'!Z96)</f>
        <v>0</v>
      </c>
      <c r="AA96" s="15">
        <f>IFERROR(Z96/Z148, "NA")</f>
        <v>0</v>
      </c>
      <c r="AB96" s="57">
        <f t="shared" si="43"/>
        <v>0</v>
      </c>
      <c r="AC96" s="15">
        <f>IFERROR(AB96/AB148, "NA")</f>
        <v>0</v>
      </c>
      <c r="AD96" s="61">
        <f t="shared" si="44"/>
        <v>0</v>
      </c>
      <c r="AE96" s="62">
        <f>IFERROR(AD96/AD148, "NA")</f>
        <v>0</v>
      </c>
      <c r="AF96" s="61" t="str">
        <f t="shared" si="45"/>
        <v>NA</v>
      </c>
      <c r="AG96" s="57">
        <f t="shared" si="46"/>
        <v>0</v>
      </c>
      <c r="AH96" s="15">
        <f>IFERROR(AG96/AG148, "NA")</f>
        <v>0</v>
      </c>
      <c r="AI96" s="61">
        <f t="shared" si="47"/>
        <v>0</v>
      </c>
      <c r="AJ96" s="62">
        <f>IFERROR(AI96/AI148, "NA")</f>
        <v>0</v>
      </c>
      <c r="AK96" s="61" t="str">
        <f t="shared" si="48"/>
        <v>NA</v>
      </c>
      <c r="AL96" s="62" t="str">
        <f>IFERROR(AK96/AK148, "NA")</f>
        <v>NA</v>
      </c>
    </row>
    <row r="97" ht="16.5" hidden="1" customHeight="1">
      <c r="A97" s="26" t="s">
        <v>214</v>
      </c>
      <c r="B97" s="28">
        <f>SUM('4 - RASA - MVT'!B97,'5 - RASA - National Landin'!B97,'6 - RASA - Mosaic'!B97,'7 - RASA - Rockville'!B97)</f>
        <v>971.38</v>
      </c>
      <c r="C97" s="15">
        <f>IFERROR(B97/B148, "NA")</f>
        <v>0.01314310038</v>
      </c>
      <c r="D97" s="28">
        <f>SUM('4 - RASA - MVT'!D97,'5 - RASA - National Landin'!D97,'6 - RASA - Mosaic'!D97,'7 - RASA - Rockville'!D97)</f>
        <v>1984.96</v>
      </c>
      <c r="E97" s="15">
        <f>IFERROR(D97/D148, "NA")</f>
        <v>0.01933377112</v>
      </c>
      <c r="F97" s="28">
        <f>SUM('4 - RASA - MVT'!F97,'5 - RASA - National Landin'!F97,'6 - RASA - Mosaic'!F97,'7 - RASA - Rockville'!F97)</f>
        <v>2124.46</v>
      </c>
      <c r="G97" s="15">
        <f>IFERROR(F97/F148, "NA")</f>
        <v>0.01943313809</v>
      </c>
      <c r="H97" s="28">
        <f>SUM('4 - RASA - MVT'!H97,'5 - RASA - National Landin'!H97,'6 - RASA - Mosaic'!H97,'7 - RASA - Rockville'!H97)</f>
        <v>3822.63</v>
      </c>
      <c r="I97" s="15">
        <f>IFERROR(H97/H148, "NA")</f>
        <v>0.03123938632</v>
      </c>
      <c r="J97" s="28">
        <f>SUM('4 - RASA - MVT'!J97,'5 - RASA - National Landin'!J97,'6 - RASA - Mosaic'!J97,'7 - RASA - Rockville'!J97)</f>
        <v>0</v>
      </c>
      <c r="K97" s="15">
        <f>IFERROR(J97/J148, "NA")</f>
        <v>0</v>
      </c>
      <c r="L97" s="28">
        <f>SUM('4 - RASA - MVT'!L97,'5 - RASA - National Landin'!L97,'6 - RASA - Mosaic'!L97,'7 - RASA - Rockville'!L97)</f>
        <v>2442.56</v>
      </c>
      <c r="M97" s="15">
        <f>IFERROR(L97/L148, "NA")</f>
        <v>0.01946847313</v>
      </c>
      <c r="N97" s="28">
        <f>SUM('4 - RASA - MVT'!N97,'5 - RASA - National Landin'!N97,'6 - RASA - Mosaic'!N97,'7 - RASA - Rockville'!N97)</f>
        <v>486.28</v>
      </c>
      <c r="O97" s="15">
        <f>IFERROR(N97/N148, "NA")</f>
        <v>0.003542025719</v>
      </c>
      <c r="P97" s="28">
        <f>SUM('4 - RASA - MVT'!P97,'5 - RASA - National Landin'!P97,'6 - RASA - Mosaic'!P97,'7 - RASA - Rockville'!P97)</f>
        <v>561.07</v>
      </c>
      <c r="Q97" s="15">
        <f>IFERROR(P97/P148, "NA")</f>
        <v>0.003807813174</v>
      </c>
      <c r="R97" s="28">
        <f>SUM('4 - RASA - MVT'!R97,'5 - RASA - National Landin'!R97,'6 - RASA - Mosaic'!R97,'7 - RASA - Rockville'!R97)</f>
        <v>2599.45</v>
      </c>
      <c r="S97" s="15">
        <f>IFERROR(R97/R148, "NA")</f>
        <v>0.01799716097</v>
      </c>
      <c r="T97" s="28">
        <f>SUM('4 - RASA - MVT'!T97,'5 - RASA - National Landin'!T97,'6 - RASA - Mosaic'!T97,'7 - RASA - Rockville'!T97)</f>
        <v>2696.66</v>
      </c>
      <c r="U97" s="15">
        <f>IFERROR(T97/T148, "NA")</f>
        <v>0.02114325992</v>
      </c>
      <c r="V97" s="28">
        <f>SUM('4 - RASA - MVT'!V97,'5 - RASA - National Landin'!V97,'6 - RASA - Mosaic'!V97,'7 - RASA - Rockville'!V97)</f>
        <v>5841.78</v>
      </c>
      <c r="W97" s="15">
        <f>IFERROR(V97/V148, "NA")</f>
        <v>0.04409730578</v>
      </c>
      <c r="X97" s="28">
        <f>SUM('4 - RASA - MVT'!X97,'5 - RASA - National Landin'!X97,'6 - RASA - Mosaic'!X97,'7 - RASA - Rockville'!X97)</f>
        <v>2819.32</v>
      </c>
      <c r="Y97" s="15">
        <f>IFERROR(X97/X148, "NA")</f>
        <v>0.01970854655</v>
      </c>
      <c r="Z97" s="28">
        <f>SUM('4 - RASA - MVT'!Z97,'5 - RASA - National Landin'!Z97,'6 - RASA - Mosaic'!Z97,'7 - RASA - Rockville'!Z97)</f>
        <v>11357.76</v>
      </c>
      <c r="AA97" s="15">
        <f>IFERROR(Z97/Z148, "NA")</f>
        <v>0.02817829432</v>
      </c>
      <c r="AB97" s="57">
        <f t="shared" si="43"/>
        <v>3489.3025</v>
      </c>
      <c r="AC97" s="15">
        <f>IFERROR(AB97/AB148, "NA")</f>
        <v>0.025492418</v>
      </c>
      <c r="AD97" s="61">
        <f t="shared" si="44"/>
        <v>-669.9825</v>
      </c>
      <c r="AE97" s="62">
        <f>IFERROR(AD97/AD148, "NA")</f>
        <v>-0.1085072734</v>
      </c>
      <c r="AF97" s="61">
        <f t="shared" si="45"/>
        <v>-0.1920104376</v>
      </c>
      <c r="AG97" s="57">
        <f t="shared" si="46"/>
        <v>2180.89</v>
      </c>
      <c r="AH97" s="15">
        <f>IFERROR(AG97/AG148, "NA")</f>
        <v>0.01628275713</v>
      </c>
      <c r="AI97" s="61">
        <f t="shared" si="47"/>
        <v>638.43</v>
      </c>
      <c r="AJ97" s="62">
        <f>IFERROR(AI97/AI148, "NA")</f>
        <v>0.07006466328</v>
      </c>
      <c r="AK97" s="61">
        <f t="shared" si="48"/>
        <v>0.2927382857</v>
      </c>
      <c r="AL97" s="62">
        <f>IFERROR(AK97/AK148, "NA")</f>
        <v>4.302997502</v>
      </c>
    </row>
    <row r="98" ht="16.5" hidden="1" customHeight="1">
      <c r="A98" s="26" t="s">
        <v>215</v>
      </c>
      <c r="B98" s="28">
        <f>SUM('4 - RASA - MVT'!B98,'5 - RASA - National Landin'!B98,'6 - RASA - Mosaic'!B98,'7 - RASA - Rockville'!B98)</f>
        <v>1424.81</v>
      </c>
      <c r="C98" s="15">
        <f>IFERROR(B98/B148, "NA")</f>
        <v>0.01927816184</v>
      </c>
      <c r="D98" s="28">
        <f>SUM('4 - RASA - MVT'!D98,'5 - RASA - National Landin'!D98,'6 - RASA - Mosaic'!D98,'7 - RASA - Rockville'!D98)</f>
        <v>1124.06</v>
      </c>
      <c r="E98" s="15">
        <f>IFERROR(D98/D148, "NA")</f>
        <v>0.01094849204</v>
      </c>
      <c r="F98" s="28">
        <f>SUM('4 - RASA - MVT'!F98,'5 - RASA - National Landin'!F98,'6 - RASA - Mosaic'!F98,'7 - RASA - Rockville'!F98)</f>
        <v>10030.24</v>
      </c>
      <c r="G98" s="15">
        <f>IFERROR(F98/F148, "NA")</f>
        <v>0.09174992186</v>
      </c>
      <c r="H98" s="28">
        <f>SUM('4 - RASA - MVT'!H98,'5 - RASA - National Landin'!H98,'6 - RASA - Mosaic'!H98,'7 - RASA - Rockville'!H98)</f>
        <v>4393.21</v>
      </c>
      <c r="I98" s="15">
        <f>IFERROR(H98/H148, "NA")</f>
        <v>0.03590229355</v>
      </c>
      <c r="J98" s="28">
        <f>SUM('4 - RASA - MVT'!J98,'5 - RASA - National Landin'!J98,'6 - RASA - Mosaic'!J98,'7 - RASA - Rockville'!J98)</f>
        <v>1556.59</v>
      </c>
      <c r="K98" s="15">
        <f>IFERROR(J98/J148, "NA")</f>
        <v>0.01366550036</v>
      </c>
      <c r="L98" s="28">
        <f>SUM('4 - RASA - MVT'!L98,'5 - RASA - National Landin'!L98,'6 - RASA - Mosaic'!L98,'7 - RASA - Rockville'!L98)</f>
        <v>1352.01</v>
      </c>
      <c r="M98" s="15">
        <f>IFERROR(L98/L148, "NA")</f>
        <v>0.01077622263</v>
      </c>
      <c r="N98" s="28">
        <f>SUM('4 - RASA - MVT'!N98,'5 - RASA - National Landin'!N98,'6 - RASA - Mosaic'!N98,'7 - RASA - Rockville'!N98)</f>
        <v>9739.97</v>
      </c>
      <c r="O98" s="15">
        <f>IFERROR(N98/N148, "NA")</f>
        <v>0.07094518433</v>
      </c>
      <c r="P98" s="28">
        <f>SUM('4 - RASA - MVT'!P98,'5 - RASA - National Landin'!P98,'6 - RASA - Mosaic'!P98,'7 - RASA - Rockville'!P98)</f>
        <v>2462.59</v>
      </c>
      <c r="Q98" s="15">
        <f>IFERROR(P98/P148, "NA")</f>
        <v>0.01671285694</v>
      </c>
      <c r="R98" s="28">
        <f>SUM('4 - RASA - MVT'!R98,'5 - RASA - National Landin'!R98,'6 - RASA - Mosaic'!R98,'7 - RASA - Rockville'!R98)</f>
        <v>6336.42</v>
      </c>
      <c r="S98" s="15">
        <f>IFERROR(R98/R148, "NA")</f>
        <v>0.04386988429</v>
      </c>
      <c r="T98" s="28">
        <f>SUM('4 - RASA - MVT'!T98,'5 - RASA - National Landin'!T98,'6 - RASA - Mosaic'!T98,'7 - RASA - Rockville'!T98)</f>
        <v>1021.2</v>
      </c>
      <c r="U98" s="15">
        <f>IFERROR(T98/T148, "NA")</f>
        <v>0.008006755406</v>
      </c>
      <c r="V98" s="28">
        <f>SUM('4 - RASA - MVT'!V98,'5 - RASA - National Landin'!V98,'6 - RASA - Mosaic'!V98,'7 - RASA - Rockville'!V98)</f>
        <v>1961.2</v>
      </c>
      <c r="W98" s="15">
        <f>IFERROR(V98/V148, "NA")</f>
        <v>0.01480432952</v>
      </c>
      <c r="X98" s="28">
        <f>SUM('4 - RASA - MVT'!X98,'5 - RASA - National Landin'!X98,'6 - RASA - Mosaic'!X98,'7 - RASA - Rockville'!X98)</f>
        <v>9857.55</v>
      </c>
      <c r="Y98" s="15">
        <f>IFERROR(X98/X148, "NA")</f>
        <v>0.06890951826</v>
      </c>
      <c r="Z98" s="28">
        <f>SUM('4 - RASA - MVT'!Z98,'5 - RASA - National Landin'!Z98,'6 - RASA - Mosaic'!Z98,'7 - RASA - Rockville'!Z98)</f>
        <v>12839.95</v>
      </c>
      <c r="AA98" s="15">
        <f>IFERROR(Z98/Z148, "NA")</f>
        <v>0.03185556749</v>
      </c>
      <c r="AB98" s="57">
        <f t="shared" si="43"/>
        <v>4794.0925</v>
      </c>
      <c r="AC98" s="15">
        <f>IFERROR(AB98/AB148, "NA")</f>
        <v>0.03502505441</v>
      </c>
      <c r="AD98" s="61">
        <f t="shared" si="44"/>
        <v>5063.4575</v>
      </c>
      <c r="AE98" s="62">
        <f>IFERROR(AD98/AD148, "NA")</f>
        <v>0.8200542065</v>
      </c>
      <c r="AF98" s="61">
        <f t="shared" si="45"/>
        <v>1.056186859</v>
      </c>
      <c r="AG98" s="57">
        <f t="shared" si="46"/>
        <v>4285.94125</v>
      </c>
      <c r="AH98" s="15">
        <f>IFERROR(AG98/AG148, "NA")</f>
        <v>0.03199929408</v>
      </c>
      <c r="AI98" s="61">
        <f t="shared" si="47"/>
        <v>5571.60875</v>
      </c>
      <c r="AJ98" s="62">
        <f>IFERROR(AI98/AI148, "NA")</f>
        <v>0.6114576241</v>
      </c>
      <c r="AK98" s="61">
        <f t="shared" si="48"/>
        <v>1.299973197</v>
      </c>
      <c r="AL98" s="62">
        <f>IFERROR(AK98/AK148, "NA")</f>
        <v>19.10847229</v>
      </c>
    </row>
    <row r="99" ht="16.5" hidden="1" customHeight="1">
      <c r="A99" s="67" t="s">
        <v>216</v>
      </c>
      <c r="B99" s="70">
        <f>IFERROR(B90+B91+B92+B93+B94+B95+B96+B97+B98, "NA")</f>
        <v>16294.21</v>
      </c>
      <c r="C99" s="71">
        <f>IFERROR(B99/B148, "NA")</f>
        <v>0.2204661797</v>
      </c>
      <c r="D99" s="70">
        <f>IFERROR(D90+D91+D92+D93+D94+D95+D96+D97+D98, "NA")</f>
        <v>25783.64</v>
      </c>
      <c r="E99" s="71">
        <f>IFERROR(D99/D148, "NA")</f>
        <v>0.2511360402</v>
      </c>
      <c r="F99" s="70">
        <f>IFERROR(F90+F91+F92+F93+F94+F95+F96+F97+F98, "NA")</f>
        <v>34907.79</v>
      </c>
      <c r="G99" s="71">
        <f>IFERROR(F99/F148, "NA")</f>
        <v>0.3193130977</v>
      </c>
      <c r="H99" s="70">
        <f>IFERROR(H90+H91+H92+H93+H94+H95+H96+H97+H98, "NA")</f>
        <v>39600.7</v>
      </c>
      <c r="I99" s="71">
        <f>IFERROR(H99/H148, "NA")</f>
        <v>0.3236257671</v>
      </c>
      <c r="J99" s="70">
        <f>IFERROR(J90+J91+J92+J93+J94+J95+J96+J97+J98, "NA")</f>
        <v>27399.94</v>
      </c>
      <c r="K99" s="71">
        <f>IFERROR(J99/J148, "NA")</f>
        <v>0.2405475366</v>
      </c>
      <c r="L99" s="70">
        <f>IFERROR(L90+L91+L92+L93+L94+L95+L96+L97+L98, "NA")</f>
        <v>32330.4</v>
      </c>
      <c r="M99" s="71">
        <f>IFERROR(L99/L148, "NA")</f>
        <v>0.2576900971</v>
      </c>
      <c r="N99" s="70">
        <f>IFERROR(N90+N91+N92+N93+N94+N95+N96+N97+N98, "NA")</f>
        <v>36440.02</v>
      </c>
      <c r="O99" s="71">
        <f>IFERROR(N99/N148, "NA")</f>
        <v>0.265426273</v>
      </c>
      <c r="P99" s="70">
        <f>IFERROR(P90+P91+P92+P93+P94+P95+P96+P97+P98, "NA")</f>
        <v>31090.69</v>
      </c>
      <c r="Q99" s="71">
        <f>IFERROR(P99/P148, "NA")</f>
        <v>0.2110031528</v>
      </c>
      <c r="R99" s="70">
        <f>IFERROR(R90+R91+R92+R93+R94+R95+R96+R97+R98, "NA")</f>
        <v>42924.71</v>
      </c>
      <c r="S99" s="71">
        <f>IFERROR(R99/R148, "NA")</f>
        <v>0.2971870648</v>
      </c>
      <c r="T99" s="70">
        <f>IFERROR(T90+T91+T92+T93+T94+T95+T96+T97+T98, "NA")</f>
        <v>31515.98</v>
      </c>
      <c r="U99" s="71">
        <f>IFERROR(T99/T148, "NA")</f>
        <v>0.2471021771</v>
      </c>
      <c r="V99" s="70">
        <f>IFERROR(V90+V91+V92+V93+V94+V95+V96+V97+V98, "NA")</f>
        <v>33443.2</v>
      </c>
      <c r="W99" s="71">
        <f>IFERROR(V99/V148, "NA")</f>
        <v>0.2524495987</v>
      </c>
      <c r="X99" s="70">
        <f>IFERROR(X90+X91+X92+X93+X94+X95+X96+X97+X98, "NA")</f>
        <v>35808.12</v>
      </c>
      <c r="Y99" s="71">
        <f>IFERROR(X99/X148, "NA")</f>
        <v>0.2503178071</v>
      </c>
      <c r="Z99" s="70">
        <f>IFERROR(Z90+Z91+Z92+Z93+Z94+Z95+Z96+Z97+Z98, "NA")</f>
        <v>100767.3</v>
      </c>
      <c r="AA99" s="71">
        <f>IFERROR(Z99/Z148, "NA")</f>
        <v>0.2500009366</v>
      </c>
      <c r="AB99" s="70">
        <f t="shared" si="43"/>
        <v>35923.0025</v>
      </c>
      <c r="AC99" s="71">
        <f>IFERROR(AB99/AB148, "NA")</f>
        <v>0.2624490698</v>
      </c>
      <c r="AD99" s="75">
        <f t="shared" si="44"/>
        <v>-114.8825</v>
      </c>
      <c r="AE99" s="76">
        <f>IFERROR(AD99/AD148, "NA")</f>
        <v>-0.01860583946</v>
      </c>
      <c r="AF99" s="75">
        <f t="shared" si="45"/>
        <v>-0.003198020544</v>
      </c>
      <c r="AG99" s="70">
        <f t="shared" si="46"/>
        <v>33869.1325</v>
      </c>
      <c r="AH99" s="71">
        <f>IFERROR(AG99/AG148, "NA")</f>
        <v>0.2528705523</v>
      </c>
      <c r="AI99" s="75">
        <f t="shared" si="47"/>
        <v>1938.9875</v>
      </c>
      <c r="AJ99" s="76">
        <f>IFERROR(AI99/AI148, "NA")</f>
        <v>0.212794678</v>
      </c>
      <c r="AK99" s="75">
        <f t="shared" si="48"/>
        <v>0.05724939958</v>
      </c>
      <c r="AL99" s="76">
        <f>IFERROR(AK99/AK148, "NA")</f>
        <v>0.8415162464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2"/>
      <c r="AF100" s="125"/>
      <c r="AG100" s="124"/>
      <c r="AH100" s="74"/>
      <c r="AI100" s="125"/>
      <c r="AJ100" s="82"/>
      <c r="AK100" s="125"/>
      <c r="AL100" s="82"/>
    </row>
    <row r="101" ht="16.5" hidden="1" customHeight="1">
      <c r="A101" s="121" t="s">
        <v>217</v>
      </c>
      <c r="B101" s="122">
        <f>IFERROR(B87-B99, "NA")</f>
        <v>9927.74</v>
      </c>
      <c r="C101" s="98">
        <f>IFERROR(B101/B148, "NA")</f>
        <v>0.1343256845</v>
      </c>
      <c r="D101" s="122">
        <f>IFERROR(D87-D99, "NA")</f>
        <v>20607.44</v>
      </c>
      <c r="E101" s="98">
        <f>IFERROR(D101/D148, "NA")</f>
        <v>0.2007191723</v>
      </c>
      <c r="F101" s="122">
        <f>IFERROR(F87-F99, "NA")</f>
        <v>13309.25</v>
      </c>
      <c r="G101" s="98">
        <f>IFERROR(F101/F148, "NA")</f>
        <v>0.1217441106</v>
      </c>
      <c r="H101" s="122">
        <f>IFERROR(H87-H99, "NA")</f>
        <v>19054.53</v>
      </c>
      <c r="I101" s="98">
        <f>IFERROR(H101/H148, "NA")</f>
        <v>0.1557178759</v>
      </c>
      <c r="J101" s="122">
        <f>IFERROR(J87-J99, "NA")</f>
        <v>25571.1</v>
      </c>
      <c r="K101" s="98">
        <f>IFERROR(J101/J148, "NA")</f>
        <v>0.224491919</v>
      </c>
      <c r="L101" s="122">
        <f>IFERROR(L87-L99, "NA")</f>
        <v>30205.77</v>
      </c>
      <c r="M101" s="98">
        <f>IFERROR(L101/L148, "NA")</f>
        <v>0.2407556914</v>
      </c>
      <c r="N101" s="122">
        <f>IFERROR(N87-N99, "NA")</f>
        <v>28344.81</v>
      </c>
      <c r="O101" s="98">
        <f>IFERROR(N101/N148, "NA")</f>
        <v>0.2064613926</v>
      </c>
      <c r="P101" s="122">
        <f>IFERROR(P87-P99, "NA")</f>
        <v>43588.52</v>
      </c>
      <c r="Q101" s="98">
        <f>IFERROR(P101/P148, "NA")</f>
        <v>0.2958221624</v>
      </c>
      <c r="R101" s="122">
        <f>IFERROR(R87-R99, "NA")</f>
        <v>34803.46</v>
      </c>
      <c r="S101" s="98">
        <f>IFERROR(R101/R148, "NA")</f>
        <v>0.24096</v>
      </c>
      <c r="T101" s="122">
        <f>IFERROR(T87-T99, "NA")</f>
        <v>26486.69</v>
      </c>
      <c r="U101" s="98">
        <f>IFERROR(T101/T148, "NA")</f>
        <v>0.2076698476</v>
      </c>
      <c r="V101" s="122">
        <f>IFERROR(V87-V99, "NA")</f>
        <v>30408.28</v>
      </c>
      <c r="W101" s="98">
        <f>IFERROR(V101/V148, "NA")</f>
        <v>0.2295401781</v>
      </c>
      <c r="X101" s="122">
        <f>IFERROR(X87-X99, "NA")</f>
        <v>35968.38</v>
      </c>
      <c r="Y101" s="98">
        <f>IFERROR(X101/X148, "NA")</f>
        <v>0.2514381097</v>
      </c>
      <c r="Z101" s="122">
        <f>IFERROR(Z87-Z99, "NA")</f>
        <v>92863.35</v>
      </c>
      <c r="AA101" s="98">
        <f>IFERROR(Z101/Z148, "NA")</f>
        <v>0.2303914511</v>
      </c>
      <c r="AB101" s="122">
        <f>IFERROR((R101+T101+V101+X101)/4, "NA")</f>
        <v>31916.7025</v>
      </c>
      <c r="AC101" s="98">
        <f>IFERROR(AB101/AB148, "NA")</f>
        <v>0.2331795312</v>
      </c>
      <c r="AD101" s="75">
        <f>IFERROR(X101-AB101, "NA")</f>
        <v>4051.6775</v>
      </c>
      <c r="AE101" s="76">
        <f>IFERROR(AD101/AD148, "NA")</f>
        <v>0.6561909875</v>
      </c>
      <c r="AF101" s="75">
        <f>IFERROR((X101-AB101)/AB101, "NA")</f>
        <v>0.1269453666</v>
      </c>
      <c r="AG101" s="122">
        <f>IFERROR((J101+L101+N101+P101+R101+T101+V101+X101)/8, "NA")</f>
        <v>31922.12625</v>
      </c>
      <c r="AH101" s="98">
        <f>IFERROR(AG101/AG148, "NA")</f>
        <v>0.2383339962</v>
      </c>
      <c r="AI101" s="75">
        <f>IFERROR(X101-AG101, "NA")</f>
        <v>4046.25375</v>
      </c>
      <c r="AJ101" s="76">
        <f>IFERROR(AI101/AI148, "NA")</f>
        <v>0.4440571504</v>
      </c>
      <c r="AK101" s="75">
        <f>IFERROR((X101-AG101)/AG101, "NA")</f>
        <v>0.1267538922</v>
      </c>
      <c r="AL101" s="76">
        <f>IFERROR(AK101/AK148, "NA")</f>
        <v>1.863171673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2"/>
      <c r="AF102" s="125"/>
      <c r="AG102" s="124"/>
      <c r="AH102" s="74"/>
      <c r="AI102" s="125"/>
      <c r="AJ102" s="82"/>
      <c r="AK102" s="125"/>
      <c r="AL102" s="82"/>
    </row>
    <row r="103" ht="16.5" hidden="1" customHeight="1">
      <c r="A103" s="22" t="s">
        <v>218</v>
      </c>
      <c r="B103" s="23"/>
      <c r="C103" s="10"/>
      <c r="D103" s="23"/>
      <c r="E103" s="10"/>
      <c r="F103" s="23"/>
      <c r="G103" s="10"/>
      <c r="H103" s="23"/>
      <c r="I103" s="10"/>
      <c r="J103" s="23"/>
      <c r="K103" s="10"/>
      <c r="L103" s="23"/>
      <c r="M103" s="10"/>
      <c r="N103" s="23"/>
      <c r="O103" s="10"/>
      <c r="P103" s="23"/>
      <c r="Q103" s="10"/>
      <c r="R103" s="23"/>
      <c r="S103" s="10"/>
      <c r="T103" s="23"/>
      <c r="U103" s="10"/>
      <c r="V103" s="23"/>
      <c r="W103" s="10"/>
      <c r="X103" s="23"/>
      <c r="Y103" s="10"/>
      <c r="Z103" s="23"/>
      <c r="AA103" s="10"/>
      <c r="AB103" s="23"/>
      <c r="AC103" s="10"/>
      <c r="AD103" s="24"/>
      <c r="AE103" s="25"/>
      <c r="AF103" s="24"/>
      <c r="AG103" s="23"/>
      <c r="AH103" s="10"/>
      <c r="AI103" s="24"/>
      <c r="AJ103" s="25"/>
      <c r="AK103" s="24"/>
      <c r="AL103" s="25"/>
    </row>
    <row r="104" ht="16.5" hidden="1" customHeight="1">
      <c r="A104" s="126" t="s">
        <v>219</v>
      </c>
      <c r="B104" s="127">
        <f>SUM('4 - RASA - MVT'!B104,'5 - RASA - National Landin'!B104,'6 - RASA - Mosaic'!B104,'7 - RASA - Rockville'!B104)</f>
        <v>-4766.01</v>
      </c>
      <c r="C104" s="98">
        <f>IFERROR(B104/B148, "NA")</f>
        <v>-0.06448572942</v>
      </c>
      <c r="D104" s="127">
        <f>SUM('4 - RASA - MVT'!D104,'5 - RASA - National Landin'!D104,'6 - RASA - Mosaic'!D104,'7 - RASA - Rockville'!D104)</f>
        <v>0</v>
      </c>
      <c r="E104" s="98">
        <f>IFERROR(D104/D148, "NA")</f>
        <v>0</v>
      </c>
      <c r="F104" s="127">
        <f>SUM('4 - RASA - MVT'!F104,'5 - RASA - National Landin'!F104,'6 - RASA - Mosaic'!F104,'7 - RASA - Rockville'!F104)</f>
        <v>12232.42</v>
      </c>
      <c r="G104" s="98">
        <f>IFERROR(F104/F148, "NA")</f>
        <v>0.1118939905</v>
      </c>
      <c r="H104" s="127">
        <f>SUM('4 - RASA - MVT'!H104,'5 - RASA - National Landin'!H104,'6 - RASA - Mosaic'!H104,'7 - RASA - Rockville'!H104)</f>
        <v>66567.41</v>
      </c>
      <c r="I104" s="98">
        <f>IFERROR(H104/H148, "NA")</f>
        <v>0.5440037455</v>
      </c>
      <c r="J104" s="127">
        <f>SUM('4 - RASA - MVT'!J104,'5 - RASA - National Landin'!J104,'6 - RASA - Mosaic'!J104,'7 - RASA - Rockville'!J104)</f>
        <v>-6334.35</v>
      </c>
      <c r="K104" s="98">
        <f>IFERROR(J104/J148, "NA")</f>
        <v>-0.0556100593</v>
      </c>
      <c r="L104" s="127">
        <f>SUM('4 - RASA - MVT'!L104,'5 - RASA - National Landin'!L104,'6 - RASA - Mosaic'!L104,'7 - RASA - Rockville'!L104)</f>
        <v>0</v>
      </c>
      <c r="M104" s="98">
        <f>IFERROR(L104/L148, "NA")</f>
        <v>0</v>
      </c>
      <c r="N104" s="127">
        <f>SUM('4 - RASA - MVT'!N104,'5 - RASA - National Landin'!N104,'6 - RASA - Mosaic'!N104,'7 - RASA - Rockville'!N104)</f>
        <v>11629.91</v>
      </c>
      <c r="O104" s="98">
        <f>IFERROR(N104/N148, "NA")</f>
        <v>0.08471136038</v>
      </c>
      <c r="P104" s="127">
        <f>SUM('4 - RASA - MVT'!P104,'5 - RASA - National Landin'!P104,'6 - RASA - Mosaic'!P104,'7 - RASA - Rockville'!P104)</f>
        <v>0</v>
      </c>
      <c r="Q104" s="98">
        <f>IFERROR(P104/P148, "NA")</f>
        <v>0</v>
      </c>
      <c r="R104" s="127">
        <f>SUM('4 - RASA - MVT'!R104,'5 - RASA - National Landin'!R104,'6 - RASA - Mosaic'!R104,'7 - RASA - Rockville'!R104)</f>
        <v>78384.72</v>
      </c>
      <c r="S104" s="98">
        <f>IFERROR(R104/R148, "NA")</f>
        <v>0.5426926555</v>
      </c>
      <c r="T104" s="127">
        <f>SUM('4 - RASA - MVT'!T104,'5 - RASA - National Landin'!T104,'6 - RASA - Mosaic'!T104,'7 - RASA - Rockville'!T104)</f>
        <v>-3751.64</v>
      </c>
      <c r="U104" s="98">
        <f>IFERROR(T104/T148, "NA")</f>
        <v>-0.02941486864</v>
      </c>
      <c r="V104" s="127">
        <f>SUM('4 - RASA - MVT'!V104,'5 - RASA - National Landin'!V104,'6 - RASA - Mosaic'!V104,'7 - RASA - Rockville'!V104)</f>
        <v>0</v>
      </c>
      <c r="W104" s="98">
        <f>IFERROR(V104/V148, "NA")</f>
        <v>0</v>
      </c>
      <c r="X104" s="127">
        <f>SUM('4 - RASA - MVT'!X104,'5 - RASA - National Landin'!X104,'6 - RASA - Mosaic'!X104,'7 - RASA - Rockville'!X104)</f>
        <v>8705.81</v>
      </c>
      <c r="Y104" s="98">
        <f>IFERROR(X104/X148, "NA")</f>
        <v>0.06085824299</v>
      </c>
      <c r="Z104" s="127">
        <f>SUM('4 - RASA - MVT'!Z104,'5 - RASA - National Landin'!Z104,'6 - RASA - Mosaic'!Z104,'7 - RASA - Rockville'!Z104)</f>
        <v>4954.17</v>
      </c>
      <c r="AA104" s="98">
        <f>IFERROR(Z104/Z148, "NA")</f>
        <v>0.01229116132</v>
      </c>
      <c r="AB104" s="122">
        <f t="shared" ref="AB104:AB105" si="49">IFERROR((R104+T104+V104+X104)/4, "NA")</f>
        <v>20834.7225</v>
      </c>
      <c r="AC104" s="98">
        <f>IFERROR(AB104/AB148, "NA")</f>
        <v>0.1522159385</v>
      </c>
      <c r="AD104" s="75">
        <f t="shared" ref="AD104:AD105" si="50">IFERROR(X104-AB104, "NA")</f>
        <v>-12128.9125</v>
      </c>
      <c r="AE104" s="76">
        <f>IFERROR(AD104/AD148, "NA")</f>
        <v>-1.964342688</v>
      </c>
      <c r="AF104" s="75">
        <f t="shared" ref="AF104:AF105" si="51">IFERROR((X104-AB104)/AB104, "NA")</f>
        <v>-0.5821489823</v>
      </c>
      <c r="AG104" s="122">
        <f t="shared" ref="AG104:AG105" si="52">IFERROR((J104+L104+N104+P104+R104+T104+V104+X104)/8, "NA")</f>
        <v>11079.30625</v>
      </c>
      <c r="AH104" s="98">
        <f>IFERROR(AG104/AG148, "NA")</f>
        <v>0.08271928107</v>
      </c>
      <c r="AI104" s="75">
        <f t="shared" ref="AI104:AI105" si="53">IFERROR(X104-AG104, "NA")</f>
        <v>-2373.49625</v>
      </c>
      <c r="AJ104" s="76">
        <f>IFERROR(AI104/AI148, "NA")</f>
        <v>-0.2604799517</v>
      </c>
      <c r="AK104" s="75">
        <f t="shared" ref="AK104:AK105" si="54">IFERROR((X104-AG104)/AG104, "NA")</f>
        <v>-0.2142278764</v>
      </c>
      <c r="AL104" s="76">
        <f>IFERROR(AK104/AK148, "NA")</f>
        <v>-3.148962954</v>
      </c>
    </row>
    <row r="105" ht="16.5" hidden="1" customHeight="1">
      <c r="A105" s="67" t="s">
        <v>220</v>
      </c>
      <c r="B105" s="70">
        <f>IFERROR(B104, "NA")</f>
        <v>-4766.01</v>
      </c>
      <c r="C105" s="71">
        <f>IFERROR(B105/B148, "NA")</f>
        <v>-0.06448572942</v>
      </c>
      <c r="D105" s="70">
        <f>IFERROR(D104, "NA")</f>
        <v>0</v>
      </c>
      <c r="E105" s="71">
        <f>IFERROR(D105/D148, "NA")</f>
        <v>0</v>
      </c>
      <c r="F105" s="70">
        <f>IFERROR(F104, "NA")</f>
        <v>12232.42</v>
      </c>
      <c r="G105" s="71">
        <f>IFERROR(F105/F148, "NA")</f>
        <v>0.1118939905</v>
      </c>
      <c r="H105" s="70">
        <f>IFERROR(H104, "NA")</f>
        <v>66567.41</v>
      </c>
      <c r="I105" s="71">
        <f>IFERROR(H105/H148, "NA")</f>
        <v>0.5440037455</v>
      </c>
      <c r="J105" s="70">
        <f>IFERROR(J104, "NA")</f>
        <v>-6334.35</v>
      </c>
      <c r="K105" s="71">
        <f>IFERROR(J105/J148, "NA")</f>
        <v>-0.0556100593</v>
      </c>
      <c r="L105" s="70">
        <f>IFERROR(L104, "NA")</f>
        <v>0</v>
      </c>
      <c r="M105" s="71">
        <f>IFERROR(L105/L148, "NA")</f>
        <v>0</v>
      </c>
      <c r="N105" s="70">
        <f>IFERROR(N104, "NA")</f>
        <v>11629.91</v>
      </c>
      <c r="O105" s="71">
        <f>IFERROR(N105/N148, "NA")</f>
        <v>0.08471136038</v>
      </c>
      <c r="P105" s="70">
        <f>IFERROR(P104, "NA")</f>
        <v>0</v>
      </c>
      <c r="Q105" s="71">
        <f>IFERROR(P105/P148, "NA")</f>
        <v>0</v>
      </c>
      <c r="R105" s="70">
        <f>IFERROR(R104, "NA")</f>
        <v>78384.72</v>
      </c>
      <c r="S105" s="71">
        <f>IFERROR(R105/R148, "NA")</f>
        <v>0.5426926555</v>
      </c>
      <c r="T105" s="70">
        <f>IFERROR(T104, "NA")</f>
        <v>-3751.64</v>
      </c>
      <c r="U105" s="71">
        <f>IFERROR(T105/T148, "NA")</f>
        <v>-0.02941486864</v>
      </c>
      <c r="V105" s="70">
        <f>IFERROR(V104, "NA")</f>
        <v>0</v>
      </c>
      <c r="W105" s="71">
        <f>IFERROR(V105/V148, "NA")</f>
        <v>0</v>
      </c>
      <c r="X105" s="70">
        <f>IFERROR(X104, "NA")</f>
        <v>8705.81</v>
      </c>
      <c r="Y105" s="71">
        <f>IFERROR(X105/X148, "NA")</f>
        <v>0.06085824299</v>
      </c>
      <c r="Z105" s="70">
        <f>IFERROR(Z104, "NA")</f>
        <v>4954.17</v>
      </c>
      <c r="AA105" s="71">
        <f>IFERROR(Z105/Z148, "NA")</f>
        <v>0.01229116132</v>
      </c>
      <c r="AB105" s="70">
        <f t="shared" si="49"/>
        <v>20834.7225</v>
      </c>
      <c r="AC105" s="71">
        <f>IFERROR(AB105/AB148, "NA")</f>
        <v>0.1522159385</v>
      </c>
      <c r="AD105" s="75">
        <f t="shared" si="50"/>
        <v>-12128.9125</v>
      </c>
      <c r="AE105" s="76">
        <f>IFERROR(AD105/AD148, "NA")</f>
        <v>-1.964342688</v>
      </c>
      <c r="AF105" s="75">
        <f t="shared" si="51"/>
        <v>-0.5821489823</v>
      </c>
      <c r="AG105" s="70">
        <f t="shared" si="52"/>
        <v>11079.30625</v>
      </c>
      <c r="AH105" s="71">
        <f>IFERROR(AG105/AG148, "NA")</f>
        <v>0.08271928107</v>
      </c>
      <c r="AI105" s="75">
        <f t="shared" si="53"/>
        <v>-2373.49625</v>
      </c>
      <c r="AJ105" s="76">
        <f>IFERROR(AI105/AI148, "NA")</f>
        <v>-0.2604799517</v>
      </c>
      <c r="AK105" s="75">
        <f t="shared" si="54"/>
        <v>-0.2142278764</v>
      </c>
      <c r="AL105" s="76">
        <f>IFERROR(AK105/AK148, "NA")</f>
        <v>-3.148962954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2"/>
      <c r="AF106" s="125"/>
      <c r="AG106" s="124"/>
      <c r="AH106" s="74"/>
      <c r="AI106" s="125"/>
      <c r="AJ106" s="82"/>
      <c r="AK106" s="125"/>
      <c r="AL106" s="82"/>
    </row>
    <row r="107" ht="16.5" hidden="1" customHeight="1">
      <c r="A107" s="121" t="s">
        <v>221</v>
      </c>
      <c r="B107" s="122">
        <f>IFERROR(B87-B99-B105, "NA")</f>
        <v>14693.75</v>
      </c>
      <c r="C107" s="98">
        <f>IFERROR(B107/B148, "NA")</f>
        <v>0.1988114139</v>
      </c>
      <c r="D107" s="122">
        <f>IFERROR(D87-D99-D105, "NA")</f>
        <v>20607.44</v>
      </c>
      <c r="E107" s="98">
        <f>IFERROR(D107/D148, "NA")</f>
        <v>0.2007191723</v>
      </c>
      <c r="F107" s="122">
        <f>IFERROR(F87-F99-F105, "NA")</f>
        <v>1076.83</v>
      </c>
      <c r="G107" s="98">
        <f>IFERROR(F107/F148, "NA")</f>
        <v>0.009850120072</v>
      </c>
      <c r="H107" s="122">
        <f>IFERROR(H87-H99-H105, "NA")</f>
        <v>-47512.88</v>
      </c>
      <c r="I107" s="98">
        <f>IFERROR(H107/H148, "NA")</f>
        <v>-0.3882858696</v>
      </c>
      <c r="J107" s="122">
        <f>IFERROR(J87-J99-J105, "NA")</f>
        <v>31905.45</v>
      </c>
      <c r="K107" s="98">
        <f>IFERROR(J107/J148, "NA")</f>
        <v>0.2801019783</v>
      </c>
      <c r="L107" s="122">
        <f>IFERROR(L87-L99-L105, "NA")</f>
        <v>30205.77</v>
      </c>
      <c r="M107" s="98">
        <f>IFERROR(L107/L148, "NA")</f>
        <v>0.2407556914</v>
      </c>
      <c r="N107" s="122">
        <f>IFERROR(N87-N99-N105, "NA")</f>
        <v>16714.9</v>
      </c>
      <c r="O107" s="98">
        <f>IFERROR(N107/N148, "NA")</f>
        <v>0.1217500322</v>
      </c>
      <c r="P107" s="122">
        <f>IFERROR(P87-P99-P105, "NA")</f>
        <v>43588.52</v>
      </c>
      <c r="Q107" s="98">
        <f>IFERROR(P107/P148, "NA")</f>
        <v>0.2958221624</v>
      </c>
      <c r="R107" s="122">
        <f>IFERROR(R87-R99-R105, "NA")</f>
        <v>-43581.26</v>
      </c>
      <c r="S107" s="98">
        <f>IFERROR(R107/R148, "NA")</f>
        <v>-0.3017326556</v>
      </c>
      <c r="T107" s="122">
        <f>IFERROR(T87-T99-T105, "NA")</f>
        <v>30238.33</v>
      </c>
      <c r="U107" s="98">
        <f>IFERROR(T107/T148, "NA")</f>
        <v>0.2370847162</v>
      </c>
      <c r="V107" s="122">
        <f>IFERROR(V87-V99-V105, "NA")</f>
        <v>30408.28</v>
      </c>
      <c r="W107" s="98">
        <f>IFERROR(V107/V148, "NA")</f>
        <v>0.2295401781</v>
      </c>
      <c r="X107" s="122">
        <f>IFERROR(X87-X99-X105, "NA")</f>
        <v>27262.57</v>
      </c>
      <c r="Y107" s="98">
        <f>IFERROR(X107/X148, "NA")</f>
        <v>0.1905798667</v>
      </c>
      <c r="Z107" s="122">
        <f>IFERROR(Z87-Z99-Z105, "NA")</f>
        <v>87909.18</v>
      </c>
      <c r="AA107" s="98">
        <f>IFERROR(Z107/Z148, "NA")</f>
        <v>0.2181002898</v>
      </c>
      <c r="AB107" s="122">
        <f>IFERROR((R107+T107+V107+X107)/4, "NA")</f>
        <v>11081.98</v>
      </c>
      <c r="AC107" s="98">
        <f>IFERROR(AB107/AB148, "NA")</f>
        <v>0.08096359269</v>
      </c>
      <c r="AD107" s="75">
        <f>IFERROR(X107-AB107, "NA")</f>
        <v>16180.59</v>
      </c>
      <c r="AE107" s="76">
        <f>IFERROR(AD107/AD148, "NA")</f>
        <v>2.620533675</v>
      </c>
      <c r="AF107" s="75">
        <f>IFERROR((X107-AB107)/AB107, "NA")</f>
        <v>1.460081141</v>
      </c>
      <c r="AG107" s="122">
        <f>IFERROR((J107+L107+N107+P107+R107+T107+V107+X107)/8, "NA")</f>
        <v>20842.82</v>
      </c>
      <c r="AH107" s="98">
        <f>IFERROR(AG107/AG148, "NA")</f>
        <v>0.1556147151</v>
      </c>
      <c r="AI107" s="75">
        <f>IFERROR(X107-AG107, "NA")</f>
        <v>6419.75</v>
      </c>
      <c r="AJ107" s="76">
        <f>IFERROR(AI107/AI148, "NA")</f>
        <v>0.7045371021</v>
      </c>
      <c r="AK107" s="75">
        <f>IFERROR((X107-AG107)/AG107, "NA")</f>
        <v>0.3080077456</v>
      </c>
      <c r="AL107" s="76">
        <f>IFERROR(AK107/AK148, "NA")</f>
        <v>4.527445245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2"/>
      <c r="AF108" s="125"/>
      <c r="AG108" s="124"/>
      <c r="AH108" s="74"/>
      <c r="AI108" s="125"/>
      <c r="AJ108" s="82"/>
      <c r="AK108" s="125"/>
      <c r="AL108" s="82"/>
    </row>
    <row r="109" ht="16.5" hidden="1" customHeight="1">
      <c r="A109" s="22" t="s">
        <v>222</v>
      </c>
      <c r="B109" s="23"/>
      <c r="C109" s="10"/>
      <c r="D109" s="23"/>
      <c r="E109" s="10"/>
      <c r="F109" s="23"/>
      <c r="G109" s="10"/>
      <c r="H109" s="23"/>
      <c r="I109" s="10"/>
      <c r="J109" s="23"/>
      <c r="K109" s="10"/>
      <c r="L109" s="23"/>
      <c r="M109" s="10"/>
      <c r="N109" s="23"/>
      <c r="O109" s="10"/>
      <c r="P109" s="23"/>
      <c r="Q109" s="10"/>
      <c r="R109" s="23"/>
      <c r="S109" s="10"/>
      <c r="T109" s="23"/>
      <c r="U109" s="10"/>
      <c r="V109" s="23"/>
      <c r="W109" s="10"/>
      <c r="X109" s="23"/>
      <c r="Y109" s="10"/>
      <c r="Z109" s="23"/>
      <c r="AA109" s="10"/>
      <c r="AB109" s="23"/>
      <c r="AC109" s="10"/>
      <c r="AD109" s="24"/>
      <c r="AE109" s="25"/>
      <c r="AF109" s="24"/>
      <c r="AG109" s="23"/>
      <c r="AH109" s="10"/>
      <c r="AI109" s="24"/>
      <c r="AJ109" s="25"/>
      <c r="AK109" s="24"/>
      <c r="AL109" s="25"/>
    </row>
    <row r="110" ht="16.5" hidden="1" customHeight="1">
      <c r="A110" s="26" t="s">
        <v>223</v>
      </c>
      <c r="B110" s="28">
        <f>SUM('4 - RASA - MVT'!B110,'5 - RASA - National Landin'!B110,'6 - RASA - Mosaic'!B110,'7 - RASA - Rockville'!B110)</f>
        <v>0</v>
      </c>
      <c r="C110" s="15">
        <f>IFERROR(B110/B148, "NA")</f>
        <v>0</v>
      </c>
      <c r="D110" s="28">
        <f>SUM('4 - RASA - MVT'!D110,'5 - RASA - National Landin'!D110,'6 - RASA - Mosaic'!D110,'7 - RASA - Rockville'!D110)</f>
        <v>0</v>
      </c>
      <c r="E110" s="15">
        <f>IFERROR(D110/D148, "NA")</f>
        <v>0</v>
      </c>
      <c r="F110" s="28">
        <f>SUM('4 - RASA - MVT'!F110,'5 - RASA - National Landin'!F110,'6 - RASA - Mosaic'!F110,'7 - RASA - Rockville'!F110)</f>
        <v>0</v>
      </c>
      <c r="G110" s="15">
        <f>IFERROR(F110/F148, "NA")</f>
        <v>0</v>
      </c>
      <c r="H110" s="28">
        <f>SUM('4 - RASA - MVT'!H110,'5 - RASA - National Landin'!H110,'6 - RASA - Mosaic'!H110,'7 - RASA - Rockville'!H110)</f>
        <v>0</v>
      </c>
      <c r="I110" s="15">
        <f>IFERROR(H110/H148, "NA")</f>
        <v>0</v>
      </c>
      <c r="J110" s="28">
        <f>SUM('4 - RASA - MVT'!J110,'5 - RASA - National Landin'!J110,'6 - RASA - Mosaic'!J110,'7 - RASA - Rockville'!J110)</f>
        <v>0</v>
      </c>
      <c r="K110" s="15">
        <f>IFERROR(J110/J148, "NA")</f>
        <v>0</v>
      </c>
      <c r="L110" s="28">
        <f>SUM('4 - RASA - MVT'!L110,'5 - RASA - National Landin'!L110,'6 - RASA - Mosaic'!L110,'7 - RASA - Rockville'!L110)</f>
        <v>0</v>
      </c>
      <c r="M110" s="15">
        <f>IFERROR(L110/L148, "NA")</f>
        <v>0</v>
      </c>
      <c r="N110" s="28">
        <f>SUM('4 - RASA - MVT'!N110,'5 - RASA - National Landin'!N110,'6 - RASA - Mosaic'!N110,'7 - RASA - Rockville'!N110)</f>
        <v>0</v>
      </c>
      <c r="O110" s="15">
        <f>IFERROR(N110/N148, "NA")</f>
        <v>0</v>
      </c>
      <c r="P110" s="28">
        <f>SUM('4 - RASA - MVT'!P110,'5 - RASA - National Landin'!P110,'6 - RASA - Mosaic'!P110,'7 - RASA - Rockville'!P110)</f>
        <v>0</v>
      </c>
      <c r="Q110" s="15">
        <f>IFERROR(P110/P148, "NA")</f>
        <v>0</v>
      </c>
      <c r="R110" s="28">
        <f>SUM('4 - RASA - MVT'!R110,'5 - RASA - National Landin'!R110,'6 - RASA - Mosaic'!R110,'7 - RASA - Rockville'!R110)</f>
        <v>0</v>
      </c>
      <c r="S110" s="15">
        <f>IFERROR(R110/R148, "NA")</f>
        <v>0</v>
      </c>
      <c r="T110" s="28">
        <f>SUM('4 - RASA - MVT'!T110,'5 - RASA - National Landin'!T110,'6 - RASA - Mosaic'!T110,'7 - RASA - Rockville'!T110)</f>
        <v>0</v>
      </c>
      <c r="U110" s="15">
        <f>IFERROR(T110/T148, "NA")</f>
        <v>0</v>
      </c>
      <c r="V110" s="28">
        <f>SUM('4 - RASA - MVT'!V110,'5 - RASA - National Landin'!V110,'6 - RASA - Mosaic'!V110,'7 - RASA - Rockville'!V110)</f>
        <v>0</v>
      </c>
      <c r="W110" s="15">
        <f>IFERROR(V110/V148, "NA")</f>
        <v>0</v>
      </c>
      <c r="X110" s="28">
        <f>SUM('4 - RASA - MVT'!X110,'5 - RASA - National Landin'!X110,'6 - RASA - Mosaic'!X110,'7 - RASA - Rockville'!X110)</f>
        <v>0</v>
      </c>
      <c r="Y110" s="15">
        <f>IFERROR(X110/X148, "NA")</f>
        <v>0</v>
      </c>
      <c r="Z110" s="28">
        <f>SUM('4 - RASA - MVT'!Z110,'5 - RASA - National Landin'!Z110,'6 - RASA - Mosaic'!Z110,'7 - RASA - Rockville'!Z110)</f>
        <v>0</v>
      </c>
      <c r="AA110" s="15">
        <f>IFERROR(Z110/Z148, "NA")</f>
        <v>0</v>
      </c>
      <c r="AB110" s="57">
        <f t="shared" ref="AB110:AB135" si="55">IFERROR((R110+T110+V110+X110)/4, "NA")</f>
        <v>0</v>
      </c>
      <c r="AC110" s="15">
        <f>IFERROR(AB110/AB148, "NA")</f>
        <v>0</v>
      </c>
      <c r="AD110" s="61">
        <f t="shared" ref="AD110:AD135" si="56">IFERROR(X110-AB110, "NA")</f>
        <v>0</v>
      </c>
      <c r="AE110" s="62">
        <f>IFERROR(AD110/AD148, "NA")</f>
        <v>0</v>
      </c>
      <c r="AF110" s="61" t="str">
        <f t="shared" ref="AF110:AF135" si="57">IFERROR((X110-AB110)/AB110, "NA")</f>
        <v>NA</v>
      </c>
      <c r="AG110" s="57">
        <f t="shared" ref="AG110:AG135" si="58">IFERROR((J110+L110+N110+P110+R110+T110+V110+X110)/8, "NA")</f>
        <v>0</v>
      </c>
      <c r="AH110" s="15">
        <f>IFERROR(AG110/AG148, "NA")</f>
        <v>0</v>
      </c>
      <c r="AI110" s="61">
        <f t="shared" ref="AI110:AI135" si="59">IFERROR(X110-AG110, "NA")</f>
        <v>0</v>
      </c>
      <c r="AJ110" s="62">
        <f>IFERROR(AI110/AI148, "NA")</f>
        <v>0</v>
      </c>
      <c r="AK110" s="61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6" t="s">
        <v>224</v>
      </c>
      <c r="B111" s="28">
        <f>SUM('4 - RASA - MVT'!B111,'5 - RASA - National Landin'!B111,'6 - RASA - Mosaic'!B111,'7 - RASA - Rockville'!B111)</f>
        <v>0</v>
      </c>
      <c r="C111" s="15">
        <f>IFERROR(B111/B148, "NA")</f>
        <v>0</v>
      </c>
      <c r="D111" s="28">
        <f>SUM('4 - RASA - MVT'!D111,'5 - RASA - National Landin'!D111,'6 - RASA - Mosaic'!D111,'7 - RASA - Rockville'!D111)</f>
        <v>0</v>
      </c>
      <c r="E111" s="15">
        <f>IFERROR(D111/D148, "NA")</f>
        <v>0</v>
      </c>
      <c r="F111" s="28">
        <f>SUM('4 - RASA - MVT'!F111,'5 - RASA - National Landin'!F111,'6 - RASA - Mosaic'!F111,'7 - RASA - Rockville'!F111)</f>
        <v>0</v>
      </c>
      <c r="G111" s="15">
        <f>IFERROR(F111/F148, "NA")</f>
        <v>0</v>
      </c>
      <c r="H111" s="28">
        <f>SUM('4 - RASA - MVT'!H111,'5 - RASA - National Landin'!H111,'6 - RASA - Mosaic'!H111,'7 - RASA - Rockville'!H111)</f>
        <v>0</v>
      </c>
      <c r="I111" s="15">
        <f>IFERROR(H111/H148, "NA")</f>
        <v>0</v>
      </c>
      <c r="J111" s="28">
        <f>SUM('4 - RASA - MVT'!J111,'5 - RASA - National Landin'!J111,'6 - RASA - Mosaic'!J111,'7 - RASA - Rockville'!J111)</f>
        <v>0</v>
      </c>
      <c r="K111" s="15">
        <f>IFERROR(J111/J148, "NA")</f>
        <v>0</v>
      </c>
      <c r="L111" s="28">
        <f>SUM('4 - RASA - MVT'!L111,'5 - RASA - National Landin'!L111,'6 - RASA - Mosaic'!L111,'7 - RASA - Rockville'!L111)</f>
        <v>0</v>
      </c>
      <c r="M111" s="15">
        <f>IFERROR(L111/L148, "NA")</f>
        <v>0</v>
      </c>
      <c r="N111" s="28">
        <f>SUM('4 - RASA - MVT'!N111,'5 - RASA - National Landin'!N111,'6 - RASA - Mosaic'!N111,'7 - RASA - Rockville'!N111)</f>
        <v>0</v>
      </c>
      <c r="O111" s="15">
        <f>IFERROR(N111/N148, "NA")</f>
        <v>0</v>
      </c>
      <c r="P111" s="28">
        <f>SUM('4 - RASA - MVT'!P111,'5 - RASA - National Landin'!P111,'6 - RASA - Mosaic'!P111,'7 - RASA - Rockville'!P111)</f>
        <v>0</v>
      </c>
      <c r="Q111" s="15">
        <f>IFERROR(P111/P148, "NA")</f>
        <v>0</v>
      </c>
      <c r="R111" s="28">
        <f>SUM('4 - RASA - MVT'!R111,'5 - RASA - National Landin'!R111,'6 - RASA - Mosaic'!R111,'7 - RASA - Rockville'!R111)</f>
        <v>0</v>
      </c>
      <c r="S111" s="15">
        <f>IFERROR(R111/R148, "NA")</f>
        <v>0</v>
      </c>
      <c r="T111" s="28">
        <f>SUM('4 - RASA - MVT'!T111,'5 - RASA - National Landin'!T111,'6 - RASA - Mosaic'!T111,'7 - RASA - Rockville'!T111)</f>
        <v>0</v>
      </c>
      <c r="U111" s="15">
        <f>IFERROR(T111/T148, "NA")</f>
        <v>0</v>
      </c>
      <c r="V111" s="28">
        <f>SUM('4 - RASA - MVT'!V111,'5 - RASA - National Landin'!V111,'6 - RASA - Mosaic'!V111,'7 - RASA - Rockville'!V111)</f>
        <v>0</v>
      </c>
      <c r="W111" s="15">
        <f>IFERROR(V111/V148, "NA")</f>
        <v>0</v>
      </c>
      <c r="X111" s="28">
        <f>SUM('4 - RASA - MVT'!X111,'5 - RASA - National Landin'!X111,'6 - RASA - Mosaic'!X111,'7 - RASA - Rockville'!X111)</f>
        <v>0</v>
      </c>
      <c r="Y111" s="15">
        <f>IFERROR(X111/X148, "NA")</f>
        <v>0</v>
      </c>
      <c r="Z111" s="28">
        <f>SUM('4 - RASA - MVT'!Z111,'5 - RASA - National Landin'!Z111,'6 - RASA - Mosaic'!Z111,'7 - RASA - Rockville'!Z111)</f>
        <v>0</v>
      </c>
      <c r="AA111" s="15">
        <f>IFERROR(Z111/Z148, "NA")</f>
        <v>0</v>
      </c>
      <c r="AB111" s="57">
        <f t="shared" si="55"/>
        <v>0</v>
      </c>
      <c r="AC111" s="15">
        <f>IFERROR(AB111/AB148, "NA")</f>
        <v>0</v>
      </c>
      <c r="AD111" s="61">
        <f t="shared" si="56"/>
        <v>0</v>
      </c>
      <c r="AE111" s="62">
        <f>IFERROR(AD111/AD148, "NA")</f>
        <v>0</v>
      </c>
      <c r="AF111" s="61" t="str">
        <f t="shared" si="57"/>
        <v>NA</v>
      </c>
      <c r="AG111" s="57">
        <f t="shared" si="58"/>
        <v>0</v>
      </c>
      <c r="AH111" s="15">
        <f>IFERROR(AG111/AG148, "NA")</f>
        <v>0</v>
      </c>
      <c r="AI111" s="61">
        <f t="shared" si="59"/>
        <v>0</v>
      </c>
      <c r="AJ111" s="62">
        <f>IFERROR(AI111/AI148, "NA")</f>
        <v>0</v>
      </c>
      <c r="AK111" s="61" t="str">
        <f t="shared" si="60"/>
        <v>NA</v>
      </c>
      <c r="AL111" s="62" t="str">
        <f>IFERROR(AK111/AK148, "NA")</f>
        <v>NA</v>
      </c>
    </row>
    <row r="112" ht="16.5" hidden="1" customHeight="1">
      <c r="A112" s="26" t="s">
        <v>225</v>
      </c>
      <c r="B112" s="28">
        <f>SUM('4 - RASA - MVT'!B112,'5 - RASA - National Landin'!B112,'6 - RASA - Mosaic'!B112,'7 - RASA - Rockville'!B112)</f>
        <v>0</v>
      </c>
      <c r="C112" s="15">
        <f>IFERROR(B112/B148, "NA")</f>
        <v>0</v>
      </c>
      <c r="D112" s="28">
        <f>SUM('4 - RASA - MVT'!D112,'5 - RASA - National Landin'!D112,'6 - RASA - Mosaic'!D112,'7 - RASA - Rockville'!D112)</f>
        <v>0</v>
      </c>
      <c r="E112" s="15">
        <f>IFERROR(D112/D148, "NA")</f>
        <v>0</v>
      </c>
      <c r="F112" s="28">
        <f>SUM('4 - RASA - MVT'!F112,'5 - RASA - National Landin'!F112,'6 - RASA - Mosaic'!F112,'7 - RASA - Rockville'!F112)</f>
        <v>0</v>
      </c>
      <c r="G112" s="15">
        <f>IFERROR(F112/F148, "NA")</f>
        <v>0</v>
      </c>
      <c r="H112" s="28">
        <f>SUM('4 - RASA - MVT'!H112,'5 - RASA - National Landin'!H112,'6 - RASA - Mosaic'!H112,'7 - RASA - Rockville'!H112)</f>
        <v>0</v>
      </c>
      <c r="I112" s="15">
        <f>IFERROR(H112/H148, "NA")</f>
        <v>0</v>
      </c>
      <c r="J112" s="28">
        <f>SUM('4 - RASA - MVT'!J112,'5 - RASA - National Landin'!J112,'6 - RASA - Mosaic'!J112,'7 - RASA - Rockville'!J112)</f>
        <v>0</v>
      </c>
      <c r="K112" s="15">
        <f>IFERROR(J112/J148, "NA")</f>
        <v>0</v>
      </c>
      <c r="L112" s="28">
        <f>SUM('4 - RASA - MVT'!L112,'5 - RASA - National Landin'!L112,'6 - RASA - Mosaic'!L112,'7 - RASA - Rockville'!L112)</f>
        <v>0</v>
      </c>
      <c r="M112" s="15">
        <f>IFERROR(L112/L148, "NA")</f>
        <v>0</v>
      </c>
      <c r="N112" s="28">
        <f>SUM('4 - RASA - MVT'!N112,'5 - RASA - National Landin'!N112,'6 - RASA - Mosaic'!N112,'7 - RASA - Rockville'!N112)</f>
        <v>0</v>
      </c>
      <c r="O112" s="15">
        <f>IFERROR(N112/N148, "NA")</f>
        <v>0</v>
      </c>
      <c r="P112" s="28">
        <f>SUM('4 - RASA - MVT'!P112,'5 - RASA - National Landin'!P112,'6 - RASA - Mosaic'!P112,'7 - RASA - Rockville'!P112)</f>
        <v>0</v>
      </c>
      <c r="Q112" s="15">
        <f>IFERROR(P112/P148, "NA")</f>
        <v>0</v>
      </c>
      <c r="R112" s="28">
        <f>SUM('4 - RASA - MVT'!R112,'5 - RASA - National Landin'!R112,'6 - RASA - Mosaic'!R112,'7 - RASA - Rockville'!R112)</f>
        <v>0</v>
      </c>
      <c r="S112" s="15">
        <f>IFERROR(R112/R148, "NA")</f>
        <v>0</v>
      </c>
      <c r="T112" s="28">
        <f>SUM('4 - RASA - MVT'!T112,'5 - RASA - National Landin'!T112,'6 - RASA - Mosaic'!T112,'7 - RASA - Rockville'!T112)</f>
        <v>0</v>
      </c>
      <c r="U112" s="15">
        <f>IFERROR(T112/T148, "NA")</f>
        <v>0</v>
      </c>
      <c r="V112" s="28">
        <f>SUM('4 - RASA - MVT'!V112,'5 - RASA - National Landin'!V112,'6 - RASA - Mosaic'!V112,'7 - RASA - Rockville'!V112)</f>
        <v>0</v>
      </c>
      <c r="W112" s="15">
        <f>IFERROR(V112/V148, "NA")</f>
        <v>0</v>
      </c>
      <c r="X112" s="28">
        <f>SUM('4 - RASA - MVT'!X112,'5 - RASA - National Landin'!X112,'6 - RASA - Mosaic'!X112,'7 - RASA - Rockville'!X112)</f>
        <v>0</v>
      </c>
      <c r="Y112" s="15">
        <f>IFERROR(X112/X148, "NA")</f>
        <v>0</v>
      </c>
      <c r="Z112" s="28">
        <f>SUM('4 - RASA - MVT'!Z112,'5 - RASA - National Landin'!Z112,'6 - RASA - Mosaic'!Z112,'7 - RASA - Rockville'!Z112)</f>
        <v>0</v>
      </c>
      <c r="AA112" s="15">
        <f>IFERROR(Z112/Z148, "NA")</f>
        <v>0</v>
      </c>
      <c r="AB112" s="57">
        <f t="shared" si="55"/>
        <v>0</v>
      </c>
      <c r="AC112" s="15">
        <f>IFERROR(AB112/AB148, "NA")</f>
        <v>0</v>
      </c>
      <c r="AD112" s="61">
        <f t="shared" si="56"/>
        <v>0</v>
      </c>
      <c r="AE112" s="62">
        <f>IFERROR(AD112/AD148, "NA")</f>
        <v>0</v>
      </c>
      <c r="AF112" s="61" t="str">
        <f t="shared" si="57"/>
        <v>NA</v>
      </c>
      <c r="AG112" s="57">
        <f t="shared" si="58"/>
        <v>0</v>
      </c>
      <c r="AH112" s="15">
        <f>IFERROR(AG112/AG148, "NA")</f>
        <v>0</v>
      </c>
      <c r="AI112" s="61">
        <f t="shared" si="59"/>
        <v>0</v>
      </c>
      <c r="AJ112" s="62">
        <f>IFERROR(AI112/AI148, "NA")</f>
        <v>0</v>
      </c>
      <c r="AK112" s="61" t="str">
        <f t="shared" si="60"/>
        <v>NA</v>
      </c>
      <c r="AL112" s="62" t="str">
        <f>IFERROR(AK112/AK148, "NA")</f>
        <v>NA</v>
      </c>
    </row>
    <row r="113" ht="16.5" hidden="1" customHeight="1">
      <c r="A113" s="26" t="s">
        <v>226</v>
      </c>
      <c r="B113" s="28">
        <f>SUM('4 - RASA - MVT'!B113,'5 - RASA - National Landin'!B113,'6 - RASA - Mosaic'!B113,'7 - RASA - Rockville'!B113)</f>
        <v>0</v>
      </c>
      <c r="C113" s="15">
        <f>IFERROR(B113/B148, "NA")</f>
        <v>0</v>
      </c>
      <c r="D113" s="28">
        <f>SUM('4 - RASA - MVT'!D113,'5 - RASA - National Landin'!D113,'6 - RASA - Mosaic'!D113,'7 - RASA - Rockville'!D113)</f>
        <v>0</v>
      </c>
      <c r="E113" s="15">
        <f>IFERROR(D113/D148, "NA")</f>
        <v>0</v>
      </c>
      <c r="F113" s="28">
        <f>SUM('4 - RASA - MVT'!F113,'5 - RASA - National Landin'!F113,'6 - RASA - Mosaic'!F113,'7 - RASA - Rockville'!F113)</f>
        <v>0</v>
      </c>
      <c r="G113" s="15">
        <f>IFERROR(F113/F148, "NA")</f>
        <v>0</v>
      </c>
      <c r="H113" s="28">
        <f>SUM('4 - RASA - MVT'!H113,'5 - RASA - National Landin'!H113,'6 - RASA - Mosaic'!H113,'7 - RASA - Rockville'!H113)</f>
        <v>0</v>
      </c>
      <c r="I113" s="15">
        <f>IFERROR(H113/H148, "NA")</f>
        <v>0</v>
      </c>
      <c r="J113" s="28">
        <f>SUM('4 - RASA - MVT'!J113,'5 - RASA - National Landin'!J113,'6 - RASA - Mosaic'!J113,'7 - RASA - Rockville'!J113)</f>
        <v>0</v>
      </c>
      <c r="K113" s="15">
        <f>IFERROR(J113/J148, "NA")</f>
        <v>0</v>
      </c>
      <c r="L113" s="28">
        <f>SUM('4 - RASA - MVT'!L113,'5 - RASA - National Landin'!L113,'6 - RASA - Mosaic'!L113,'7 - RASA - Rockville'!L113)</f>
        <v>0</v>
      </c>
      <c r="M113" s="15">
        <f>IFERROR(L113/L148, "NA")</f>
        <v>0</v>
      </c>
      <c r="N113" s="28">
        <f>SUM('4 - RASA - MVT'!N113,'5 - RASA - National Landin'!N113,'6 - RASA - Mosaic'!N113,'7 - RASA - Rockville'!N113)</f>
        <v>0</v>
      </c>
      <c r="O113" s="15">
        <f>IFERROR(N113/N148, "NA")</f>
        <v>0</v>
      </c>
      <c r="P113" s="28">
        <f>SUM('4 - RASA - MVT'!P113,'5 - RASA - National Landin'!P113,'6 - RASA - Mosaic'!P113,'7 - RASA - Rockville'!P113)</f>
        <v>0</v>
      </c>
      <c r="Q113" s="15">
        <f>IFERROR(P113/P148, "NA")</f>
        <v>0</v>
      </c>
      <c r="R113" s="28">
        <f>SUM('4 - RASA - MVT'!R113,'5 - RASA - National Landin'!R113,'6 - RASA - Mosaic'!R113,'7 - RASA - Rockville'!R113)</f>
        <v>0</v>
      </c>
      <c r="S113" s="15">
        <f>IFERROR(R113/R148, "NA")</f>
        <v>0</v>
      </c>
      <c r="T113" s="28">
        <f>SUM('4 - RASA - MVT'!T113,'5 - RASA - National Landin'!T113,'6 - RASA - Mosaic'!T113,'7 - RASA - Rockville'!T113)</f>
        <v>0</v>
      </c>
      <c r="U113" s="15">
        <f>IFERROR(T113/T148, "NA")</f>
        <v>0</v>
      </c>
      <c r="V113" s="28">
        <f>SUM('4 - RASA - MVT'!V113,'5 - RASA - National Landin'!V113,'6 - RASA - Mosaic'!V113,'7 - RASA - Rockville'!V113)</f>
        <v>0</v>
      </c>
      <c r="W113" s="15">
        <f>IFERROR(V113/V148, "NA")</f>
        <v>0</v>
      </c>
      <c r="X113" s="28">
        <f>SUM('4 - RASA - MVT'!X113,'5 - RASA - National Landin'!X113,'6 - RASA - Mosaic'!X113,'7 - RASA - Rockville'!X113)</f>
        <v>0</v>
      </c>
      <c r="Y113" s="15">
        <f>IFERROR(X113/X148, "NA")</f>
        <v>0</v>
      </c>
      <c r="Z113" s="28">
        <f>SUM('4 - RASA - MVT'!Z113,'5 - RASA - National Landin'!Z113,'6 - RASA - Mosaic'!Z113,'7 - RASA - Rockville'!Z113)</f>
        <v>0</v>
      </c>
      <c r="AA113" s="15">
        <f>IFERROR(Z113/Z148, "NA")</f>
        <v>0</v>
      </c>
      <c r="AB113" s="57">
        <f t="shared" si="55"/>
        <v>0</v>
      </c>
      <c r="AC113" s="15">
        <f>IFERROR(AB113/AB148, "NA")</f>
        <v>0</v>
      </c>
      <c r="AD113" s="61">
        <f t="shared" si="56"/>
        <v>0</v>
      </c>
      <c r="AE113" s="62">
        <f>IFERROR(AD113/AD148, "NA")</f>
        <v>0</v>
      </c>
      <c r="AF113" s="61" t="str">
        <f t="shared" si="57"/>
        <v>NA</v>
      </c>
      <c r="AG113" s="57">
        <f t="shared" si="58"/>
        <v>0</v>
      </c>
      <c r="AH113" s="15">
        <f>IFERROR(AG113/AG148, "NA")</f>
        <v>0</v>
      </c>
      <c r="AI113" s="61">
        <f t="shared" si="59"/>
        <v>0</v>
      </c>
      <c r="AJ113" s="62">
        <f>IFERROR(AI113/AI148, "NA")</f>
        <v>0</v>
      </c>
      <c r="AK113" s="61" t="str">
        <f t="shared" si="60"/>
        <v>NA</v>
      </c>
      <c r="AL113" s="62" t="str">
        <f>IFERROR(AK113/AK148, "NA")</f>
        <v>NA</v>
      </c>
    </row>
    <row r="114" ht="16.5" hidden="1" customHeight="1">
      <c r="A114" s="26" t="s">
        <v>227</v>
      </c>
      <c r="B114" s="28">
        <f>SUM('4 - RASA - MVT'!B114,'5 - RASA - National Landin'!B114,'6 - RASA - Mosaic'!B114,'7 - RASA - Rockville'!B114)</f>
        <v>0</v>
      </c>
      <c r="C114" s="15">
        <f>IFERROR(B114/B148, "NA")</f>
        <v>0</v>
      </c>
      <c r="D114" s="28">
        <f>SUM('4 - RASA - MVT'!D114,'5 - RASA - National Landin'!D114,'6 - RASA - Mosaic'!D114,'7 - RASA - Rockville'!D114)</f>
        <v>0</v>
      </c>
      <c r="E114" s="15">
        <f>IFERROR(D114/D148, "NA")</f>
        <v>0</v>
      </c>
      <c r="F114" s="28">
        <f>SUM('4 - RASA - MVT'!F114,'5 - RASA - National Landin'!F114,'6 - RASA - Mosaic'!F114,'7 - RASA - Rockville'!F114)</f>
        <v>0</v>
      </c>
      <c r="G114" s="15">
        <f>IFERROR(F114/F148, "NA")</f>
        <v>0</v>
      </c>
      <c r="H114" s="28">
        <f>SUM('4 - RASA - MVT'!H114,'5 - RASA - National Landin'!H114,'6 - RASA - Mosaic'!H114,'7 - RASA - Rockville'!H114)</f>
        <v>0</v>
      </c>
      <c r="I114" s="15">
        <f>IFERROR(H114/H148, "NA")</f>
        <v>0</v>
      </c>
      <c r="J114" s="28">
        <f>SUM('4 - RASA - MVT'!J114,'5 - RASA - National Landin'!J114,'6 - RASA - Mosaic'!J114,'7 - RASA - Rockville'!J114)</f>
        <v>0</v>
      </c>
      <c r="K114" s="15">
        <f>IFERROR(J114/J148, "NA")</f>
        <v>0</v>
      </c>
      <c r="L114" s="28">
        <f>SUM('4 - RASA - MVT'!L114,'5 - RASA - National Landin'!L114,'6 - RASA - Mosaic'!L114,'7 - RASA - Rockville'!L114)</f>
        <v>0</v>
      </c>
      <c r="M114" s="15">
        <f>IFERROR(L114/L148, "NA")</f>
        <v>0</v>
      </c>
      <c r="N114" s="28">
        <f>SUM('4 - RASA - MVT'!N114,'5 - RASA - National Landin'!N114,'6 - RASA - Mosaic'!N114,'7 - RASA - Rockville'!N114)</f>
        <v>0</v>
      </c>
      <c r="O114" s="15">
        <f>IFERROR(N114/N148, "NA")</f>
        <v>0</v>
      </c>
      <c r="P114" s="28">
        <f>SUM('4 - RASA - MVT'!P114,'5 - RASA - National Landin'!P114,'6 - RASA - Mosaic'!P114,'7 - RASA - Rockville'!P114)</f>
        <v>0</v>
      </c>
      <c r="Q114" s="15">
        <f>IFERROR(P114/P148, "NA")</f>
        <v>0</v>
      </c>
      <c r="R114" s="28">
        <f>SUM('4 - RASA - MVT'!R114,'5 - RASA - National Landin'!R114,'6 - RASA - Mosaic'!R114,'7 - RASA - Rockville'!R114)</f>
        <v>0</v>
      </c>
      <c r="S114" s="15">
        <f>IFERROR(R114/R148, "NA")</f>
        <v>0</v>
      </c>
      <c r="T114" s="28">
        <f>SUM('4 - RASA - MVT'!T114,'5 - RASA - National Landin'!T114,'6 - RASA - Mosaic'!T114,'7 - RASA - Rockville'!T114)</f>
        <v>0</v>
      </c>
      <c r="U114" s="15">
        <f>IFERROR(T114/T148, "NA")</f>
        <v>0</v>
      </c>
      <c r="V114" s="28">
        <f>SUM('4 - RASA - MVT'!V114,'5 - RASA - National Landin'!V114,'6 - RASA - Mosaic'!V114,'7 - RASA - Rockville'!V114)</f>
        <v>0</v>
      </c>
      <c r="W114" s="15">
        <f>IFERROR(V114/V148, "NA")</f>
        <v>0</v>
      </c>
      <c r="X114" s="28">
        <f>SUM('4 - RASA - MVT'!X114,'5 - RASA - National Landin'!X114,'6 - RASA - Mosaic'!X114,'7 - RASA - Rockville'!X114)</f>
        <v>0</v>
      </c>
      <c r="Y114" s="15">
        <f>IFERROR(X114/X148, "NA")</f>
        <v>0</v>
      </c>
      <c r="Z114" s="28">
        <f>SUM('4 - RASA - MVT'!Z114,'5 - RASA - National Landin'!Z114,'6 - RASA - Mosaic'!Z114,'7 - RASA - Rockville'!Z114)</f>
        <v>0</v>
      </c>
      <c r="AA114" s="15">
        <f>IFERROR(Z114/Z148, "NA")</f>
        <v>0</v>
      </c>
      <c r="AB114" s="57">
        <f t="shared" si="55"/>
        <v>0</v>
      </c>
      <c r="AC114" s="15">
        <f>IFERROR(AB114/AB148, "NA")</f>
        <v>0</v>
      </c>
      <c r="AD114" s="61">
        <f t="shared" si="56"/>
        <v>0</v>
      </c>
      <c r="AE114" s="62">
        <f>IFERROR(AD114/AD148, "NA")</f>
        <v>0</v>
      </c>
      <c r="AF114" s="61" t="str">
        <f t="shared" si="57"/>
        <v>NA</v>
      </c>
      <c r="AG114" s="57">
        <f t="shared" si="58"/>
        <v>0</v>
      </c>
      <c r="AH114" s="15">
        <f>IFERROR(AG114/AG148, "NA")</f>
        <v>0</v>
      </c>
      <c r="AI114" s="61">
        <f t="shared" si="59"/>
        <v>0</v>
      </c>
      <c r="AJ114" s="62">
        <f>IFERROR(AI114/AI148, "NA")</f>
        <v>0</v>
      </c>
      <c r="AK114" s="61" t="str">
        <f t="shared" si="60"/>
        <v>NA</v>
      </c>
      <c r="AL114" s="62" t="str">
        <f>IFERROR(AK114/AK148, "NA")</f>
        <v>NA</v>
      </c>
    </row>
    <row r="115" ht="16.5" hidden="1" customHeight="1">
      <c r="A115" s="26" t="s">
        <v>228</v>
      </c>
      <c r="B115" s="28">
        <f>SUM('4 - RASA - MVT'!B115,'5 - RASA - National Landin'!B115,'6 - RASA - Mosaic'!B115,'7 - RASA - Rockville'!B115)</f>
        <v>0</v>
      </c>
      <c r="C115" s="15">
        <f>IFERROR(B115/B148, "NA")</f>
        <v>0</v>
      </c>
      <c r="D115" s="28">
        <f>SUM('4 - RASA - MVT'!D115,'5 - RASA - National Landin'!D115,'6 - RASA - Mosaic'!D115,'7 - RASA - Rockville'!D115)</f>
        <v>0</v>
      </c>
      <c r="E115" s="15">
        <f>IFERROR(D115/D148, "NA")</f>
        <v>0</v>
      </c>
      <c r="F115" s="28">
        <f>SUM('4 - RASA - MVT'!F115,'5 - RASA - National Landin'!F115,'6 - RASA - Mosaic'!F115,'7 - RASA - Rockville'!F115)</f>
        <v>0</v>
      </c>
      <c r="G115" s="15">
        <f>IFERROR(F115/F148, "NA")</f>
        <v>0</v>
      </c>
      <c r="H115" s="28">
        <f>SUM('4 - RASA - MVT'!H115,'5 - RASA - National Landin'!H115,'6 - RASA - Mosaic'!H115,'7 - RASA - Rockville'!H115)</f>
        <v>0</v>
      </c>
      <c r="I115" s="15">
        <f>IFERROR(H115/H148, "NA")</f>
        <v>0</v>
      </c>
      <c r="J115" s="28">
        <f>SUM('4 - RASA - MVT'!J115,'5 - RASA - National Landin'!J115,'6 - RASA - Mosaic'!J115,'7 - RASA - Rockville'!J115)</f>
        <v>0</v>
      </c>
      <c r="K115" s="15">
        <f>IFERROR(J115/J148, "NA")</f>
        <v>0</v>
      </c>
      <c r="L115" s="28">
        <f>SUM('4 - RASA - MVT'!L115,'5 - RASA - National Landin'!L115,'6 - RASA - Mosaic'!L115,'7 - RASA - Rockville'!L115)</f>
        <v>0</v>
      </c>
      <c r="M115" s="15">
        <f>IFERROR(L115/L148, "NA")</f>
        <v>0</v>
      </c>
      <c r="N115" s="28">
        <f>SUM('4 - RASA - MVT'!N115,'5 - RASA - National Landin'!N115,'6 - RASA - Mosaic'!N115,'7 - RASA - Rockville'!N115)</f>
        <v>0</v>
      </c>
      <c r="O115" s="15">
        <f>IFERROR(N115/N148, "NA")</f>
        <v>0</v>
      </c>
      <c r="P115" s="28">
        <f>SUM('4 - RASA - MVT'!P115,'5 - RASA - National Landin'!P115,'6 - RASA - Mosaic'!P115,'7 - RASA - Rockville'!P115)</f>
        <v>0</v>
      </c>
      <c r="Q115" s="15">
        <f>IFERROR(P115/P148, "NA")</f>
        <v>0</v>
      </c>
      <c r="R115" s="28">
        <f>SUM('4 - RASA - MVT'!R115,'5 - RASA - National Landin'!R115,'6 - RASA - Mosaic'!R115,'7 - RASA - Rockville'!R115)</f>
        <v>0</v>
      </c>
      <c r="S115" s="15">
        <f>IFERROR(R115/R148, "NA")</f>
        <v>0</v>
      </c>
      <c r="T115" s="28">
        <f>SUM('4 - RASA - MVT'!T115,'5 - RASA - National Landin'!T115,'6 - RASA - Mosaic'!T115,'7 - RASA - Rockville'!T115)</f>
        <v>0</v>
      </c>
      <c r="U115" s="15">
        <f>IFERROR(T115/T148, "NA")</f>
        <v>0</v>
      </c>
      <c r="V115" s="28">
        <f>SUM('4 - RASA - MVT'!V115,'5 - RASA - National Landin'!V115,'6 - RASA - Mosaic'!V115,'7 - RASA - Rockville'!V115)</f>
        <v>0</v>
      </c>
      <c r="W115" s="15">
        <f>IFERROR(V115/V148, "NA")</f>
        <v>0</v>
      </c>
      <c r="X115" s="28">
        <f>SUM('4 - RASA - MVT'!X115,'5 - RASA - National Landin'!X115,'6 - RASA - Mosaic'!X115,'7 - RASA - Rockville'!X115)</f>
        <v>0</v>
      </c>
      <c r="Y115" s="15">
        <f>IFERROR(X115/X148, "NA")</f>
        <v>0</v>
      </c>
      <c r="Z115" s="28">
        <f>SUM('4 - RASA - MVT'!Z115,'5 - RASA - National Landin'!Z115,'6 - RASA - Mosaic'!Z115,'7 - RASA - Rockville'!Z115)</f>
        <v>0</v>
      </c>
      <c r="AA115" s="15">
        <f>IFERROR(Z115/Z148, "NA")</f>
        <v>0</v>
      </c>
      <c r="AB115" s="57">
        <f t="shared" si="55"/>
        <v>0</v>
      </c>
      <c r="AC115" s="15">
        <f>IFERROR(AB115/AB148, "NA")</f>
        <v>0</v>
      </c>
      <c r="AD115" s="61">
        <f t="shared" si="56"/>
        <v>0</v>
      </c>
      <c r="AE115" s="62">
        <f>IFERROR(AD115/AD148, "NA")</f>
        <v>0</v>
      </c>
      <c r="AF115" s="61" t="str">
        <f t="shared" si="57"/>
        <v>NA</v>
      </c>
      <c r="AG115" s="57">
        <f t="shared" si="58"/>
        <v>0</v>
      </c>
      <c r="AH115" s="15">
        <f>IFERROR(AG115/AG148, "NA")</f>
        <v>0</v>
      </c>
      <c r="AI115" s="61">
        <f t="shared" si="59"/>
        <v>0</v>
      </c>
      <c r="AJ115" s="62">
        <f>IFERROR(AI115/AI148, "NA")</f>
        <v>0</v>
      </c>
      <c r="AK115" s="61" t="str">
        <f t="shared" si="60"/>
        <v>NA</v>
      </c>
      <c r="AL115" s="62" t="str">
        <f>IFERROR(AK115/AK148, "NA")</f>
        <v>NA</v>
      </c>
    </row>
    <row r="116" ht="16.5" hidden="1" customHeight="1">
      <c r="A116" s="26" t="s">
        <v>229</v>
      </c>
      <c r="B116" s="28">
        <f>SUM('4 - RASA - MVT'!B116,'5 - RASA - National Landin'!B116,'6 - RASA - Mosaic'!B116,'7 - RASA - Rockville'!B116)</f>
        <v>0</v>
      </c>
      <c r="C116" s="15">
        <f>IFERROR(B116/B148, "NA")</f>
        <v>0</v>
      </c>
      <c r="D116" s="28">
        <f>SUM('4 - RASA - MVT'!D116,'5 - RASA - National Landin'!D116,'6 - RASA - Mosaic'!D116,'7 - RASA - Rockville'!D116)</f>
        <v>0</v>
      </c>
      <c r="E116" s="15">
        <f>IFERROR(D116/D148, "NA")</f>
        <v>0</v>
      </c>
      <c r="F116" s="28">
        <f>SUM('4 - RASA - MVT'!F116,'5 - RASA - National Landin'!F116,'6 - RASA - Mosaic'!F116,'7 - RASA - Rockville'!F116)</f>
        <v>0</v>
      </c>
      <c r="G116" s="15">
        <f>IFERROR(F116/F148, "NA")</f>
        <v>0</v>
      </c>
      <c r="H116" s="28">
        <f>SUM('4 - RASA - MVT'!H116,'5 - RASA - National Landin'!H116,'6 - RASA - Mosaic'!H116,'7 - RASA - Rockville'!H116)</f>
        <v>0</v>
      </c>
      <c r="I116" s="15">
        <f>IFERROR(H116/H148, "NA")</f>
        <v>0</v>
      </c>
      <c r="J116" s="28">
        <f>SUM('4 - RASA - MVT'!J116,'5 - RASA - National Landin'!J116,'6 - RASA - Mosaic'!J116,'7 - RASA - Rockville'!J116)</f>
        <v>0</v>
      </c>
      <c r="K116" s="15">
        <f>IFERROR(J116/J148, "NA")</f>
        <v>0</v>
      </c>
      <c r="L116" s="28">
        <f>SUM('4 - RASA - MVT'!L116,'5 - RASA - National Landin'!L116,'6 - RASA - Mosaic'!L116,'7 - RASA - Rockville'!L116)</f>
        <v>0</v>
      </c>
      <c r="M116" s="15">
        <f>IFERROR(L116/L148, "NA")</f>
        <v>0</v>
      </c>
      <c r="N116" s="28">
        <f>SUM('4 - RASA - MVT'!N116,'5 - RASA - National Landin'!N116,'6 - RASA - Mosaic'!N116,'7 - RASA - Rockville'!N116)</f>
        <v>0</v>
      </c>
      <c r="O116" s="15">
        <f>IFERROR(N116/N148, "NA")</f>
        <v>0</v>
      </c>
      <c r="P116" s="28">
        <f>SUM('4 - RASA - MVT'!P116,'5 - RASA - National Landin'!P116,'6 - RASA - Mosaic'!P116,'7 - RASA - Rockville'!P116)</f>
        <v>0</v>
      </c>
      <c r="Q116" s="15">
        <f>IFERROR(P116/P148, "NA")</f>
        <v>0</v>
      </c>
      <c r="R116" s="28">
        <f>SUM('4 - RASA - MVT'!R116,'5 - RASA - National Landin'!R116,'6 - RASA - Mosaic'!R116,'7 - RASA - Rockville'!R116)</f>
        <v>0</v>
      </c>
      <c r="S116" s="15">
        <f>IFERROR(R116/R148, "NA")</f>
        <v>0</v>
      </c>
      <c r="T116" s="28">
        <f>SUM('4 - RASA - MVT'!T116,'5 - RASA - National Landin'!T116,'6 - RASA - Mosaic'!T116,'7 - RASA - Rockville'!T116)</f>
        <v>0</v>
      </c>
      <c r="U116" s="15">
        <f>IFERROR(T116/T148, "NA")</f>
        <v>0</v>
      </c>
      <c r="V116" s="28">
        <f>SUM('4 - RASA - MVT'!V116,'5 - RASA - National Landin'!V116,'6 - RASA - Mosaic'!V116,'7 - RASA - Rockville'!V116)</f>
        <v>0</v>
      </c>
      <c r="W116" s="15">
        <f>IFERROR(V116/V148, "NA")</f>
        <v>0</v>
      </c>
      <c r="X116" s="28">
        <f>SUM('4 - RASA - MVT'!X116,'5 - RASA - National Landin'!X116,'6 - RASA - Mosaic'!X116,'7 - RASA - Rockville'!X116)</f>
        <v>0</v>
      </c>
      <c r="Y116" s="15">
        <f>IFERROR(X116/X148, "NA")</f>
        <v>0</v>
      </c>
      <c r="Z116" s="28">
        <f>SUM('4 - RASA - MVT'!Z116,'5 - RASA - National Landin'!Z116,'6 - RASA - Mosaic'!Z116,'7 - RASA - Rockville'!Z116)</f>
        <v>0</v>
      </c>
      <c r="AA116" s="15">
        <f>IFERROR(Z116/Z148, "NA")</f>
        <v>0</v>
      </c>
      <c r="AB116" s="57">
        <f t="shared" si="55"/>
        <v>0</v>
      </c>
      <c r="AC116" s="15">
        <f>IFERROR(AB116/AB148, "NA")</f>
        <v>0</v>
      </c>
      <c r="AD116" s="61">
        <f t="shared" si="56"/>
        <v>0</v>
      </c>
      <c r="AE116" s="62">
        <f>IFERROR(AD116/AD148, "NA")</f>
        <v>0</v>
      </c>
      <c r="AF116" s="61" t="str">
        <f t="shared" si="57"/>
        <v>NA</v>
      </c>
      <c r="AG116" s="57">
        <f t="shared" si="58"/>
        <v>0</v>
      </c>
      <c r="AH116" s="15">
        <f>IFERROR(AG116/AG148, "NA")</f>
        <v>0</v>
      </c>
      <c r="AI116" s="61">
        <f t="shared" si="59"/>
        <v>0</v>
      </c>
      <c r="AJ116" s="62">
        <f>IFERROR(AI116/AI148, "NA")</f>
        <v>0</v>
      </c>
      <c r="AK116" s="61" t="str">
        <f t="shared" si="60"/>
        <v>NA</v>
      </c>
      <c r="AL116" s="62" t="str">
        <f>IFERROR(AK116/AK148, "NA")</f>
        <v>NA</v>
      </c>
    </row>
    <row r="117" ht="16.5" hidden="1" customHeight="1">
      <c r="A117" s="26" t="s">
        <v>230</v>
      </c>
      <c r="B117" s="28">
        <f>SUM('4 - RASA - MVT'!B117,'5 - RASA - National Landin'!B117,'6 - RASA - Mosaic'!B117,'7 - RASA - Rockville'!B117)</f>
        <v>0</v>
      </c>
      <c r="C117" s="15">
        <f>IFERROR(B117/B148, "NA")</f>
        <v>0</v>
      </c>
      <c r="D117" s="28">
        <f>SUM('4 - RASA - MVT'!D117,'5 - RASA - National Landin'!D117,'6 - RASA - Mosaic'!D117,'7 - RASA - Rockville'!D117)</f>
        <v>0</v>
      </c>
      <c r="E117" s="15">
        <f>IFERROR(D117/D148, "NA")</f>
        <v>0</v>
      </c>
      <c r="F117" s="28">
        <f>SUM('4 - RASA - MVT'!F117,'5 - RASA - National Landin'!F117,'6 - RASA - Mosaic'!F117,'7 - RASA - Rockville'!F117)</f>
        <v>0</v>
      </c>
      <c r="G117" s="15">
        <f>IFERROR(F117/F148, "NA")</f>
        <v>0</v>
      </c>
      <c r="H117" s="28">
        <f>SUM('4 - RASA - MVT'!H117,'5 - RASA - National Landin'!H117,'6 - RASA - Mosaic'!H117,'7 - RASA - Rockville'!H117)</f>
        <v>0</v>
      </c>
      <c r="I117" s="15">
        <f>IFERROR(H117/H148, "NA")</f>
        <v>0</v>
      </c>
      <c r="J117" s="28">
        <f>SUM('4 - RASA - MVT'!J117,'5 - RASA - National Landin'!J117,'6 - RASA - Mosaic'!J117,'7 - RASA - Rockville'!J117)</f>
        <v>0</v>
      </c>
      <c r="K117" s="15">
        <f>IFERROR(J117/J148, "NA")</f>
        <v>0</v>
      </c>
      <c r="L117" s="28">
        <f>SUM('4 - RASA - MVT'!L117,'5 - RASA - National Landin'!L117,'6 - RASA - Mosaic'!L117,'7 - RASA - Rockville'!L117)</f>
        <v>0</v>
      </c>
      <c r="M117" s="15">
        <f>IFERROR(L117/L148, "NA")</f>
        <v>0</v>
      </c>
      <c r="N117" s="28">
        <f>SUM('4 - RASA - MVT'!N117,'5 - RASA - National Landin'!N117,'6 - RASA - Mosaic'!N117,'7 - RASA - Rockville'!N117)</f>
        <v>0</v>
      </c>
      <c r="O117" s="15">
        <f>IFERROR(N117/N148, "NA")</f>
        <v>0</v>
      </c>
      <c r="P117" s="28">
        <f>SUM('4 - RASA - MVT'!P117,'5 - RASA - National Landin'!P117,'6 - RASA - Mosaic'!P117,'7 - RASA - Rockville'!P117)</f>
        <v>0</v>
      </c>
      <c r="Q117" s="15">
        <f>IFERROR(P117/P148, "NA")</f>
        <v>0</v>
      </c>
      <c r="R117" s="28">
        <f>SUM('4 - RASA - MVT'!R117,'5 - RASA - National Landin'!R117,'6 - RASA - Mosaic'!R117,'7 - RASA - Rockville'!R117)</f>
        <v>0</v>
      </c>
      <c r="S117" s="15">
        <f>IFERROR(R117/R148, "NA")</f>
        <v>0</v>
      </c>
      <c r="T117" s="28">
        <f>SUM('4 - RASA - MVT'!T117,'5 - RASA - National Landin'!T117,'6 - RASA - Mosaic'!T117,'7 - RASA - Rockville'!T117)</f>
        <v>0</v>
      </c>
      <c r="U117" s="15">
        <f>IFERROR(T117/T148, "NA")</f>
        <v>0</v>
      </c>
      <c r="V117" s="28">
        <f>SUM('4 - RASA - MVT'!V117,'5 - RASA - National Landin'!V117,'6 - RASA - Mosaic'!V117,'7 - RASA - Rockville'!V117)</f>
        <v>0</v>
      </c>
      <c r="W117" s="15">
        <f>IFERROR(V117/V148, "NA")</f>
        <v>0</v>
      </c>
      <c r="X117" s="28">
        <f>SUM('4 - RASA - MVT'!X117,'5 - RASA - National Landin'!X117,'6 - RASA - Mosaic'!X117,'7 - RASA - Rockville'!X117)</f>
        <v>0</v>
      </c>
      <c r="Y117" s="15">
        <f>IFERROR(X117/X148, "NA")</f>
        <v>0</v>
      </c>
      <c r="Z117" s="28">
        <f>SUM('4 - RASA - MVT'!Z117,'5 - RASA - National Landin'!Z117,'6 - RASA - Mosaic'!Z117,'7 - RASA - Rockville'!Z117)</f>
        <v>0</v>
      </c>
      <c r="AA117" s="15">
        <f>IFERROR(Z117/Z148, "NA")</f>
        <v>0</v>
      </c>
      <c r="AB117" s="57">
        <f t="shared" si="55"/>
        <v>0</v>
      </c>
      <c r="AC117" s="15">
        <f>IFERROR(AB117/AB148, "NA")</f>
        <v>0</v>
      </c>
      <c r="AD117" s="61">
        <f t="shared" si="56"/>
        <v>0</v>
      </c>
      <c r="AE117" s="62">
        <f>IFERROR(AD117/AD148, "NA")</f>
        <v>0</v>
      </c>
      <c r="AF117" s="61" t="str">
        <f t="shared" si="57"/>
        <v>NA</v>
      </c>
      <c r="AG117" s="57">
        <f t="shared" si="58"/>
        <v>0</v>
      </c>
      <c r="AH117" s="15">
        <f>IFERROR(AG117/AG148, "NA")</f>
        <v>0</v>
      </c>
      <c r="AI117" s="61">
        <f t="shared" si="59"/>
        <v>0</v>
      </c>
      <c r="AJ117" s="62">
        <f>IFERROR(AI117/AI148, "NA")</f>
        <v>0</v>
      </c>
      <c r="AK117" s="61" t="str">
        <f t="shared" si="60"/>
        <v>NA</v>
      </c>
      <c r="AL117" s="62" t="str">
        <f>IFERROR(AK117/AK148, "NA")</f>
        <v>NA</v>
      </c>
    </row>
    <row r="118" ht="16.5" hidden="1" customHeight="1">
      <c r="A118" s="26" t="s">
        <v>231</v>
      </c>
      <c r="B118" s="28">
        <f>SUM('4 - RASA - MVT'!B118,'5 - RASA - National Landin'!B118,'6 - RASA - Mosaic'!B118,'7 - RASA - Rockville'!B118)</f>
        <v>0</v>
      </c>
      <c r="C118" s="15">
        <f>IFERROR(B118/B148, "NA")</f>
        <v>0</v>
      </c>
      <c r="D118" s="28">
        <f>SUM('4 - RASA - MVT'!D118,'5 - RASA - National Landin'!D118,'6 - RASA - Mosaic'!D118,'7 - RASA - Rockville'!D118)</f>
        <v>0</v>
      </c>
      <c r="E118" s="15">
        <f>IFERROR(D118/D148, "NA")</f>
        <v>0</v>
      </c>
      <c r="F118" s="28">
        <f>SUM('4 - RASA - MVT'!F118,'5 - RASA - National Landin'!F118,'6 - RASA - Mosaic'!F118,'7 - RASA - Rockville'!F118)</f>
        <v>0</v>
      </c>
      <c r="G118" s="15">
        <f>IFERROR(F118/F148, "NA")</f>
        <v>0</v>
      </c>
      <c r="H118" s="28">
        <f>SUM('4 - RASA - MVT'!H118,'5 - RASA - National Landin'!H118,'6 - RASA - Mosaic'!H118,'7 - RASA - Rockville'!H118)</f>
        <v>0</v>
      </c>
      <c r="I118" s="15">
        <f>IFERROR(H118/H148, "NA")</f>
        <v>0</v>
      </c>
      <c r="J118" s="28">
        <f>SUM('4 - RASA - MVT'!J118,'5 - RASA - National Landin'!J118,'6 - RASA - Mosaic'!J118,'7 - RASA - Rockville'!J118)</f>
        <v>0</v>
      </c>
      <c r="K118" s="15">
        <f>IFERROR(J118/J148, "NA")</f>
        <v>0</v>
      </c>
      <c r="L118" s="28">
        <f>SUM('4 - RASA - MVT'!L118,'5 - RASA - National Landin'!L118,'6 - RASA - Mosaic'!L118,'7 - RASA - Rockville'!L118)</f>
        <v>0</v>
      </c>
      <c r="M118" s="15">
        <f>IFERROR(L118/L148, "NA")</f>
        <v>0</v>
      </c>
      <c r="N118" s="28">
        <f>SUM('4 - RASA - MVT'!N118,'5 - RASA - National Landin'!N118,'6 - RASA - Mosaic'!N118,'7 - RASA - Rockville'!N118)</f>
        <v>0</v>
      </c>
      <c r="O118" s="15">
        <f>IFERROR(N118/N148, "NA")</f>
        <v>0</v>
      </c>
      <c r="P118" s="28">
        <f>SUM('4 - RASA - MVT'!P118,'5 - RASA - National Landin'!P118,'6 - RASA - Mosaic'!P118,'7 - RASA - Rockville'!P118)</f>
        <v>0</v>
      </c>
      <c r="Q118" s="15">
        <f>IFERROR(P118/P148, "NA")</f>
        <v>0</v>
      </c>
      <c r="R118" s="28">
        <f>SUM('4 - RASA - MVT'!R118,'5 - RASA - National Landin'!R118,'6 - RASA - Mosaic'!R118,'7 - RASA - Rockville'!R118)</f>
        <v>0</v>
      </c>
      <c r="S118" s="15">
        <f>IFERROR(R118/R148, "NA")</f>
        <v>0</v>
      </c>
      <c r="T118" s="28">
        <f>SUM('4 - RASA - MVT'!T118,'5 - RASA - National Landin'!T118,'6 - RASA - Mosaic'!T118,'7 - RASA - Rockville'!T118)</f>
        <v>0</v>
      </c>
      <c r="U118" s="15">
        <f>IFERROR(T118/T148, "NA")</f>
        <v>0</v>
      </c>
      <c r="V118" s="28">
        <f>SUM('4 - RASA - MVT'!V118,'5 - RASA - National Landin'!V118,'6 - RASA - Mosaic'!V118,'7 - RASA - Rockville'!V118)</f>
        <v>0</v>
      </c>
      <c r="W118" s="15">
        <f>IFERROR(V118/V148, "NA")</f>
        <v>0</v>
      </c>
      <c r="X118" s="28">
        <f>SUM('4 - RASA - MVT'!X118,'5 - RASA - National Landin'!X118,'6 - RASA - Mosaic'!X118,'7 - RASA - Rockville'!X118)</f>
        <v>0</v>
      </c>
      <c r="Y118" s="15">
        <f>IFERROR(X118/X148, "NA")</f>
        <v>0</v>
      </c>
      <c r="Z118" s="28">
        <f>SUM('4 - RASA - MVT'!Z118,'5 - RASA - National Landin'!Z118,'6 - RASA - Mosaic'!Z118,'7 - RASA - Rockville'!Z118)</f>
        <v>0</v>
      </c>
      <c r="AA118" s="15">
        <f>IFERROR(Z118/Z148, "NA")</f>
        <v>0</v>
      </c>
      <c r="AB118" s="57">
        <f t="shared" si="55"/>
        <v>0</v>
      </c>
      <c r="AC118" s="15">
        <f>IFERROR(AB118/AB148, "NA")</f>
        <v>0</v>
      </c>
      <c r="AD118" s="61">
        <f t="shared" si="56"/>
        <v>0</v>
      </c>
      <c r="AE118" s="62">
        <f>IFERROR(AD118/AD148, "NA")</f>
        <v>0</v>
      </c>
      <c r="AF118" s="61" t="str">
        <f t="shared" si="57"/>
        <v>NA</v>
      </c>
      <c r="AG118" s="57">
        <f t="shared" si="58"/>
        <v>0</v>
      </c>
      <c r="AH118" s="15">
        <f>IFERROR(AG118/AG148, "NA")</f>
        <v>0</v>
      </c>
      <c r="AI118" s="61">
        <f t="shared" si="59"/>
        <v>0</v>
      </c>
      <c r="AJ118" s="62">
        <f>IFERROR(AI118/AI148, "NA")</f>
        <v>0</v>
      </c>
      <c r="AK118" s="61" t="str">
        <f t="shared" si="60"/>
        <v>NA</v>
      </c>
      <c r="AL118" s="62" t="str">
        <f>IFERROR(AK118/AK148, "NA")</f>
        <v>NA</v>
      </c>
    </row>
    <row r="119" ht="16.5" hidden="1" customHeight="1">
      <c r="A119" s="26" t="s">
        <v>232</v>
      </c>
      <c r="B119" s="28">
        <f>SUM('4 - RASA - MVT'!B119,'5 - RASA - National Landin'!B119,'6 - RASA - Mosaic'!B119,'7 - RASA - Rockville'!B119)</f>
        <v>0</v>
      </c>
      <c r="C119" s="15">
        <f>IFERROR(B119/B148, "NA")</f>
        <v>0</v>
      </c>
      <c r="D119" s="28">
        <f>SUM('4 - RASA - MVT'!D119,'5 - RASA - National Landin'!D119,'6 - RASA - Mosaic'!D119,'7 - RASA - Rockville'!D119)</f>
        <v>0</v>
      </c>
      <c r="E119" s="15">
        <f>IFERROR(D119/D148, "NA")</f>
        <v>0</v>
      </c>
      <c r="F119" s="28">
        <f>SUM('4 - RASA - MVT'!F119,'5 - RASA - National Landin'!F119,'6 - RASA - Mosaic'!F119,'7 - RASA - Rockville'!F119)</f>
        <v>0</v>
      </c>
      <c r="G119" s="15">
        <f>IFERROR(F119/F148, "NA")</f>
        <v>0</v>
      </c>
      <c r="H119" s="28">
        <f>SUM('4 - RASA - MVT'!H119,'5 - RASA - National Landin'!H119,'6 - RASA - Mosaic'!H119,'7 - RASA - Rockville'!H119)</f>
        <v>0</v>
      </c>
      <c r="I119" s="15">
        <f>IFERROR(H119/H148, "NA")</f>
        <v>0</v>
      </c>
      <c r="J119" s="28">
        <f>SUM('4 - RASA - MVT'!J119,'5 - RASA - National Landin'!J119,'6 - RASA - Mosaic'!J119,'7 - RASA - Rockville'!J119)</f>
        <v>0</v>
      </c>
      <c r="K119" s="15">
        <f>IFERROR(J119/J148, "NA")</f>
        <v>0</v>
      </c>
      <c r="L119" s="28">
        <f>SUM('4 - RASA - MVT'!L119,'5 - RASA - National Landin'!L119,'6 - RASA - Mosaic'!L119,'7 - RASA - Rockville'!L119)</f>
        <v>0</v>
      </c>
      <c r="M119" s="15">
        <f>IFERROR(L119/L148, "NA")</f>
        <v>0</v>
      </c>
      <c r="N119" s="28">
        <f>SUM('4 - RASA - MVT'!N119,'5 - RASA - National Landin'!N119,'6 - RASA - Mosaic'!N119,'7 - RASA - Rockville'!N119)</f>
        <v>0</v>
      </c>
      <c r="O119" s="15">
        <f>IFERROR(N119/N148, "NA")</f>
        <v>0</v>
      </c>
      <c r="P119" s="28">
        <f>SUM('4 - RASA - MVT'!P119,'5 - RASA - National Landin'!P119,'6 - RASA - Mosaic'!P119,'7 - RASA - Rockville'!P119)</f>
        <v>0</v>
      </c>
      <c r="Q119" s="15">
        <f>IFERROR(P119/P148, "NA")</f>
        <v>0</v>
      </c>
      <c r="R119" s="28">
        <f>SUM('4 - RASA - MVT'!R119,'5 - RASA - National Landin'!R119,'6 - RASA - Mosaic'!R119,'7 - RASA - Rockville'!R119)</f>
        <v>0</v>
      </c>
      <c r="S119" s="15">
        <f>IFERROR(R119/R148, "NA")</f>
        <v>0</v>
      </c>
      <c r="T119" s="28">
        <f>SUM('4 - RASA - MVT'!T119,'5 - RASA - National Landin'!T119,'6 - RASA - Mosaic'!T119,'7 - RASA - Rockville'!T119)</f>
        <v>0</v>
      </c>
      <c r="U119" s="15">
        <f>IFERROR(T119/T148, "NA")</f>
        <v>0</v>
      </c>
      <c r="V119" s="28">
        <f>SUM('4 - RASA - MVT'!V119,'5 - RASA - National Landin'!V119,'6 - RASA - Mosaic'!V119,'7 - RASA - Rockville'!V119)</f>
        <v>0</v>
      </c>
      <c r="W119" s="15">
        <f>IFERROR(V119/V148, "NA")</f>
        <v>0</v>
      </c>
      <c r="X119" s="28">
        <f>SUM('4 - RASA - MVT'!X119,'5 - RASA - National Landin'!X119,'6 - RASA - Mosaic'!X119,'7 - RASA - Rockville'!X119)</f>
        <v>0</v>
      </c>
      <c r="Y119" s="15">
        <f>IFERROR(X119/X148, "NA")</f>
        <v>0</v>
      </c>
      <c r="Z119" s="28">
        <f>SUM('4 - RASA - MVT'!Z119,'5 - RASA - National Landin'!Z119,'6 - RASA - Mosaic'!Z119,'7 - RASA - Rockville'!Z119)</f>
        <v>0</v>
      </c>
      <c r="AA119" s="15">
        <f>IFERROR(Z119/Z148, "NA")</f>
        <v>0</v>
      </c>
      <c r="AB119" s="57">
        <f t="shared" si="55"/>
        <v>0</v>
      </c>
      <c r="AC119" s="15">
        <f>IFERROR(AB119/AB148, "NA")</f>
        <v>0</v>
      </c>
      <c r="AD119" s="61">
        <f t="shared" si="56"/>
        <v>0</v>
      </c>
      <c r="AE119" s="62">
        <f>IFERROR(AD119/AD148, "NA")</f>
        <v>0</v>
      </c>
      <c r="AF119" s="61" t="str">
        <f t="shared" si="57"/>
        <v>NA</v>
      </c>
      <c r="AG119" s="57">
        <f t="shared" si="58"/>
        <v>0</v>
      </c>
      <c r="AH119" s="15">
        <f>IFERROR(AG119/AG148, "NA")</f>
        <v>0</v>
      </c>
      <c r="AI119" s="61">
        <f t="shared" si="59"/>
        <v>0</v>
      </c>
      <c r="AJ119" s="62">
        <f>IFERROR(AI119/AI148, "NA")</f>
        <v>0</v>
      </c>
      <c r="AK119" s="61" t="str">
        <f t="shared" si="60"/>
        <v>NA</v>
      </c>
      <c r="AL119" s="62" t="str">
        <f>IFERROR(AK119/AK148, "NA")</f>
        <v>NA</v>
      </c>
    </row>
    <row r="120" ht="16.5" hidden="1" customHeight="1">
      <c r="A120" s="26" t="s">
        <v>233</v>
      </c>
      <c r="B120" s="28">
        <f>SUM('4 - RASA - MVT'!B120,'5 - RASA - National Landin'!B120,'6 - RASA - Mosaic'!B120,'7 - RASA - Rockville'!B120)</f>
        <v>0</v>
      </c>
      <c r="C120" s="15">
        <f>IFERROR(B120/B148, "NA")</f>
        <v>0</v>
      </c>
      <c r="D120" s="28">
        <f>SUM('4 - RASA - MVT'!D120,'5 - RASA - National Landin'!D120,'6 - RASA - Mosaic'!D120,'7 - RASA - Rockville'!D120)</f>
        <v>0</v>
      </c>
      <c r="E120" s="15">
        <f>IFERROR(D120/D148, "NA")</f>
        <v>0</v>
      </c>
      <c r="F120" s="28">
        <f>SUM('4 - RASA - MVT'!F120,'5 - RASA - National Landin'!F120,'6 - RASA - Mosaic'!F120,'7 - RASA - Rockville'!F120)</f>
        <v>0</v>
      </c>
      <c r="G120" s="15">
        <f>IFERROR(F120/F148, "NA")</f>
        <v>0</v>
      </c>
      <c r="H120" s="28">
        <f>SUM('4 - RASA - MVT'!H120,'5 - RASA - National Landin'!H120,'6 - RASA - Mosaic'!H120,'7 - RASA - Rockville'!H120)</f>
        <v>0</v>
      </c>
      <c r="I120" s="15">
        <f>IFERROR(H120/H148, "NA")</f>
        <v>0</v>
      </c>
      <c r="J120" s="28">
        <f>SUM('4 - RASA - MVT'!J120,'5 - RASA - National Landin'!J120,'6 - RASA - Mosaic'!J120,'7 - RASA - Rockville'!J120)</f>
        <v>0</v>
      </c>
      <c r="K120" s="15">
        <f>IFERROR(J120/J148, "NA")</f>
        <v>0</v>
      </c>
      <c r="L120" s="28">
        <f>SUM('4 - RASA - MVT'!L120,'5 - RASA - National Landin'!L120,'6 - RASA - Mosaic'!L120,'7 - RASA - Rockville'!L120)</f>
        <v>0</v>
      </c>
      <c r="M120" s="15">
        <f>IFERROR(L120/L148, "NA")</f>
        <v>0</v>
      </c>
      <c r="N120" s="28">
        <f>SUM('4 - RASA - MVT'!N120,'5 - RASA - National Landin'!N120,'6 - RASA - Mosaic'!N120,'7 - RASA - Rockville'!N120)</f>
        <v>0</v>
      </c>
      <c r="O120" s="15">
        <f>IFERROR(N120/N148, "NA")</f>
        <v>0</v>
      </c>
      <c r="P120" s="28">
        <f>SUM('4 - RASA - MVT'!P120,'5 - RASA - National Landin'!P120,'6 - RASA - Mosaic'!P120,'7 - RASA - Rockville'!P120)</f>
        <v>0</v>
      </c>
      <c r="Q120" s="15">
        <f>IFERROR(P120/P148, "NA")</f>
        <v>0</v>
      </c>
      <c r="R120" s="28">
        <f>SUM('4 - RASA - MVT'!R120,'5 - RASA - National Landin'!R120,'6 - RASA - Mosaic'!R120,'7 - RASA - Rockville'!R120)</f>
        <v>0</v>
      </c>
      <c r="S120" s="15">
        <f>IFERROR(R120/R148, "NA")</f>
        <v>0</v>
      </c>
      <c r="T120" s="28">
        <f>SUM('4 - RASA - MVT'!T120,'5 - RASA - National Landin'!T120,'6 - RASA - Mosaic'!T120,'7 - RASA - Rockville'!T120)</f>
        <v>0</v>
      </c>
      <c r="U120" s="15">
        <f>IFERROR(T120/T148, "NA")</f>
        <v>0</v>
      </c>
      <c r="V120" s="28">
        <f>SUM('4 - RASA - MVT'!V120,'5 - RASA - National Landin'!V120,'6 - RASA - Mosaic'!V120,'7 - RASA - Rockville'!V120)</f>
        <v>0</v>
      </c>
      <c r="W120" s="15">
        <f>IFERROR(V120/V148, "NA")</f>
        <v>0</v>
      </c>
      <c r="X120" s="28">
        <f>SUM('4 - RASA - MVT'!X120,'5 - RASA - National Landin'!X120,'6 - RASA - Mosaic'!X120,'7 - RASA - Rockville'!X120)</f>
        <v>0</v>
      </c>
      <c r="Y120" s="15">
        <f>IFERROR(X120/X148, "NA")</f>
        <v>0</v>
      </c>
      <c r="Z120" s="28">
        <f>SUM('4 - RASA - MVT'!Z120,'5 - RASA - National Landin'!Z120,'6 - RASA - Mosaic'!Z120,'7 - RASA - Rockville'!Z120)</f>
        <v>0</v>
      </c>
      <c r="AA120" s="15">
        <f>IFERROR(Z120/Z148, "NA")</f>
        <v>0</v>
      </c>
      <c r="AB120" s="57">
        <f t="shared" si="55"/>
        <v>0</v>
      </c>
      <c r="AC120" s="15">
        <f>IFERROR(AB120/AB148, "NA")</f>
        <v>0</v>
      </c>
      <c r="AD120" s="61">
        <f t="shared" si="56"/>
        <v>0</v>
      </c>
      <c r="AE120" s="62">
        <f>IFERROR(AD120/AD148, "NA")</f>
        <v>0</v>
      </c>
      <c r="AF120" s="61" t="str">
        <f t="shared" si="57"/>
        <v>NA</v>
      </c>
      <c r="AG120" s="57">
        <f t="shared" si="58"/>
        <v>0</v>
      </c>
      <c r="AH120" s="15">
        <f>IFERROR(AG120/AG148, "NA")</f>
        <v>0</v>
      </c>
      <c r="AI120" s="61">
        <f t="shared" si="59"/>
        <v>0</v>
      </c>
      <c r="AJ120" s="62">
        <f>IFERROR(AI120/AI148, "NA")</f>
        <v>0</v>
      </c>
      <c r="AK120" s="61" t="str">
        <f t="shared" si="60"/>
        <v>NA</v>
      </c>
      <c r="AL120" s="62" t="str">
        <f>IFERROR(AK120/AK148, "NA")</f>
        <v>NA</v>
      </c>
    </row>
    <row r="121" ht="16.5" hidden="1" customHeight="1">
      <c r="A121" s="26" t="s">
        <v>234</v>
      </c>
      <c r="B121" s="28">
        <f>SUM('4 - RASA - MVT'!B121,'5 - RASA - National Landin'!B121,'6 - RASA - Mosaic'!B121,'7 - RASA - Rockville'!B121)</f>
        <v>0</v>
      </c>
      <c r="C121" s="15">
        <f>IFERROR(B121/B148, "NA")</f>
        <v>0</v>
      </c>
      <c r="D121" s="28">
        <f>SUM('4 - RASA - MVT'!D121,'5 - RASA - National Landin'!D121,'6 - RASA - Mosaic'!D121,'7 - RASA - Rockville'!D121)</f>
        <v>0</v>
      </c>
      <c r="E121" s="15">
        <f>IFERROR(D121/D148, "NA")</f>
        <v>0</v>
      </c>
      <c r="F121" s="28">
        <f>SUM('4 - RASA - MVT'!F121,'5 - RASA - National Landin'!F121,'6 - RASA - Mosaic'!F121,'7 - RASA - Rockville'!F121)</f>
        <v>0</v>
      </c>
      <c r="G121" s="15">
        <f>IFERROR(F121/F148, "NA")</f>
        <v>0</v>
      </c>
      <c r="H121" s="28">
        <f>SUM('4 - RASA - MVT'!H121,'5 - RASA - National Landin'!H121,'6 - RASA - Mosaic'!H121,'7 - RASA - Rockville'!H121)</f>
        <v>0</v>
      </c>
      <c r="I121" s="15">
        <f>IFERROR(H121/H148, "NA")</f>
        <v>0</v>
      </c>
      <c r="J121" s="28">
        <f>SUM('4 - RASA - MVT'!J121,'5 - RASA - National Landin'!J121,'6 - RASA - Mosaic'!J121,'7 - RASA - Rockville'!J121)</f>
        <v>0</v>
      </c>
      <c r="K121" s="15">
        <f>IFERROR(J121/J148, "NA")</f>
        <v>0</v>
      </c>
      <c r="L121" s="28">
        <f>SUM('4 - RASA - MVT'!L121,'5 - RASA - National Landin'!L121,'6 - RASA - Mosaic'!L121,'7 - RASA - Rockville'!L121)</f>
        <v>0</v>
      </c>
      <c r="M121" s="15">
        <f>IFERROR(L121/L148, "NA")</f>
        <v>0</v>
      </c>
      <c r="N121" s="28">
        <f>SUM('4 - RASA - MVT'!N121,'5 - RASA - National Landin'!N121,'6 - RASA - Mosaic'!N121,'7 - RASA - Rockville'!N121)</f>
        <v>0</v>
      </c>
      <c r="O121" s="15">
        <f>IFERROR(N121/N148, "NA")</f>
        <v>0</v>
      </c>
      <c r="P121" s="28">
        <f>SUM('4 - RASA - MVT'!P121,'5 - RASA - National Landin'!P121,'6 - RASA - Mosaic'!P121,'7 - RASA - Rockville'!P121)</f>
        <v>0</v>
      </c>
      <c r="Q121" s="15">
        <f>IFERROR(P121/P148, "NA")</f>
        <v>0</v>
      </c>
      <c r="R121" s="28">
        <f>SUM('4 - RASA - MVT'!R121,'5 - RASA - National Landin'!R121,'6 - RASA - Mosaic'!R121,'7 - RASA - Rockville'!R121)</f>
        <v>0</v>
      </c>
      <c r="S121" s="15">
        <f>IFERROR(R121/R148, "NA")</f>
        <v>0</v>
      </c>
      <c r="T121" s="28">
        <f>SUM('4 - RASA - MVT'!T121,'5 - RASA - National Landin'!T121,'6 - RASA - Mosaic'!T121,'7 - RASA - Rockville'!T121)</f>
        <v>0</v>
      </c>
      <c r="U121" s="15">
        <f>IFERROR(T121/T148, "NA")</f>
        <v>0</v>
      </c>
      <c r="V121" s="28">
        <f>SUM('4 - RASA - MVT'!V121,'5 - RASA - National Landin'!V121,'6 - RASA - Mosaic'!V121,'7 - RASA - Rockville'!V121)</f>
        <v>0</v>
      </c>
      <c r="W121" s="15">
        <f>IFERROR(V121/V148, "NA")</f>
        <v>0</v>
      </c>
      <c r="X121" s="28">
        <f>SUM('4 - RASA - MVT'!X121,'5 - RASA - National Landin'!X121,'6 - RASA - Mosaic'!X121,'7 - RASA - Rockville'!X121)</f>
        <v>0</v>
      </c>
      <c r="Y121" s="15">
        <f>IFERROR(X121/X148, "NA")</f>
        <v>0</v>
      </c>
      <c r="Z121" s="28">
        <f>SUM('4 - RASA - MVT'!Z121,'5 - RASA - National Landin'!Z121,'6 - RASA - Mosaic'!Z121,'7 - RASA - Rockville'!Z121)</f>
        <v>0</v>
      </c>
      <c r="AA121" s="15">
        <f>IFERROR(Z121/Z148, "NA")</f>
        <v>0</v>
      </c>
      <c r="AB121" s="57">
        <f t="shared" si="55"/>
        <v>0</v>
      </c>
      <c r="AC121" s="15">
        <f>IFERROR(AB121/AB148, "NA")</f>
        <v>0</v>
      </c>
      <c r="AD121" s="61">
        <f t="shared" si="56"/>
        <v>0</v>
      </c>
      <c r="AE121" s="62">
        <f>IFERROR(AD121/AD148, "NA")</f>
        <v>0</v>
      </c>
      <c r="AF121" s="61" t="str">
        <f t="shared" si="57"/>
        <v>NA</v>
      </c>
      <c r="AG121" s="57">
        <f t="shared" si="58"/>
        <v>0</v>
      </c>
      <c r="AH121" s="15">
        <f>IFERROR(AG121/AG148, "NA")</f>
        <v>0</v>
      </c>
      <c r="AI121" s="61">
        <f t="shared" si="59"/>
        <v>0</v>
      </c>
      <c r="AJ121" s="62">
        <f>IFERROR(AI121/AI148, "NA")</f>
        <v>0</v>
      </c>
      <c r="AK121" s="61" t="str">
        <f t="shared" si="60"/>
        <v>NA</v>
      </c>
      <c r="AL121" s="62" t="str">
        <f>IFERROR(AK121/AK148, "NA")</f>
        <v>NA</v>
      </c>
    </row>
    <row r="122" ht="16.5" hidden="1" customHeight="1">
      <c r="A122" s="26" t="s">
        <v>235</v>
      </c>
      <c r="B122" s="28">
        <f>SUM('4 - RASA - MVT'!B122,'5 - RASA - National Landin'!B122,'6 - RASA - Mosaic'!B122,'7 - RASA - Rockville'!B122)</f>
        <v>0</v>
      </c>
      <c r="C122" s="15">
        <f>IFERROR(B122/B148, "NA")</f>
        <v>0</v>
      </c>
      <c r="D122" s="28">
        <f>SUM('4 - RASA - MVT'!D122,'5 - RASA - National Landin'!D122,'6 - RASA - Mosaic'!D122,'7 - RASA - Rockville'!D122)</f>
        <v>0</v>
      </c>
      <c r="E122" s="15">
        <f>IFERROR(D122/D148, "NA")</f>
        <v>0</v>
      </c>
      <c r="F122" s="28">
        <f>SUM('4 - RASA - MVT'!F122,'5 - RASA - National Landin'!F122,'6 - RASA - Mosaic'!F122,'7 - RASA - Rockville'!F122)</f>
        <v>0</v>
      </c>
      <c r="G122" s="15">
        <f>IFERROR(F122/F148, "NA")</f>
        <v>0</v>
      </c>
      <c r="H122" s="28">
        <f>SUM('4 - RASA - MVT'!H122,'5 - RASA - National Landin'!H122,'6 - RASA - Mosaic'!H122,'7 - RASA - Rockville'!H122)</f>
        <v>0</v>
      </c>
      <c r="I122" s="15">
        <f>IFERROR(H122/H148, "NA")</f>
        <v>0</v>
      </c>
      <c r="J122" s="28">
        <f>SUM('4 - RASA - MVT'!J122,'5 - RASA - National Landin'!J122,'6 - RASA - Mosaic'!J122,'7 - RASA - Rockville'!J122)</f>
        <v>0</v>
      </c>
      <c r="K122" s="15">
        <f>IFERROR(J122/J148, "NA")</f>
        <v>0</v>
      </c>
      <c r="L122" s="28">
        <f>SUM('4 - RASA - MVT'!L122,'5 - RASA - National Landin'!L122,'6 - RASA - Mosaic'!L122,'7 - RASA - Rockville'!L122)</f>
        <v>0</v>
      </c>
      <c r="M122" s="15">
        <f>IFERROR(L122/L148, "NA")</f>
        <v>0</v>
      </c>
      <c r="N122" s="28">
        <f>SUM('4 - RASA - MVT'!N122,'5 - RASA - National Landin'!N122,'6 - RASA - Mosaic'!N122,'7 - RASA - Rockville'!N122)</f>
        <v>0</v>
      </c>
      <c r="O122" s="15">
        <f>IFERROR(N122/N148, "NA")</f>
        <v>0</v>
      </c>
      <c r="P122" s="28">
        <f>SUM('4 - RASA - MVT'!P122,'5 - RASA - National Landin'!P122,'6 - RASA - Mosaic'!P122,'7 - RASA - Rockville'!P122)</f>
        <v>0</v>
      </c>
      <c r="Q122" s="15">
        <f>IFERROR(P122/P148, "NA")</f>
        <v>0</v>
      </c>
      <c r="R122" s="28">
        <f>SUM('4 - RASA - MVT'!R122,'5 - RASA - National Landin'!R122,'6 - RASA - Mosaic'!R122,'7 - RASA - Rockville'!R122)</f>
        <v>0</v>
      </c>
      <c r="S122" s="15">
        <f>IFERROR(R122/R148, "NA")</f>
        <v>0</v>
      </c>
      <c r="T122" s="28">
        <f>SUM('4 - RASA - MVT'!T122,'5 - RASA - National Landin'!T122,'6 - RASA - Mosaic'!T122,'7 - RASA - Rockville'!T122)</f>
        <v>0</v>
      </c>
      <c r="U122" s="15">
        <f>IFERROR(T122/T148, "NA")</f>
        <v>0</v>
      </c>
      <c r="V122" s="28">
        <f>SUM('4 - RASA - MVT'!V122,'5 - RASA - National Landin'!V122,'6 - RASA - Mosaic'!V122,'7 - RASA - Rockville'!V122)</f>
        <v>0</v>
      </c>
      <c r="W122" s="15">
        <f>IFERROR(V122/V148, "NA")</f>
        <v>0</v>
      </c>
      <c r="X122" s="28">
        <f>SUM('4 - RASA - MVT'!X122,'5 - RASA - National Landin'!X122,'6 - RASA - Mosaic'!X122,'7 - RASA - Rockville'!X122)</f>
        <v>0</v>
      </c>
      <c r="Y122" s="15">
        <f>IFERROR(X122/X148, "NA")</f>
        <v>0</v>
      </c>
      <c r="Z122" s="28">
        <f>SUM('4 - RASA - MVT'!Z122,'5 - RASA - National Landin'!Z122,'6 - RASA - Mosaic'!Z122,'7 - RASA - Rockville'!Z122)</f>
        <v>0</v>
      </c>
      <c r="AA122" s="15">
        <f>IFERROR(Z122/Z148, "NA")</f>
        <v>0</v>
      </c>
      <c r="AB122" s="57">
        <f t="shared" si="55"/>
        <v>0</v>
      </c>
      <c r="AC122" s="15">
        <f>IFERROR(AB122/AB148, "NA")</f>
        <v>0</v>
      </c>
      <c r="AD122" s="61">
        <f t="shared" si="56"/>
        <v>0</v>
      </c>
      <c r="AE122" s="62">
        <f>IFERROR(AD122/AD148, "NA")</f>
        <v>0</v>
      </c>
      <c r="AF122" s="61" t="str">
        <f t="shared" si="57"/>
        <v>NA</v>
      </c>
      <c r="AG122" s="57">
        <f t="shared" si="58"/>
        <v>0</v>
      </c>
      <c r="AH122" s="15">
        <f>IFERROR(AG122/AG148, "NA")</f>
        <v>0</v>
      </c>
      <c r="AI122" s="61">
        <f t="shared" si="59"/>
        <v>0</v>
      </c>
      <c r="AJ122" s="62">
        <f>IFERROR(AI122/AI148, "NA")</f>
        <v>0</v>
      </c>
      <c r="AK122" s="61" t="str">
        <f t="shared" si="60"/>
        <v>NA</v>
      </c>
      <c r="AL122" s="62" t="str">
        <f>IFERROR(AK122/AK148, "NA")</f>
        <v>NA</v>
      </c>
    </row>
    <row r="123" ht="16.5" hidden="1" customHeight="1">
      <c r="A123" s="26" t="s">
        <v>236</v>
      </c>
      <c r="B123" s="28">
        <f>SUM('4 - RASA - MVT'!B123,'5 - RASA - National Landin'!B123,'6 - RASA - Mosaic'!B123,'7 - RASA - Rockville'!B123)</f>
        <v>0</v>
      </c>
      <c r="C123" s="15">
        <f>IFERROR(B123/B148, "NA")</f>
        <v>0</v>
      </c>
      <c r="D123" s="28">
        <f>SUM('4 - RASA - MVT'!D123,'5 - RASA - National Landin'!D123,'6 - RASA - Mosaic'!D123,'7 - RASA - Rockville'!D123)</f>
        <v>0</v>
      </c>
      <c r="E123" s="15">
        <f>IFERROR(D123/D148, "NA")</f>
        <v>0</v>
      </c>
      <c r="F123" s="28">
        <f>SUM('4 - RASA - MVT'!F123,'5 - RASA - National Landin'!F123,'6 - RASA - Mosaic'!F123,'7 - RASA - Rockville'!F123)</f>
        <v>0</v>
      </c>
      <c r="G123" s="15">
        <f>IFERROR(F123/F148, "NA")</f>
        <v>0</v>
      </c>
      <c r="H123" s="28">
        <f>SUM('4 - RASA - MVT'!H123,'5 - RASA - National Landin'!H123,'6 - RASA - Mosaic'!H123,'7 - RASA - Rockville'!H123)</f>
        <v>0</v>
      </c>
      <c r="I123" s="15">
        <f>IFERROR(H123/H148, "NA")</f>
        <v>0</v>
      </c>
      <c r="J123" s="28">
        <f>SUM('4 - RASA - MVT'!J123,'5 - RASA - National Landin'!J123,'6 - RASA - Mosaic'!J123,'7 - RASA - Rockville'!J123)</f>
        <v>0</v>
      </c>
      <c r="K123" s="15">
        <f>IFERROR(J123/J148, "NA")</f>
        <v>0</v>
      </c>
      <c r="L123" s="28">
        <f>SUM('4 - RASA - MVT'!L123,'5 - RASA - National Landin'!L123,'6 - RASA - Mosaic'!L123,'7 - RASA - Rockville'!L123)</f>
        <v>0</v>
      </c>
      <c r="M123" s="15">
        <f>IFERROR(L123/L148, "NA")</f>
        <v>0</v>
      </c>
      <c r="N123" s="28">
        <f>SUM('4 - RASA - MVT'!N123,'5 - RASA - National Landin'!N123,'6 - RASA - Mosaic'!N123,'7 - RASA - Rockville'!N123)</f>
        <v>0</v>
      </c>
      <c r="O123" s="15">
        <f>IFERROR(N123/N148, "NA")</f>
        <v>0</v>
      </c>
      <c r="P123" s="28">
        <f>SUM('4 - RASA - MVT'!P123,'5 - RASA - National Landin'!P123,'6 - RASA - Mosaic'!P123,'7 - RASA - Rockville'!P123)</f>
        <v>0</v>
      </c>
      <c r="Q123" s="15">
        <f>IFERROR(P123/P148, "NA")</f>
        <v>0</v>
      </c>
      <c r="R123" s="28">
        <f>SUM('4 - RASA - MVT'!R123,'5 - RASA - National Landin'!R123,'6 - RASA - Mosaic'!R123,'7 - RASA - Rockville'!R123)</f>
        <v>0</v>
      </c>
      <c r="S123" s="15">
        <f>IFERROR(R123/R148, "NA")</f>
        <v>0</v>
      </c>
      <c r="T123" s="28">
        <f>SUM('4 - RASA - MVT'!T123,'5 - RASA - National Landin'!T123,'6 - RASA - Mosaic'!T123,'7 - RASA - Rockville'!T123)</f>
        <v>0</v>
      </c>
      <c r="U123" s="15">
        <f>IFERROR(T123/T148, "NA")</f>
        <v>0</v>
      </c>
      <c r="V123" s="28">
        <f>SUM('4 - RASA - MVT'!V123,'5 - RASA - National Landin'!V123,'6 - RASA - Mosaic'!V123,'7 - RASA - Rockville'!V123)</f>
        <v>0</v>
      </c>
      <c r="W123" s="15">
        <f>IFERROR(V123/V148, "NA")</f>
        <v>0</v>
      </c>
      <c r="X123" s="28">
        <f>SUM('4 - RASA - MVT'!X123,'5 - RASA - National Landin'!X123,'6 - RASA - Mosaic'!X123,'7 - RASA - Rockville'!X123)</f>
        <v>0</v>
      </c>
      <c r="Y123" s="15">
        <f>IFERROR(X123/X148, "NA")</f>
        <v>0</v>
      </c>
      <c r="Z123" s="28">
        <f>SUM('4 - RASA - MVT'!Z123,'5 - RASA - National Landin'!Z123,'6 - RASA - Mosaic'!Z123,'7 - RASA - Rockville'!Z123)</f>
        <v>0</v>
      </c>
      <c r="AA123" s="15">
        <f>IFERROR(Z123/Z148, "NA")</f>
        <v>0</v>
      </c>
      <c r="AB123" s="57">
        <f t="shared" si="55"/>
        <v>0</v>
      </c>
      <c r="AC123" s="15">
        <f>IFERROR(AB123/AB148, "NA")</f>
        <v>0</v>
      </c>
      <c r="AD123" s="61">
        <f t="shared" si="56"/>
        <v>0</v>
      </c>
      <c r="AE123" s="62">
        <f>IFERROR(AD123/AD148, "NA")</f>
        <v>0</v>
      </c>
      <c r="AF123" s="61" t="str">
        <f t="shared" si="57"/>
        <v>NA</v>
      </c>
      <c r="AG123" s="57">
        <f t="shared" si="58"/>
        <v>0</v>
      </c>
      <c r="AH123" s="15">
        <f>IFERROR(AG123/AG148, "NA")</f>
        <v>0</v>
      </c>
      <c r="AI123" s="61">
        <f t="shared" si="59"/>
        <v>0</v>
      </c>
      <c r="AJ123" s="62">
        <f>IFERROR(AI123/AI148, "NA")</f>
        <v>0</v>
      </c>
      <c r="AK123" s="61" t="str">
        <f t="shared" si="60"/>
        <v>NA</v>
      </c>
      <c r="AL123" s="62" t="str">
        <f>IFERROR(AK123/AK148, "NA")</f>
        <v>NA</v>
      </c>
    </row>
    <row r="124" ht="16.5" hidden="1" customHeight="1">
      <c r="A124" s="26" t="s">
        <v>237</v>
      </c>
      <c r="B124" s="28">
        <f>SUM('4 - RASA - MVT'!B124,'5 - RASA - National Landin'!B124,'6 - RASA - Mosaic'!B124,'7 - RASA - Rockville'!B124)</f>
        <v>0</v>
      </c>
      <c r="C124" s="15">
        <f>IFERROR(B124/B148, "NA")</f>
        <v>0</v>
      </c>
      <c r="D124" s="28">
        <f>SUM('4 - RASA - MVT'!D124,'5 - RASA - National Landin'!D124,'6 - RASA - Mosaic'!D124,'7 - RASA - Rockville'!D124)</f>
        <v>0</v>
      </c>
      <c r="E124" s="15">
        <f>IFERROR(D124/D148, "NA")</f>
        <v>0</v>
      </c>
      <c r="F124" s="28">
        <f>SUM('4 - RASA - MVT'!F124,'5 - RASA - National Landin'!F124,'6 - RASA - Mosaic'!F124,'7 - RASA - Rockville'!F124)</f>
        <v>0</v>
      </c>
      <c r="G124" s="15">
        <f>IFERROR(F124/F148, "NA")</f>
        <v>0</v>
      </c>
      <c r="H124" s="28">
        <f>SUM('4 - RASA - MVT'!H124,'5 - RASA - National Landin'!H124,'6 - RASA - Mosaic'!H124,'7 - RASA - Rockville'!H124)</f>
        <v>0</v>
      </c>
      <c r="I124" s="15">
        <f>IFERROR(H124/H148, "NA")</f>
        <v>0</v>
      </c>
      <c r="J124" s="28">
        <f>SUM('4 - RASA - MVT'!J124,'5 - RASA - National Landin'!J124,'6 - RASA - Mosaic'!J124,'7 - RASA - Rockville'!J124)</f>
        <v>0</v>
      </c>
      <c r="K124" s="15">
        <f>IFERROR(J124/J148, "NA")</f>
        <v>0</v>
      </c>
      <c r="L124" s="28">
        <f>SUM('4 - RASA - MVT'!L124,'5 - RASA - National Landin'!L124,'6 - RASA - Mosaic'!L124,'7 - RASA - Rockville'!L124)</f>
        <v>0</v>
      </c>
      <c r="M124" s="15">
        <f>IFERROR(L124/L148, "NA")</f>
        <v>0</v>
      </c>
      <c r="N124" s="28">
        <f>SUM('4 - RASA - MVT'!N124,'5 - RASA - National Landin'!N124,'6 - RASA - Mosaic'!N124,'7 - RASA - Rockville'!N124)</f>
        <v>0</v>
      </c>
      <c r="O124" s="15">
        <f>IFERROR(N124/N148, "NA")</f>
        <v>0</v>
      </c>
      <c r="P124" s="28">
        <f>SUM('4 - RASA - MVT'!P124,'5 - RASA - National Landin'!P124,'6 - RASA - Mosaic'!P124,'7 - RASA - Rockville'!P124)</f>
        <v>0</v>
      </c>
      <c r="Q124" s="15">
        <f>IFERROR(P124/P148, "NA")</f>
        <v>0</v>
      </c>
      <c r="R124" s="28">
        <f>SUM('4 - RASA - MVT'!R124,'5 - RASA - National Landin'!R124,'6 - RASA - Mosaic'!R124,'7 - RASA - Rockville'!R124)</f>
        <v>0</v>
      </c>
      <c r="S124" s="15">
        <f>IFERROR(R124/R148, "NA")</f>
        <v>0</v>
      </c>
      <c r="T124" s="28">
        <f>SUM('4 - RASA - MVT'!T124,'5 - RASA - National Landin'!T124,'6 - RASA - Mosaic'!T124,'7 - RASA - Rockville'!T124)</f>
        <v>0</v>
      </c>
      <c r="U124" s="15">
        <f>IFERROR(T124/T148, "NA")</f>
        <v>0</v>
      </c>
      <c r="V124" s="28">
        <f>SUM('4 - RASA - MVT'!V124,'5 - RASA - National Landin'!V124,'6 - RASA - Mosaic'!V124,'7 - RASA - Rockville'!V124)</f>
        <v>0</v>
      </c>
      <c r="W124" s="15">
        <f>IFERROR(V124/V148, "NA")</f>
        <v>0</v>
      </c>
      <c r="X124" s="28">
        <f>SUM('4 - RASA - MVT'!X124,'5 - RASA - National Landin'!X124,'6 - RASA - Mosaic'!X124,'7 - RASA - Rockville'!X124)</f>
        <v>9150</v>
      </c>
      <c r="Y124" s="15">
        <f>IFERROR(X124/X148, "NA")</f>
        <v>0.06396336738</v>
      </c>
      <c r="Z124" s="28">
        <f>SUM('4 - RASA - MVT'!Z124,'5 - RASA - National Landin'!Z124,'6 - RASA - Mosaic'!Z124,'7 - RASA - Rockville'!Z124)</f>
        <v>9150</v>
      </c>
      <c r="AA124" s="15">
        <f>IFERROR(Z124/Z148, "NA")</f>
        <v>0.02270090168</v>
      </c>
      <c r="AB124" s="57">
        <f t="shared" si="55"/>
        <v>2287.5</v>
      </c>
      <c r="AC124" s="15">
        <f>IFERROR(AB124/AB148, "NA")</f>
        <v>0.01671219568</v>
      </c>
      <c r="AD124" s="61">
        <f t="shared" si="56"/>
        <v>6862.5</v>
      </c>
      <c r="AE124" s="62">
        <f>IFERROR(AD124/AD148, "NA")</f>
        <v>1.111418826</v>
      </c>
      <c r="AF124" s="61">
        <f t="shared" si="57"/>
        <v>3</v>
      </c>
      <c r="AG124" s="57">
        <f t="shared" si="58"/>
        <v>1143.75</v>
      </c>
      <c r="AH124" s="15">
        <f>IFERROR(AG124/AG148, "NA")</f>
        <v>0.008539359377</v>
      </c>
      <c r="AI124" s="61">
        <f t="shared" si="59"/>
        <v>8006.25</v>
      </c>
      <c r="AJ124" s="62">
        <f>IFERROR(AI124/AI148, "NA")</f>
        <v>0.8786479494</v>
      </c>
      <c r="AK124" s="61">
        <f t="shared" si="60"/>
        <v>7</v>
      </c>
      <c r="AL124" s="62">
        <f>IFERROR(AK124/AK148, "NA")</f>
        <v>102.8938953</v>
      </c>
    </row>
    <row r="125" ht="16.5" hidden="1" customHeight="1">
      <c r="A125" s="26" t="s">
        <v>238</v>
      </c>
      <c r="B125" s="28">
        <f>SUM('4 - RASA - MVT'!B125,'5 - RASA - National Landin'!B125,'6 - RASA - Mosaic'!B125,'7 - RASA - Rockville'!B125)</f>
        <v>0</v>
      </c>
      <c r="C125" s="15">
        <f>IFERROR(B125/B148, "NA")</f>
        <v>0</v>
      </c>
      <c r="D125" s="28">
        <f>SUM('4 - RASA - MVT'!D125,'5 - RASA - National Landin'!D125,'6 - RASA - Mosaic'!D125,'7 - RASA - Rockville'!D125)</f>
        <v>0</v>
      </c>
      <c r="E125" s="15">
        <f>IFERROR(D125/D148, "NA")</f>
        <v>0</v>
      </c>
      <c r="F125" s="28">
        <f>SUM('4 - RASA - MVT'!F125,'5 - RASA - National Landin'!F125,'6 - RASA - Mosaic'!F125,'7 - RASA - Rockville'!F125)</f>
        <v>0</v>
      </c>
      <c r="G125" s="15">
        <f>IFERROR(F125/F148, "NA")</f>
        <v>0</v>
      </c>
      <c r="H125" s="28">
        <f>SUM('4 - RASA - MVT'!H125,'5 - RASA - National Landin'!H125,'6 - RASA - Mosaic'!H125,'7 - RASA - Rockville'!H125)</f>
        <v>0</v>
      </c>
      <c r="I125" s="15">
        <f>IFERROR(H125/H148, "NA")</f>
        <v>0</v>
      </c>
      <c r="J125" s="28">
        <f>SUM('4 - RASA - MVT'!J125,'5 - RASA - National Landin'!J125,'6 - RASA - Mosaic'!J125,'7 - RASA - Rockville'!J125)</f>
        <v>0</v>
      </c>
      <c r="K125" s="15">
        <f>IFERROR(J125/J148, "NA")</f>
        <v>0</v>
      </c>
      <c r="L125" s="28">
        <f>SUM('4 - RASA - MVT'!L125,'5 - RASA - National Landin'!L125,'6 - RASA - Mosaic'!L125,'7 - RASA - Rockville'!L125)</f>
        <v>0</v>
      </c>
      <c r="M125" s="15">
        <f>IFERROR(L125/L148, "NA")</f>
        <v>0</v>
      </c>
      <c r="N125" s="28">
        <f>SUM('4 - RASA - MVT'!N125,'5 - RASA - National Landin'!N125,'6 - RASA - Mosaic'!N125,'7 - RASA - Rockville'!N125)</f>
        <v>0</v>
      </c>
      <c r="O125" s="15">
        <f>IFERROR(N125/N148, "NA")</f>
        <v>0</v>
      </c>
      <c r="P125" s="28">
        <f>SUM('4 - RASA - MVT'!P125,'5 - RASA - National Landin'!P125,'6 - RASA - Mosaic'!P125,'7 - RASA - Rockville'!P125)</f>
        <v>0</v>
      </c>
      <c r="Q125" s="15">
        <f>IFERROR(P125/P148, "NA")</f>
        <v>0</v>
      </c>
      <c r="R125" s="28">
        <f>SUM('4 - RASA - MVT'!R125,'5 - RASA - National Landin'!R125,'6 - RASA - Mosaic'!R125,'7 - RASA - Rockville'!R125)</f>
        <v>0</v>
      </c>
      <c r="S125" s="15">
        <f>IFERROR(R125/R148, "NA")</f>
        <v>0</v>
      </c>
      <c r="T125" s="28">
        <f>SUM('4 - RASA - MVT'!T125,'5 - RASA - National Landin'!T125,'6 - RASA - Mosaic'!T125,'7 - RASA - Rockville'!T125)</f>
        <v>0</v>
      </c>
      <c r="U125" s="15">
        <f>IFERROR(T125/T148, "NA")</f>
        <v>0</v>
      </c>
      <c r="V125" s="28">
        <f>SUM('4 - RASA - MVT'!V125,'5 - RASA - National Landin'!V125,'6 - RASA - Mosaic'!V125,'7 - RASA - Rockville'!V125)</f>
        <v>0</v>
      </c>
      <c r="W125" s="15">
        <f>IFERROR(V125/V148, "NA")</f>
        <v>0</v>
      </c>
      <c r="X125" s="28">
        <f>SUM('4 - RASA - MVT'!X125,'5 - RASA - National Landin'!X125,'6 - RASA - Mosaic'!X125,'7 - RASA - Rockville'!X125)</f>
        <v>0</v>
      </c>
      <c r="Y125" s="15">
        <f>IFERROR(X125/X148, "NA")</f>
        <v>0</v>
      </c>
      <c r="Z125" s="28">
        <f>SUM('4 - RASA - MVT'!Z125,'5 - RASA - National Landin'!Z125,'6 - RASA - Mosaic'!Z125,'7 - RASA - Rockville'!Z125)</f>
        <v>0</v>
      </c>
      <c r="AA125" s="15">
        <f>IFERROR(Z125/Z148, "NA")</f>
        <v>0</v>
      </c>
      <c r="AB125" s="57">
        <f t="shared" si="55"/>
        <v>0</v>
      </c>
      <c r="AC125" s="15">
        <f>IFERROR(AB125/AB148, "NA")</f>
        <v>0</v>
      </c>
      <c r="AD125" s="61">
        <f t="shared" si="56"/>
        <v>0</v>
      </c>
      <c r="AE125" s="62">
        <f>IFERROR(AD125/AD148, "NA")</f>
        <v>0</v>
      </c>
      <c r="AF125" s="61" t="str">
        <f t="shared" si="57"/>
        <v>NA</v>
      </c>
      <c r="AG125" s="57">
        <f t="shared" si="58"/>
        <v>0</v>
      </c>
      <c r="AH125" s="15">
        <f>IFERROR(AG125/AG148, "NA")</f>
        <v>0</v>
      </c>
      <c r="AI125" s="61">
        <f t="shared" si="59"/>
        <v>0</v>
      </c>
      <c r="AJ125" s="62">
        <f>IFERROR(AI125/AI148, "NA")</f>
        <v>0</v>
      </c>
      <c r="AK125" s="61" t="str">
        <f t="shared" si="60"/>
        <v>NA</v>
      </c>
      <c r="AL125" s="62" t="str">
        <f>IFERROR(AK125/AK148, "NA")</f>
        <v>NA</v>
      </c>
    </row>
    <row r="126" ht="16.5" hidden="1" customHeight="1">
      <c r="A126" s="26" t="s">
        <v>239</v>
      </c>
      <c r="B126" s="28">
        <f>SUM('4 - RASA - MVT'!B126,'5 - RASA - National Landin'!B126,'6 - RASA - Mosaic'!B126,'7 - RASA - Rockville'!B126)</f>
        <v>0</v>
      </c>
      <c r="C126" s="15">
        <f>IFERROR(B126/B148, "NA")</f>
        <v>0</v>
      </c>
      <c r="D126" s="28">
        <f>SUM('4 - RASA - MVT'!D126,'5 - RASA - National Landin'!D126,'6 - RASA - Mosaic'!D126,'7 - RASA - Rockville'!D126)</f>
        <v>0</v>
      </c>
      <c r="E126" s="15">
        <f>IFERROR(D126/D148, "NA")</f>
        <v>0</v>
      </c>
      <c r="F126" s="28">
        <f>SUM('4 - RASA - MVT'!F126,'5 - RASA - National Landin'!F126,'6 - RASA - Mosaic'!F126,'7 - RASA - Rockville'!F126)</f>
        <v>0</v>
      </c>
      <c r="G126" s="15">
        <f>IFERROR(F126/F148, "NA")</f>
        <v>0</v>
      </c>
      <c r="H126" s="28">
        <f>SUM('4 - RASA - MVT'!H126,'5 - RASA - National Landin'!H126,'6 - RASA - Mosaic'!H126,'7 - RASA - Rockville'!H126)</f>
        <v>0</v>
      </c>
      <c r="I126" s="15">
        <f>IFERROR(H126/H148, "NA")</f>
        <v>0</v>
      </c>
      <c r="J126" s="28">
        <f>SUM('4 - RASA - MVT'!J126,'5 - RASA - National Landin'!J126,'6 - RASA - Mosaic'!J126,'7 - RASA - Rockville'!J126)</f>
        <v>0</v>
      </c>
      <c r="K126" s="15">
        <f>IFERROR(J126/J148, "NA")</f>
        <v>0</v>
      </c>
      <c r="L126" s="28">
        <f>SUM('4 - RASA - MVT'!L126,'5 - RASA - National Landin'!L126,'6 - RASA - Mosaic'!L126,'7 - RASA - Rockville'!L126)</f>
        <v>0</v>
      </c>
      <c r="M126" s="15">
        <f>IFERROR(L126/L148, "NA")</f>
        <v>0</v>
      </c>
      <c r="N126" s="28">
        <f>SUM('4 - RASA - MVT'!N126,'5 - RASA - National Landin'!N126,'6 - RASA - Mosaic'!N126,'7 - RASA - Rockville'!N126)</f>
        <v>0</v>
      </c>
      <c r="O126" s="15">
        <f>IFERROR(N126/N148, "NA")</f>
        <v>0</v>
      </c>
      <c r="P126" s="28">
        <f>SUM('4 - RASA - MVT'!P126,'5 - RASA - National Landin'!P126,'6 - RASA - Mosaic'!P126,'7 - RASA - Rockville'!P126)</f>
        <v>0</v>
      </c>
      <c r="Q126" s="15">
        <f>IFERROR(P126/P148, "NA")</f>
        <v>0</v>
      </c>
      <c r="R126" s="28">
        <f>SUM('4 - RASA - MVT'!R126,'5 - RASA - National Landin'!R126,'6 - RASA - Mosaic'!R126,'7 - RASA - Rockville'!R126)</f>
        <v>0</v>
      </c>
      <c r="S126" s="15">
        <f>IFERROR(R126/R148, "NA")</f>
        <v>0</v>
      </c>
      <c r="T126" s="28">
        <f>SUM('4 - RASA - MVT'!T126,'5 - RASA - National Landin'!T126,'6 - RASA - Mosaic'!T126,'7 - RASA - Rockville'!T126)</f>
        <v>0</v>
      </c>
      <c r="U126" s="15">
        <f>IFERROR(T126/T148, "NA")</f>
        <v>0</v>
      </c>
      <c r="V126" s="28">
        <f>SUM('4 - RASA - MVT'!V126,'5 - RASA - National Landin'!V126,'6 - RASA - Mosaic'!V126,'7 - RASA - Rockville'!V126)</f>
        <v>0</v>
      </c>
      <c r="W126" s="15">
        <f>IFERROR(V126/V148, "NA")</f>
        <v>0</v>
      </c>
      <c r="X126" s="28">
        <f>SUM('4 - RASA - MVT'!X126,'5 - RASA - National Landin'!X126,'6 - RASA - Mosaic'!X126,'7 - RASA - Rockville'!X126)</f>
        <v>0</v>
      </c>
      <c r="Y126" s="15">
        <f>IFERROR(X126/X148, "NA")</f>
        <v>0</v>
      </c>
      <c r="Z126" s="28">
        <f>SUM('4 - RASA - MVT'!Z126,'5 - RASA - National Landin'!Z126,'6 - RASA - Mosaic'!Z126,'7 - RASA - Rockville'!Z126)</f>
        <v>0</v>
      </c>
      <c r="AA126" s="15">
        <f>IFERROR(Z126/Z148, "NA")</f>
        <v>0</v>
      </c>
      <c r="AB126" s="57">
        <f t="shared" si="55"/>
        <v>0</v>
      </c>
      <c r="AC126" s="15">
        <f>IFERROR(AB126/AB148, "NA")</f>
        <v>0</v>
      </c>
      <c r="AD126" s="61">
        <f t="shared" si="56"/>
        <v>0</v>
      </c>
      <c r="AE126" s="62">
        <f>IFERROR(AD126/AD148, "NA")</f>
        <v>0</v>
      </c>
      <c r="AF126" s="61" t="str">
        <f t="shared" si="57"/>
        <v>NA</v>
      </c>
      <c r="AG126" s="57">
        <f t="shared" si="58"/>
        <v>0</v>
      </c>
      <c r="AH126" s="15">
        <f>IFERROR(AG126/AG148, "NA")</f>
        <v>0</v>
      </c>
      <c r="AI126" s="61">
        <f t="shared" si="59"/>
        <v>0</v>
      </c>
      <c r="AJ126" s="62">
        <f>IFERROR(AI126/AI148, "NA")</f>
        <v>0</v>
      </c>
      <c r="AK126" s="61" t="str">
        <f t="shared" si="60"/>
        <v>NA</v>
      </c>
      <c r="AL126" s="62" t="str">
        <f>IFERROR(AK126/AK148, "NA")</f>
        <v>NA</v>
      </c>
    </row>
    <row r="127" ht="16.5" hidden="1" customHeight="1">
      <c r="A127" s="26" t="s">
        <v>240</v>
      </c>
      <c r="B127" s="28">
        <f>SUM('4 - RASA - MVT'!B127,'5 - RASA - National Landin'!B127,'6 - RASA - Mosaic'!B127,'7 - RASA - Rockville'!B127)</f>
        <v>0</v>
      </c>
      <c r="C127" s="15">
        <f>IFERROR(B127/B148, "NA")</f>
        <v>0</v>
      </c>
      <c r="D127" s="28">
        <f>SUM('4 - RASA - MVT'!D127,'5 - RASA - National Landin'!D127,'6 - RASA - Mosaic'!D127,'7 - RASA - Rockville'!D127)</f>
        <v>0</v>
      </c>
      <c r="E127" s="15">
        <f>IFERROR(D127/D148, "NA")</f>
        <v>0</v>
      </c>
      <c r="F127" s="28">
        <f>SUM('4 - RASA - MVT'!F127,'5 - RASA - National Landin'!F127,'6 - RASA - Mosaic'!F127,'7 - RASA - Rockville'!F127)</f>
        <v>0</v>
      </c>
      <c r="G127" s="15">
        <f>IFERROR(F127/F148, "NA")</f>
        <v>0</v>
      </c>
      <c r="H127" s="28">
        <f>SUM('4 - RASA - MVT'!H127,'5 - RASA - National Landin'!H127,'6 - RASA - Mosaic'!H127,'7 - RASA - Rockville'!H127)</f>
        <v>0</v>
      </c>
      <c r="I127" s="15">
        <f>IFERROR(H127/H148, "NA")</f>
        <v>0</v>
      </c>
      <c r="J127" s="28">
        <f>SUM('4 - RASA - MVT'!J127,'5 - RASA - National Landin'!J127,'6 - RASA - Mosaic'!J127,'7 - RASA - Rockville'!J127)</f>
        <v>0</v>
      </c>
      <c r="K127" s="15">
        <f>IFERROR(J127/J148, "NA")</f>
        <v>0</v>
      </c>
      <c r="L127" s="28">
        <f>SUM('4 - RASA - MVT'!L127,'5 - RASA - National Landin'!L127,'6 - RASA - Mosaic'!L127,'7 - RASA - Rockville'!L127)</f>
        <v>0</v>
      </c>
      <c r="M127" s="15">
        <f>IFERROR(L127/L148, "NA")</f>
        <v>0</v>
      </c>
      <c r="N127" s="28">
        <f>SUM('4 - RASA - MVT'!N127,'5 - RASA - National Landin'!N127,'6 - RASA - Mosaic'!N127,'7 - RASA - Rockville'!N127)</f>
        <v>0</v>
      </c>
      <c r="O127" s="15">
        <f>IFERROR(N127/N148, "NA")</f>
        <v>0</v>
      </c>
      <c r="P127" s="28">
        <f>SUM('4 - RASA - MVT'!P127,'5 - RASA - National Landin'!P127,'6 - RASA - Mosaic'!P127,'7 - RASA - Rockville'!P127)</f>
        <v>0</v>
      </c>
      <c r="Q127" s="15">
        <f>IFERROR(P127/P148, "NA")</f>
        <v>0</v>
      </c>
      <c r="R127" s="28">
        <f>SUM('4 - RASA - MVT'!R127,'5 - RASA - National Landin'!R127,'6 - RASA - Mosaic'!R127,'7 - RASA - Rockville'!R127)</f>
        <v>0</v>
      </c>
      <c r="S127" s="15">
        <f>IFERROR(R127/R148, "NA")</f>
        <v>0</v>
      </c>
      <c r="T127" s="28">
        <f>SUM('4 - RASA - MVT'!T127,'5 - RASA - National Landin'!T127,'6 - RASA - Mosaic'!T127,'7 - RASA - Rockville'!T127)</f>
        <v>0</v>
      </c>
      <c r="U127" s="15">
        <f>IFERROR(T127/T148, "NA")</f>
        <v>0</v>
      </c>
      <c r="V127" s="28">
        <f>SUM('4 - RASA - MVT'!V127,'5 - RASA - National Landin'!V127,'6 - RASA - Mosaic'!V127,'7 - RASA - Rockville'!V127)</f>
        <v>0</v>
      </c>
      <c r="W127" s="15">
        <f>IFERROR(V127/V148, "NA")</f>
        <v>0</v>
      </c>
      <c r="X127" s="28">
        <f>SUM('4 - RASA - MVT'!X127,'5 - RASA - National Landin'!X127,'6 - RASA - Mosaic'!X127,'7 - RASA - Rockville'!X127)</f>
        <v>0</v>
      </c>
      <c r="Y127" s="15">
        <f>IFERROR(X127/X148, "NA")</f>
        <v>0</v>
      </c>
      <c r="Z127" s="28">
        <f>SUM('4 - RASA - MVT'!Z127,'5 - RASA - National Landin'!Z127,'6 - RASA - Mosaic'!Z127,'7 - RASA - Rockville'!Z127)</f>
        <v>0</v>
      </c>
      <c r="AA127" s="15">
        <f>IFERROR(Z127/Z148, "NA")</f>
        <v>0</v>
      </c>
      <c r="AB127" s="57">
        <f t="shared" si="55"/>
        <v>0</v>
      </c>
      <c r="AC127" s="15">
        <f>IFERROR(AB127/AB148, "NA")</f>
        <v>0</v>
      </c>
      <c r="AD127" s="61">
        <f t="shared" si="56"/>
        <v>0</v>
      </c>
      <c r="AE127" s="62">
        <f>IFERROR(AD127/AD148, "NA")</f>
        <v>0</v>
      </c>
      <c r="AF127" s="61" t="str">
        <f t="shared" si="57"/>
        <v>NA</v>
      </c>
      <c r="AG127" s="57">
        <f t="shared" si="58"/>
        <v>0</v>
      </c>
      <c r="AH127" s="15">
        <f>IFERROR(AG127/AG148, "NA")</f>
        <v>0</v>
      </c>
      <c r="AI127" s="61">
        <f t="shared" si="59"/>
        <v>0</v>
      </c>
      <c r="AJ127" s="62">
        <f>IFERROR(AI127/AI148, "NA")</f>
        <v>0</v>
      </c>
      <c r="AK127" s="61" t="str">
        <f t="shared" si="60"/>
        <v>NA</v>
      </c>
      <c r="AL127" s="62" t="str">
        <f>IFERROR(AK127/AK148, "NA")</f>
        <v>NA</v>
      </c>
    </row>
    <row r="128" ht="16.5" hidden="1" customHeight="1">
      <c r="A128" s="26" t="s">
        <v>241</v>
      </c>
      <c r="B128" s="28">
        <f>SUM('4 - RASA - MVT'!B128,'5 - RASA - National Landin'!B128,'6 - RASA - Mosaic'!B128,'7 - RASA - Rockville'!B128)</f>
        <v>1815.27</v>
      </c>
      <c r="C128" s="15">
        <f>IFERROR(B128/B148, "NA")</f>
        <v>0.02456121788</v>
      </c>
      <c r="D128" s="28">
        <f>SUM('4 - RASA - MVT'!D128,'5 - RASA - National Landin'!D128,'6 - RASA - Mosaic'!D128,'7 - RASA - Rockville'!D128)</f>
        <v>2489.44</v>
      </c>
      <c r="E128" s="15">
        <f>IFERROR(D128/D148, "NA")</f>
        <v>0.02424747258</v>
      </c>
      <c r="F128" s="28">
        <f>SUM('4 - RASA - MVT'!F128,'5 - RASA - National Landin'!F128,'6 - RASA - Mosaic'!F128,'7 - RASA - Rockville'!F128)</f>
        <v>2719.27</v>
      </c>
      <c r="G128" s="15">
        <f>IFERROR(F128/F148, "NA")</f>
        <v>0.02487406184</v>
      </c>
      <c r="H128" s="28">
        <f>SUM('4 - RASA - MVT'!H128,'5 - RASA - National Landin'!H128,'6 - RASA - Mosaic'!H128,'7 - RASA - Rockville'!H128)</f>
        <v>-7023.98</v>
      </c>
      <c r="I128" s="15">
        <f>IFERROR(H128/H148, "NA")</f>
        <v>-0.0574015337</v>
      </c>
      <c r="J128" s="28">
        <f>SUM('4 - RASA - MVT'!J128,'5 - RASA - National Landin'!J128,'6 - RASA - Mosaic'!J128,'7 - RASA - Rockville'!J128)</f>
        <v>4493.77</v>
      </c>
      <c r="K128" s="15">
        <f>IFERROR(J128/J148, "NA")</f>
        <v>0.03945137483</v>
      </c>
      <c r="L128" s="28">
        <f>SUM('4 - RASA - MVT'!L128,'5 - RASA - National Landin'!L128,'6 - RASA - Mosaic'!L128,'7 - RASA - Rockville'!L128)</f>
        <v>1526.68</v>
      </c>
      <c r="M128" s="15">
        <f>IFERROR(L128/L148, "NA")</f>
        <v>0.01216843335</v>
      </c>
      <c r="N128" s="28">
        <f>SUM('4 - RASA - MVT'!N128,'5 - RASA - National Landin'!N128,'6 - RASA - Mosaic'!N128,'7 - RASA - Rockville'!N128)</f>
        <v>1734.74</v>
      </c>
      <c r="O128" s="15">
        <f>IFERROR(N128/N148, "NA")</f>
        <v>0.01263571131</v>
      </c>
      <c r="P128" s="28">
        <f>SUM('4 - RASA - MVT'!P128,'5 - RASA - National Landin'!P128,'6 - RASA - Mosaic'!P128,'7 - RASA - Rockville'!P128)</f>
        <v>1682.04</v>
      </c>
      <c r="Q128" s="15">
        <f>IFERROR(P128/P148, "NA")</f>
        <v>0.01141549908</v>
      </c>
      <c r="R128" s="28">
        <f>SUM('4 - RASA - MVT'!R128,'5 - RASA - National Landin'!R128,'6 - RASA - Mosaic'!R128,'7 - RASA - Rockville'!R128)</f>
        <v>-9437.23</v>
      </c>
      <c r="S128" s="15">
        <f>IFERROR(R128/R148, "NA")</f>
        <v>-0.06533818593</v>
      </c>
      <c r="T128" s="28">
        <f>SUM('4 - RASA - MVT'!T128,'5 - RASA - National Landin'!T128,'6 - RASA - Mosaic'!T128,'7 - RASA - Rockville'!T128)</f>
        <v>1699.13</v>
      </c>
      <c r="U128" s="15">
        <f>IFERROR(T128/T148, "NA")</f>
        <v>0.01332209</v>
      </c>
      <c r="V128" s="28">
        <f>SUM('4 - RASA - MVT'!V128,'5 - RASA - National Landin'!V128,'6 - RASA - Mosaic'!V128,'7 - RASA - Rockville'!V128)</f>
        <v>2119.93</v>
      </c>
      <c r="W128" s="15">
        <f>IFERROR(V128/V148, "NA")</f>
        <v>0.01600252003</v>
      </c>
      <c r="X128" s="28">
        <f>SUM('4 - RASA - MVT'!X128,'5 - RASA - National Landin'!X128,'6 - RASA - Mosaic'!X128,'7 - RASA - Rockville'!X128)</f>
        <v>2160.32</v>
      </c>
      <c r="Y128" s="15">
        <f>IFERROR(X128/X148, "NA")</f>
        <v>0.01510178599</v>
      </c>
      <c r="Z128" s="28">
        <f>SUM('4 - RASA - MVT'!Z128,'5 - RASA - National Landin'!Z128,'6 - RASA - Mosaic'!Z128,'7 - RASA - Rockville'!Z128)</f>
        <v>5979.38</v>
      </c>
      <c r="AA128" s="15">
        <f>IFERROR(Z128/Z148, "NA")</f>
        <v>0.01483467951</v>
      </c>
      <c r="AB128" s="57">
        <f t="shared" si="55"/>
        <v>-864.4625</v>
      </c>
      <c r="AC128" s="15">
        <f>IFERROR(AB128/AB148, "NA")</f>
        <v>-0.006315657468</v>
      </c>
      <c r="AD128" s="61">
        <f t="shared" si="56"/>
        <v>3024.7825</v>
      </c>
      <c r="AE128" s="62">
        <f>IFERROR(AD128/AD148, "NA")</f>
        <v>0.4898798129</v>
      </c>
      <c r="AF128" s="61">
        <f t="shared" si="57"/>
        <v>-3.499032636</v>
      </c>
      <c r="AG128" s="57">
        <f t="shared" si="58"/>
        <v>747.4225</v>
      </c>
      <c r="AH128" s="15">
        <f>IFERROR(AG128/AG148, "NA")</f>
        <v>0.00558033603</v>
      </c>
      <c r="AI128" s="61">
        <f t="shared" si="59"/>
        <v>1412.8975</v>
      </c>
      <c r="AJ128" s="62">
        <f>IFERROR(AI128/AI148, "NA")</f>
        <v>0.1550587967</v>
      </c>
      <c r="AK128" s="61">
        <f t="shared" si="60"/>
        <v>1.89035987</v>
      </c>
      <c r="AL128" s="62">
        <f>IFERROR(AK128/AK148, "NA")</f>
        <v>27.7866415</v>
      </c>
    </row>
    <row r="129" ht="16.5" hidden="1" customHeight="1">
      <c r="A129" s="26" t="s">
        <v>242</v>
      </c>
      <c r="B129" s="28">
        <f>SUM('4 - RASA - MVT'!B129,'5 - RASA - National Landin'!B129,'6 - RASA - Mosaic'!B129,'7 - RASA - Rockville'!B129)</f>
        <v>0</v>
      </c>
      <c r="C129" s="15">
        <f>IFERROR(B129/B148, "NA")</f>
        <v>0</v>
      </c>
      <c r="D129" s="28">
        <f>SUM('4 - RASA - MVT'!D129,'5 - RASA - National Landin'!D129,'6 - RASA - Mosaic'!D129,'7 - RASA - Rockville'!D129)</f>
        <v>0</v>
      </c>
      <c r="E129" s="15">
        <f>IFERROR(D129/D148, "NA")</f>
        <v>0</v>
      </c>
      <c r="F129" s="28">
        <f>SUM('4 - RASA - MVT'!F129,'5 - RASA - National Landin'!F129,'6 - RASA - Mosaic'!F129,'7 - RASA - Rockville'!F129)</f>
        <v>0</v>
      </c>
      <c r="G129" s="15">
        <f>IFERROR(F129/F148, "NA")</f>
        <v>0</v>
      </c>
      <c r="H129" s="28">
        <f>SUM('4 - RASA - MVT'!H129,'5 - RASA - National Landin'!H129,'6 - RASA - Mosaic'!H129,'7 - RASA - Rockville'!H129)</f>
        <v>0</v>
      </c>
      <c r="I129" s="15">
        <f>IFERROR(H129/H148, "NA")</f>
        <v>0</v>
      </c>
      <c r="J129" s="28">
        <f>SUM('4 - RASA - MVT'!J129,'5 - RASA - National Landin'!J129,'6 - RASA - Mosaic'!J129,'7 - RASA - Rockville'!J129)</f>
        <v>0</v>
      </c>
      <c r="K129" s="15">
        <f>IFERROR(J129/J148, "NA")</f>
        <v>0</v>
      </c>
      <c r="L129" s="28">
        <f>SUM('4 - RASA - MVT'!L129,'5 - RASA - National Landin'!L129,'6 - RASA - Mosaic'!L129,'7 - RASA - Rockville'!L129)</f>
        <v>0</v>
      </c>
      <c r="M129" s="15">
        <f>IFERROR(L129/L148, "NA")</f>
        <v>0</v>
      </c>
      <c r="N129" s="28">
        <f>SUM('4 - RASA - MVT'!N129,'5 - RASA - National Landin'!N129,'6 - RASA - Mosaic'!N129,'7 - RASA - Rockville'!N129)</f>
        <v>0</v>
      </c>
      <c r="O129" s="15">
        <f>IFERROR(N129/N148, "NA")</f>
        <v>0</v>
      </c>
      <c r="P129" s="28">
        <f>SUM('4 - RASA - MVT'!P129,'5 - RASA - National Landin'!P129,'6 - RASA - Mosaic'!P129,'7 - RASA - Rockville'!P129)</f>
        <v>0</v>
      </c>
      <c r="Q129" s="15">
        <f>IFERROR(P129/P148, "NA")</f>
        <v>0</v>
      </c>
      <c r="R129" s="28">
        <f>SUM('4 - RASA - MVT'!R129,'5 - RASA - National Landin'!R129,'6 - RASA - Mosaic'!R129,'7 - RASA - Rockville'!R129)</f>
        <v>0</v>
      </c>
      <c r="S129" s="15">
        <f>IFERROR(R129/R148, "NA")</f>
        <v>0</v>
      </c>
      <c r="T129" s="28">
        <f>SUM('4 - RASA - MVT'!T129,'5 - RASA - National Landin'!T129,'6 - RASA - Mosaic'!T129,'7 - RASA - Rockville'!T129)</f>
        <v>0</v>
      </c>
      <c r="U129" s="15">
        <f>IFERROR(T129/T148, "NA")</f>
        <v>0</v>
      </c>
      <c r="V129" s="28">
        <f>SUM('4 - RASA - MVT'!V129,'5 - RASA - National Landin'!V129,'6 - RASA - Mosaic'!V129,'7 - RASA - Rockville'!V129)</f>
        <v>0</v>
      </c>
      <c r="W129" s="15">
        <f>IFERROR(V129/V148, "NA")</f>
        <v>0</v>
      </c>
      <c r="X129" s="28">
        <f>SUM('4 - RASA - MVT'!X129,'5 - RASA - National Landin'!X129,'6 - RASA - Mosaic'!X129,'7 - RASA - Rockville'!X129)</f>
        <v>0</v>
      </c>
      <c r="Y129" s="15">
        <f>IFERROR(X129/X148, "NA")</f>
        <v>0</v>
      </c>
      <c r="Z129" s="28">
        <f>SUM('4 - RASA - MVT'!Z129,'5 - RASA - National Landin'!Z129,'6 - RASA - Mosaic'!Z129,'7 - RASA - Rockville'!Z129)</f>
        <v>0</v>
      </c>
      <c r="AA129" s="15">
        <f>IFERROR(Z129/Z148, "NA")</f>
        <v>0</v>
      </c>
      <c r="AB129" s="57">
        <f t="shared" si="55"/>
        <v>0</v>
      </c>
      <c r="AC129" s="15">
        <f>IFERROR(AB129/AB148, "NA")</f>
        <v>0</v>
      </c>
      <c r="AD129" s="61">
        <f t="shared" si="56"/>
        <v>0</v>
      </c>
      <c r="AE129" s="62">
        <f>IFERROR(AD129/AD148, "NA")</f>
        <v>0</v>
      </c>
      <c r="AF129" s="61" t="str">
        <f t="shared" si="57"/>
        <v>NA</v>
      </c>
      <c r="AG129" s="57">
        <f t="shared" si="58"/>
        <v>0</v>
      </c>
      <c r="AH129" s="15">
        <f>IFERROR(AG129/AG148, "NA")</f>
        <v>0</v>
      </c>
      <c r="AI129" s="61">
        <f t="shared" si="59"/>
        <v>0</v>
      </c>
      <c r="AJ129" s="62">
        <f>IFERROR(AI129/AI148, "NA")</f>
        <v>0</v>
      </c>
      <c r="AK129" s="61" t="str">
        <f t="shared" si="60"/>
        <v>NA</v>
      </c>
      <c r="AL129" s="62" t="str">
        <f>IFERROR(AK129/AK148, "NA")</f>
        <v>NA</v>
      </c>
    </row>
    <row r="130" ht="16.5" hidden="1" customHeight="1">
      <c r="A130" s="26" t="s">
        <v>243</v>
      </c>
      <c r="B130" s="28">
        <f>SUM('4 - RASA - MVT'!B130,'5 - RASA - National Landin'!B130,'6 - RASA - Mosaic'!B130,'7 - RASA - Rockville'!B130)</f>
        <v>0</v>
      </c>
      <c r="C130" s="15">
        <f>IFERROR(B130/B148, "NA")</f>
        <v>0</v>
      </c>
      <c r="D130" s="28">
        <f>SUM('4 - RASA - MVT'!D130,'5 - RASA - National Landin'!D130,'6 - RASA - Mosaic'!D130,'7 - RASA - Rockville'!D130)</f>
        <v>0</v>
      </c>
      <c r="E130" s="15">
        <f>IFERROR(D130/D148, "NA")</f>
        <v>0</v>
      </c>
      <c r="F130" s="28">
        <f>SUM('4 - RASA - MVT'!F130,'5 - RASA - National Landin'!F130,'6 - RASA - Mosaic'!F130,'7 - RASA - Rockville'!F130)</f>
        <v>0</v>
      </c>
      <c r="G130" s="15">
        <f>IFERROR(F130/F148, "NA")</f>
        <v>0</v>
      </c>
      <c r="H130" s="28">
        <f>SUM('4 - RASA - MVT'!H130,'5 - RASA - National Landin'!H130,'6 - RASA - Mosaic'!H130,'7 - RASA - Rockville'!H130)</f>
        <v>0</v>
      </c>
      <c r="I130" s="15">
        <f>IFERROR(H130/H148, "NA")</f>
        <v>0</v>
      </c>
      <c r="J130" s="28">
        <f>SUM('4 - RASA - MVT'!J130,'5 - RASA - National Landin'!J130,'6 - RASA - Mosaic'!J130,'7 - RASA - Rockville'!J130)</f>
        <v>0</v>
      </c>
      <c r="K130" s="15">
        <f>IFERROR(J130/J148, "NA")</f>
        <v>0</v>
      </c>
      <c r="L130" s="28">
        <f>SUM('4 - RASA - MVT'!L130,'5 - RASA - National Landin'!L130,'6 - RASA - Mosaic'!L130,'7 - RASA - Rockville'!L130)</f>
        <v>0</v>
      </c>
      <c r="M130" s="15">
        <f>IFERROR(L130/L148, "NA")</f>
        <v>0</v>
      </c>
      <c r="N130" s="28">
        <f>SUM('4 - RASA - MVT'!N130,'5 - RASA - National Landin'!N130,'6 - RASA - Mosaic'!N130,'7 - RASA - Rockville'!N130)</f>
        <v>0</v>
      </c>
      <c r="O130" s="15">
        <f>IFERROR(N130/N148, "NA")</f>
        <v>0</v>
      </c>
      <c r="P130" s="28">
        <f>SUM('4 - RASA - MVT'!P130,'5 - RASA - National Landin'!P130,'6 - RASA - Mosaic'!P130,'7 - RASA - Rockville'!P130)</f>
        <v>0</v>
      </c>
      <c r="Q130" s="15">
        <f>IFERROR(P130/P148, "NA")</f>
        <v>0</v>
      </c>
      <c r="R130" s="28">
        <f>SUM('4 - RASA - MVT'!R130,'5 - RASA - National Landin'!R130,'6 - RASA - Mosaic'!R130,'7 - RASA - Rockville'!R130)</f>
        <v>0</v>
      </c>
      <c r="S130" s="15">
        <f>IFERROR(R130/R148, "NA")</f>
        <v>0</v>
      </c>
      <c r="T130" s="28">
        <f>SUM('4 - RASA - MVT'!T130,'5 - RASA - National Landin'!T130,'6 - RASA - Mosaic'!T130,'7 - RASA - Rockville'!T130)</f>
        <v>0</v>
      </c>
      <c r="U130" s="15">
        <f>IFERROR(T130/T148, "NA")</f>
        <v>0</v>
      </c>
      <c r="V130" s="28">
        <f>SUM('4 - RASA - MVT'!V130,'5 - RASA - National Landin'!V130,'6 - RASA - Mosaic'!V130,'7 - RASA - Rockville'!V130)</f>
        <v>0</v>
      </c>
      <c r="W130" s="15">
        <f>IFERROR(V130/V148, "NA")</f>
        <v>0</v>
      </c>
      <c r="X130" s="28">
        <f>SUM('4 - RASA - MVT'!X130,'5 - RASA - National Landin'!X130,'6 - RASA - Mosaic'!X130,'7 - RASA - Rockville'!X130)</f>
        <v>0</v>
      </c>
      <c r="Y130" s="15">
        <f>IFERROR(X130/X148, "NA")</f>
        <v>0</v>
      </c>
      <c r="Z130" s="28">
        <f>SUM('4 - RASA - MVT'!Z130,'5 - RASA - National Landin'!Z130,'6 - RASA - Mosaic'!Z130,'7 - RASA - Rockville'!Z130)</f>
        <v>0</v>
      </c>
      <c r="AA130" s="15">
        <f>IFERROR(Z130/Z148, "NA")</f>
        <v>0</v>
      </c>
      <c r="AB130" s="57">
        <f t="shared" si="55"/>
        <v>0</v>
      </c>
      <c r="AC130" s="15">
        <f>IFERROR(AB130/AB148, "NA")</f>
        <v>0</v>
      </c>
      <c r="AD130" s="61">
        <f t="shared" si="56"/>
        <v>0</v>
      </c>
      <c r="AE130" s="62">
        <f>IFERROR(AD130/AD148, "NA")</f>
        <v>0</v>
      </c>
      <c r="AF130" s="61" t="str">
        <f t="shared" si="57"/>
        <v>NA</v>
      </c>
      <c r="AG130" s="57">
        <f t="shared" si="58"/>
        <v>0</v>
      </c>
      <c r="AH130" s="15">
        <f>IFERROR(AG130/AG148, "NA")</f>
        <v>0</v>
      </c>
      <c r="AI130" s="61">
        <f t="shared" si="59"/>
        <v>0</v>
      </c>
      <c r="AJ130" s="62">
        <f>IFERROR(AI130/AI148, "NA")</f>
        <v>0</v>
      </c>
      <c r="AK130" s="61" t="str">
        <f t="shared" si="60"/>
        <v>NA</v>
      </c>
      <c r="AL130" s="62" t="str">
        <f>IFERROR(AK130/AK148, "NA")</f>
        <v>NA</v>
      </c>
    </row>
    <row r="131" ht="16.5" hidden="1" customHeight="1">
      <c r="A131" s="26" t="s">
        <v>244</v>
      </c>
      <c r="B131" s="28">
        <f>SUM('4 - RASA - MVT'!B131,'5 - RASA - National Landin'!B131,'6 - RASA - Mosaic'!B131,'7 - RASA - Rockville'!B131)</f>
        <v>0</v>
      </c>
      <c r="C131" s="15">
        <f>IFERROR(B131/B148, "NA")</f>
        <v>0</v>
      </c>
      <c r="D131" s="28">
        <f>SUM('4 - RASA - MVT'!D131,'5 - RASA - National Landin'!D131,'6 - RASA - Mosaic'!D131,'7 - RASA - Rockville'!D131)</f>
        <v>0</v>
      </c>
      <c r="E131" s="15">
        <f>IFERROR(D131/D148, "NA")</f>
        <v>0</v>
      </c>
      <c r="F131" s="28">
        <f>SUM('4 - RASA - MVT'!F131,'5 - RASA - National Landin'!F131,'6 - RASA - Mosaic'!F131,'7 - RASA - Rockville'!F131)</f>
        <v>0</v>
      </c>
      <c r="G131" s="15">
        <f>IFERROR(F131/F148, "NA")</f>
        <v>0</v>
      </c>
      <c r="H131" s="28">
        <f>SUM('4 - RASA - MVT'!H131,'5 - RASA - National Landin'!H131,'6 - RASA - Mosaic'!H131,'7 - RASA - Rockville'!H131)</f>
        <v>0</v>
      </c>
      <c r="I131" s="15">
        <f>IFERROR(H131/H148, "NA")</f>
        <v>0</v>
      </c>
      <c r="J131" s="28">
        <f>SUM('4 - RASA - MVT'!J131,'5 - RASA - National Landin'!J131,'6 - RASA - Mosaic'!J131,'7 - RASA - Rockville'!J131)</f>
        <v>0</v>
      </c>
      <c r="K131" s="15">
        <f>IFERROR(J131/J148, "NA")</f>
        <v>0</v>
      </c>
      <c r="L131" s="28">
        <f>SUM('4 - RASA - MVT'!L131,'5 - RASA - National Landin'!L131,'6 - RASA - Mosaic'!L131,'7 - RASA - Rockville'!L131)</f>
        <v>0</v>
      </c>
      <c r="M131" s="15">
        <f>IFERROR(L131/L148, "NA")</f>
        <v>0</v>
      </c>
      <c r="N131" s="28">
        <f>SUM('4 - RASA - MVT'!N131,'5 - RASA - National Landin'!N131,'6 - RASA - Mosaic'!N131,'7 - RASA - Rockville'!N131)</f>
        <v>0</v>
      </c>
      <c r="O131" s="15">
        <f>IFERROR(N131/N148, "NA")</f>
        <v>0</v>
      </c>
      <c r="P131" s="28">
        <f>SUM('4 - RASA - MVT'!P131,'5 - RASA - National Landin'!P131,'6 - RASA - Mosaic'!P131,'7 - RASA - Rockville'!P131)</f>
        <v>0</v>
      </c>
      <c r="Q131" s="15">
        <f>IFERROR(P131/P148, "NA")</f>
        <v>0</v>
      </c>
      <c r="R131" s="28">
        <f>SUM('4 - RASA - MVT'!R131,'5 - RASA - National Landin'!R131,'6 - RASA - Mosaic'!R131,'7 - RASA - Rockville'!R131)</f>
        <v>0</v>
      </c>
      <c r="S131" s="15">
        <f>IFERROR(R131/R148, "NA")</f>
        <v>0</v>
      </c>
      <c r="T131" s="28">
        <f>SUM('4 - RASA - MVT'!T131,'5 - RASA - National Landin'!T131,'6 - RASA - Mosaic'!T131,'7 - RASA - Rockville'!T131)</f>
        <v>0</v>
      </c>
      <c r="U131" s="15">
        <f>IFERROR(T131/T148, "NA")</f>
        <v>0</v>
      </c>
      <c r="V131" s="28">
        <f>SUM('4 - RASA - MVT'!V131,'5 - RASA - National Landin'!V131,'6 - RASA - Mosaic'!V131,'7 - RASA - Rockville'!V131)</f>
        <v>0</v>
      </c>
      <c r="W131" s="15">
        <f>IFERROR(V131/V148, "NA")</f>
        <v>0</v>
      </c>
      <c r="X131" s="28">
        <f>SUM('4 - RASA - MVT'!X131,'5 - RASA - National Landin'!X131,'6 - RASA - Mosaic'!X131,'7 - RASA - Rockville'!X131)</f>
        <v>0</v>
      </c>
      <c r="Y131" s="15">
        <f>IFERROR(X131/X148, "NA")</f>
        <v>0</v>
      </c>
      <c r="Z131" s="28">
        <f>SUM('4 - RASA - MVT'!Z131,'5 - RASA - National Landin'!Z131,'6 - RASA - Mosaic'!Z131,'7 - RASA - Rockville'!Z131)</f>
        <v>0</v>
      </c>
      <c r="AA131" s="15">
        <f>IFERROR(Z131/Z148, "NA")</f>
        <v>0</v>
      </c>
      <c r="AB131" s="57">
        <f t="shared" si="55"/>
        <v>0</v>
      </c>
      <c r="AC131" s="15">
        <f>IFERROR(AB131/AB148, "NA")</f>
        <v>0</v>
      </c>
      <c r="AD131" s="61">
        <f t="shared" si="56"/>
        <v>0</v>
      </c>
      <c r="AE131" s="62">
        <f>IFERROR(AD131/AD148, "NA")</f>
        <v>0</v>
      </c>
      <c r="AF131" s="61" t="str">
        <f t="shared" si="57"/>
        <v>NA</v>
      </c>
      <c r="AG131" s="57">
        <f t="shared" si="58"/>
        <v>0</v>
      </c>
      <c r="AH131" s="15">
        <f>IFERROR(AG131/AG148, "NA")</f>
        <v>0</v>
      </c>
      <c r="AI131" s="61">
        <f t="shared" si="59"/>
        <v>0</v>
      </c>
      <c r="AJ131" s="62">
        <f>IFERROR(AI131/AI148, "NA")</f>
        <v>0</v>
      </c>
      <c r="AK131" s="61" t="str">
        <f t="shared" si="60"/>
        <v>NA</v>
      </c>
      <c r="AL131" s="62" t="str">
        <f>IFERROR(AK131/AK148, "NA")</f>
        <v>NA</v>
      </c>
    </row>
    <row r="132" ht="16.5" hidden="1" customHeight="1">
      <c r="A132" s="26" t="s">
        <v>245</v>
      </c>
      <c r="B132" s="28">
        <f>SUM('4 - RASA - MVT'!B132,'5 - RASA - National Landin'!B132,'6 - RASA - Mosaic'!B132,'7 - RASA - Rockville'!B132)</f>
        <v>0</v>
      </c>
      <c r="C132" s="15">
        <f>IFERROR(B132/B148, "NA")</f>
        <v>0</v>
      </c>
      <c r="D132" s="28">
        <f>SUM('4 - RASA - MVT'!D132,'5 - RASA - National Landin'!D132,'6 - RASA - Mosaic'!D132,'7 - RASA - Rockville'!D132)</f>
        <v>0</v>
      </c>
      <c r="E132" s="15">
        <f>IFERROR(D132/D148, "NA")</f>
        <v>0</v>
      </c>
      <c r="F132" s="28">
        <f>SUM('4 - RASA - MVT'!F132,'5 - RASA - National Landin'!F132,'6 - RASA - Mosaic'!F132,'7 - RASA - Rockville'!F132)</f>
        <v>0</v>
      </c>
      <c r="G132" s="15">
        <f>IFERROR(F132/F148, "NA")</f>
        <v>0</v>
      </c>
      <c r="H132" s="28">
        <f>SUM('4 - RASA - MVT'!H132,'5 - RASA - National Landin'!H132,'6 - RASA - Mosaic'!H132,'7 - RASA - Rockville'!H132)</f>
        <v>0</v>
      </c>
      <c r="I132" s="15">
        <f>IFERROR(H132/H148, "NA")</f>
        <v>0</v>
      </c>
      <c r="J132" s="28">
        <f>SUM('4 - RASA - MVT'!J132,'5 - RASA - National Landin'!J132,'6 - RASA - Mosaic'!J132,'7 - RASA - Rockville'!J132)</f>
        <v>0</v>
      </c>
      <c r="K132" s="15">
        <f>IFERROR(J132/J148, "NA")</f>
        <v>0</v>
      </c>
      <c r="L132" s="28">
        <f>SUM('4 - RASA - MVT'!L132,'5 - RASA - National Landin'!L132,'6 - RASA - Mosaic'!L132,'7 - RASA - Rockville'!L132)</f>
        <v>0</v>
      </c>
      <c r="M132" s="15">
        <f>IFERROR(L132/L148, "NA")</f>
        <v>0</v>
      </c>
      <c r="N132" s="28">
        <f>SUM('4 - RASA - MVT'!N132,'5 - RASA - National Landin'!N132,'6 - RASA - Mosaic'!N132,'7 - RASA - Rockville'!N132)</f>
        <v>0</v>
      </c>
      <c r="O132" s="15">
        <f>IFERROR(N132/N148, "NA")</f>
        <v>0</v>
      </c>
      <c r="P132" s="28">
        <f>SUM('4 - RASA - MVT'!P132,'5 - RASA - National Landin'!P132,'6 - RASA - Mosaic'!P132,'7 - RASA - Rockville'!P132)</f>
        <v>0</v>
      </c>
      <c r="Q132" s="15">
        <f>IFERROR(P132/P148, "NA")</f>
        <v>0</v>
      </c>
      <c r="R132" s="28">
        <f>SUM('4 - RASA - MVT'!R132,'5 - RASA - National Landin'!R132,'6 - RASA - Mosaic'!R132,'7 - RASA - Rockville'!R132)</f>
        <v>0</v>
      </c>
      <c r="S132" s="15">
        <f>IFERROR(R132/R148, "NA")</f>
        <v>0</v>
      </c>
      <c r="T132" s="28">
        <f>SUM('4 - RASA - MVT'!T132,'5 - RASA - National Landin'!T132,'6 - RASA - Mosaic'!T132,'7 - RASA - Rockville'!T132)</f>
        <v>0</v>
      </c>
      <c r="U132" s="15">
        <f>IFERROR(T132/T148, "NA")</f>
        <v>0</v>
      </c>
      <c r="V132" s="28">
        <f>SUM('4 - RASA - MVT'!V132,'5 - RASA - National Landin'!V132,'6 - RASA - Mosaic'!V132,'7 - RASA - Rockville'!V132)</f>
        <v>0</v>
      </c>
      <c r="W132" s="15">
        <f>IFERROR(V132/V148, "NA")</f>
        <v>0</v>
      </c>
      <c r="X132" s="28">
        <f>SUM('4 - RASA - MVT'!X132,'5 - RASA - National Landin'!X132,'6 - RASA - Mosaic'!X132,'7 - RASA - Rockville'!X132)</f>
        <v>0</v>
      </c>
      <c r="Y132" s="15">
        <f>IFERROR(X132/X148, "NA")</f>
        <v>0</v>
      </c>
      <c r="Z132" s="28">
        <f>SUM('4 - RASA - MVT'!Z132,'5 - RASA - National Landin'!Z132,'6 - RASA - Mosaic'!Z132,'7 - RASA - Rockville'!Z132)</f>
        <v>0</v>
      </c>
      <c r="AA132" s="15">
        <f>IFERROR(Z132/Z148, "NA")</f>
        <v>0</v>
      </c>
      <c r="AB132" s="57">
        <f t="shared" si="55"/>
        <v>0</v>
      </c>
      <c r="AC132" s="15">
        <f>IFERROR(AB132/AB148, "NA")</f>
        <v>0</v>
      </c>
      <c r="AD132" s="61">
        <f t="shared" si="56"/>
        <v>0</v>
      </c>
      <c r="AE132" s="62">
        <f>IFERROR(AD132/AD148, "NA")</f>
        <v>0</v>
      </c>
      <c r="AF132" s="61" t="str">
        <f t="shared" si="57"/>
        <v>NA</v>
      </c>
      <c r="AG132" s="57">
        <f t="shared" si="58"/>
        <v>0</v>
      </c>
      <c r="AH132" s="15">
        <f>IFERROR(AG132/AG148, "NA")</f>
        <v>0</v>
      </c>
      <c r="AI132" s="61">
        <f t="shared" si="59"/>
        <v>0</v>
      </c>
      <c r="AJ132" s="62">
        <f>IFERROR(AI132/AI148, "NA")</f>
        <v>0</v>
      </c>
      <c r="AK132" s="61" t="str">
        <f t="shared" si="60"/>
        <v>NA</v>
      </c>
      <c r="AL132" s="62" t="str">
        <f>IFERROR(AK132/AK148, "NA")</f>
        <v>NA</v>
      </c>
    </row>
    <row r="133" ht="16.5" hidden="1" customHeight="1">
      <c r="A133" s="26" t="s">
        <v>246</v>
      </c>
      <c r="B133" s="28">
        <f>SUM('4 - RASA - MVT'!B133,'5 - RASA - National Landin'!B133,'6 - RASA - Mosaic'!B133,'7 - RASA - Rockville'!B133)</f>
        <v>0</v>
      </c>
      <c r="C133" s="15">
        <f>IFERROR(B133/B148, "NA")</f>
        <v>0</v>
      </c>
      <c r="D133" s="28">
        <f>SUM('4 - RASA - MVT'!D133,'5 - RASA - National Landin'!D133,'6 - RASA - Mosaic'!D133,'7 - RASA - Rockville'!D133)</f>
        <v>0</v>
      </c>
      <c r="E133" s="15">
        <f>IFERROR(D133/D148, "NA")</f>
        <v>0</v>
      </c>
      <c r="F133" s="28">
        <f>SUM('4 - RASA - MVT'!F133,'5 - RASA - National Landin'!F133,'6 - RASA - Mosaic'!F133,'7 - RASA - Rockville'!F133)</f>
        <v>0</v>
      </c>
      <c r="G133" s="15">
        <f>IFERROR(F133/F148, "NA")</f>
        <v>0</v>
      </c>
      <c r="H133" s="28">
        <f>SUM('4 - RASA - MVT'!H133,'5 - RASA - National Landin'!H133,'6 - RASA - Mosaic'!H133,'7 - RASA - Rockville'!H133)</f>
        <v>0</v>
      </c>
      <c r="I133" s="15">
        <f>IFERROR(H133/H148, "NA")</f>
        <v>0</v>
      </c>
      <c r="J133" s="28">
        <f>SUM('4 - RASA - MVT'!J133,'5 - RASA - National Landin'!J133,'6 - RASA - Mosaic'!J133,'7 - RASA - Rockville'!J133)</f>
        <v>0</v>
      </c>
      <c r="K133" s="15">
        <f>IFERROR(J133/J148, "NA")</f>
        <v>0</v>
      </c>
      <c r="L133" s="28">
        <f>SUM('4 - RASA - MVT'!L133,'5 - RASA - National Landin'!L133,'6 - RASA - Mosaic'!L133,'7 - RASA - Rockville'!L133)</f>
        <v>0</v>
      </c>
      <c r="M133" s="15">
        <f>IFERROR(L133/L148, "NA")</f>
        <v>0</v>
      </c>
      <c r="N133" s="28">
        <f>SUM('4 - RASA - MVT'!N133,'5 - RASA - National Landin'!N133,'6 - RASA - Mosaic'!N133,'7 - RASA - Rockville'!N133)</f>
        <v>0</v>
      </c>
      <c r="O133" s="15">
        <f>IFERROR(N133/N148, "NA")</f>
        <v>0</v>
      </c>
      <c r="P133" s="28">
        <f>SUM('4 - RASA - MVT'!P133,'5 - RASA - National Landin'!P133,'6 - RASA - Mosaic'!P133,'7 - RASA - Rockville'!P133)</f>
        <v>0</v>
      </c>
      <c r="Q133" s="15">
        <f>IFERROR(P133/P148, "NA")</f>
        <v>0</v>
      </c>
      <c r="R133" s="28">
        <f>SUM('4 - RASA - MVT'!R133,'5 - RASA - National Landin'!R133,'6 - RASA - Mosaic'!R133,'7 - RASA - Rockville'!R133)</f>
        <v>0</v>
      </c>
      <c r="S133" s="15">
        <f>IFERROR(R133/R148, "NA")</f>
        <v>0</v>
      </c>
      <c r="T133" s="28">
        <f>SUM('4 - RASA - MVT'!T133,'5 - RASA - National Landin'!T133,'6 - RASA - Mosaic'!T133,'7 - RASA - Rockville'!T133)</f>
        <v>0</v>
      </c>
      <c r="U133" s="15">
        <f>IFERROR(T133/T148, "NA")</f>
        <v>0</v>
      </c>
      <c r="V133" s="28">
        <f>SUM('4 - RASA - MVT'!V133,'5 - RASA - National Landin'!V133,'6 - RASA - Mosaic'!V133,'7 - RASA - Rockville'!V133)</f>
        <v>0</v>
      </c>
      <c r="W133" s="15">
        <f>IFERROR(V133/V148, "NA")</f>
        <v>0</v>
      </c>
      <c r="X133" s="28">
        <f>SUM('4 - RASA - MVT'!X133,'5 - RASA - National Landin'!X133,'6 - RASA - Mosaic'!X133,'7 - RASA - Rockville'!X133)</f>
        <v>0</v>
      </c>
      <c r="Y133" s="15">
        <f>IFERROR(X133/X148, "NA")</f>
        <v>0</v>
      </c>
      <c r="Z133" s="28">
        <f>SUM('4 - RASA - MVT'!Z133,'5 - RASA - National Landin'!Z133,'6 - RASA - Mosaic'!Z133,'7 - RASA - Rockville'!Z133)</f>
        <v>0</v>
      </c>
      <c r="AA133" s="15">
        <f>IFERROR(Z133/Z148, "NA")</f>
        <v>0</v>
      </c>
      <c r="AB133" s="57">
        <f t="shared" si="55"/>
        <v>0</v>
      </c>
      <c r="AC133" s="15">
        <f>IFERROR(AB133/AB148, "NA")</f>
        <v>0</v>
      </c>
      <c r="AD133" s="61">
        <f t="shared" si="56"/>
        <v>0</v>
      </c>
      <c r="AE133" s="62">
        <f>IFERROR(AD133/AD148, "NA")</f>
        <v>0</v>
      </c>
      <c r="AF133" s="61" t="str">
        <f t="shared" si="57"/>
        <v>NA</v>
      </c>
      <c r="AG133" s="57">
        <f t="shared" si="58"/>
        <v>0</v>
      </c>
      <c r="AH133" s="15">
        <f>IFERROR(AG133/AG148, "NA")</f>
        <v>0</v>
      </c>
      <c r="AI133" s="61">
        <f t="shared" si="59"/>
        <v>0</v>
      </c>
      <c r="AJ133" s="62">
        <f>IFERROR(AI133/AI148, "NA")</f>
        <v>0</v>
      </c>
      <c r="AK133" s="61" t="str">
        <f t="shared" si="60"/>
        <v>NA</v>
      </c>
      <c r="AL133" s="62" t="str">
        <f>IFERROR(AK133/AK148, "NA")</f>
        <v>NA</v>
      </c>
    </row>
    <row r="134" ht="16.5" hidden="1" customHeight="1">
      <c r="A134" s="26" t="s">
        <v>247</v>
      </c>
      <c r="B134" s="28">
        <f>SUM('4 - RASA - MVT'!B134,'5 - RASA - National Landin'!B134,'6 - RASA - Mosaic'!B134,'7 - RASA - Rockville'!B134)</f>
        <v>0</v>
      </c>
      <c r="C134" s="15">
        <f>IFERROR(B134/B148, "NA")</f>
        <v>0</v>
      </c>
      <c r="D134" s="28">
        <f>SUM('4 - RASA - MVT'!D134,'5 - RASA - National Landin'!D134,'6 - RASA - Mosaic'!D134,'7 - RASA - Rockville'!D134)</f>
        <v>0</v>
      </c>
      <c r="E134" s="15">
        <f>IFERROR(D134/D148, "NA")</f>
        <v>0</v>
      </c>
      <c r="F134" s="28">
        <f>SUM('4 - RASA - MVT'!F134,'5 - RASA - National Landin'!F134,'6 - RASA - Mosaic'!F134,'7 - RASA - Rockville'!F134)</f>
        <v>0</v>
      </c>
      <c r="G134" s="15">
        <f>IFERROR(F134/F148, "NA")</f>
        <v>0</v>
      </c>
      <c r="H134" s="28">
        <f>SUM('4 - RASA - MVT'!H134,'5 - RASA - National Landin'!H134,'6 - RASA - Mosaic'!H134,'7 - RASA - Rockville'!H134)</f>
        <v>0</v>
      </c>
      <c r="I134" s="15">
        <f>IFERROR(H134/H148, "NA")</f>
        <v>0</v>
      </c>
      <c r="J134" s="28">
        <f>SUM('4 - RASA - MVT'!J134,'5 - RASA - National Landin'!J134,'6 - RASA - Mosaic'!J134,'7 - RASA - Rockville'!J134)</f>
        <v>0</v>
      </c>
      <c r="K134" s="15">
        <f>IFERROR(J134/J148, "NA")</f>
        <v>0</v>
      </c>
      <c r="L134" s="28">
        <f>SUM('4 - RASA - MVT'!L134,'5 - RASA - National Landin'!L134,'6 - RASA - Mosaic'!L134,'7 - RASA - Rockville'!L134)</f>
        <v>0</v>
      </c>
      <c r="M134" s="15">
        <f>IFERROR(L134/L148, "NA")</f>
        <v>0</v>
      </c>
      <c r="N134" s="28">
        <f>SUM('4 - RASA - MVT'!N134,'5 - RASA - National Landin'!N134,'6 - RASA - Mosaic'!N134,'7 - RASA - Rockville'!N134)</f>
        <v>0</v>
      </c>
      <c r="O134" s="15">
        <f>IFERROR(N134/N148, "NA")</f>
        <v>0</v>
      </c>
      <c r="P134" s="28">
        <f>SUM('4 - RASA - MVT'!P134,'5 - RASA - National Landin'!P134,'6 - RASA - Mosaic'!P134,'7 - RASA - Rockville'!P134)</f>
        <v>0</v>
      </c>
      <c r="Q134" s="15">
        <f>IFERROR(P134/P148, "NA")</f>
        <v>0</v>
      </c>
      <c r="R134" s="28">
        <f>SUM('4 - RASA - MVT'!R134,'5 - RASA - National Landin'!R134,'6 - RASA - Mosaic'!R134,'7 - RASA - Rockville'!R134)</f>
        <v>0</v>
      </c>
      <c r="S134" s="15">
        <f>IFERROR(R134/R148, "NA")</f>
        <v>0</v>
      </c>
      <c r="T134" s="28">
        <f>SUM('4 - RASA - MVT'!T134,'5 - RASA - National Landin'!T134,'6 - RASA - Mosaic'!T134,'7 - RASA - Rockville'!T134)</f>
        <v>0</v>
      </c>
      <c r="U134" s="15">
        <f>IFERROR(T134/T148, "NA")</f>
        <v>0</v>
      </c>
      <c r="V134" s="28">
        <f>SUM('4 - RASA - MVT'!V134,'5 - RASA - National Landin'!V134,'6 - RASA - Mosaic'!V134,'7 - RASA - Rockville'!V134)</f>
        <v>0</v>
      </c>
      <c r="W134" s="15">
        <f>IFERROR(V134/V148, "NA")</f>
        <v>0</v>
      </c>
      <c r="X134" s="28">
        <f>SUM('4 - RASA - MVT'!X134,'5 - RASA - National Landin'!X134,'6 - RASA - Mosaic'!X134,'7 - RASA - Rockville'!X134)</f>
        <v>0</v>
      </c>
      <c r="Y134" s="15">
        <f>IFERROR(X134/X148, "NA")</f>
        <v>0</v>
      </c>
      <c r="Z134" s="28">
        <f>SUM('4 - RASA - MVT'!Z134,'5 - RASA - National Landin'!Z134,'6 - RASA - Mosaic'!Z134,'7 - RASA - Rockville'!Z134)</f>
        <v>0</v>
      </c>
      <c r="AA134" s="15">
        <f>IFERROR(Z134/Z148, "NA")</f>
        <v>0</v>
      </c>
      <c r="AB134" s="57">
        <f t="shared" si="55"/>
        <v>0</v>
      </c>
      <c r="AC134" s="15">
        <f>IFERROR(AB134/AB148, "NA")</f>
        <v>0</v>
      </c>
      <c r="AD134" s="61">
        <f t="shared" si="56"/>
        <v>0</v>
      </c>
      <c r="AE134" s="62">
        <f>IFERROR(AD134/AD148, "NA")</f>
        <v>0</v>
      </c>
      <c r="AF134" s="61" t="str">
        <f t="shared" si="57"/>
        <v>NA</v>
      </c>
      <c r="AG134" s="57">
        <f t="shared" si="58"/>
        <v>0</v>
      </c>
      <c r="AH134" s="15">
        <f>IFERROR(AG134/AG148, "NA")</f>
        <v>0</v>
      </c>
      <c r="AI134" s="61">
        <f t="shared" si="59"/>
        <v>0</v>
      </c>
      <c r="AJ134" s="62">
        <f>IFERROR(AI134/AI148, "NA")</f>
        <v>0</v>
      </c>
      <c r="AK134" s="61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248</v>
      </c>
      <c r="B135" s="70">
        <f>IFERROR(B110+B111+B112+B113+B114+B115+B116+B117+B118+B119+B120+B121+B122+B123+B124+B125+B126+B127+B128+B129+B130+B131+B132+B133+B134, "NA")</f>
        <v>1815.27</v>
      </c>
      <c r="C135" s="71">
        <f>IFERROR(B135/B148, "NA")</f>
        <v>0.02456121788</v>
      </c>
      <c r="D135" s="70">
        <f>IFERROR(D110+D111+D112+D113+D114+D115+D116+D117+D118+D119+D120+D121+D122+D123+D124+D125+D126+D127+D128+D129+D130+D131+D132+D133+D134, "NA")</f>
        <v>2489.44</v>
      </c>
      <c r="E135" s="71">
        <f>IFERROR(D135/D148, "NA")</f>
        <v>0.02424747258</v>
      </c>
      <c r="F135" s="70">
        <f>IFERROR(F110+F111+F112+F113+F114+F115+F116+F117+F118+F119+F120+F121+F122+F123+F124+F125+F126+F127+F128+F129+F130+F131+F132+F133+F134, "NA")</f>
        <v>2719.27</v>
      </c>
      <c r="G135" s="71">
        <f>IFERROR(F135/F148, "NA")</f>
        <v>0.02487406184</v>
      </c>
      <c r="H135" s="70">
        <f>IFERROR(H110+H111+H112+H113+H114+H115+H116+H117+H118+H119+H120+H121+H122+H123+H124+H125+H126+H127+H128+H129+H130+H131+H132+H133+H134, "NA")</f>
        <v>-7023.98</v>
      </c>
      <c r="I135" s="71">
        <f>IFERROR(H135/H148, "NA")</f>
        <v>-0.0574015337</v>
      </c>
      <c r="J135" s="70">
        <f>IFERROR(J110+J111+J112+J113+J114+J115+J116+J117+J118+J119+J120+J121+J122+J123+J124+J125+J126+J127+J128+J129+J130+J131+J132+J133+J134, "NA")</f>
        <v>4493.77</v>
      </c>
      <c r="K135" s="71">
        <f>IFERROR(J135/J148, "NA")</f>
        <v>0.03945137483</v>
      </c>
      <c r="L135" s="70">
        <f>IFERROR(L110+L111+L112+L113+L114+L115+L116+L117+L118+L119+L120+L121+L122+L123+L124+L125+L126+L127+L128+L129+L130+L131+L132+L133+L134, "NA")</f>
        <v>1526.68</v>
      </c>
      <c r="M135" s="71">
        <f>IFERROR(L135/L148, "NA")</f>
        <v>0.01216843335</v>
      </c>
      <c r="N135" s="70">
        <f>IFERROR(N110+N111+N112+N113+N114+N115+N116+N117+N118+N119+N120+N121+N122+N123+N124+N125+N126+N127+N128+N129+N130+N131+N132+N133+N134, "NA")</f>
        <v>1734.74</v>
      </c>
      <c r="O135" s="71">
        <f>IFERROR(N135/N148, "NA")</f>
        <v>0.01263571131</v>
      </c>
      <c r="P135" s="70">
        <f>IFERROR(P110+P111+P112+P113+P114+P115+P116+P117+P118+P119+P120+P121+P122+P123+P124+P125+P126+P127+P128+P129+P130+P131+P132+P133+P134, "NA")</f>
        <v>1682.04</v>
      </c>
      <c r="Q135" s="71">
        <f>IFERROR(P135/P148, "NA")</f>
        <v>0.01141549908</v>
      </c>
      <c r="R135" s="70">
        <f>IFERROR(R110+R111+R112+R113+R114+R115+R116+R117+R118+R119+R120+R121+R122+R123+R124+R125+R126+R127+R128+R129+R130+R131+R132+R133+R134, "NA")</f>
        <v>-9437.23</v>
      </c>
      <c r="S135" s="71">
        <f>IFERROR(R135/R148, "NA")</f>
        <v>-0.06533818593</v>
      </c>
      <c r="T135" s="70">
        <f>IFERROR(T110+T111+T112+T113+T114+T115+T116+T117+T118+T119+T120+T121+T122+T123+T124+T125+T126+T127+T128+T129+T130+T131+T132+T133+T134, "NA")</f>
        <v>1699.13</v>
      </c>
      <c r="U135" s="71">
        <f>IFERROR(T135/T148, "NA")</f>
        <v>0.01332209</v>
      </c>
      <c r="V135" s="70">
        <f>IFERROR(V110+V111+V112+V113+V114+V115+V116+V117+V118+V119+V120+V121+V122+V123+V124+V125+V126+V127+V128+V129+V130+V131+V132+V133+V134, "NA")</f>
        <v>2119.93</v>
      </c>
      <c r="W135" s="71">
        <f>IFERROR(V135/V148, "NA")</f>
        <v>0.01600252003</v>
      </c>
      <c r="X135" s="70">
        <f>IFERROR(X110+X111+X112+X113+X114+X115+X116+X117+X118+X119+X120+X121+X122+X123+X124+X125+X126+X127+X128+X129+X130+X131+X132+X133+X134, "NA")</f>
        <v>11310.32</v>
      </c>
      <c r="Y135" s="71">
        <f>IFERROR(X135/X148, "NA")</f>
        <v>0.07906515337</v>
      </c>
      <c r="Z135" s="70">
        <f>IFERROR(Z110+Z111+Z112+Z113+Z114+Z115+Z116+Z117+Z118+Z119+Z120+Z121+Z122+Z123+Z124+Z125+Z126+Z127+Z128+Z129+Z130+Z131+Z132+Z133+Z134, "NA")</f>
        <v>15129.38</v>
      </c>
      <c r="AA135" s="71">
        <f>IFERROR(Z135/Z148, "NA")</f>
        <v>0.03753558118</v>
      </c>
      <c r="AB135" s="70">
        <f t="shared" si="55"/>
        <v>1423.0375</v>
      </c>
      <c r="AC135" s="71">
        <f>IFERROR(AB135/AB148, "NA")</f>
        <v>0.01039653821</v>
      </c>
      <c r="AD135" s="75">
        <f t="shared" si="56"/>
        <v>9887.2825</v>
      </c>
      <c r="AE135" s="76">
        <f>IFERROR(AD135/AD148, "NA")</f>
        <v>1.601298639</v>
      </c>
      <c r="AF135" s="75">
        <f t="shared" si="57"/>
        <v>6.948012614</v>
      </c>
      <c r="AG135" s="70">
        <f t="shared" si="58"/>
        <v>1891.1725</v>
      </c>
      <c r="AH135" s="71">
        <f>IFERROR(AG135/AG148, "NA")</f>
        <v>0.01411969541</v>
      </c>
      <c r="AI135" s="75">
        <f t="shared" si="59"/>
        <v>9419.1475</v>
      </c>
      <c r="AJ135" s="76">
        <f>IFERROR(AI135/AI148, "NA")</f>
        <v>1.033706746</v>
      </c>
      <c r="AK135" s="75">
        <f t="shared" si="60"/>
        <v>4.980586118</v>
      </c>
      <c r="AL135" s="76">
        <f>IFERROR(AK135/AK148, "NA")</f>
        <v>73.21027234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2"/>
      <c r="AF136" s="125"/>
      <c r="AG136" s="124"/>
      <c r="AH136" s="74"/>
      <c r="AI136" s="125"/>
      <c r="AJ136" s="82"/>
      <c r="AK136" s="125"/>
      <c r="AL136" s="82"/>
    </row>
    <row r="137" ht="16.5" hidden="1" customHeight="1">
      <c r="A137" s="121" t="s">
        <v>249</v>
      </c>
      <c r="B137" s="122">
        <f>IFERROR(B107-B135, "NA")</f>
        <v>12878.48</v>
      </c>
      <c r="C137" s="98">
        <f>IFERROR(B137/B148, "NA")</f>
        <v>0.174250196</v>
      </c>
      <c r="D137" s="122">
        <f>IFERROR(D107-D135, "NA")</f>
        <v>18118</v>
      </c>
      <c r="E137" s="98">
        <f>IFERROR(D137/D148, "NA")</f>
        <v>0.1764716998</v>
      </c>
      <c r="F137" s="122">
        <f>IFERROR(F107-F135, "NA")</f>
        <v>-1642.44</v>
      </c>
      <c r="G137" s="98">
        <f>IFERROR(F137/F148, "NA")</f>
        <v>-0.01502394177</v>
      </c>
      <c r="H137" s="122">
        <f>IFERROR(H107-H135, "NA")</f>
        <v>-40488.9</v>
      </c>
      <c r="I137" s="98">
        <f>IFERROR(H137/H148, "NA")</f>
        <v>-0.3308843359</v>
      </c>
      <c r="J137" s="122">
        <f>IFERROR(J107-J135, "NA")</f>
        <v>27411.68</v>
      </c>
      <c r="K137" s="98">
        <f>IFERROR(J137/J148, "NA")</f>
        <v>0.2406506035</v>
      </c>
      <c r="L137" s="122">
        <f>IFERROR(L107-L135, "NA")</f>
        <v>28679.09</v>
      </c>
      <c r="M137" s="98">
        <f>IFERROR(L137/L148, "NA")</f>
        <v>0.228587258</v>
      </c>
      <c r="N137" s="122">
        <f>IFERROR(N107-N135, "NA")</f>
        <v>14980.16</v>
      </c>
      <c r="O137" s="98">
        <f>IFERROR(N137/N148, "NA")</f>
        <v>0.1091143209</v>
      </c>
      <c r="P137" s="122">
        <f>IFERROR(P107-P135, "NA")</f>
        <v>41906.48</v>
      </c>
      <c r="Q137" s="98">
        <f>IFERROR(P137/P148, "NA")</f>
        <v>0.2844066633</v>
      </c>
      <c r="R137" s="122">
        <f>IFERROR(R107-R135, "NA")</f>
        <v>-34144.03</v>
      </c>
      <c r="S137" s="98">
        <f>IFERROR(R137/R148, "NA")</f>
        <v>-0.2363944696</v>
      </c>
      <c r="T137" s="122">
        <f>IFERROR(T107-T135, "NA")</f>
        <v>28539.2</v>
      </c>
      <c r="U137" s="98">
        <f>IFERROR(T137/T148, "NA")</f>
        <v>0.2237626262</v>
      </c>
      <c r="V137" s="122">
        <f>IFERROR(V107-V135, "NA")</f>
        <v>28288.35</v>
      </c>
      <c r="W137" s="98">
        <f>IFERROR(V137/V148, "NA")</f>
        <v>0.213537658</v>
      </c>
      <c r="X137" s="122">
        <f>IFERROR(X107-X135, "NA")</f>
        <v>15952.25</v>
      </c>
      <c r="Y137" s="98">
        <f>IFERROR(X137/X148, "NA")</f>
        <v>0.1115147134</v>
      </c>
      <c r="Z137" s="122">
        <f>IFERROR(Z107-Z135, "NA")</f>
        <v>72779.8</v>
      </c>
      <c r="AA137" s="98">
        <f>IFERROR(Z137/Z148, "NA")</f>
        <v>0.1805647086</v>
      </c>
      <c r="AB137" s="122">
        <f>IFERROR((R137+T137+V137+X137)/4, "NA")</f>
        <v>9658.9425</v>
      </c>
      <c r="AC137" s="98">
        <f>IFERROR(AB137/AB148, "NA")</f>
        <v>0.07056705448</v>
      </c>
      <c r="AD137" s="75">
        <f>IFERROR(X137-AB137, "NA")</f>
        <v>6293.3075</v>
      </c>
      <c r="AE137" s="76">
        <f>IFERROR(AD137/AD148, "NA")</f>
        <v>1.019235036</v>
      </c>
      <c r="AF137" s="75">
        <f>IFERROR((X137-AB137)/AB137, "NA")</f>
        <v>0.6515524344</v>
      </c>
      <c r="AG137" s="122">
        <f>IFERROR((J137+L137+N137+P137+R137+T137+V137+X137)/8, "NA")</f>
        <v>18951.6475</v>
      </c>
      <c r="AH137" s="98">
        <f>IFERROR(AG137/AG148, "NA")</f>
        <v>0.1414950197</v>
      </c>
      <c r="AI137" s="75">
        <f>IFERROR(X137-AG137, "NA")</f>
        <v>-2999.3975</v>
      </c>
      <c r="AJ137" s="76">
        <f>IFERROR(AI137/AI148, "NA")</f>
        <v>-0.3291696441</v>
      </c>
      <c r="AK137" s="75">
        <f>IFERROR((X137-AG137)/AG137, "NA")</f>
        <v>-0.1582657919</v>
      </c>
      <c r="AL137" s="76">
        <f>IFERROR(AK137/AK148, "NA")</f>
        <v>-2.326369117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2"/>
      <c r="AF138" s="125"/>
      <c r="AG138" s="124"/>
      <c r="AH138" s="74"/>
      <c r="AI138" s="125"/>
      <c r="AJ138" s="82"/>
      <c r="AK138" s="125"/>
      <c r="AL138" s="82"/>
    </row>
    <row r="139" ht="16.5" hidden="1" customHeight="1">
      <c r="A139" s="22" t="s">
        <v>250</v>
      </c>
      <c r="B139" s="23"/>
      <c r="C139" s="10"/>
      <c r="D139" s="23"/>
      <c r="E139" s="10"/>
      <c r="F139" s="23"/>
      <c r="G139" s="10"/>
      <c r="H139" s="23"/>
      <c r="I139" s="10"/>
      <c r="J139" s="23"/>
      <c r="K139" s="10"/>
      <c r="L139" s="23"/>
      <c r="M139" s="10"/>
      <c r="N139" s="23"/>
      <c r="O139" s="10"/>
      <c r="P139" s="23"/>
      <c r="Q139" s="10"/>
      <c r="R139" s="23"/>
      <c r="S139" s="10"/>
      <c r="T139" s="23"/>
      <c r="U139" s="10"/>
      <c r="V139" s="23"/>
      <c r="W139" s="10"/>
      <c r="X139" s="23"/>
      <c r="Y139" s="10"/>
      <c r="Z139" s="23"/>
      <c r="AA139" s="10"/>
      <c r="AB139" s="23"/>
      <c r="AC139" s="10"/>
      <c r="AD139" s="24"/>
      <c r="AE139" s="25"/>
      <c r="AF139" s="24"/>
      <c r="AG139" s="23"/>
      <c r="AH139" s="10"/>
      <c r="AI139" s="24"/>
      <c r="AJ139" s="25"/>
      <c r="AK139" s="24"/>
      <c r="AL139" s="25"/>
    </row>
    <row r="140" ht="16.5" hidden="1" customHeight="1">
      <c r="A140" s="26" t="s">
        <v>251</v>
      </c>
      <c r="B140" s="28">
        <f>SUM('4 - RASA - MVT'!B140,'5 - RASA - National Landin'!B140,'6 - RASA - Mosaic'!B140,'7 - RASA - Rockville'!B140)</f>
        <v>742.96</v>
      </c>
      <c r="C140" s="15">
        <f>IFERROR(B140/B148, "NA")</f>
        <v>0.01005250042</v>
      </c>
      <c r="D140" s="28">
        <f>SUM('4 - RASA - MVT'!D140,'5 - RASA - National Landin'!D140,'6 - RASA - Mosaic'!D140,'7 - RASA - Rockville'!D140)</f>
        <v>0</v>
      </c>
      <c r="E140" s="15">
        <f>IFERROR(D140/D148, "NA")</f>
        <v>0</v>
      </c>
      <c r="F140" s="28">
        <f>SUM('4 - RASA - MVT'!F140,'5 - RASA - National Landin'!F140,'6 - RASA - Mosaic'!F140,'7 - RASA - Rockville'!F140)</f>
        <v>101.41</v>
      </c>
      <c r="G140" s="15">
        <f>IFERROR(F140/F148, "NA")</f>
        <v>0.000927630802</v>
      </c>
      <c r="H140" s="28">
        <f>SUM('4 - RASA - MVT'!H140,'5 - RASA - National Landin'!H140,'6 - RASA - Mosaic'!H140,'7 - RASA - Rockville'!H140)</f>
        <v>26497.32</v>
      </c>
      <c r="I140" s="15">
        <f>IFERROR(H140/H148, "NA")</f>
        <v>0.2165420185</v>
      </c>
      <c r="J140" s="28">
        <f>SUM('4 - RASA - MVT'!J140,'5 - RASA - National Landin'!J140,'6 - RASA - Mosaic'!J140,'7 - RASA - Rockville'!J140)</f>
        <v>-20</v>
      </c>
      <c r="K140" s="15">
        <f>IFERROR(J140/J148, "NA")</f>
        <v>-0.000175582528</v>
      </c>
      <c r="L140" s="28">
        <f>SUM('4 - RASA - MVT'!L140,'5 - RASA - National Landin'!L140,'6 - RASA - Mosaic'!L140,'7 - RASA - Rockville'!L140)</f>
        <v>0</v>
      </c>
      <c r="M140" s="15">
        <f>IFERROR(L140/L148, "NA")</f>
        <v>0</v>
      </c>
      <c r="N140" s="28">
        <f>SUM('4 - RASA - MVT'!N140,'5 - RASA - National Landin'!N140,'6 - RASA - Mosaic'!N140,'7 - RASA - Rockville'!N140)</f>
        <v>0</v>
      </c>
      <c r="O140" s="15">
        <f>IFERROR(N140/N148, "NA")</f>
        <v>0</v>
      </c>
      <c r="P140" s="28">
        <f>SUM('4 - RASA - MVT'!P140,'5 - RASA - National Landin'!P140,'6 - RASA - Mosaic'!P140,'7 - RASA - Rockville'!P140)</f>
        <v>-356.77</v>
      </c>
      <c r="Q140" s="15">
        <f>IFERROR(P140/P148, "NA")</f>
        <v>-0.00242129058</v>
      </c>
      <c r="R140" s="28">
        <f>SUM('4 - RASA - MVT'!R140,'5 - RASA - National Landin'!R140,'6 - RASA - Mosaic'!R140,'7 - RASA - Rockville'!R140)</f>
        <v>26563.22</v>
      </c>
      <c r="S140" s="15">
        <f>IFERROR(R140/R148, "NA")</f>
        <v>0.1839091139</v>
      </c>
      <c r="T140" s="28">
        <f>SUM('4 - RASA - MVT'!T140,'5 - RASA - National Landin'!T140,'6 - RASA - Mosaic'!T140,'7 - RASA - Rockville'!T140)</f>
        <v>0</v>
      </c>
      <c r="U140" s="15">
        <f>IFERROR(T140/T148, "NA")</f>
        <v>0</v>
      </c>
      <c r="V140" s="28">
        <f>SUM('4 - RASA - MVT'!V140,'5 - RASA - National Landin'!V140,'6 - RASA - Mosaic'!V140,'7 - RASA - Rockville'!V140)</f>
        <v>0</v>
      </c>
      <c r="W140" s="15">
        <f>IFERROR(V140/V148, "NA")</f>
        <v>0</v>
      </c>
      <c r="X140" s="28">
        <f>SUM('4 - RASA - MVT'!X140,'5 - RASA - National Landin'!X140,'6 - RASA - Mosaic'!X140,'7 - RASA - Rockville'!X140)</f>
        <v>0</v>
      </c>
      <c r="Y140" s="15">
        <f>IFERROR(X140/X148, "NA")</f>
        <v>0</v>
      </c>
      <c r="Z140" s="28">
        <f>SUM('4 - RASA - MVT'!Z140,'5 - RASA - National Landin'!Z140,'6 - RASA - Mosaic'!Z140,'7 - RASA - Rockville'!Z140)</f>
        <v>0</v>
      </c>
      <c r="AA140" s="15">
        <f>IFERROR(Z140/Z148, "NA")</f>
        <v>0</v>
      </c>
      <c r="AB140" s="57">
        <f t="shared" ref="AB140:AB141" si="61">IFERROR((R140+T140+V140+X140)/4, "NA")</f>
        <v>6640.805</v>
      </c>
      <c r="AC140" s="15">
        <f>IFERROR(AB140/AB148, "NA")</f>
        <v>0.04851691044</v>
      </c>
      <c r="AD140" s="61">
        <f t="shared" ref="AD140:AD141" si="62">IFERROR(X140-AB140, "NA")</f>
        <v>-6640.805</v>
      </c>
      <c r="AE140" s="62">
        <f>IFERROR(AD140/AD148, "NA")</f>
        <v>-1.075514127</v>
      </c>
      <c r="AF140" s="61">
        <f t="shared" ref="AF140:AF141" si="63">IFERROR((X140-AB140)/AB140, "NA")</f>
        <v>-1</v>
      </c>
      <c r="AG140" s="57">
        <f t="shared" ref="AG140:AG141" si="64">IFERROR((J140+L140+N140+P140+R140+T140+V140+X140)/8, "NA")</f>
        <v>3273.30625</v>
      </c>
      <c r="AH140" s="15">
        <f>IFERROR(AG140/AG148, "NA")</f>
        <v>0.02443885326</v>
      </c>
      <c r="AI140" s="61">
        <f t="shared" ref="AI140:AI141" si="65">IFERROR(X140-AG140, "NA")</f>
        <v>-3273.30625</v>
      </c>
      <c r="AJ140" s="62">
        <f>IFERROR(AI140/AI148, "NA")</f>
        <v>-0.3592298297</v>
      </c>
      <c r="AK140" s="61">
        <f t="shared" ref="AK140:AK141" si="66">IFERROR((X140-AG140)/AG140, "NA")</f>
        <v>-1</v>
      </c>
      <c r="AL140" s="62">
        <f>IFERROR(AK140/AK148, "NA")</f>
        <v>-14.6991279</v>
      </c>
    </row>
    <row r="141" ht="16.5" hidden="1" customHeight="1">
      <c r="A141" s="67" t="s">
        <v>252</v>
      </c>
      <c r="B141" s="70">
        <f>IFERROR(B140, "NA")</f>
        <v>742.96</v>
      </c>
      <c r="C141" s="71">
        <f>IFERROR(B141/B148, "NA")</f>
        <v>0.01005250042</v>
      </c>
      <c r="D141" s="70">
        <f>IFERROR(D140, "NA")</f>
        <v>0</v>
      </c>
      <c r="E141" s="71">
        <f>IFERROR(D141/D148, "NA")</f>
        <v>0</v>
      </c>
      <c r="F141" s="70">
        <f>IFERROR(F140, "NA")</f>
        <v>101.41</v>
      </c>
      <c r="G141" s="71">
        <f>IFERROR(F141/F148, "NA")</f>
        <v>0.000927630802</v>
      </c>
      <c r="H141" s="70">
        <f>IFERROR(H140, "NA")</f>
        <v>26497.32</v>
      </c>
      <c r="I141" s="71">
        <f>IFERROR(H141/H148, "NA")</f>
        <v>0.2165420185</v>
      </c>
      <c r="J141" s="70">
        <f>IFERROR(J140, "NA")</f>
        <v>-20</v>
      </c>
      <c r="K141" s="71">
        <f>IFERROR(J141/J148, "NA")</f>
        <v>-0.000175582528</v>
      </c>
      <c r="L141" s="70">
        <f>IFERROR(L140, "NA")</f>
        <v>0</v>
      </c>
      <c r="M141" s="71">
        <f>IFERROR(L141/L148, "NA")</f>
        <v>0</v>
      </c>
      <c r="N141" s="70">
        <f>IFERROR(N140, "NA")</f>
        <v>0</v>
      </c>
      <c r="O141" s="71">
        <f>IFERROR(N141/N148, "NA")</f>
        <v>0</v>
      </c>
      <c r="P141" s="70">
        <f>IFERROR(P140, "NA")</f>
        <v>-356.77</v>
      </c>
      <c r="Q141" s="71">
        <f>IFERROR(P141/P148, "NA")</f>
        <v>-0.00242129058</v>
      </c>
      <c r="R141" s="70">
        <f>IFERROR(R140, "NA")</f>
        <v>26563.22</v>
      </c>
      <c r="S141" s="71">
        <f>IFERROR(R141/R148, "NA")</f>
        <v>0.1839091139</v>
      </c>
      <c r="T141" s="70">
        <f>IFERROR(T140, "NA")</f>
        <v>0</v>
      </c>
      <c r="U141" s="71">
        <f>IFERROR(T141/T148, "NA")</f>
        <v>0</v>
      </c>
      <c r="V141" s="70">
        <f>IFERROR(V140, "NA")</f>
        <v>0</v>
      </c>
      <c r="W141" s="71">
        <f>IFERROR(V141/V148, "NA")</f>
        <v>0</v>
      </c>
      <c r="X141" s="70">
        <f>IFERROR(X140, "NA")</f>
        <v>0</v>
      </c>
      <c r="Y141" s="71">
        <f>IFERROR(X141/X148, "NA")</f>
        <v>0</v>
      </c>
      <c r="Z141" s="70">
        <f>IFERROR(Z140, "NA")</f>
        <v>0</v>
      </c>
      <c r="AA141" s="71">
        <f>IFERROR(Z141/Z148, "NA")</f>
        <v>0</v>
      </c>
      <c r="AB141" s="70">
        <f t="shared" si="61"/>
        <v>6640.805</v>
      </c>
      <c r="AC141" s="71">
        <f>IFERROR(AB141/AB148, "NA")</f>
        <v>0.04851691044</v>
      </c>
      <c r="AD141" s="75">
        <f t="shared" si="62"/>
        <v>-6640.805</v>
      </c>
      <c r="AE141" s="76">
        <f>IFERROR(AD141/AD148, "NA")</f>
        <v>-1.075514127</v>
      </c>
      <c r="AF141" s="75">
        <f t="shared" si="63"/>
        <v>-1</v>
      </c>
      <c r="AG141" s="70">
        <f t="shared" si="64"/>
        <v>3273.30625</v>
      </c>
      <c r="AH141" s="71">
        <f>IFERROR(AG141/AG148, "NA")</f>
        <v>0.02443885326</v>
      </c>
      <c r="AI141" s="75">
        <f t="shared" si="65"/>
        <v>-3273.30625</v>
      </c>
      <c r="AJ141" s="76">
        <f>IFERROR(AI141/AI148, "NA")</f>
        <v>-0.3592298297</v>
      </c>
      <c r="AK141" s="75">
        <f t="shared" si="66"/>
        <v>-1</v>
      </c>
      <c r="AL141" s="76">
        <f>IFERROR(AK141/AK148, "NA")</f>
        <v>-14.6991279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2"/>
      <c r="AF142" s="125"/>
      <c r="AG142" s="124"/>
      <c r="AH142" s="74"/>
      <c r="AI142" s="125"/>
      <c r="AJ142" s="82"/>
      <c r="AK142" s="125"/>
      <c r="AL142" s="82"/>
    </row>
    <row r="143" ht="16.5" hidden="1" customHeight="1">
      <c r="A143" s="22" t="s">
        <v>253</v>
      </c>
      <c r="B143" s="23"/>
      <c r="C143" s="10"/>
      <c r="D143" s="23"/>
      <c r="E143" s="10"/>
      <c r="F143" s="23"/>
      <c r="G143" s="10"/>
      <c r="H143" s="23"/>
      <c r="I143" s="10"/>
      <c r="J143" s="23"/>
      <c r="K143" s="10"/>
      <c r="L143" s="23"/>
      <c r="M143" s="10"/>
      <c r="N143" s="23"/>
      <c r="O143" s="10"/>
      <c r="P143" s="23"/>
      <c r="Q143" s="10"/>
      <c r="R143" s="23"/>
      <c r="S143" s="10"/>
      <c r="T143" s="23"/>
      <c r="U143" s="10"/>
      <c r="V143" s="23"/>
      <c r="W143" s="10"/>
      <c r="X143" s="23"/>
      <c r="Y143" s="10"/>
      <c r="Z143" s="23"/>
      <c r="AA143" s="10"/>
      <c r="AB143" s="23"/>
      <c r="AC143" s="10"/>
      <c r="AD143" s="24"/>
      <c r="AE143" s="25"/>
      <c r="AF143" s="24"/>
      <c r="AG143" s="23"/>
      <c r="AH143" s="10"/>
      <c r="AI143" s="24"/>
      <c r="AJ143" s="25"/>
      <c r="AK143" s="24"/>
      <c r="AL143" s="25"/>
    </row>
    <row r="144" ht="16.5" hidden="1" customHeight="1">
      <c r="A144" s="26" t="s">
        <v>254</v>
      </c>
      <c r="B144" s="28">
        <f>SUM('4 - RASA - MVT'!B144,'5 - RASA - National Landin'!B144,'6 - RASA - Mosaic'!B144,'7 - RASA - Rockville'!B144)</f>
        <v>0</v>
      </c>
      <c r="C144" s="15">
        <f>IFERROR(B144/B148, "NA")</f>
        <v>0</v>
      </c>
      <c r="D144" s="28">
        <f>SUM('4 - RASA - MVT'!D144,'5 - RASA - National Landin'!D144,'6 - RASA - Mosaic'!D144,'7 - RASA - Rockville'!D144)</f>
        <v>0</v>
      </c>
      <c r="E144" s="15">
        <f>IFERROR(D144/D148, "NA")</f>
        <v>0</v>
      </c>
      <c r="F144" s="28">
        <f>SUM('4 - RASA - MVT'!F144,'5 - RASA - National Landin'!F144,'6 - RASA - Mosaic'!F144,'7 - RASA - Rockville'!F144)</f>
        <v>0</v>
      </c>
      <c r="G144" s="15">
        <f>IFERROR(F144/F148, "NA")</f>
        <v>0</v>
      </c>
      <c r="H144" s="28">
        <f>SUM('4 - RASA - MVT'!H144,'5 - RASA - National Landin'!H144,'6 - RASA - Mosaic'!H144,'7 - RASA - Rockville'!H144)</f>
        <v>0</v>
      </c>
      <c r="I144" s="15">
        <f>IFERROR(H144/H148, "NA")</f>
        <v>0</v>
      </c>
      <c r="J144" s="28">
        <f>SUM('4 - RASA - MVT'!J144,'5 - RASA - National Landin'!J144,'6 - RASA - Mosaic'!J144,'7 - RASA - Rockville'!J144)</f>
        <v>0</v>
      </c>
      <c r="K144" s="15">
        <f>IFERROR(J144/J148, "NA")</f>
        <v>0</v>
      </c>
      <c r="L144" s="28">
        <f>SUM('4 - RASA - MVT'!L144,'5 - RASA - National Landin'!L144,'6 - RASA - Mosaic'!L144,'7 - RASA - Rockville'!L144)</f>
        <v>0</v>
      </c>
      <c r="M144" s="15">
        <f>IFERROR(L144/L148, "NA")</f>
        <v>0</v>
      </c>
      <c r="N144" s="28">
        <f>SUM('4 - RASA - MVT'!N144,'5 - RASA - National Landin'!N144,'6 - RASA - Mosaic'!N144,'7 - RASA - Rockville'!N144)</f>
        <v>0</v>
      </c>
      <c r="O144" s="15">
        <f>IFERROR(N144/N148, "NA")</f>
        <v>0</v>
      </c>
      <c r="P144" s="28">
        <f>SUM('4 - RASA - MVT'!P144,'5 - RASA - National Landin'!P144,'6 - RASA - Mosaic'!P144,'7 - RASA - Rockville'!P144)</f>
        <v>0</v>
      </c>
      <c r="Q144" s="15">
        <f>IFERROR(P144/P148, "NA")</f>
        <v>0</v>
      </c>
      <c r="R144" s="28">
        <f>SUM('4 - RASA - MVT'!R144,'5 - RASA - National Landin'!R144,'6 - RASA - Mosaic'!R144,'7 - RASA - Rockville'!R144)</f>
        <v>0</v>
      </c>
      <c r="S144" s="15">
        <f>IFERROR(R144/R148, "NA")</f>
        <v>0</v>
      </c>
      <c r="T144" s="28">
        <f>SUM('4 - RASA - MVT'!T144,'5 - RASA - National Landin'!T144,'6 - RASA - Mosaic'!T144,'7 - RASA - Rockville'!T144)</f>
        <v>0</v>
      </c>
      <c r="U144" s="15">
        <f>IFERROR(T144/T148, "NA")</f>
        <v>0</v>
      </c>
      <c r="V144" s="28">
        <f>SUM('4 - RASA - MVT'!V144,'5 - RASA - National Landin'!V144,'6 - RASA - Mosaic'!V144,'7 - RASA - Rockville'!V144)</f>
        <v>0</v>
      </c>
      <c r="W144" s="15">
        <f>IFERROR(V144/V148, "NA")</f>
        <v>0</v>
      </c>
      <c r="X144" s="28">
        <f>SUM('4 - RASA - MVT'!X144,'5 - RASA - National Landin'!X144,'6 - RASA - Mosaic'!X144,'7 - RASA - Rockville'!X144)</f>
        <v>0</v>
      </c>
      <c r="Y144" s="15">
        <f>IFERROR(X144/X148, "NA")</f>
        <v>0</v>
      </c>
      <c r="Z144" s="28">
        <f>SUM('4 - RASA - MVT'!Z144,'5 - RASA - National Landin'!Z144,'6 - RASA - Mosaic'!Z144,'7 - RASA - Rockville'!Z144)</f>
        <v>0</v>
      </c>
      <c r="AA144" s="15">
        <f>IFERROR(Z144/Z148, "NA")</f>
        <v>0</v>
      </c>
      <c r="AB144" s="57">
        <f t="shared" ref="AB144:AB145" si="67">IFERROR((R144+T144+V144+X144)/4, "NA")</f>
        <v>0</v>
      </c>
      <c r="AC144" s="15">
        <f>IFERROR(AB144/AB148, "NA")</f>
        <v>0</v>
      </c>
      <c r="AD144" s="61">
        <f t="shared" ref="AD144:AD145" si="68">IFERROR(X144-AB144, "NA")</f>
        <v>0</v>
      </c>
      <c r="AE144" s="62">
        <f>IFERROR(AD144/AD148, "NA")</f>
        <v>0</v>
      </c>
      <c r="AF144" s="61" t="str">
        <f t="shared" ref="AF144:AF145" si="69">IFERROR((X144-AB144)/AB144, "NA")</f>
        <v>NA</v>
      </c>
      <c r="AG144" s="57">
        <f t="shared" ref="AG144:AG145" si="70">IFERROR((J144+L144+N144+P144+R144+T144+V144+X144)/8, "NA")</f>
        <v>0</v>
      </c>
      <c r="AH144" s="15">
        <f>IFERROR(AG144/AG148, "NA")</f>
        <v>0</v>
      </c>
      <c r="AI144" s="61">
        <f t="shared" ref="AI144:AI145" si="71">IFERROR(X144-AG144, "NA")</f>
        <v>0</v>
      </c>
      <c r="AJ144" s="62">
        <f>IFERROR(AI144/AI148, "NA")</f>
        <v>0</v>
      </c>
      <c r="AK144" s="61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255</v>
      </c>
      <c r="B145" s="70">
        <f>IFERROR(B144, "NA")</f>
        <v>0</v>
      </c>
      <c r="C145" s="71">
        <f>IFERROR(B145/B148, "NA")</f>
        <v>0</v>
      </c>
      <c r="D145" s="70">
        <f>IFERROR(D144, "NA")</f>
        <v>0</v>
      </c>
      <c r="E145" s="71">
        <f>IFERROR(D145/D148, "NA")</f>
        <v>0</v>
      </c>
      <c r="F145" s="70">
        <f>IFERROR(F144, "NA")</f>
        <v>0</v>
      </c>
      <c r="G145" s="71">
        <f>IFERROR(F145/F148, "NA")</f>
        <v>0</v>
      </c>
      <c r="H145" s="70">
        <f>IFERROR(H144, "NA")</f>
        <v>0</v>
      </c>
      <c r="I145" s="71">
        <f>IFERROR(H145/H148, "NA")</f>
        <v>0</v>
      </c>
      <c r="J145" s="70">
        <f>IFERROR(J144, "NA")</f>
        <v>0</v>
      </c>
      <c r="K145" s="71">
        <f>IFERROR(J145/J148, "NA")</f>
        <v>0</v>
      </c>
      <c r="L145" s="70">
        <f>IFERROR(L144, "NA")</f>
        <v>0</v>
      </c>
      <c r="M145" s="71">
        <f>IFERROR(L145/L148, "NA")</f>
        <v>0</v>
      </c>
      <c r="N145" s="70">
        <f>IFERROR(N144, "NA")</f>
        <v>0</v>
      </c>
      <c r="O145" s="71">
        <f>IFERROR(N145/N148, "NA")</f>
        <v>0</v>
      </c>
      <c r="P145" s="70">
        <f>IFERROR(P144, "NA")</f>
        <v>0</v>
      </c>
      <c r="Q145" s="71">
        <f>IFERROR(P145/P148, "NA")</f>
        <v>0</v>
      </c>
      <c r="R145" s="70">
        <f>IFERROR(R144, "NA")</f>
        <v>0</v>
      </c>
      <c r="S145" s="71">
        <f>IFERROR(R145/R148, "NA")</f>
        <v>0</v>
      </c>
      <c r="T145" s="70">
        <f>IFERROR(T144, "NA")</f>
        <v>0</v>
      </c>
      <c r="U145" s="71">
        <f>IFERROR(T145/T148, "NA")</f>
        <v>0</v>
      </c>
      <c r="V145" s="70">
        <f>IFERROR(V144, "NA")</f>
        <v>0</v>
      </c>
      <c r="W145" s="71">
        <f>IFERROR(V145/V148, "NA")</f>
        <v>0</v>
      </c>
      <c r="X145" s="70">
        <f>IFERROR(X144, "NA")</f>
        <v>0</v>
      </c>
      <c r="Y145" s="71">
        <f>IFERROR(X145/X148, "NA")</f>
        <v>0</v>
      </c>
      <c r="Z145" s="70">
        <f>IFERROR(Z144, "NA")</f>
        <v>0</v>
      </c>
      <c r="AA145" s="71">
        <f>IFERROR(Z145/Z148, "NA")</f>
        <v>0</v>
      </c>
      <c r="AB145" s="70">
        <f t="shared" si="67"/>
        <v>0</v>
      </c>
      <c r="AC145" s="71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70">
        <f t="shared" si="70"/>
        <v>0</v>
      </c>
      <c r="AH145" s="71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2"/>
      <c r="AF146" s="125"/>
      <c r="AG146" s="124"/>
      <c r="AH146" s="74"/>
      <c r="AI146" s="125"/>
      <c r="AJ146" s="82"/>
      <c r="AK146" s="125"/>
      <c r="AL146" s="82"/>
    </row>
    <row r="147" ht="16.5" hidden="1" customHeight="1">
      <c r="A147" s="121" t="s">
        <v>256</v>
      </c>
      <c r="B147" s="122">
        <f>IFERROR(B137-B141-B145, "NA")</f>
        <v>12135.52</v>
      </c>
      <c r="C147" s="98">
        <f>IFERROR(B147/B148, "NA")</f>
        <v>0.1641976956</v>
      </c>
      <c r="D147" s="122">
        <f>IFERROR(D137-D141-D145, "NA")</f>
        <v>18118</v>
      </c>
      <c r="E147" s="98">
        <f>IFERROR(D147/D148, "NA")</f>
        <v>0.1764716998</v>
      </c>
      <c r="F147" s="122">
        <f>IFERROR(F137-F141-F145, "NA")</f>
        <v>-1743.85</v>
      </c>
      <c r="G147" s="98">
        <f>IFERROR(F147/F148, "NA")</f>
        <v>-0.01595157257</v>
      </c>
      <c r="H147" s="122">
        <f>IFERROR(H137-H141-H145, "NA")</f>
        <v>-66986.22</v>
      </c>
      <c r="I147" s="98">
        <f>IFERROR(H147/H148, "NA")</f>
        <v>-0.5474263544</v>
      </c>
      <c r="J147" s="122">
        <f>IFERROR(J137-J141-J145, "NA")</f>
        <v>27431.68</v>
      </c>
      <c r="K147" s="98">
        <f>IFERROR(J147/J148, "NA")</f>
        <v>0.240826186</v>
      </c>
      <c r="L147" s="122">
        <f>IFERROR(L137-L141-L145, "NA")</f>
        <v>28679.09</v>
      </c>
      <c r="M147" s="98">
        <f>IFERROR(L147/L148, "NA")</f>
        <v>0.228587258</v>
      </c>
      <c r="N147" s="122">
        <f>IFERROR(N137-N141-N145, "NA")</f>
        <v>14980.16</v>
      </c>
      <c r="O147" s="98">
        <f>IFERROR(N147/N148, "NA")</f>
        <v>0.1091143209</v>
      </c>
      <c r="P147" s="122">
        <f>IFERROR(P137-P141-P145, "NA")</f>
        <v>42263.25</v>
      </c>
      <c r="Q147" s="98">
        <f>IFERROR(P147/P148, "NA")</f>
        <v>0.2868279539</v>
      </c>
      <c r="R147" s="122">
        <f>IFERROR(R137-R141-R145, "NA")</f>
        <v>-60707.25</v>
      </c>
      <c r="S147" s="98">
        <f>IFERROR(R147/R148, "NA")</f>
        <v>-0.4203035836</v>
      </c>
      <c r="T147" s="122">
        <f>IFERROR(T137-T141-T145, "NA")</f>
        <v>28539.2</v>
      </c>
      <c r="U147" s="98">
        <f>IFERROR(T147/T148, "NA")</f>
        <v>0.2237626262</v>
      </c>
      <c r="V147" s="122">
        <f>IFERROR(V137-V141-V145, "NA")</f>
        <v>28288.35</v>
      </c>
      <c r="W147" s="98">
        <f>IFERROR(V147/V148, "NA")</f>
        <v>0.213537658</v>
      </c>
      <c r="X147" s="122">
        <f>IFERROR(X137-X141-X145, "NA")</f>
        <v>15952.25</v>
      </c>
      <c r="Y147" s="98">
        <f>IFERROR(X147/X148, "NA")</f>
        <v>0.1115147134</v>
      </c>
      <c r="Z147" s="122">
        <f>IFERROR(Z137-Z141-Z145, "NA")</f>
        <v>72779.8</v>
      </c>
      <c r="AA147" s="98">
        <f>IFERROR(Z147/Z148, "NA")</f>
        <v>0.1805647086</v>
      </c>
      <c r="AB147" s="122">
        <f t="shared" ref="AB147:AB148" si="73">IFERROR((R147+T147+V147+X147)/4, "NA")</f>
        <v>3018.1375</v>
      </c>
      <c r="AC147" s="98">
        <f>IFERROR(AB147/AB148, "NA")</f>
        <v>0.02205014404</v>
      </c>
      <c r="AD147" s="75">
        <f t="shared" ref="AD147:AD148" si="74">IFERROR(X147-AB147, "NA")</f>
        <v>12934.1125</v>
      </c>
      <c r="AE147" s="76">
        <f>IFERROR(AD147/AD148, "NA")</f>
        <v>2.094749164</v>
      </c>
      <c r="AF147" s="75">
        <f t="shared" ref="AF147:AF148" si="75">IFERROR((X147-AB147)/AB147, "NA")</f>
        <v>4.285461646</v>
      </c>
      <c r="AG147" s="122">
        <f t="shared" ref="AG147:AG148" si="76">IFERROR((J147+L147+N147+P147+R147+T147+V147+X147)/8, "NA")</f>
        <v>15678.34125</v>
      </c>
      <c r="AH147" s="98">
        <f>IFERROR(AG147/AG148, "NA")</f>
        <v>0.1170561664</v>
      </c>
      <c r="AI147" s="75">
        <f t="shared" ref="AI147:AI148" si="77">IFERROR(X147-AG147, "NA")</f>
        <v>273.90875</v>
      </c>
      <c r="AJ147" s="76">
        <f>IFERROR(AI147/AI148, "NA")</f>
        <v>0.03006018567</v>
      </c>
      <c r="AK147" s="75">
        <f t="shared" ref="AK147:AK148" si="78">IFERROR((X147-AG147)/AG147, "NA")</f>
        <v>0.01747051845</v>
      </c>
      <c r="AL147" s="76">
        <f>IFERROR(AK147/AK148, "NA")</f>
        <v>0.256801385</v>
      </c>
    </row>
    <row r="148" ht="14.25" hidden="1" customHeight="1">
      <c r="A148" s="26" t="s">
        <v>53</v>
      </c>
      <c r="B148" s="28">
        <f>SUM('4 - RASA - MVT'!B148,'5 - RASA - National Landin'!B148,'6 - RASA - Mosaic'!B148,'7 - RASA - Rockville'!B148)</f>
        <v>73907.98</v>
      </c>
      <c r="C148" s="128"/>
      <c r="D148" s="28">
        <f>SUM('4 - RASA - MVT'!D148,'5 - RASA - National Landin'!D148,'6 - RASA - Mosaic'!D148,'7 - RASA - Rockville'!D148)</f>
        <v>102668.02</v>
      </c>
      <c r="E148" s="128"/>
      <c r="F148" s="28">
        <f>SUM('4 - RASA - MVT'!F148,'5 - RASA - National Landin'!F148,'6 - RASA - Mosaic'!F148,'7 - RASA - Rockville'!F148)</f>
        <v>109321.51</v>
      </c>
      <c r="G148" s="128"/>
      <c r="H148" s="28">
        <f>SUM('4 - RASA - MVT'!H148,'5 - RASA - National Landin'!H148,'6 - RASA - Mosaic'!H148,'7 - RASA - Rockville'!H148)</f>
        <v>122365.72</v>
      </c>
      <c r="I148" s="128"/>
      <c r="J148" s="28">
        <f>SUM('4 - RASA - MVT'!J148,'5 - RASA - National Landin'!J148,'6 - RASA - Mosaic'!J148,'7 - RASA - Rockville'!J148)</f>
        <v>113906.55</v>
      </c>
      <c r="K148" s="128"/>
      <c r="L148" s="28">
        <f>SUM('4 - RASA - MVT'!L148,'5 - RASA - National Landin'!L148,'6 - RASA - Mosaic'!L148,'7 - RASA - Rockville'!L148)</f>
        <v>125462.33</v>
      </c>
      <c r="M148" s="128"/>
      <c r="N148" s="28">
        <f>SUM('4 - RASA - MVT'!N148,'5 - RASA - National Landin'!N148,'6 - RASA - Mosaic'!N148,'7 - RASA - Rockville'!N148)</f>
        <v>137288.67</v>
      </c>
      <c r="O148" s="128"/>
      <c r="P148" s="28">
        <f>SUM('4 - RASA - MVT'!P148,'5 - RASA - National Landin'!P148,'6 - RASA - Mosaic'!P148,'7 - RASA - Rockville'!P148)</f>
        <v>147347.04</v>
      </c>
      <c r="Q148" s="128"/>
      <c r="R148" s="28">
        <f>SUM('4 - RASA - MVT'!R148,'5 - RASA - National Landin'!R148,'6 - RASA - Mosaic'!R148,'7 - RASA - Rockville'!R148)</f>
        <v>144436.67</v>
      </c>
      <c r="S148" s="128"/>
      <c r="T148" s="28">
        <f>SUM('4 - RASA - MVT'!T148,'5 - RASA - National Landin'!T148,'6 - RASA - Mosaic'!T148,'7 - RASA - Rockville'!T148)</f>
        <v>127542.3</v>
      </c>
      <c r="U148" s="128"/>
      <c r="V148" s="28">
        <f>SUM('4 - RASA - MVT'!V148,'5 - RASA - National Landin'!V148,'6 - RASA - Mosaic'!V148,'7 - RASA - Rockville'!V148)</f>
        <v>132474.76</v>
      </c>
      <c r="W148" s="128"/>
      <c r="X148" s="28">
        <f>SUM('4 - RASA - MVT'!X148,'5 - RASA - National Landin'!X148,'6 - RASA - Mosaic'!X148,'7 - RASA - Rockville'!X148)</f>
        <v>143050.63</v>
      </c>
      <c r="Y148" s="128"/>
      <c r="Z148" s="28">
        <f>SUM('4 - RASA - MVT'!Z148,'5 - RASA - National Landin'!Z148,'6 - RASA - Mosaic'!Z148,'7 - RASA - Rockville'!Z148)</f>
        <v>403067.69</v>
      </c>
      <c r="AA148" s="128"/>
      <c r="AB148" s="57">
        <f t="shared" si="73"/>
        <v>136876.09</v>
      </c>
      <c r="AC148" s="128"/>
      <c r="AD148" s="61">
        <f t="shared" si="74"/>
        <v>6174.54</v>
      </c>
      <c r="AE148" s="129"/>
      <c r="AF148" s="61">
        <f t="shared" si="75"/>
        <v>0.04511043528</v>
      </c>
      <c r="AG148" s="57">
        <f t="shared" si="76"/>
        <v>133938.6188</v>
      </c>
      <c r="AH148" s="128"/>
      <c r="AI148" s="61">
        <f t="shared" si="77"/>
        <v>9112.01125</v>
      </c>
      <c r="AJ148" s="129"/>
      <c r="AK148" s="61">
        <f t="shared" si="78"/>
        <v>0.06803124696</v>
      </c>
      <c r="AL148" s="129"/>
    </row>
    <row r="149" ht="14.25" customHeight="1"/>
    <row r="150" ht="14.25" customHeight="1"/>
    <row r="151" ht="14.25" customHeight="1">
      <c r="A151" s="130" t="s">
        <v>257</v>
      </c>
    </row>
    <row r="152" ht="14.25" customHeight="1">
      <c r="A152" s="130" t="s">
        <v>258</v>
      </c>
    </row>
    <row r="153" ht="14.25" customHeight="1">
      <c r="A153" s="130" t="s">
        <v>259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5" t="s">
        <v>12</v>
      </c>
    </row>
    <row r="3" ht="14.25" customHeight="1">
      <c r="A3" s="6" t="s">
        <v>58</v>
      </c>
    </row>
    <row r="4" ht="14.25" customHeight="1"/>
    <row r="5" ht="13.5" customHeight="1">
      <c r="A5" s="17"/>
      <c r="B5" s="1" t="s">
        <v>16</v>
      </c>
      <c r="D5" s="1" t="s">
        <v>17</v>
      </c>
      <c r="F5" s="1" t="s">
        <v>18</v>
      </c>
      <c r="H5" s="1" t="s">
        <v>19</v>
      </c>
      <c r="J5" s="1" t="s">
        <v>20</v>
      </c>
      <c r="L5" s="1" t="s">
        <v>21</v>
      </c>
      <c r="N5" s="1" t="s">
        <v>22</v>
      </c>
      <c r="P5" s="1" t="s">
        <v>23</v>
      </c>
      <c r="R5" s="1" t="s">
        <v>25</v>
      </c>
      <c r="T5" s="1" t="s">
        <v>26</v>
      </c>
      <c r="V5" s="1" t="s">
        <v>27</v>
      </c>
      <c r="X5" s="1" t="s">
        <v>13</v>
      </c>
      <c r="Z5" s="1" t="s">
        <v>28</v>
      </c>
      <c r="AB5" s="1" t="s">
        <v>29</v>
      </c>
      <c r="AD5" s="21" t="s">
        <v>30</v>
      </c>
      <c r="AF5" s="21" t="s">
        <v>32</v>
      </c>
      <c r="AG5" s="1" t="s">
        <v>33</v>
      </c>
      <c r="AI5" s="21" t="s">
        <v>34</v>
      </c>
      <c r="AK5" s="21" t="s">
        <v>35</v>
      </c>
    </row>
    <row r="6" ht="16.5" customHeight="1">
      <c r="A6" s="22" t="s">
        <v>8</v>
      </c>
      <c r="B6" s="23"/>
      <c r="C6" s="10"/>
      <c r="D6" s="23"/>
      <c r="E6" s="10"/>
      <c r="F6" s="23"/>
      <c r="G6" s="10"/>
      <c r="H6" s="23"/>
      <c r="I6" s="10"/>
      <c r="J6" s="23"/>
      <c r="K6" s="10"/>
      <c r="L6" s="23"/>
      <c r="M6" s="10"/>
      <c r="N6" s="23"/>
      <c r="O6" s="10"/>
      <c r="P6" s="23"/>
      <c r="Q6" s="10"/>
      <c r="R6" s="23"/>
      <c r="S6" s="10"/>
      <c r="T6" s="23"/>
      <c r="U6" s="10"/>
      <c r="V6" s="23"/>
      <c r="W6" s="10"/>
      <c r="X6" s="23"/>
      <c r="Y6" s="10"/>
      <c r="Z6" s="23"/>
      <c r="AA6" s="10"/>
      <c r="AB6" s="23"/>
      <c r="AC6" s="10"/>
      <c r="AD6" s="24"/>
      <c r="AE6" s="25"/>
      <c r="AF6" s="24"/>
      <c r="AG6" s="23"/>
      <c r="AH6" s="10"/>
      <c r="AI6" s="24"/>
      <c r="AJ6" s="25"/>
      <c r="AK6" s="24"/>
      <c r="AL6" s="25"/>
    </row>
    <row r="7" ht="16.5" customHeight="1">
      <c r="A7" s="26" t="s">
        <v>8</v>
      </c>
      <c r="B7" s="28">
        <v>11561.11</v>
      </c>
      <c r="C7" s="15">
        <f>IFERROR(B7/B148, "NA")</f>
        <v>1</v>
      </c>
      <c r="D7" s="28">
        <v>18406.59</v>
      </c>
      <c r="E7" s="15">
        <f>IFERROR(D7/D148, "NA")</f>
        <v>1</v>
      </c>
      <c r="F7" s="28">
        <v>23011.37</v>
      </c>
      <c r="G7" s="15">
        <f>IFERROR(F7/F148, "NA")</f>
        <v>1</v>
      </c>
      <c r="H7" s="28">
        <v>20668.98</v>
      </c>
      <c r="I7" s="15">
        <f>IFERROR(H7/H148, "NA")</f>
        <v>1</v>
      </c>
      <c r="J7" s="28">
        <v>19942.97</v>
      </c>
      <c r="K7" s="15">
        <f>IFERROR(J7/J148, "NA")</f>
        <v>1</v>
      </c>
      <c r="L7" s="28">
        <v>29245.96</v>
      </c>
      <c r="M7" s="15">
        <f>IFERROR(L7/L148, "NA")</f>
        <v>1</v>
      </c>
      <c r="N7" s="28">
        <v>22402.68</v>
      </c>
      <c r="O7" s="15">
        <f>IFERROR(N7/N148, "NA")</f>
        <v>1</v>
      </c>
      <c r="P7" s="28">
        <v>25361.29</v>
      </c>
      <c r="Q7" s="15">
        <f>IFERROR(P7/P148, "NA")</f>
        <v>1</v>
      </c>
      <c r="R7" s="28">
        <v>23948.41</v>
      </c>
      <c r="S7" s="15">
        <f>IFERROR(R7/R148, "NA")</f>
        <v>1</v>
      </c>
      <c r="T7" s="28">
        <v>29568.36</v>
      </c>
      <c r="U7" s="15">
        <f>IFERROR(T7/T148, "NA")</f>
        <v>1</v>
      </c>
      <c r="V7" s="28">
        <v>24054.46</v>
      </c>
      <c r="W7" s="15">
        <f>IFERROR(V7/V148, "NA")</f>
        <v>1</v>
      </c>
      <c r="X7" s="28">
        <v>20138.64</v>
      </c>
      <c r="Y7" s="15">
        <f>IFERROR(X7/X148, "NA")</f>
        <v>1</v>
      </c>
      <c r="Z7" s="28">
        <v>73761.46</v>
      </c>
      <c r="AA7" s="15">
        <f>IFERROR(Z7/Z148, "NA")</f>
        <v>1</v>
      </c>
      <c r="AB7" s="57">
        <f t="shared" ref="AB7:AB9" si="1">IFERROR((R7+T7+V7+X7)/4, "NA")</f>
        <v>24427.4675</v>
      </c>
      <c r="AC7" s="15">
        <f>IFERROR(AB7/AB148, "NA")</f>
        <v>1</v>
      </c>
      <c r="AD7" s="61">
        <f t="shared" ref="AD7:AD9" si="2">IFERROR(X7-AB7, "NA")</f>
        <v>-4288.8275</v>
      </c>
      <c r="AE7" s="62">
        <f>IFERROR(AD7/AD148, "NA")</f>
        <v>1</v>
      </c>
      <c r="AF7" s="61">
        <f t="shared" ref="AF7:AF9" si="3">IFERROR((X7-AB7)/AB7, "NA")</f>
        <v>-0.1755739722</v>
      </c>
      <c r="AG7" s="57">
        <f t="shared" ref="AG7:AG9" si="4">IFERROR((J7+L7+N7+P7+R7+T7+V7+X7)/8, "NA")</f>
        <v>24332.84625</v>
      </c>
      <c r="AH7" s="15">
        <f>IFERROR(AG7/AG148, "NA")</f>
        <v>1</v>
      </c>
      <c r="AI7" s="61">
        <f t="shared" ref="AI7:AI9" si="5">IFERROR(X7-AG7, "NA")</f>
        <v>-4194.20625</v>
      </c>
      <c r="AJ7" s="62">
        <f>IFERROR(AI7/AI148, "NA")</f>
        <v>1</v>
      </c>
      <c r="AK7" s="61">
        <f t="shared" ref="AK7:AK9" si="6">IFERROR((X7-AG7)/AG7, "NA")</f>
        <v>-0.1723680907</v>
      </c>
      <c r="AL7" s="62">
        <f>IFERROR(AK7/AK148, "NA")</f>
        <v>1</v>
      </c>
    </row>
    <row r="8" ht="30.75" hidden="1" customHeight="1">
      <c r="A8" s="26" t="s">
        <v>61</v>
      </c>
      <c r="B8" s="28">
        <v>0.0</v>
      </c>
      <c r="C8" s="15">
        <f>IFERROR(B8/B148, "NA")</f>
        <v>0</v>
      </c>
      <c r="D8" s="28">
        <v>0.0</v>
      </c>
      <c r="E8" s="15">
        <f>IFERROR(D8/D148, "NA")</f>
        <v>0</v>
      </c>
      <c r="F8" s="28">
        <v>0.0</v>
      </c>
      <c r="G8" s="15">
        <f>IFERROR(F8/F148, "NA")</f>
        <v>0</v>
      </c>
      <c r="H8" s="28">
        <v>0.0</v>
      </c>
      <c r="I8" s="15">
        <f>IFERROR(H8/H148, "NA")</f>
        <v>0</v>
      </c>
      <c r="J8" s="28">
        <v>0.0</v>
      </c>
      <c r="K8" s="15">
        <f>IFERROR(J8/J148, "NA")</f>
        <v>0</v>
      </c>
      <c r="L8" s="28">
        <v>0.0</v>
      </c>
      <c r="M8" s="15">
        <f>IFERROR(L8/L148, "NA")</f>
        <v>0</v>
      </c>
      <c r="N8" s="28">
        <v>0.0</v>
      </c>
      <c r="O8" s="15">
        <f>IFERROR(N8/N148, "NA")</f>
        <v>0</v>
      </c>
      <c r="P8" s="28">
        <v>0.0</v>
      </c>
      <c r="Q8" s="15">
        <f>IFERROR(P8/P148, "NA")</f>
        <v>0</v>
      </c>
      <c r="R8" s="28">
        <v>0.0</v>
      </c>
      <c r="S8" s="15">
        <f>IFERROR(R8/R148, "NA")</f>
        <v>0</v>
      </c>
      <c r="T8" s="28">
        <v>0.0</v>
      </c>
      <c r="U8" s="15">
        <f>IFERROR(T8/T148, "NA")</f>
        <v>0</v>
      </c>
      <c r="V8" s="28">
        <v>0.0</v>
      </c>
      <c r="W8" s="15">
        <f>IFERROR(V8/V148, "NA")</f>
        <v>0</v>
      </c>
      <c r="X8" s="28">
        <v>0.0</v>
      </c>
      <c r="Y8" s="15">
        <f>IFERROR(X8/X148, "NA")</f>
        <v>0</v>
      </c>
      <c r="Z8" s="28">
        <v>0.0</v>
      </c>
      <c r="AA8" s="15">
        <f>IFERROR(Z8/Z148, "NA")</f>
        <v>0</v>
      </c>
      <c r="AB8" s="57">
        <f t="shared" si="1"/>
        <v>0</v>
      </c>
      <c r="AC8" s="15">
        <f>IFERROR(AB8/AB148, "NA")</f>
        <v>0</v>
      </c>
      <c r="AD8" s="61">
        <f t="shared" si="2"/>
        <v>0</v>
      </c>
      <c r="AE8" s="62">
        <f>IFERROR(AD8/AD148, "NA")</f>
        <v>0</v>
      </c>
      <c r="AF8" s="61" t="str">
        <f t="shared" si="3"/>
        <v>NA</v>
      </c>
      <c r="AG8" s="57">
        <f t="shared" si="4"/>
        <v>0</v>
      </c>
      <c r="AH8" s="15">
        <f>IFERROR(AG8/AG148, "NA")</f>
        <v>0</v>
      </c>
      <c r="AI8" s="61">
        <f t="shared" si="5"/>
        <v>0</v>
      </c>
      <c r="AJ8" s="62">
        <f>IFERROR(AI8/AI148, "NA")</f>
        <v>0</v>
      </c>
      <c r="AK8" s="61" t="str">
        <f t="shared" si="6"/>
        <v>NA</v>
      </c>
      <c r="AL8" s="62" t="str">
        <f>IFERROR(AK8/AK148, "NA")</f>
        <v>NA</v>
      </c>
    </row>
    <row r="9" ht="16.5" customHeight="1">
      <c r="A9" s="67" t="s">
        <v>53</v>
      </c>
      <c r="B9" s="70">
        <f>IFERROR(B7+B8, "NA")</f>
        <v>11561.11</v>
      </c>
      <c r="C9" s="71">
        <f>IFERROR(B9/B148, "NA")</f>
        <v>1</v>
      </c>
      <c r="D9" s="70">
        <f>IFERROR(D7+D8, "NA")</f>
        <v>18406.59</v>
      </c>
      <c r="E9" s="71">
        <f>IFERROR(D9/D148, "NA")</f>
        <v>1</v>
      </c>
      <c r="F9" s="70">
        <f>IFERROR(F7+F8, "NA")</f>
        <v>23011.37</v>
      </c>
      <c r="G9" s="71">
        <f>IFERROR(F9/F148, "NA")</f>
        <v>1</v>
      </c>
      <c r="H9" s="70">
        <f>IFERROR(H7+H8, "NA")</f>
        <v>20668.98</v>
      </c>
      <c r="I9" s="71">
        <f>IFERROR(H9/H148, "NA")</f>
        <v>1</v>
      </c>
      <c r="J9" s="70">
        <f>IFERROR(J7+J8, "NA")</f>
        <v>19942.97</v>
      </c>
      <c r="K9" s="71">
        <f>IFERROR(J9/J148, "NA")</f>
        <v>1</v>
      </c>
      <c r="L9" s="70">
        <f>IFERROR(L7+L8, "NA")</f>
        <v>29245.96</v>
      </c>
      <c r="M9" s="71">
        <f>IFERROR(L9/L148, "NA")</f>
        <v>1</v>
      </c>
      <c r="N9" s="70">
        <f>IFERROR(N7+N8, "NA")</f>
        <v>22402.68</v>
      </c>
      <c r="O9" s="71">
        <f>IFERROR(N9/N148, "NA")</f>
        <v>1</v>
      </c>
      <c r="P9" s="70">
        <f>IFERROR(P7+P8, "NA")</f>
        <v>25361.29</v>
      </c>
      <c r="Q9" s="71">
        <f>IFERROR(P9/P148, "NA")</f>
        <v>1</v>
      </c>
      <c r="R9" s="70">
        <f>IFERROR(R7+R8, "NA")</f>
        <v>23948.41</v>
      </c>
      <c r="S9" s="71">
        <f>IFERROR(R9/R148, "NA")</f>
        <v>1</v>
      </c>
      <c r="T9" s="70">
        <f>IFERROR(T7+T8, "NA")</f>
        <v>29568.36</v>
      </c>
      <c r="U9" s="71">
        <f>IFERROR(T9/T148, "NA")</f>
        <v>1</v>
      </c>
      <c r="V9" s="70">
        <f>IFERROR(V7+V8, "NA")</f>
        <v>24054.46</v>
      </c>
      <c r="W9" s="71">
        <f>IFERROR(V9/V148, "NA")</f>
        <v>1</v>
      </c>
      <c r="X9" s="70">
        <f>IFERROR(X7+X8, "NA")</f>
        <v>20138.64</v>
      </c>
      <c r="Y9" s="71">
        <f>IFERROR(X9/X148, "NA")</f>
        <v>1</v>
      </c>
      <c r="Z9" s="70">
        <f>IFERROR(Z7+Z8, "NA")</f>
        <v>73761.46</v>
      </c>
      <c r="AA9" s="71">
        <f>IFERROR(Z9/Z148, "NA")</f>
        <v>1</v>
      </c>
      <c r="AB9" s="70">
        <f t="shared" si="1"/>
        <v>24427.4675</v>
      </c>
      <c r="AC9" s="71">
        <f>IFERROR(AB9/AB148, "NA")</f>
        <v>1</v>
      </c>
      <c r="AD9" s="75">
        <f t="shared" si="2"/>
        <v>-4288.8275</v>
      </c>
      <c r="AE9" s="76">
        <f>IFERROR(AD9/AD148, "NA")</f>
        <v>1</v>
      </c>
      <c r="AF9" s="75">
        <f t="shared" si="3"/>
        <v>-0.1755739722</v>
      </c>
      <c r="AG9" s="70">
        <f t="shared" si="4"/>
        <v>24332.84625</v>
      </c>
      <c r="AH9" s="71">
        <f>IFERROR(AG9/AG148, "NA")</f>
        <v>1</v>
      </c>
      <c r="AI9" s="75">
        <f t="shared" si="5"/>
        <v>-4194.20625</v>
      </c>
      <c r="AJ9" s="76">
        <f>IFERROR(AI9/AI148, "NA")</f>
        <v>1</v>
      </c>
      <c r="AK9" s="75">
        <f t="shared" si="6"/>
        <v>-0.1723680907</v>
      </c>
      <c r="AL9" s="76">
        <f>IFERROR(AK9/AK148, "NA")</f>
        <v>1</v>
      </c>
    </row>
    <row r="10" ht="3.75" customHeight="1">
      <c r="A10" s="79"/>
      <c r="B10" s="80"/>
      <c r="C10" s="74"/>
      <c r="D10" s="80"/>
      <c r="E10" s="74"/>
      <c r="F10" s="80"/>
      <c r="G10" s="74"/>
      <c r="H10" s="80"/>
      <c r="I10" s="74"/>
      <c r="J10" s="80"/>
      <c r="K10" s="74"/>
      <c r="L10" s="80"/>
      <c r="M10" s="74"/>
      <c r="N10" s="80"/>
      <c r="O10" s="74"/>
      <c r="P10" s="80"/>
      <c r="Q10" s="74"/>
      <c r="R10" s="80"/>
      <c r="S10" s="74"/>
      <c r="T10" s="80"/>
      <c r="U10" s="74"/>
      <c r="V10" s="80"/>
      <c r="W10" s="74"/>
      <c r="X10" s="80"/>
      <c r="Y10" s="74"/>
      <c r="Z10" s="80"/>
      <c r="AA10" s="74"/>
      <c r="AB10" s="80"/>
      <c r="AC10" s="74"/>
      <c r="AD10" s="81"/>
      <c r="AE10" s="82"/>
      <c r="AF10" s="81"/>
      <c r="AG10" s="80"/>
      <c r="AH10" s="74"/>
      <c r="AI10" s="81"/>
      <c r="AJ10" s="82"/>
      <c r="AK10" s="81"/>
      <c r="AL10" s="82"/>
    </row>
    <row r="11" ht="16.5" customHeight="1">
      <c r="A11" s="22" t="s">
        <v>65</v>
      </c>
      <c r="B11" s="23"/>
      <c r="C11" s="10"/>
      <c r="D11" s="23"/>
      <c r="E11" s="10"/>
      <c r="F11" s="23"/>
      <c r="G11" s="10"/>
      <c r="H11" s="23"/>
      <c r="I11" s="10"/>
      <c r="J11" s="23"/>
      <c r="K11" s="10"/>
      <c r="L11" s="23"/>
      <c r="M11" s="10"/>
      <c r="N11" s="23"/>
      <c r="O11" s="10"/>
      <c r="P11" s="23"/>
      <c r="Q11" s="10"/>
      <c r="R11" s="23"/>
      <c r="S11" s="10"/>
      <c r="T11" s="23"/>
      <c r="U11" s="10"/>
      <c r="V11" s="23"/>
      <c r="W11" s="10"/>
      <c r="X11" s="23"/>
      <c r="Y11" s="10"/>
      <c r="Z11" s="23"/>
      <c r="AA11" s="10"/>
      <c r="AB11" s="23"/>
      <c r="AC11" s="10"/>
      <c r="AD11" s="24"/>
      <c r="AE11" s="25"/>
      <c r="AF11" s="24"/>
      <c r="AG11" s="23"/>
      <c r="AH11" s="10"/>
      <c r="AI11" s="24"/>
      <c r="AJ11" s="25"/>
      <c r="AK11" s="24"/>
      <c r="AL11" s="25"/>
    </row>
    <row r="12" ht="16.5" customHeight="1">
      <c r="A12" s="22" t="s">
        <v>66</v>
      </c>
      <c r="B12" s="23"/>
      <c r="C12" s="10"/>
      <c r="D12" s="23"/>
      <c r="E12" s="10"/>
      <c r="F12" s="23"/>
      <c r="G12" s="10"/>
      <c r="H12" s="23"/>
      <c r="I12" s="10"/>
      <c r="J12" s="23"/>
      <c r="K12" s="10"/>
      <c r="L12" s="23"/>
      <c r="M12" s="10"/>
      <c r="N12" s="23"/>
      <c r="O12" s="10"/>
      <c r="P12" s="23"/>
      <c r="Q12" s="10"/>
      <c r="R12" s="23"/>
      <c r="S12" s="10"/>
      <c r="T12" s="23"/>
      <c r="U12" s="10"/>
      <c r="V12" s="23"/>
      <c r="W12" s="10"/>
      <c r="X12" s="23"/>
      <c r="Y12" s="10"/>
      <c r="Z12" s="23"/>
      <c r="AA12" s="10"/>
      <c r="AB12" s="23"/>
      <c r="AC12" s="10"/>
      <c r="AD12" s="24"/>
      <c r="AE12" s="25"/>
      <c r="AF12" s="24"/>
      <c r="AG12" s="23"/>
      <c r="AH12" s="10"/>
      <c r="AI12" s="24"/>
      <c r="AJ12" s="25"/>
      <c r="AK12" s="24"/>
      <c r="AL12" s="25"/>
    </row>
    <row r="13" ht="16.5" hidden="1" customHeight="1">
      <c r="A13" s="26" t="s">
        <v>67</v>
      </c>
      <c r="B13" s="28">
        <v>0.0</v>
      </c>
      <c r="C13" s="15">
        <f>IFERROR(B13/B148, "NA")</f>
        <v>0</v>
      </c>
      <c r="D13" s="28">
        <v>0.0</v>
      </c>
      <c r="E13" s="15">
        <f>IFERROR(D13/D148, "NA")</f>
        <v>0</v>
      </c>
      <c r="F13" s="28">
        <v>0.0</v>
      </c>
      <c r="G13" s="15">
        <f>IFERROR(F13/F148, "NA")</f>
        <v>0</v>
      </c>
      <c r="H13" s="28">
        <v>0.0</v>
      </c>
      <c r="I13" s="15">
        <f>IFERROR(H13/H148, "NA")</f>
        <v>0</v>
      </c>
      <c r="J13" s="28">
        <v>0.0</v>
      </c>
      <c r="K13" s="15">
        <f>IFERROR(J13/J148, "NA")</f>
        <v>0</v>
      </c>
      <c r="L13" s="28">
        <v>0.0</v>
      </c>
      <c r="M13" s="15">
        <f>IFERROR(L13/L148, "NA")</f>
        <v>0</v>
      </c>
      <c r="N13" s="28">
        <v>0.0</v>
      </c>
      <c r="O13" s="15">
        <f>IFERROR(N13/N148, "NA")</f>
        <v>0</v>
      </c>
      <c r="P13" s="28">
        <v>0.0</v>
      </c>
      <c r="Q13" s="15">
        <f>IFERROR(P13/P148, "NA")</f>
        <v>0</v>
      </c>
      <c r="R13" s="28">
        <v>0.0</v>
      </c>
      <c r="S13" s="15">
        <f>IFERROR(R13/R148, "NA")</f>
        <v>0</v>
      </c>
      <c r="T13" s="28">
        <v>0.0</v>
      </c>
      <c r="U13" s="15">
        <f>IFERROR(T13/T148, "NA")</f>
        <v>0</v>
      </c>
      <c r="V13" s="28">
        <v>0.0</v>
      </c>
      <c r="W13" s="15">
        <f>IFERROR(V13/V148, "NA")</f>
        <v>0</v>
      </c>
      <c r="X13" s="28">
        <v>0.0</v>
      </c>
      <c r="Y13" s="15">
        <f>IFERROR(X13/X148, "NA")</f>
        <v>0</v>
      </c>
      <c r="Z13" s="28">
        <v>0.0</v>
      </c>
      <c r="AA13" s="15">
        <f>IFERROR(Z13/Z148, "NA")</f>
        <v>0</v>
      </c>
      <c r="AB13" s="57">
        <f>IFERROR((R13+T13+V13+X13)/4, "NA")</f>
        <v>0</v>
      </c>
      <c r="AC13" s="15">
        <f>IFERROR(AB13/AB148, "NA")</f>
        <v>0</v>
      </c>
      <c r="AD13" s="61">
        <f>IFERROR(X13-AB13, "NA")</f>
        <v>0</v>
      </c>
      <c r="AE13" s="62">
        <f>IFERROR(AD13/AD148, "NA")</f>
        <v>0</v>
      </c>
      <c r="AF13" s="61" t="str">
        <f>IFERROR((X13-AB13)/AB13, "NA")</f>
        <v>NA</v>
      </c>
      <c r="AG13" s="57">
        <f>IFERROR((J13+L13+N13+P13+R13+T13+V13+X13)/8, "NA")</f>
        <v>0</v>
      </c>
      <c r="AH13" s="15">
        <f>IFERROR(AG13/AG148, "NA")</f>
        <v>0</v>
      </c>
      <c r="AI13" s="61">
        <f>IFERROR(X13-AG13, "NA")</f>
        <v>0</v>
      </c>
      <c r="AJ13" s="62">
        <f>IFERROR(AI13/AI148, "NA")</f>
        <v>0</v>
      </c>
      <c r="AK13" s="61" t="str">
        <f>IFERROR((X13-AG13)/AG13, "NA")</f>
        <v>NA</v>
      </c>
      <c r="AL13" s="62" t="str">
        <f>IFERROR(AK13/AK148, "NA")</f>
        <v>NA</v>
      </c>
    </row>
    <row r="14" ht="16.5" customHeight="1">
      <c r="A14" s="22" t="s">
        <v>68</v>
      </c>
      <c r="B14" s="23"/>
      <c r="C14" s="10"/>
      <c r="D14" s="23"/>
      <c r="E14" s="10"/>
      <c r="F14" s="23"/>
      <c r="G14" s="10"/>
      <c r="H14" s="23"/>
      <c r="I14" s="10"/>
      <c r="J14" s="23"/>
      <c r="K14" s="10"/>
      <c r="L14" s="23"/>
      <c r="M14" s="10"/>
      <c r="N14" s="23"/>
      <c r="O14" s="10"/>
      <c r="P14" s="23"/>
      <c r="Q14" s="10"/>
      <c r="R14" s="23"/>
      <c r="S14" s="10"/>
      <c r="T14" s="23"/>
      <c r="U14" s="10"/>
      <c r="V14" s="23"/>
      <c r="W14" s="10"/>
      <c r="X14" s="23"/>
      <c r="Y14" s="10"/>
      <c r="Z14" s="23"/>
      <c r="AA14" s="10"/>
      <c r="AB14" s="23"/>
      <c r="AC14" s="10"/>
      <c r="AD14" s="24"/>
      <c r="AE14" s="25"/>
      <c r="AF14" s="24"/>
      <c r="AG14" s="23"/>
      <c r="AH14" s="10"/>
      <c r="AI14" s="24"/>
      <c r="AJ14" s="25"/>
      <c r="AK14" s="24"/>
      <c r="AL14" s="25"/>
    </row>
    <row r="15" ht="16.5" hidden="1" customHeight="1">
      <c r="A15" s="26" t="s">
        <v>69</v>
      </c>
      <c r="B15" s="28">
        <v>0.0</v>
      </c>
      <c r="C15" s="15">
        <f>IFERROR(B15/B148, "NA")</f>
        <v>0</v>
      </c>
      <c r="D15" s="28">
        <v>0.0</v>
      </c>
      <c r="E15" s="15">
        <f>IFERROR(D15/D148, "NA")</f>
        <v>0</v>
      </c>
      <c r="F15" s="28">
        <v>0.0</v>
      </c>
      <c r="G15" s="15">
        <f>IFERROR(F15/F148, "NA")</f>
        <v>0</v>
      </c>
      <c r="H15" s="28">
        <v>0.0</v>
      </c>
      <c r="I15" s="15">
        <f>IFERROR(H15/H148, "NA")</f>
        <v>0</v>
      </c>
      <c r="J15" s="28">
        <v>0.0</v>
      </c>
      <c r="K15" s="15">
        <f>IFERROR(J15/J148, "NA")</f>
        <v>0</v>
      </c>
      <c r="L15" s="28">
        <v>0.0</v>
      </c>
      <c r="M15" s="15">
        <f>IFERROR(L15/L148, "NA")</f>
        <v>0</v>
      </c>
      <c r="N15" s="28">
        <v>0.0</v>
      </c>
      <c r="O15" s="15">
        <f>IFERROR(N15/N148, "NA")</f>
        <v>0</v>
      </c>
      <c r="P15" s="28">
        <v>0.0</v>
      </c>
      <c r="Q15" s="15">
        <f>IFERROR(P15/P148, "NA")</f>
        <v>0</v>
      </c>
      <c r="R15" s="28">
        <v>0.0</v>
      </c>
      <c r="S15" s="15">
        <f>IFERROR(R15/R148, "NA")</f>
        <v>0</v>
      </c>
      <c r="T15" s="28">
        <v>0.0</v>
      </c>
      <c r="U15" s="15">
        <f>IFERROR(T15/T148, "NA")</f>
        <v>0</v>
      </c>
      <c r="V15" s="28">
        <v>0.0</v>
      </c>
      <c r="W15" s="15">
        <f>IFERROR(V15/V148, "NA")</f>
        <v>0</v>
      </c>
      <c r="X15" s="28">
        <v>0.0</v>
      </c>
      <c r="Y15" s="15">
        <f>IFERROR(X15/X148, "NA")</f>
        <v>0</v>
      </c>
      <c r="Z15" s="28">
        <v>0.0</v>
      </c>
      <c r="AA15" s="15">
        <f>IFERROR(Z15/Z148, "NA")</f>
        <v>0</v>
      </c>
      <c r="AB15" s="57">
        <f t="shared" ref="AB15:AB27" si="7">IFERROR((R15+T15+V15+X15)/4, "NA")</f>
        <v>0</v>
      </c>
      <c r="AC15" s="15">
        <f>IFERROR(AB15/AB148, "NA")</f>
        <v>0</v>
      </c>
      <c r="AD15" s="61">
        <f t="shared" ref="AD15:AD27" si="8">IFERROR(X15-AB15, "NA")</f>
        <v>0</v>
      </c>
      <c r="AE15" s="62">
        <f>IFERROR(AD15/AD148, "NA")</f>
        <v>0</v>
      </c>
      <c r="AF15" s="61" t="str">
        <f t="shared" ref="AF15:AF27" si="9">IFERROR((X15-AB15)/AB15, "NA")</f>
        <v>NA</v>
      </c>
      <c r="AG15" s="57">
        <f t="shared" ref="AG15:AG27" si="10">IFERROR((J15+L15+N15+P15+R15+T15+V15+X15)/8, "NA")</f>
        <v>0</v>
      </c>
      <c r="AH15" s="15">
        <f>IFERROR(AG15/AG148, "NA")</f>
        <v>0</v>
      </c>
      <c r="AI15" s="61">
        <f t="shared" ref="AI15:AI27" si="11">IFERROR(X15-AG15, "NA")</f>
        <v>0</v>
      </c>
      <c r="AJ15" s="62">
        <f>IFERROR(AI15/AI148, "NA")</f>
        <v>0</v>
      </c>
      <c r="AK15" s="61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6" t="s">
        <v>70</v>
      </c>
      <c r="B16" s="28">
        <v>776.29</v>
      </c>
      <c r="C16" s="15">
        <f>IFERROR(B16/B148, "NA")</f>
        <v>0.06714666671</v>
      </c>
      <c r="D16" s="28">
        <v>746.47</v>
      </c>
      <c r="E16" s="15">
        <f>IFERROR(D16/D148, "NA")</f>
        <v>0.04055449706</v>
      </c>
      <c r="F16" s="28">
        <v>824.06</v>
      </c>
      <c r="G16" s="15">
        <f>IFERROR(F16/F148, "NA")</f>
        <v>0.03581099257</v>
      </c>
      <c r="H16" s="28">
        <v>907.5</v>
      </c>
      <c r="I16" s="15">
        <f>IFERROR(H16/H148, "NA")</f>
        <v>0.04390637564</v>
      </c>
      <c r="J16" s="28">
        <v>908.28</v>
      </c>
      <c r="K16" s="15">
        <f>IFERROR(J16/J148, "NA")</f>
        <v>0.04554386834</v>
      </c>
      <c r="L16" s="28">
        <v>1288.61</v>
      </c>
      <c r="M16" s="15">
        <f>IFERROR(L16/L148, "NA")</f>
        <v>0.04406112844</v>
      </c>
      <c r="N16" s="28">
        <v>985.76</v>
      </c>
      <c r="O16" s="15">
        <f>IFERROR(N16/N148, "NA")</f>
        <v>0.04400187835</v>
      </c>
      <c r="P16" s="28">
        <v>1211.5</v>
      </c>
      <c r="Q16" s="15">
        <f>IFERROR(P16/P148, "NA")</f>
        <v>0.0477696521</v>
      </c>
      <c r="R16" s="28">
        <v>1161.8</v>
      </c>
      <c r="S16" s="15">
        <f>IFERROR(R16/R148, "NA")</f>
        <v>0.04851261524</v>
      </c>
      <c r="T16" s="28">
        <v>1362.17</v>
      </c>
      <c r="U16" s="15">
        <f>IFERROR(T16/T148, "NA")</f>
        <v>0.04606850025</v>
      </c>
      <c r="V16" s="28">
        <v>1267.73</v>
      </c>
      <c r="W16" s="15">
        <f>IFERROR(V16/V148, "NA")</f>
        <v>0.05270249259</v>
      </c>
      <c r="X16" s="28">
        <v>908.66</v>
      </c>
      <c r="Y16" s="15">
        <f>IFERROR(X16/X148, "NA")</f>
        <v>0.04512022659</v>
      </c>
      <c r="Z16" s="28">
        <v>3538.56</v>
      </c>
      <c r="AA16" s="15">
        <f>IFERROR(Z16/Z148, "NA")</f>
        <v>0.04797302006</v>
      </c>
      <c r="AB16" s="57">
        <f t="shared" si="7"/>
        <v>1175.09</v>
      </c>
      <c r="AC16" s="15">
        <f>IFERROR(AB16/AB148, "NA")</f>
        <v>0.0481052733</v>
      </c>
      <c r="AD16" s="61">
        <f t="shared" si="8"/>
        <v>-266.43</v>
      </c>
      <c r="AE16" s="62">
        <f>IFERROR(AD16/AD148, "NA")</f>
        <v>0.06212187364</v>
      </c>
      <c r="AF16" s="61">
        <f t="shared" si="9"/>
        <v>-0.2267315695</v>
      </c>
      <c r="AG16" s="57">
        <f t="shared" si="10"/>
        <v>1136.81375</v>
      </c>
      <c r="AH16" s="15">
        <f>IFERROR(AG16/AG148, "NA")</f>
        <v>0.04671930847</v>
      </c>
      <c r="AI16" s="61">
        <f t="shared" si="11"/>
        <v>-228.15375</v>
      </c>
      <c r="AJ16" s="62">
        <f>IFERROR(AI16/AI148, "NA")</f>
        <v>0.05439736064</v>
      </c>
      <c r="AK16" s="61">
        <f t="shared" si="12"/>
        <v>-0.2006958044</v>
      </c>
      <c r="AL16" s="62">
        <f>IFERROR(AK16/AK148, "NA")</f>
        <v>1.164344303</v>
      </c>
    </row>
    <row r="17" ht="16.5" customHeight="1">
      <c r="A17" s="26" t="s">
        <v>71</v>
      </c>
      <c r="B17" s="28">
        <v>419.29</v>
      </c>
      <c r="C17" s="15">
        <f>IFERROR(B17/B148, "NA")</f>
        <v>0.03626727883</v>
      </c>
      <c r="D17" s="28">
        <v>545.16</v>
      </c>
      <c r="E17" s="15">
        <f>IFERROR(D17/D148, "NA")</f>
        <v>0.02961765324</v>
      </c>
      <c r="F17" s="28">
        <v>595.73</v>
      </c>
      <c r="G17" s="15">
        <f>IFERROR(F17/F148, "NA")</f>
        <v>0.02588850642</v>
      </c>
      <c r="H17" s="28">
        <v>584.94</v>
      </c>
      <c r="I17" s="15">
        <f>IFERROR(H17/H148, "NA")</f>
        <v>0.02830038057</v>
      </c>
      <c r="J17" s="28">
        <v>550.96</v>
      </c>
      <c r="K17" s="15">
        <f>IFERROR(J17/J148, "NA")</f>
        <v>0.02762677776</v>
      </c>
      <c r="L17" s="28">
        <v>690.14</v>
      </c>
      <c r="M17" s="15">
        <f>IFERROR(L17/L148, "NA")</f>
        <v>0.02359778923</v>
      </c>
      <c r="N17" s="28">
        <v>725.66</v>
      </c>
      <c r="O17" s="15">
        <f>IFERROR(N17/N148, "NA")</f>
        <v>0.03239166028</v>
      </c>
      <c r="P17" s="28">
        <v>578.62</v>
      </c>
      <c r="Q17" s="15">
        <f>IFERROR(P17/P148, "NA")</f>
        <v>0.02281508551</v>
      </c>
      <c r="R17" s="28">
        <v>725.42</v>
      </c>
      <c r="S17" s="15">
        <f>IFERROR(R17/R148, "NA")</f>
        <v>0.03029094625</v>
      </c>
      <c r="T17" s="28">
        <v>780.2</v>
      </c>
      <c r="U17" s="15">
        <f>IFERROR(T17/T148, "NA")</f>
        <v>0.02638631294</v>
      </c>
      <c r="V17" s="28">
        <v>756.82</v>
      </c>
      <c r="W17" s="15">
        <f>IFERROR(V17/V148, "NA")</f>
        <v>0.03146277239</v>
      </c>
      <c r="X17" s="28">
        <v>34.51</v>
      </c>
      <c r="Y17" s="15">
        <f>IFERROR(X17/X148, "NA")</f>
        <v>0.001713621178</v>
      </c>
      <c r="Z17" s="28">
        <v>1571.53</v>
      </c>
      <c r="AA17" s="15">
        <f>IFERROR(Z17/Z148, "NA")</f>
        <v>0.02130557069</v>
      </c>
      <c r="AB17" s="57">
        <f t="shared" si="7"/>
        <v>574.2375</v>
      </c>
      <c r="AC17" s="15">
        <f>IFERROR(AB17/AB148, "NA")</f>
        <v>0.02350786057</v>
      </c>
      <c r="AD17" s="61">
        <f t="shared" si="8"/>
        <v>-539.7275</v>
      </c>
      <c r="AE17" s="62">
        <f>IFERROR(AD17/AD148, "NA")</f>
        <v>0.1258450008</v>
      </c>
      <c r="AF17" s="61">
        <f t="shared" si="9"/>
        <v>-0.9399029147</v>
      </c>
      <c r="AG17" s="57">
        <f t="shared" si="10"/>
        <v>605.29125</v>
      </c>
      <c r="AH17" s="15">
        <f>IFERROR(AG17/AG148, "NA")</f>
        <v>0.02487548081</v>
      </c>
      <c r="AI17" s="61">
        <f t="shared" si="11"/>
        <v>-570.78125</v>
      </c>
      <c r="AJ17" s="62">
        <f>IFERROR(AI17/AI148, "NA")</f>
        <v>0.1360880262</v>
      </c>
      <c r="AK17" s="61">
        <f t="shared" si="12"/>
        <v>-0.9429861244</v>
      </c>
      <c r="AL17" s="62">
        <f>IFERROR(AK17/AK148, "NA")</f>
        <v>5.47076968</v>
      </c>
    </row>
    <row r="18" ht="16.5" customHeight="1">
      <c r="A18" s="26" t="s">
        <v>72</v>
      </c>
      <c r="B18" s="28">
        <v>392.58</v>
      </c>
      <c r="C18" s="15">
        <f>IFERROR(B18/B148, "NA")</f>
        <v>0.03395694704</v>
      </c>
      <c r="D18" s="28">
        <v>721.4</v>
      </c>
      <c r="E18" s="15">
        <f>IFERROR(D18/D148, "NA")</f>
        <v>0.03919248487</v>
      </c>
      <c r="F18" s="28">
        <v>805.71</v>
      </c>
      <c r="G18" s="15">
        <f>IFERROR(F18/F148, "NA")</f>
        <v>0.03501356069</v>
      </c>
      <c r="H18" s="28">
        <v>1014.17</v>
      </c>
      <c r="I18" s="15">
        <f>IFERROR(H18/H148, "NA")</f>
        <v>0.04906724957</v>
      </c>
      <c r="J18" s="28">
        <v>588.68</v>
      </c>
      <c r="K18" s="15">
        <f>IFERROR(J18/J148, "NA")</f>
        <v>0.02951817106</v>
      </c>
      <c r="L18" s="28">
        <v>1238.03</v>
      </c>
      <c r="M18" s="15">
        <f>IFERROR(L18/L148, "NA")</f>
        <v>0.0423316588</v>
      </c>
      <c r="N18" s="28">
        <v>902.1</v>
      </c>
      <c r="O18" s="15">
        <f>IFERROR(N18/N148, "NA")</f>
        <v>0.04026750371</v>
      </c>
      <c r="P18" s="28">
        <v>1035.46</v>
      </c>
      <c r="Q18" s="15">
        <f>IFERROR(P18/P148, "NA")</f>
        <v>0.0408283648</v>
      </c>
      <c r="R18" s="28">
        <v>1040.59</v>
      </c>
      <c r="S18" s="15">
        <f>IFERROR(R18/R148, "NA")</f>
        <v>0.0434513189</v>
      </c>
      <c r="T18" s="28">
        <v>1251.8</v>
      </c>
      <c r="U18" s="15">
        <f>IFERROR(T18/T148, "NA")</f>
        <v>0.04233579407</v>
      </c>
      <c r="V18" s="28">
        <v>1168.24</v>
      </c>
      <c r="W18" s="15">
        <f>IFERROR(V18/V148, "NA")</f>
        <v>0.04856646127</v>
      </c>
      <c r="X18" s="28">
        <v>998.59</v>
      </c>
      <c r="Y18" s="15">
        <f>IFERROR(X18/X148, "NA")</f>
        <v>0.04958577143</v>
      </c>
      <c r="Z18" s="28">
        <v>3418.63</v>
      </c>
      <c r="AA18" s="15">
        <f>IFERROR(Z18/Z148, "NA")</f>
        <v>0.04634710322</v>
      </c>
      <c r="AB18" s="57">
        <f t="shared" si="7"/>
        <v>1114.805</v>
      </c>
      <c r="AC18" s="15">
        <f>IFERROR(AB18/AB148, "NA")</f>
        <v>0.04563735475</v>
      </c>
      <c r="AD18" s="61">
        <f t="shared" si="8"/>
        <v>-116.215</v>
      </c>
      <c r="AE18" s="62">
        <f>IFERROR(AD18/AD148, "NA")</f>
        <v>0.02709714951</v>
      </c>
      <c r="AF18" s="61">
        <f t="shared" si="9"/>
        <v>-0.1042469311</v>
      </c>
      <c r="AG18" s="57">
        <f t="shared" si="10"/>
        <v>1027.93625</v>
      </c>
      <c r="AH18" s="15">
        <f>IFERROR(AG18/AG148, "NA")</f>
        <v>0.0422448011</v>
      </c>
      <c r="AI18" s="61">
        <f t="shared" si="11"/>
        <v>-29.34625</v>
      </c>
      <c r="AJ18" s="62">
        <f>IFERROR(AI18/AI148, "NA")</f>
        <v>0.006996854292</v>
      </c>
      <c r="AK18" s="61">
        <f t="shared" si="12"/>
        <v>-0.02854870621</v>
      </c>
      <c r="AL18" s="62">
        <f>IFERROR(AK18/AK148, "NA")</f>
        <v>0.1656263992</v>
      </c>
    </row>
    <row r="19" ht="16.5" customHeight="1">
      <c r="A19" s="26" t="s">
        <v>74</v>
      </c>
      <c r="B19" s="28">
        <v>44.67</v>
      </c>
      <c r="C19" s="15">
        <f>IFERROR(B19/B148, "NA")</f>
        <v>0.003863815845</v>
      </c>
      <c r="D19" s="28">
        <v>545.09</v>
      </c>
      <c r="E19" s="15">
        <f>IFERROR(D19/D148, "NA")</f>
        <v>0.02961385026</v>
      </c>
      <c r="F19" s="28">
        <v>480.17</v>
      </c>
      <c r="G19" s="15">
        <f>IFERROR(F19/F148, "NA")</f>
        <v>0.02086664114</v>
      </c>
      <c r="H19" s="28">
        <v>332.7</v>
      </c>
      <c r="I19" s="15">
        <f>IFERROR(H19/H148, "NA")</f>
        <v>0.01609658532</v>
      </c>
      <c r="J19" s="28">
        <v>484.7</v>
      </c>
      <c r="K19" s="15">
        <f>IFERROR(J19/J148, "NA")</f>
        <v>0.02430430372</v>
      </c>
      <c r="L19" s="28">
        <v>557.58</v>
      </c>
      <c r="M19" s="15">
        <f>IFERROR(L19/L148, "NA")</f>
        <v>0.01906519738</v>
      </c>
      <c r="N19" s="28">
        <v>484.91</v>
      </c>
      <c r="O19" s="15">
        <f>IFERROR(N19/N148, "NA")</f>
        <v>0.02164517817</v>
      </c>
      <c r="P19" s="28">
        <v>504.46</v>
      </c>
      <c r="Q19" s="15">
        <f>IFERROR(P19/P148, "NA")</f>
        <v>0.01989094403</v>
      </c>
      <c r="R19" s="28">
        <v>483.73</v>
      </c>
      <c r="S19" s="15">
        <f>IFERROR(R19/R148, "NA")</f>
        <v>0.02019883575</v>
      </c>
      <c r="T19" s="28">
        <v>667.84</v>
      </c>
      <c r="U19" s="15">
        <f>IFERROR(T19/T148, "NA")</f>
        <v>0.02258630509</v>
      </c>
      <c r="V19" s="28">
        <v>520.07</v>
      </c>
      <c r="W19" s="15">
        <f>IFERROR(V19/V148, "NA")</f>
        <v>0.02162052276</v>
      </c>
      <c r="X19" s="28">
        <v>415.75</v>
      </c>
      <c r="Y19" s="15">
        <f>IFERROR(X19/X148, "NA")</f>
        <v>0.02064439307</v>
      </c>
      <c r="Z19" s="28">
        <v>1603.66</v>
      </c>
      <c r="AA19" s="15">
        <f>IFERROR(Z19/Z148, "NA")</f>
        <v>0.02174116402</v>
      </c>
      <c r="AB19" s="57">
        <f t="shared" si="7"/>
        <v>521.8475</v>
      </c>
      <c r="AC19" s="15">
        <f>IFERROR(AB19/AB148, "NA")</f>
        <v>0.02136314376</v>
      </c>
      <c r="AD19" s="61">
        <f t="shared" si="8"/>
        <v>-106.0975</v>
      </c>
      <c r="AE19" s="62">
        <f>IFERROR(AD19/AD148, "NA")</f>
        <v>0.02473811316</v>
      </c>
      <c r="AF19" s="61">
        <f t="shared" si="9"/>
        <v>-0.2033113122</v>
      </c>
      <c r="AG19" s="57">
        <f t="shared" si="10"/>
        <v>514.88</v>
      </c>
      <c r="AH19" s="15">
        <f>IFERROR(AG19/AG148, "NA")</f>
        <v>0.02115987561</v>
      </c>
      <c r="AI19" s="61">
        <f t="shared" si="11"/>
        <v>-99.13</v>
      </c>
      <c r="AJ19" s="62">
        <f>IFERROR(AI19/AI148, "NA")</f>
        <v>0.02363498457</v>
      </c>
      <c r="AK19" s="61">
        <f t="shared" si="12"/>
        <v>-0.1925302983</v>
      </c>
      <c r="AL19" s="62">
        <f>IFERROR(AK19/AK148, "NA")</f>
        <v>1.11697181</v>
      </c>
    </row>
    <row r="20" ht="16.5" customHeight="1">
      <c r="A20" s="26" t="s">
        <v>76</v>
      </c>
      <c r="B20" s="28">
        <v>76.35</v>
      </c>
      <c r="C20" s="15">
        <f>IFERROR(B20/B148, "NA")</f>
        <v>0.006604037156</v>
      </c>
      <c r="D20" s="28">
        <v>183.93</v>
      </c>
      <c r="E20" s="15">
        <f>IFERROR(D20/D148, "NA")</f>
        <v>0.009992616775</v>
      </c>
      <c r="F20" s="28">
        <v>238.95</v>
      </c>
      <c r="G20" s="15">
        <f>IFERROR(F20/F148, "NA")</f>
        <v>0.01038399713</v>
      </c>
      <c r="H20" s="28">
        <v>245.82</v>
      </c>
      <c r="I20" s="15">
        <f>IFERROR(H20/H148, "NA")</f>
        <v>0.01189318486</v>
      </c>
      <c r="J20" s="28">
        <v>218.15</v>
      </c>
      <c r="K20" s="15">
        <f>IFERROR(J20/J148, "NA")</f>
        <v>0.01093869168</v>
      </c>
      <c r="L20" s="28">
        <v>279.97</v>
      </c>
      <c r="M20" s="15">
        <f>IFERROR(L20/L148, "NA")</f>
        <v>0.009572946144</v>
      </c>
      <c r="N20" s="28">
        <v>248.03</v>
      </c>
      <c r="O20" s="15">
        <f>IFERROR(N20/N148, "NA")</f>
        <v>0.01107144324</v>
      </c>
      <c r="P20" s="28">
        <v>230.82</v>
      </c>
      <c r="Q20" s="15">
        <f>IFERROR(P20/P148, "NA")</f>
        <v>0.009101272057</v>
      </c>
      <c r="R20" s="28">
        <v>261.7</v>
      </c>
      <c r="S20" s="15">
        <f>IFERROR(R20/R148, "NA")</f>
        <v>0.01092765658</v>
      </c>
      <c r="T20" s="28">
        <v>287.78</v>
      </c>
      <c r="U20" s="15">
        <f>IFERROR(T20/T148, "NA")</f>
        <v>0.009732700765</v>
      </c>
      <c r="V20" s="28">
        <v>177.45</v>
      </c>
      <c r="W20" s="15">
        <f>IFERROR(V20/V148, "NA")</f>
        <v>0.007377010334</v>
      </c>
      <c r="X20" s="28">
        <v>9.23</v>
      </c>
      <c r="Y20" s="15">
        <f>IFERROR(X20/X148, "NA")</f>
        <v>0.0004583229056</v>
      </c>
      <c r="Z20" s="28">
        <v>474.46</v>
      </c>
      <c r="AA20" s="15">
        <f>IFERROR(Z20/Z148, "NA")</f>
        <v>0.006432356409</v>
      </c>
      <c r="AB20" s="57">
        <f t="shared" si="7"/>
        <v>184.04</v>
      </c>
      <c r="AC20" s="15">
        <f>IFERROR(AB20/AB148, "NA")</f>
        <v>0.007534141638</v>
      </c>
      <c r="AD20" s="61">
        <f t="shared" si="8"/>
        <v>-174.81</v>
      </c>
      <c r="AE20" s="62">
        <f>IFERROR(AD20/AD148, "NA")</f>
        <v>0.0407593917</v>
      </c>
      <c r="AF20" s="61">
        <f t="shared" si="9"/>
        <v>-0.9498478592</v>
      </c>
      <c r="AG20" s="57">
        <f t="shared" si="10"/>
        <v>214.14125</v>
      </c>
      <c r="AH20" s="15">
        <f>IFERROR(AG20/AG148, "NA")</f>
        <v>0.008800501503</v>
      </c>
      <c r="AI20" s="61">
        <f t="shared" si="11"/>
        <v>-204.91125</v>
      </c>
      <c r="AJ20" s="62">
        <f>IFERROR(AI20/AI148, "NA")</f>
        <v>0.04885578767</v>
      </c>
      <c r="AK20" s="61">
        <f t="shared" si="12"/>
        <v>-0.9568976085</v>
      </c>
      <c r="AL20" s="62">
        <f>IFERROR(AK20/AK148, "NA")</f>
        <v>5.55147768</v>
      </c>
    </row>
    <row r="21" ht="16.5" customHeight="1">
      <c r="A21" s="26" t="s">
        <v>77</v>
      </c>
      <c r="B21" s="28">
        <v>36.47</v>
      </c>
      <c r="C21" s="15">
        <f>IFERROR(B21/B148, "NA")</f>
        <v>0.003154541389</v>
      </c>
      <c r="D21" s="28">
        <v>91.58</v>
      </c>
      <c r="E21" s="15">
        <f>IFERROR(D21/D148, "NA")</f>
        <v>0.004975391966</v>
      </c>
      <c r="F21" s="28">
        <v>245.2</v>
      </c>
      <c r="G21" s="15">
        <f>IFERROR(F21/F148, "NA")</f>
        <v>0.01065560199</v>
      </c>
      <c r="H21" s="28">
        <v>168.51</v>
      </c>
      <c r="I21" s="15">
        <f>IFERROR(H21/H148, "NA")</f>
        <v>0.00815279709</v>
      </c>
      <c r="J21" s="28">
        <v>112.59</v>
      </c>
      <c r="K21" s="15">
        <f>IFERROR(J21/J148, "NA")</f>
        <v>0.005645598424</v>
      </c>
      <c r="L21" s="28">
        <v>454.81</v>
      </c>
      <c r="M21" s="15">
        <f>IFERROR(L21/L148, "NA")</f>
        <v>0.01555120776</v>
      </c>
      <c r="N21" s="28">
        <v>37.74</v>
      </c>
      <c r="O21" s="15">
        <f>IFERROR(N21/N148, "NA")</f>
        <v>0.001684619876</v>
      </c>
      <c r="P21" s="28">
        <v>178.66</v>
      </c>
      <c r="Q21" s="15">
        <f>IFERROR(P21/P148, "NA")</f>
        <v>0.00704459434</v>
      </c>
      <c r="R21" s="28">
        <v>130.55</v>
      </c>
      <c r="S21" s="15">
        <f>IFERROR(R21/R148, "NA")</f>
        <v>0.00545130136</v>
      </c>
      <c r="T21" s="28">
        <v>106.59</v>
      </c>
      <c r="U21" s="15">
        <f>IFERROR(T21/T148, "NA")</f>
        <v>0.003604866824</v>
      </c>
      <c r="V21" s="28">
        <v>163.58</v>
      </c>
      <c r="W21" s="15">
        <f>IFERROR(V21/V148, "NA")</f>
        <v>0.006800402088</v>
      </c>
      <c r="X21" s="28">
        <v>101.49</v>
      </c>
      <c r="Y21" s="15">
        <f>IFERROR(X21/X148, "NA")</f>
        <v>0.00503956573</v>
      </c>
      <c r="Z21" s="28">
        <v>371.66</v>
      </c>
      <c r="AA21" s="15">
        <f>IFERROR(Z21/Z148, "NA")</f>
        <v>0.005038674668</v>
      </c>
      <c r="AB21" s="57">
        <f t="shared" si="7"/>
        <v>125.5525</v>
      </c>
      <c r="AC21" s="15">
        <f>IFERROR(AB21/AB148, "NA")</f>
        <v>0.005139808292</v>
      </c>
      <c r="AD21" s="61">
        <f t="shared" si="8"/>
        <v>-24.0625</v>
      </c>
      <c r="AE21" s="62">
        <f>IFERROR(AD21/AD148, "NA")</f>
        <v>0.005610507767</v>
      </c>
      <c r="AF21" s="61">
        <f t="shared" si="9"/>
        <v>-0.1916528942</v>
      </c>
      <c r="AG21" s="57">
        <f t="shared" si="10"/>
        <v>160.75125</v>
      </c>
      <c r="AH21" s="15">
        <f>IFERROR(AG21/AG148, "NA")</f>
        <v>0.006606347994</v>
      </c>
      <c r="AI21" s="61">
        <f t="shared" si="11"/>
        <v>-59.26125</v>
      </c>
      <c r="AJ21" s="62">
        <f>IFERROR(AI21/AI148, "NA")</f>
        <v>0.01412931231</v>
      </c>
      <c r="AK21" s="61">
        <f t="shared" si="12"/>
        <v>-0.3686518767</v>
      </c>
      <c r="AL21" s="62">
        <f>IFERROR(AK21/AK148, "NA")</f>
        <v>2.138747811</v>
      </c>
    </row>
    <row r="22" ht="16.5" hidden="1" customHeight="1">
      <c r="A22" s="26" t="s">
        <v>78</v>
      </c>
      <c r="B22" s="28">
        <v>0.0</v>
      </c>
      <c r="C22" s="15">
        <f>IFERROR(B22/B148, "NA")</f>
        <v>0</v>
      </c>
      <c r="D22" s="28">
        <v>0.0</v>
      </c>
      <c r="E22" s="15">
        <f>IFERROR(D22/D148, "NA")</f>
        <v>0</v>
      </c>
      <c r="F22" s="28">
        <v>0.0</v>
      </c>
      <c r="G22" s="15">
        <f>IFERROR(F22/F148, "NA")</f>
        <v>0</v>
      </c>
      <c r="H22" s="28">
        <v>0.0</v>
      </c>
      <c r="I22" s="15">
        <f>IFERROR(H22/H148, "NA")</f>
        <v>0</v>
      </c>
      <c r="J22" s="28">
        <v>0.0</v>
      </c>
      <c r="K22" s="15">
        <f>IFERROR(J22/J148, "NA")</f>
        <v>0</v>
      </c>
      <c r="L22" s="28">
        <v>0.0</v>
      </c>
      <c r="M22" s="15">
        <f>IFERROR(L22/L148, "NA")</f>
        <v>0</v>
      </c>
      <c r="N22" s="28">
        <v>0.0</v>
      </c>
      <c r="O22" s="15">
        <f>IFERROR(N22/N148, "NA")</f>
        <v>0</v>
      </c>
      <c r="P22" s="28">
        <v>0.0</v>
      </c>
      <c r="Q22" s="15">
        <f>IFERROR(P22/P148, "NA")</f>
        <v>0</v>
      </c>
      <c r="R22" s="28">
        <v>0.0</v>
      </c>
      <c r="S22" s="15">
        <f>IFERROR(R22/R148, "NA")</f>
        <v>0</v>
      </c>
      <c r="T22" s="28">
        <v>0.0</v>
      </c>
      <c r="U22" s="15">
        <f>IFERROR(T22/T148, "NA")</f>
        <v>0</v>
      </c>
      <c r="V22" s="28">
        <v>0.0</v>
      </c>
      <c r="W22" s="15">
        <f>IFERROR(V22/V148, "NA")</f>
        <v>0</v>
      </c>
      <c r="X22" s="28">
        <v>0.0</v>
      </c>
      <c r="Y22" s="15">
        <f>IFERROR(X22/X148, "NA")</f>
        <v>0</v>
      </c>
      <c r="Z22" s="28">
        <v>0.0</v>
      </c>
      <c r="AA22" s="15">
        <f>IFERROR(Z22/Z148, "NA")</f>
        <v>0</v>
      </c>
      <c r="AB22" s="57">
        <f t="shared" si="7"/>
        <v>0</v>
      </c>
      <c r="AC22" s="15">
        <f>IFERROR(AB22/AB148, "NA")</f>
        <v>0</v>
      </c>
      <c r="AD22" s="61">
        <f t="shared" si="8"/>
        <v>0</v>
      </c>
      <c r="AE22" s="62">
        <f>IFERROR(AD22/AD148, "NA")</f>
        <v>0</v>
      </c>
      <c r="AF22" s="61" t="str">
        <f t="shared" si="9"/>
        <v>NA</v>
      </c>
      <c r="AG22" s="57">
        <f t="shared" si="10"/>
        <v>0</v>
      </c>
      <c r="AH22" s="15">
        <f>IFERROR(AG22/AG148, "NA")</f>
        <v>0</v>
      </c>
      <c r="AI22" s="61">
        <f t="shared" si="11"/>
        <v>0</v>
      </c>
      <c r="AJ22" s="62">
        <f>IFERROR(AI22/AI148, "NA")</f>
        <v>0</v>
      </c>
      <c r="AK22" s="61" t="str">
        <f t="shared" si="12"/>
        <v>NA</v>
      </c>
      <c r="AL22" s="62" t="str">
        <f>IFERROR(AK22/AK148, "NA")</f>
        <v>NA</v>
      </c>
    </row>
    <row r="23" ht="16.5" customHeight="1">
      <c r="A23" s="26" t="s">
        <v>79</v>
      </c>
      <c r="B23" s="28">
        <v>38.99</v>
      </c>
      <c r="C23" s="15">
        <f>IFERROR(B23/B148, "NA")</f>
        <v>0.003372513539</v>
      </c>
      <c r="D23" s="28">
        <v>108.72</v>
      </c>
      <c r="E23" s="15">
        <f>IFERROR(D23/D148, "NA")</f>
        <v>0.005906580198</v>
      </c>
      <c r="F23" s="28">
        <v>135.13</v>
      </c>
      <c r="G23" s="15">
        <f>IFERROR(F23/F148, "NA")</f>
        <v>0.005872314425</v>
      </c>
      <c r="H23" s="28">
        <v>38.42</v>
      </c>
      <c r="I23" s="15">
        <f>IFERROR(H23/H148, "NA")</f>
        <v>0.00185882419</v>
      </c>
      <c r="J23" s="28">
        <v>141.79</v>
      </c>
      <c r="K23" s="15">
        <f>IFERROR(J23/J148, "NA")</f>
        <v>0.007109773519</v>
      </c>
      <c r="L23" s="28">
        <v>174.19</v>
      </c>
      <c r="M23" s="15">
        <f>IFERROR(L23/L148, "NA")</f>
        <v>0.005956036321</v>
      </c>
      <c r="N23" s="28">
        <v>10.85</v>
      </c>
      <c r="O23" s="15">
        <f>IFERROR(N23/N148, "NA")</f>
        <v>0.0004843170549</v>
      </c>
      <c r="P23" s="28">
        <v>164.9</v>
      </c>
      <c r="Q23" s="15">
        <f>IFERROR(P23/P148, "NA")</f>
        <v>0.006502035188</v>
      </c>
      <c r="R23" s="28">
        <v>142.27</v>
      </c>
      <c r="S23" s="15">
        <f>IFERROR(R23/R148, "NA")</f>
        <v>0.005940686668</v>
      </c>
      <c r="T23" s="28">
        <v>160.97</v>
      </c>
      <c r="U23" s="15">
        <f>IFERROR(T23/T148, "NA")</f>
        <v>0.005443994865</v>
      </c>
      <c r="V23" s="28">
        <v>124.19</v>
      </c>
      <c r="W23" s="15">
        <f>IFERROR(V23/V148, "NA")</f>
        <v>0.005162867926</v>
      </c>
      <c r="X23" s="28">
        <v>90.34</v>
      </c>
      <c r="Y23" s="15">
        <f>IFERROR(X23/X148, "NA")</f>
        <v>0.004485903715</v>
      </c>
      <c r="Z23" s="28">
        <v>375.5</v>
      </c>
      <c r="AA23" s="15">
        <f>IFERROR(Z23/Z148, "NA")</f>
        <v>0.005090734375</v>
      </c>
      <c r="AB23" s="57">
        <f t="shared" si="7"/>
        <v>129.4425</v>
      </c>
      <c r="AC23" s="15">
        <f>IFERROR(AB23/AB148, "NA")</f>
        <v>0.005299055254</v>
      </c>
      <c r="AD23" s="61">
        <f t="shared" si="8"/>
        <v>-39.1025</v>
      </c>
      <c r="AE23" s="62">
        <f>IFERROR(AD23/AD148, "NA")</f>
        <v>0.009117293713</v>
      </c>
      <c r="AF23" s="61">
        <f t="shared" si="9"/>
        <v>-0.3020839369</v>
      </c>
      <c r="AG23" s="57">
        <f t="shared" si="10"/>
        <v>126.1875</v>
      </c>
      <c r="AH23" s="15">
        <f>IFERROR(AG23/AG148, "NA")</f>
        <v>0.005185891478</v>
      </c>
      <c r="AI23" s="61">
        <f t="shared" si="11"/>
        <v>-35.8475</v>
      </c>
      <c r="AJ23" s="62">
        <f>IFERROR(AI23/AI148, "NA")</f>
        <v>0.008546909204</v>
      </c>
      <c r="AK23" s="61">
        <f t="shared" si="12"/>
        <v>-0.2840812283</v>
      </c>
      <c r="AL23" s="62">
        <f>IFERROR(AK23/AK148, "NA")</f>
        <v>1.648107995</v>
      </c>
    </row>
    <row r="24" ht="16.5" customHeight="1">
      <c r="A24" s="26" t="s">
        <v>80</v>
      </c>
      <c r="B24" s="28">
        <v>1019.58</v>
      </c>
      <c r="C24" s="15">
        <f>IFERROR(B24/B148, "NA")</f>
        <v>0.08819049382</v>
      </c>
      <c r="D24" s="28">
        <v>1335.65</v>
      </c>
      <c r="E24" s="15">
        <f>IFERROR(D24/D148, "NA")</f>
        <v>0.07256368507</v>
      </c>
      <c r="F24" s="28">
        <v>1496.24</v>
      </c>
      <c r="G24" s="15">
        <f>IFERROR(F24/F148, "NA")</f>
        <v>0.06502176967</v>
      </c>
      <c r="H24" s="28">
        <v>1684.79</v>
      </c>
      <c r="I24" s="15">
        <f>IFERROR(H24/H148, "NA")</f>
        <v>0.08151297258</v>
      </c>
      <c r="J24" s="28">
        <v>1413.57</v>
      </c>
      <c r="K24" s="15">
        <f>IFERROR(J24/J148, "NA")</f>
        <v>0.07088061608</v>
      </c>
      <c r="L24" s="28">
        <v>1840.76</v>
      </c>
      <c r="M24" s="15">
        <f>IFERROR(L24/L148, "NA")</f>
        <v>0.06294065915</v>
      </c>
      <c r="N24" s="28">
        <v>1511.73</v>
      </c>
      <c r="O24" s="15">
        <f>IFERROR(N24/N148, "NA")</f>
        <v>0.06747987294</v>
      </c>
      <c r="P24" s="28">
        <v>1416.65</v>
      </c>
      <c r="Q24" s="15">
        <f>IFERROR(P24/P148, "NA")</f>
        <v>0.05585875166</v>
      </c>
      <c r="R24" s="28">
        <v>1618.21</v>
      </c>
      <c r="S24" s="15">
        <f>IFERROR(R24/R148, "NA")</f>
        <v>0.06757066544</v>
      </c>
      <c r="T24" s="28">
        <v>1609.75</v>
      </c>
      <c r="U24" s="15">
        <f>IFERROR(T24/T148, "NA")</f>
        <v>0.05444163964</v>
      </c>
      <c r="V24" s="28">
        <v>1245.02</v>
      </c>
      <c r="W24" s="15">
        <f>IFERROR(V24/V148, "NA")</f>
        <v>0.05175838493</v>
      </c>
      <c r="X24" s="28">
        <v>1187.78</v>
      </c>
      <c r="Y24" s="15">
        <f>IFERROR(X24/X148, "NA")</f>
        <v>0.0589801496</v>
      </c>
      <c r="Z24" s="28">
        <v>4042.55</v>
      </c>
      <c r="AA24" s="15">
        <f>IFERROR(Z24/Z148, "NA")</f>
        <v>0.05480572104</v>
      </c>
      <c r="AB24" s="57">
        <f t="shared" si="7"/>
        <v>1415.19</v>
      </c>
      <c r="AC24" s="15">
        <f>IFERROR(AB24/AB148, "NA")</f>
        <v>0.05793437244</v>
      </c>
      <c r="AD24" s="61">
        <f t="shared" si="8"/>
        <v>-227.41</v>
      </c>
      <c r="AE24" s="62">
        <f>IFERROR(AD24/AD148, "NA")</f>
        <v>0.05302381595</v>
      </c>
      <c r="AF24" s="61">
        <f t="shared" si="9"/>
        <v>-0.1606922039</v>
      </c>
      <c r="AG24" s="57">
        <f t="shared" si="10"/>
        <v>1480.43375</v>
      </c>
      <c r="AH24" s="15">
        <f>IFERROR(AG24/AG148, "NA")</f>
        <v>0.06084096101</v>
      </c>
      <c r="AI24" s="61">
        <f t="shared" si="11"/>
        <v>-292.65375</v>
      </c>
      <c r="AJ24" s="62">
        <f>IFERROR(AI24/AI148, "NA")</f>
        <v>0.0697757174</v>
      </c>
      <c r="AK24" s="61">
        <f t="shared" si="12"/>
        <v>-0.197681085</v>
      </c>
      <c r="AL24" s="62">
        <f>IFERROR(AK24/AK148, "NA")</f>
        <v>1.146854294</v>
      </c>
    </row>
    <row r="25" ht="16.5" hidden="1" customHeight="1">
      <c r="A25" s="26" t="s">
        <v>81</v>
      </c>
      <c r="B25" s="28">
        <v>0.0</v>
      </c>
      <c r="C25" s="15">
        <f>IFERROR(B25/B148, "NA")</f>
        <v>0</v>
      </c>
      <c r="D25" s="28">
        <v>0.0</v>
      </c>
      <c r="E25" s="15">
        <f>IFERROR(D25/D148, "NA")</f>
        <v>0</v>
      </c>
      <c r="F25" s="28">
        <v>0.0</v>
      </c>
      <c r="G25" s="15">
        <f>IFERROR(F25/F148, "NA")</f>
        <v>0</v>
      </c>
      <c r="H25" s="28">
        <v>0.0</v>
      </c>
      <c r="I25" s="15">
        <f>IFERROR(H25/H148, "NA")</f>
        <v>0</v>
      </c>
      <c r="J25" s="28">
        <v>0.0</v>
      </c>
      <c r="K25" s="15">
        <f>IFERROR(J25/J148, "NA")</f>
        <v>0</v>
      </c>
      <c r="L25" s="28">
        <v>0.0</v>
      </c>
      <c r="M25" s="15">
        <f>IFERROR(L25/L148, "NA")</f>
        <v>0</v>
      </c>
      <c r="N25" s="28">
        <v>0.0</v>
      </c>
      <c r="O25" s="15">
        <f>IFERROR(N25/N148, "NA")</f>
        <v>0</v>
      </c>
      <c r="P25" s="28">
        <v>0.0</v>
      </c>
      <c r="Q25" s="15">
        <f>IFERROR(P25/P148, "NA")</f>
        <v>0</v>
      </c>
      <c r="R25" s="28">
        <v>0.0</v>
      </c>
      <c r="S25" s="15">
        <f>IFERROR(R25/R148, "NA")</f>
        <v>0</v>
      </c>
      <c r="T25" s="28">
        <v>0.0</v>
      </c>
      <c r="U25" s="15">
        <f>IFERROR(T25/T148, "NA")</f>
        <v>0</v>
      </c>
      <c r="V25" s="28">
        <v>0.0</v>
      </c>
      <c r="W25" s="15">
        <f>IFERROR(V25/V148, "NA")</f>
        <v>0</v>
      </c>
      <c r="X25" s="28">
        <v>0.0</v>
      </c>
      <c r="Y25" s="15">
        <f>IFERROR(X25/X148, "NA")</f>
        <v>0</v>
      </c>
      <c r="Z25" s="28">
        <v>0.0</v>
      </c>
      <c r="AA25" s="15">
        <f>IFERROR(Z25/Z148, "NA")</f>
        <v>0</v>
      </c>
      <c r="AB25" s="57">
        <f t="shared" si="7"/>
        <v>0</v>
      </c>
      <c r="AC25" s="15">
        <f>IFERROR(AB25/AB148, "NA")</f>
        <v>0</v>
      </c>
      <c r="AD25" s="61">
        <f t="shared" si="8"/>
        <v>0</v>
      </c>
      <c r="AE25" s="62">
        <f>IFERROR(AD25/AD148, "NA")</f>
        <v>0</v>
      </c>
      <c r="AF25" s="61" t="str">
        <f t="shared" si="9"/>
        <v>NA</v>
      </c>
      <c r="AG25" s="57">
        <f t="shared" si="10"/>
        <v>0</v>
      </c>
      <c r="AH25" s="15">
        <f>IFERROR(AG25/AG148, "NA")</f>
        <v>0</v>
      </c>
      <c r="AI25" s="61">
        <f t="shared" si="11"/>
        <v>0</v>
      </c>
      <c r="AJ25" s="62">
        <f>IFERROR(AI25/AI148, "NA")</f>
        <v>0</v>
      </c>
      <c r="AK25" s="61" t="str">
        <f t="shared" si="12"/>
        <v>NA</v>
      </c>
      <c r="AL25" s="62" t="str">
        <f>IFERROR(AK25/AK148, "NA")</f>
        <v>NA</v>
      </c>
    </row>
    <row r="26" ht="16.5" hidden="1" customHeight="1">
      <c r="A26" s="26" t="s">
        <v>82</v>
      </c>
      <c r="B26" s="28">
        <v>0.0</v>
      </c>
      <c r="C26" s="15">
        <f>IFERROR(B26/B148, "NA")</f>
        <v>0</v>
      </c>
      <c r="D26" s="28">
        <v>0.0</v>
      </c>
      <c r="E26" s="15">
        <f>IFERROR(D26/D148, "NA")</f>
        <v>0</v>
      </c>
      <c r="F26" s="28">
        <v>0.0</v>
      </c>
      <c r="G26" s="15">
        <f>IFERROR(F26/F148, "NA")</f>
        <v>0</v>
      </c>
      <c r="H26" s="28">
        <v>0.0</v>
      </c>
      <c r="I26" s="15">
        <f>IFERROR(H26/H148, "NA")</f>
        <v>0</v>
      </c>
      <c r="J26" s="28">
        <v>0.0</v>
      </c>
      <c r="K26" s="15">
        <f>IFERROR(J26/J148, "NA")</f>
        <v>0</v>
      </c>
      <c r="L26" s="28">
        <v>0.0</v>
      </c>
      <c r="M26" s="15">
        <f>IFERROR(L26/L148, "NA")</f>
        <v>0</v>
      </c>
      <c r="N26" s="28">
        <v>0.0</v>
      </c>
      <c r="O26" s="15">
        <f>IFERROR(N26/N148, "NA")</f>
        <v>0</v>
      </c>
      <c r="P26" s="28">
        <v>0.0</v>
      </c>
      <c r="Q26" s="15">
        <f>IFERROR(P26/P148, "NA")</f>
        <v>0</v>
      </c>
      <c r="R26" s="28">
        <v>0.0</v>
      </c>
      <c r="S26" s="15">
        <f>IFERROR(R26/R148, "NA")</f>
        <v>0</v>
      </c>
      <c r="T26" s="28">
        <v>0.0</v>
      </c>
      <c r="U26" s="15">
        <f>IFERROR(T26/T148, "NA")</f>
        <v>0</v>
      </c>
      <c r="V26" s="28">
        <v>0.0</v>
      </c>
      <c r="W26" s="15">
        <f>IFERROR(V26/V148, "NA")</f>
        <v>0</v>
      </c>
      <c r="X26" s="28">
        <v>0.0</v>
      </c>
      <c r="Y26" s="15">
        <f>IFERROR(X26/X148, "NA")</f>
        <v>0</v>
      </c>
      <c r="Z26" s="28">
        <v>0.0</v>
      </c>
      <c r="AA26" s="15">
        <f>IFERROR(Z26/Z148, "NA")</f>
        <v>0</v>
      </c>
      <c r="AB26" s="57">
        <f t="shared" si="7"/>
        <v>0</v>
      </c>
      <c r="AC26" s="15">
        <f>IFERROR(AB26/AB148, "NA")</f>
        <v>0</v>
      </c>
      <c r="AD26" s="61">
        <f t="shared" si="8"/>
        <v>0</v>
      </c>
      <c r="AE26" s="62">
        <f>IFERROR(AD26/AD148, "NA")</f>
        <v>0</v>
      </c>
      <c r="AF26" s="61" t="str">
        <f t="shared" si="9"/>
        <v>NA</v>
      </c>
      <c r="AG26" s="57">
        <f t="shared" si="10"/>
        <v>0</v>
      </c>
      <c r="AH26" s="15">
        <f>IFERROR(AG26/AG148, "NA")</f>
        <v>0</v>
      </c>
      <c r="AI26" s="61">
        <f t="shared" si="11"/>
        <v>0</v>
      </c>
      <c r="AJ26" s="62">
        <f>IFERROR(AI26/AI148, "NA")</f>
        <v>0</v>
      </c>
      <c r="AK26" s="61" t="str">
        <f t="shared" si="12"/>
        <v>NA</v>
      </c>
      <c r="AL26" s="62" t="str">
        <f>IFERROR(AK26/AK148, "NA")</f>
        <v>NA</v>
      </c>
    </row>
    <row r="27" ht="16.5" customHeight="1">
      <c r="A27" s="67" t="s">
        <v>83</v>
      </c>
      <c r="B27" s="70">
        <f>IFERROR(B15+B16+B17+B18+B19+B20+B21+B22+B23+B24+B25+B26, "NA")</f>
        <v>2804.22</v>
      </c>
      <c r="C27" s="71">
        <f>IFERROR(B27/B148, "NA")</f>
        <v>0.2425562943</v>
      </c>
      <c r="D27" s="70">
        <f>IFERROR(D15+D16+D17+D18+D19+D20+D21+D22+D23+D24+D25+D26, "NA")</f>
        <v>4278</v>
      </c>
      <c r="E27" s="71">
        <f>IFERROR(D27/D148, "NA")</f>
        <v>0.2324167594</v>
      </c>
      <c r="F27" s="70">
        <f>IFERROR(F15+F16+F17+F18+F19+F20+F21+F22+F23+F24+F25+F26, "NA")</f>
        <v>4821.19</v>
      </c>
      <c r="G27" s="71">
        <f>IFERROR(F27/F148, "NA")</f>
        <v>0.209513384</v>
      </c>
      <c r="H27" s="70">
        <f>IFERROR(H15+H16+H17+H18+H19+H20+H21+H22+H23+H24+H25+H26, "NA")</f>
        <v>4976.85</v>
      </c>
      <c r="I27" s="71">
        <f>IFERROR(H27/H148, "NA")</f>
        <v>0.2407883698</v>
      </c>
      <c r="J27" s="70">
        <f>IFERROR(J15+J16+J17+J18+J19+J20+J21+J22+J23+J24+J25+J26, "NA")</f>
        <v>4418.72</v>
      </c>
      <c r="K27" s="71">
        <f>IFERROR(J27/J148, "NA")</f>
        <v>0.2215678006</v>
      </c>
      <c r="L27" s="70">
        <f>IFERROR(L15+L16+L17+L18+L19+L20+L21+L22+L23+L24+L25+L26, "NA")</f>
        <v>6524.09</v>
      </c>
      <c r="M27" s="71">
        <f>IFERROR(L27/L148, "NA")</f>
        <v>0.2230766232</v>
      </c>
      <c r="N27" s="70">
        <f>IFERROR(N15+N16+N17+N18+N19+N20+N21+N22+N23+N24+N25+N26, "NA")</f>
        <v>4906.78</v>
      </c>
      <c r="O27" s="71">
        <f>IFERROR(N27/N148, "NA")</f>
        <v>0.2190264736</v>
      </c>
      <c r="P27" s="70">
        <f>IFERROR(P15+P16+P17+P18+P19+P20+P21+P22+P23+P24+P25+P26, "NA")</f>
        <v>5321.07</v>
      </c>
      <c r="Q27" s="71">
        <f>IFERROR(P27/P148, "NA")</f>
        <v>0.2098106997</v>
      </c>
      <c r="R27" s="70">
        <f>IFERROR(R15+R16+R17+R18+R19+R20+R21+R22+R23+R24+R25+R26, "NA")</f>
        <v>5564.27</v>
      </c>
      <c r="S27" s="71">
        <f>IFERROR(R27/R148, "NA")</f>
        <v>0.2323440262</v>
      </c>
      <c r="T27" s="70">
        <f>IFERROR(T15+T16+T17+T18+T19+T20+T21+T22+T23+T24+T25+T26, "NA")</f>
        <v>6227.1</v>
      </c>
      <c r="U27" s="71">
        <f>IFERROR(T27/T148, "NA")</f>
        <v>0.2106001144</v>
      </c>
      <c r="V27" s="70">
        <f>IFERROR(V15+V16+V17+V18+V19+V20+V21+V22+V23+V24+V25+V26, "NA")</f>
        <v>5423.1</v>
      </c>
      <c r="W27" s="71">
        <f>IFERROR(V27/V148, "NA")</f>
        <v>0.2254509143</v>
      </c>
      <c r="X27" s="70">
        <f>IFERROR(X15+X16+X17+X18+X19+X20+X21+X22+X23+X24+X25+X26, "NA")</f>
        <v>3746.35</v>
      </c>
      <c r="Y27" s="71">
        <f>IFERROR(X27/X148, "NA")</f>
        <v>0.1860279542</v>
      </c>
      <c r="Z27" s="70">
        <f>IFERROR(Z15+Z16+Z17+Z18+Z19+Z20+Z21+Z22+Z23+Z24+Z25+Z26, "NA")</f>
        <v>15396.55</v>
      </c>
      <c r="AA27" s="71">
        <f>IFERROR(Z27/Z148, "NA")</f>
        <v>0.2087343445</v>
      </c>
      <c r="AB27" s="70">
        <f t="shared" si="7"/>
        <v>5240.205</v>
      </c>
      <c r="AC27" s="71">
        <f>IFERROR(AB27/AB148, "NA")</f>
        <v>0.21452101</v>
      </c>
      <c r="AD27" s="75">
        <f t="shared" si="8"/>
        <v>-1493.855</v>
      </c>
      <c r="AE27" s="76">
        <f>IFERROR(AD27/AD148, "NA")</f>
        <v>0.3483131462</v>
      </c>
      <c r="AF27" s="75">
        <f t="shared" si="9"/>
        <v>-0.2850756793</v>
      </c>
      <c r="AG27" s="70">
        <f t="shared" si="10"/>
        <v>5266.435</v>
      </c>
      <c r="AH27" s="71">
        <f>IFERROR(AG27/AG148, "NA")</f>
        <v>0.216433168</v>
      </c>
      <c r="AI27" s="75">
        <f t="shared" si="11"/>
        <v>-1520.085</v>
      </c>
      <c r="AJ27" s="76">
        <f>IFERROR(AI27/AI148, "NA")</f>
        <v>0.3624249523</v>
      </c>
      <c r="AK27" s="75">
        <f t="shared" si="12"/>
        <v>-0.2886364305</v>
      </c>
      <c r="AL27" s="76">
        <f>IFERROR(AK27/AK148, "NA")</f>
        <v>1.674535172</v>
      </c>
    </row>
    <row r="28" ht="16.5" customHeight="1">
      <c r="A28" s="22" t="s">
        <v>84</v>
      </c>
      <c r="B28" s="23"/>
      <c r="C28" s="10"/>
      <c r="D28" s="23"/>
      <c r="E28" s="10"/>
      <c r="F28" s="23"/>
      <c r="G28" s="10"/>
      <c r="H28" s="23"/>
      <c r="I28" s="10"/>
      <c r="J28" s="23"/>
      <c r="K28" s="10"/>
      <c r="L28" s="23"/>
      <c r="M28" s="10"/>
      <c r="N28" s="23"/>
      <c r="O28" s="10"/>
      <c r="P28" s="23"/>
      <c r="Q28" s="10"/>
      <c r="R28" s="23"/>
      <c r="S28" s="10"/>
      <c r="T28" s="23"/>
      <c r="U28" s="10"/>
      <c r="V28" s="23"/>
      <c r="W28" s="10"/>
      <c r="X28" s="23"/>
      <c r="Y28" s="10"/>
      <c r="Z28" s="23"/>
      <c r="AA28" s="10"/>
      <c r="AB28" s="23"/>
      <c r="AC28" s="10"/>
      <c r="AD28" s="24"/>
      <c r="AE28" s="25"/>
      <c r="AF28" s="24"/>
      <c r="AG28" s="23"/>
      <c r="AH28" s="10"/>
      <c r="AI28" s="24"/>
      <c r="AJ28" s="25"/>
      <c r="AK28" s="24"/>
      <c r="AL28" s="25"/>
    </row>
    <row r="29" ht="16.5" hidden="1" customHeight="1">
      <c r="A29" s="26" t="s">
        <v>85</v>
      </c>
      <c r="B29" s="28">
        <v>0.0</v>
      </c>
      <c r="C29" s="15">
        <f>IFERROR(B29/B148, "NA")</f>
        <v>0</v>
      </c>
      <c r="D29" s="28">
        <v>0.0</v>
      </c>
      <c r="E29" s="15">
        <f>IFERROR(D29/D148, "NA")</f>
        <v>0</v>
      </c>
      <c r="F29" s="28">
        <v>0.0</v>
      </c>
      <c r="G29" s="15">
        <f>IFERROR(F29/F148, "NA")</f>
        <v>0</v>
      </c>
      <c r="H29" s="28">
        <v>0.0</v>
      </c>
      <c r="I29" s="15">
        <f>IFERROR(H29/H148, "NA")</f>
        <v>0</v>
      </c>
      <c r="J29" s="28">
        <v>0.0</v>
      </c>
      <c r="K29" s="15">
        <f>IFERROR(J29/J148, "NA")</f>
        <v>0</v>
      </c>
      <c r="L29" s="28">
        <v>0.0</v>
      </c>
      <c r="M29" s="15">
        <f>IFERROR(L29/L148, "NA")</f>
        <v>0</v>
      </c>
      <c r="N29" s="28">
        <v>0.0</v>
      </c>
      <c r="O29" s="15">
        <f>IFERROR(N29/N148, "NA")</f>
        <v>0</v>
      </c>
      <c r="P29" s="28">
        <v>0.0</v>
      </c>
      <c r="Q29" s="15">
        <f>IFERROR(P29/P148, "NA")</f>
        <v>0</v>
      </c>
      <c r="R29" s="28">
        <v>0.0</v>
      </c>
      <c r="S29" s="15">
        <f>IFERROR(R29/R148, "NA")</f>
        <v>0</v>
      </c>
      <c r="T29" s="28">
        <v>0.0</v>
      </c>
      <c r="U29" s="15">
        <f>IFERROR(T29/T148, "NA")</f>
        <v>0</v>
      </c>
      <c r="V29" s="28">
        <v>0.0</v>
      </c>
      <c r="W29" s="15">
        <f>IFERROR(V29/V148, "NA")</f>
        <v>0</v>
      </c>
      <c r="X29" s="28">
        <v>0.0</v>
      </c>
      <c r="Y29" s="15">
        <f>IFERROR(X29/X148, "NA")</f>
        <v>0</v>
      </c>
      <c r="Z29" s="28">
        <v>0.0</v>
      </c>
      <c r="AA29" s="15">
        <f>IFERROR(Z29/Z148, "NA")</f>
        <v>0</v>
      </c>
      <c r="AB29" s="57">
        <f t="shared" ref="AB29:AB35" si="13">IFERROR((R29+T29+V29+X29)/4, "NA")</f>
        <v>0</v>
      </c>
      <c r="AC29" s="15">
        <f>IFERROR(AB29/AB148, "NA")</f>
        <v>0</v>
      </c>
      <c r="AD29" s="61">
        <f t="shared" ref="AD29:AD35" si="14">IFERROR(X29-AB29, "NA")</f>
        <v>0</v>
      </c>
      <c r="AE29" s="62">
        <f>IFERROR(AD29/AD148, "NA")</f>
        <v>0</v>
      </c>
      <c r="AF29" s="61" t="str">
        <f t="shared" ref="AF29:AF35" si="15">IFERROR((X29-AB29)/AB29, "NA")</f>
        <v>NA</v>
      </c>
      <c r="AG29" s="57">
        <f t="shared" ref="AG29:AG35" si="16">IFERROR((J29+L29+N29+P29+R29+T29+V29+X29)/8, "NA")</f>
        <v>0</v>
      </c>
      <c r="AH29" s="15">
        <f>IFERROR(AG29/AG148, "NA")</f>
        <v>0</v>
      </c>
      <c r="AI29" s="61">
        <f t="shared" ref="AI29:AI35" si="17">IFERROR(X29-AG29, "NA")</f>
        <v>0</v>
      </c>
      <c r="AJ29" s="62">
        <f>IFERROR(AI29/AI148, "NA")</f>
        <v>0</v>
      </c>
      <c r="AK29" s="61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6" t="s">
        <v>88</v>
      </c>
      <c r="B30" s="28">
        <v>222.12</v>
      </c>
      <c r="C30" s="15">
        <f>IFERROR(B30/B148, "NA")</f>
        <v>0.01921268806</v>
      </c>
      <c r="D30" s="28">
        <v>225.58</v>
      </c>
      <c r="E30" s="15">
        <f>IFERROR(D30/D148, "NA")</f>
        <v>0.01225539331</v>
      </c>
      <c r="F30" s="28">
        <v>149.69</v>
      </c>
      <c r="G30" s="15">
        <f>IFERROR(F30/F148, "NA")</f>
        <v>0.006505045115</v>
      </c>
      <c r="H30" s="28">
        <v>234.84</v>
      </c>
      <c r="I30" s="15">
        <f>IFERROR(H30/H148, "NA")</f>
        <v>0.011361954</v>
      </c>
      <c r="J30" s="28">
        <v>235.68</v>
      </c>
      <c r="K30" s="15">
        <f>IFERROR(J30/J148, "NA")</f>
        <v>0.01181769817</v>
      </c>
      <c r="L30" s="28">
        <v>417.83</v>
      </c>
      <c r="M30" s="15">
        <f>IFERROR(L30/L148, "NA")</f>
        <v>0.01428675961</v>
      </c>
      <c r="N30" s="28">
        <v>187.54</v>
      </c>
      <c r="O30" s="15">
        <f>IFERROR(N30/N148, "NA")</f>
        <v>0.00837131986</v>
      </c>
      <c r="P30" s="28">
        <v>243.75</v>
      </c>
      <c r="Q30" s="15">
        <f>IFERROR(P30/P148, "NA")</f>
        <v>0.009611104167</v>
      </c>
      <c r="R30" s="28">
        <v>335.15</v>
      </c>
      <c r="S30" s="15">
        <f>IFERROR(R30/R148, "NA")</f>
        <v>0.01399466603</v>
      </c>
      <c r="T30" s="28">
        <v>513.64</v>
      </c>
      <c r="U30" s="15">
        <f>IFERROR(T30/T148, "NA")</f>
        <v>0.01737127118</v>
      </c>
      <c r="V30" s="28">
        <v>284.3</v>
      </c>
      <c r="W30" s="15">
        <f>IFERROR(V30/V148, "NA")</f>
        <v>0.01181901402</v>
      </c>
      <c r="X30" s="28">
        <v>280.72</v>
      </c>
      <c r="Y30" s="15">
        <f>IFERROR(X30/X148, "NA")</f>
        <v>0.01393937227</v>
      </c>
      <c r="Z30" s="28">
        <v>1078.66</v>
      </c>
      <c r="AA30" s="15">
        <f>IFERROR(Z30/Z148, "NA")</f>
        <v>0.01462362594</v>
      </c>
      <c r="AB30" s="57">
        <f t="shared" si="13"/>
        <v>353.4525</v>
      </c>
      <c r="AC30" s="15">
        <f>IFERROR(AB30/AB148, "NA")</f>
        <v>0.01446946967</v>
      </c>
      <c r="AD30" s="61">
        <f t="shared" si="14"/>
        <v>-72.7325</v>
      </c>
      <c r="AE30" s="62">
        <f>IFERROR(AD30/AD148, "NA")</f>
        <v>0.01695859766</v>
      </c>
      <c r="AF30" s="61">
        <f t="shared" si="15"/>
        <v>-0.2057772968</v>
      </c>
      <c r="AG30" s="57">
        <f t="shared" si="16"/>
        <v>312.32625</v>
      </c>
      <c r="AH30" s="15">
        <f>IFERROR(AG30/AG148, "NA")</f>
        <v>0.01283558227</v>
      </c>
      <c r="AI30" s="61">
        <f t="shared" si="17"/>
        <v>-31.60625</v>
      </c>
      <c r="AJ30" s="62">
        <f>IFERROR(AI30/AI148, "NA")</f>
        <v>0.007535692838</v>
      </c>
      <c r="AK30" s="61">
        <f t="shared" si="18"/>
        <v>-0.1011962651</v>
      </c>
      <c r="AL30" s="62">
        <f>IFERROR(AK30/AK148, "NA")</f>
        <v>0.5870939609</v>
      </c>
    </row>
    <row r="31" ht="16.5" customHeight="1">
      <c r="A31" s="26" t="s">
        <v>89</v>
      </c>
      <c r="B31" s="28">
        <v>-32.49</v>
      </c>
      <c r="C31" s="15">
        <f>IFERROR(B31/B148, "NA")</f>
        <v>-0.002810283788</v>
      </c>
      <c r="D31" s="28">
        <v>7.01</v>
      </c>
      <c r="E31" s="15">
        <f>IFERROR(D31/D148, "NA")</f>
        <v>0.0003808418615</v>
      </c>
      <c r="F31" s="28">
        <v>12.6</v>
      </c>
      <c r="G31" s="15">
        <f>IFERROR(F31/F148, "NA")</f>
        <v>0.0005475554041</v>
      </c>
      <c r="H31" s="28">
        <v>18.22</v>
      </c>
      <c r="I31" s="15">
        <f>IFERROR(H31/H148, "NA")</f>
        <v>0.0008815142305</v>
      </c>
      <c r="J31" s="28">
        <v>0.0</v>
      </c>
      <c r="K31" s="15">
        <f>IFERROR(J31/J148, "NA")</f>
        <v>0</v>
      </c>
      <c r="L31" s="28">
        <v>12.96</v>
      </c>
      <c r="M31" s="15">
        <f>IFERROR(L31/L148, "NA")</f>
        <v>0.0004431381292</v>
      </c>
      <c r="N31" s="28">
        <v>27.89</v>
      </c>
      <c r="O31" s="15">
        <f>IFERROR(N31/N148, "NA")</f>
        <v>0.001244940337</v>
      </c>
      <c r="P31" s="28">
        <v>10.51</v>
      </c>
      <c r="Q31" s="15">
        <f>IFERROR(P31/P148, "NA")</f>
        <v>0.0004144110966</v>
      </c>
      <c r="R31" s="28">
        <v>24.27</v>
      </c>
      <c r="S31" s="15">
        <f>IFERROR(R31/R148, "NA")</f>
        <v>0.001013428449</v>
      </c>
      <c r="T31" s="28">
        <v>40.57</v>
      </c>
      <c r="U31" s="15">
        <f>IFERROR(T31/T148, "NA")</f>
        <v>0.001372074745</v>
      </c>
      <c r="V31" s="28">
        <v>48.8</v>
      </c>
      <c r="W31" s="15">
        <f>IFERROR(V31/V148, "NA")</f>
        <v>0.002028729807</v>
      </c>
      <c r="X31" s="28">
        <v>12.18</v>
      </c>
      <c r="Y31" s="15">
        <f>IFERROR(X31/X148, "NA")</f>
        <v>0.0006048074746</v>
      </c>
      <c r="Z31" s="28">
        <v>101.55</v>
      </c>
      <c r="AA31" s="15">
        <f>IFERROR(Z31/Z148, "NA")</f>
        <v>0.001376735222</v>
      </c>
      <c r="AB31" s="57">
        <f t="shared" si="13"/>
        <v>31.455</v>
      </c>
      <c r="AC31" s="15">
        <f>IFERROR(AB31/AB148, "NA")</f>
        <v>0.00128768977</v>
      </c>
      <c r="AD31" s="61">
        <f t="shared" si="14"/>
        <v>-19.275</v>
      </c>
      <c r="AE31" s="62">
        <f>IFERROR(AD31/AD148, "NA")</f>
        <v>0.004494235313</v>
      </c>
      <c r="AF31" s="61">
        <f t="shared" si="15"/>
        <v>-0.6127801621</v>
      </c>
      <c r="AG31" s="57">
        <f t="shared" si="16"/>
        <v>22.1475</v>
      </c>
      <c r="AH31" s="15">
        <f>IFERROR(AG31/AG148, "NA")</f>
        <v>0.0009101894523</v>
      </c>
      <c r="AI31" s="61">
        <f t="shared" si="17"/>
        <v>-9.9675</v>
      </c>
      <c r="AJ31" s="62">
        <f>IFERROR(AI31/AI148, "NA")</f>
        <v>0.002376492572</v>
      </c>
      <c r="AK31" s="61">
        <f t="shared" si="18"/>
        <v>-0.4500507958</v>
      </c>
      <c r="AL31" s="62">
        <f>IFERROR(AK31/AK148, "NA")</f>
        <v>2.61098672</v>
      </c>
    </row>
    <row r="32" ht="16.5" customHeight="1">
      <c r="A32" s="26" t="s">
        <v>90</v>
      </c>
      <c r="B32" s="28">
        <v>0.0</v>
      </c>
      <c r="C32" s="15">
        <f>IFERROR(B32/B148, "NA")</f>
        <v>0</v>
      </c>
      <c r="D32" s="28">
        <v>20.5</v>
      </c>
      <c r="E32" s="15">
        <f>IFERROR(D32/D148, "NA")</f>
        <v>0.001113731549</v>
      </c>
      <c r="F32" s="28">
        <v>-12.17</v>
      </c>
      <c r="G32" s="15">
        <f>IFERROR(F32/F148, "NA")</f>
        <v>-0.0005288689895</v>
      </c>
      <c r="H32" s="28">
        <v>0.0</v>
      </c>
      <c r="I32" s="15">
        <f>IFERROR(H32/H148, "NA")</f>
        <v>0</v>
      </c>
      <c r="J32" s="28">
        <v>8.33</v>
      </c>
      <c r="K32" s="15">
        <f>IFERROR(J32/J148, "NA")</f>
        <v>0.000417691046</v>
      </c>
      <c r="L32" s="28">
        <v>0.0</v>
      </c>
      <c r="M32" s="15">
        <f>IFERROR(L32/L148, "NA")</f>
        <v>0</v>
      </c>
      <c r="N32" s="28">
        <v>0.0</v>
      </c>
      <c r="O32" s="15">
        <f>IFERROR(N32/N148, "NA")</f>
        <v>0</v>
      </c>
      <c r="P32" s="28">
        <v>16.66</v>
      </c>
      <c r="Q32" s="15">
        <f>IFERROR(P32/P148, "NA")</f>
        <v>0.0006569066479</v>
      </c>
      <c r="R32" s="28">
        <v>-13.33</v>
      </c>
      <c r="S32" s="15">
        <f>IFERROR(R32/R148, "NA")</f>
        <v>-0.000556613153</v>
      </c>
      <c r="T32" s="28">
        <v>5.0</v>
      </c>
      <c r="U32" s="15">
        <f>IFERROR(T32/T148, "NA")</f>
        <v>0.0001690996728</v>
      </c>
      <c r="V32" s="28">
        <v>33.33</v>
      </c>
      <c r="W32" s="15">
        <f>IFERROR(V32/V148, "NA")</f>
        <v>0.001385605829</v>
      </c>
      <c r="X32" s="28">
        <v>-31.66</v>
      </c>
      <c r="Y32" s="15">
        <f>IFERROR(X32/X148, "NA")</f>
        <v>-0.001572102188</v>
      </c>
      <c r="Z32" s="28">
        <v>6.67</v>
      </c>
      <c r="AA32" s="15">
        <f>IFERROR(Z32/Z148, "NA")</f>
        <v>0.00009042662659</v>
      </c>
      <c r="AB32" s="57">
        <f t="shared" si="13"/>
        <v>-1.665</v>
      </c>
      <c r="AC32" s="15">
        <f>IFERROR(AB32/AB148, "NA")</f>
        <v>-0.00006816097494</v>
      </c>
      <c r="AD32" s="61">
        <f t="shared" si="14"/>
        <v>-29.995</v>
      </c>
      <c r="AE32" s="62">
        <f>IFERROR(AD32/AD148, "NA")</f>
        <v>0.006993752955</v>
      </c>
      <c r="AF32" s="61">
        <f t="shared" si="15"/>
        <v>18.01501502</v>
      </c>
      <c r="AG32" s="57">
        <f t="shared" si="16"/>
        <v>2.29125</v>
      </c>
      <c r="AH32" s="15">
        <f>IFERROR(AG32/AG148, "NA")</f>
        <v>0.00009416284377</v>
      </c>
      <c r="AI32" s="61">
        <f t="shared" si="17"/>
        <v>-33.95125</v>
      </c>
      <c r="AJ32" s="62">
        <f>IFERROR(AI32/AI148, "NA")</f>
        <v>0.008094797436</v>
      </c>
      <c r="AK32" s="61">
        <f t="shared" si="18"/>
        <v>-14.81778505</v>
      </c>
      <c r="AL32" s="62">
        <f>IFERROR(AK32/AK148, "NA")</f>
        <v>85.96594062</v>
      </c>
    </row>
    <row r="33" ht="16.5" customHeight="1">
      <c r="A33" s="26" t="s">
        <v>91</v>
      </c>
      <c r="B33" s="28">
        <v>3.34</v>
      </c>
      <c r="C33" s="15">
        <f>IFERROR(B33/B148, "NA")</f>
        <v>0.0002888995953</v>
      </c>
      <c r="D33" s="28">
        <v>3.67</v>
      </c>
      <c r="E33" s="15">
        <f>IFERROR(D33/D148, "NA")</f>
        <v>0.0001993851115</v>
      </c>
      <c r="F33" s="28">
        <v>3.34</v>
      </c>
      <c r="G33" s="15">
        <f>IFERROR(F33/F148, "NA")</f>
        <v>0.0001451456389</v>
      </c>
      <c r="H33" s="28">
        <v>6.33</v>
      </c>
      <c r="I33" s="15">
        <f>IFERROR(H33/H148, "NA")</f>
        <v>0.0003062560417</v>
      </c>
      <c r="J33" s="28">
        <v>12.57</v>
      </c>
      <c r="K33" s="15">
        <f>IFERROR(J33/J148, "NA")</f>
        <v>0.0006302972927</v>
      </c>
      <c r="L33" s="28">
        <v>0.0</v>
      </c>
      <c r="M33" s="15">
        <f>IFERROR(L33/L148, "NA")</f>
        <v>0</v>
      </c>
      <c r="N33" s="28">
        <v>0.0</v>
      </c>
      <c r="O33" s="15">
        <f>IFERROR(N33/N148, "NA")</f>
        <v>0</v>
      </c>
      <c r="P33" s="28">
        <v>12.66</v>
      </c>
      <c r="Q33" s="15">
        <f>IFERROR(P33/P148, "NA")</f>
        <v>0.0004991859641</v>
      </c>
      <c r="R33" s="28">
        <v>-16.67</v>
      </c>
      <c r="S33" s="15">
        <f>IFERROR(R33/R148, "NA")</f>
        <v>-0.0006960796145</v>
      </c>
      <c r="T33" s="28">
        <v>5.02</v>
      </c>
      <c r="U33" s="15">
        <f>IFERROR(T33/T148, "NA")</f>
        <v>0.0001697760714</v>
      </c>
      <c r="V33" s="28">
        <v>1.67</v>
      </c>
      <c r="W33" s="15">
        <f>IFERROR(V33/V148, "NA")</f>
        <v>0.00006942579463</v>
      </c>
      <c r="X33" s="28">
        <v>0.0</v>
      </c>
      <c r="Y33" s="15">
        <f>IFERROR(X33/X148, "NA")</f>
        <v>0</v>
      </c>
      <c r="Z33" s="28">
        <v>6.69</v>
      </c>
      <c r="AA33" s="15">
        <f>IFERROR(Z33/Z148, "NA")</f>
        <v>0.0000906977709</v>
      </c>
      <c r="AB33" s="57">
        <f t="shared" si="13"/>
        <v>-2.495</v>
      </c>
      <c r="AC33" s="15">
        <f>IFERROR(AB33/AB148, "NA")</f>
        <v>-0.0001021391186</v>
      </c>
      <c r="AD33" s="61">
        <f t="shared" si="14"/>
        <v>2.495</v>
      </c>
      <c r="AE33" s="62">
        <f>IFERROR(AD33/AD148, "NA")</f>
        <v>-0.0005817440781</v>
      </c>
      <c r="AF33" s="61">
        <f t="shared" si="15"/>
        <v>-1</v>
      </c>
      <c r="AG33" s="57">
        <f t="shared" si="16"/>
        <v>1.90625</v>
      </c>
      <c r="AH33" s="15">
        <f>IFERROR(AG33/AG148, "NA")</f>
        <v>0.00007834060925</v>
      </c>
      <c r="AI33" s="61">
        <f t="shared" si="17"/>
        <v>-1.90625</v>
      </c>
      <c r="AJ33" s="62">
        <f>IFERROR(AI33/AI148, "NA")</f>
        <v>0.0004544960086</v>
      </c>
      <c r="AK33" s="61">
        <f t="shared" si="18"/>
        <v>-1</v>
      </c>
      <c r="AL33" s="62">
        <f>IFERROR(AK33/AK148, "NA")</f>
        <v>5.801537836</v>
      </c>
    </row>
    <row r="34" ht="16.5" customHeight="1">
      <c r="A34" s="67" t="s">
        <v>92</v>
      </c>
      <c r="B34" s="70">
        <f>IFERROR(B29+B30+B31+B32+B33, "NA")</f>
        <v>192.97</v>
      </c>
      <c r="C34" s="71">
        <f>IFERROR(B34/B148, "NA")</f>
        <v>0.01669130386</v>
      </c>
      <c r="D34" s="70">
        <f>IFERROR(D29+D30+D31+D32+D33, "NA")</f>
        <v>256.76</v>
      </c>
      <c r="E34" s="71">
        <f>IFERROR(D34/D148, "NA")</f>
        <v>0.01394935184</v>
      </c>
      <c r="F34" s="70">
        <f>IFERROR(F29+F30+F31+F32+F33, "NA")</f>
        <v>153.46</v>
      </c>
      <c r="G34" s="71">
        <f>IFERROR(F34/F148, "NA")</f>
        <v>0.006668877168</v>
      </c>
      <c r="H34" s="70">
        <f>IFERROR(H29+H30+H31+H32+H33, "NA")</f>
        <v>259.39</v>
      </c>
      <c r="I34" s="71">
        <f>IFERROR(H34/H148, "NA")</f>
        <v>0.01254972427</v>
      </c>
      <c r="J34" s="70">
        <f>IFERROR(J29+J30+J31+J32+J33, "NA")</f>
        <v>256.58</v>
      </c>
      <c r="K34" s="71">
        <f>IFERROR(J34/J148, "NA")</f>
        <v>0.01286568651</v>
      </c>
      <c r="L34" s="70">
        <f>IFERROR(L29+L30+L31+L32+L33, "NA")</f>
        <v>430.79</v>
      </c>
      <c r="M34" s="71">
        <f>IFERROR(L34/L148, "NA")</f>
        <v>0.01472989774</v>
      </c>
      <c r="N34" s="70">
        <f>IFERROR(N29+N30+N31+N32+N33, "NA")</f>
        <v>215.43</v>
      </c>
      <c r="O34" s="71">
        <f>IFERROR(N34/N148, "NA")</f>
        <v>0.009616260197</v>
      </c>
      <c r="P34" s="70">
        <f>IFERROR(P29+P30+P31+P32+P33, "NA")</f>
        <v>283.58</v>
      </c>
      <c r="Q34" s="71">
        <f>IFERROR(P34/P148, "NA")</f>
        <v>0.01118160788</v>
      </c>
      <c r="R34" s="70">
        <f>IFERROR(R29+R30+R31+R32+R33, "NA")</f>
        <v>329.42</v>
      </c>
      <c r="S34" s="71">
        <f>IFERROR(R34/R148, "NA")</f>
        <v>0.01375540172</v>
      </c>
      <c r="T34" s="70">
        <f>IFERROR(T29+T30+T31+T32+T33, "NA")</f>
        <v>564.23</v>
      </c>
      <c r="U34" s="71">
        <f>IFERROR(T34/T148, "NA")</f>
        <v>0.01908222167</v>
      </c>
      <c r="V34" s="70">
        <f>IFERROR(V29+V30+V31+V32+V33, "NA")</f>
        <v>368.1</v>
      </c>
      <c r="W34" s="71">
        <f>IFERROR(V34/V148, "NA")</f>
        <v>0.01530277545</v>
      </c>
      <c r="X34" s="70">
        <f>IFERROR(X29+X30+X31+X32+X33, "NA")</f>
        <v>261.24</v>
      </c>
      <c r="Y34" s="71">
        <f>IFERROR(X34/X148, "NA")</f>
        <v>0.01297207756</v>
      </c>
      <c r="Z34" s="70">
        <f>IFERROR(Z29+Z30+Z31+Z32+Z33, "NA")</f>
        <v>1193.57</v>
      </c>
      <c r="AA34" s="71">
        <f>IFERROR(Z34/Z148, "NA")</f>
        <v>0.01618148556</v>
      </c>
      <c r="AB34" s="70">
        <f t="shared" si="13"/>
        <v>380.7475</v>
      </c>
      <c r="AC34" s="71">
        <f>IFERROR(AB34/AB148, "NA")</f>
        <v>0.01558685934</v>
      </c>
      <c r="AD34" s="75">
        <f t="shared" si="14"/>
        <v>-119.5075</v>
      </c>
      <c r="AE34" s="76">
        <f>IFERROR(AD34/AD148, "NA")</f>
        <v>0.02786484185</v>
      </c>
      <c r="AF34" s="75">
        <f t="shared" si="15"/>
        <v>-0.3138759939</v>
      </c>
      <c r="AG34" s="70">
        <f t="shared" si="16"/>
        <v>338.67125</v>
      </c>
      <c r="AH34" s="71">
        <f>IFERROR(AG34/AG148, "NA")</f>
        <v>0.01391827518</v>
      </c>
      <c r="AI34" s="75">
        <f t="shared" si="17"/>
        <v>-77.43125</v>
      </c>
      <c r="AJ34" s="76">
        <f>IFERROR(AI34/AI148, "NA")</f>
        <v>0.01846147886</v>
      </c>
      <c r="AK34" s="75">
        <f t="shared" si="18"/>
        <v>-0.2286324865</v>
      </c>
      <c r="AL34" s="76">
        <f>IFERROR(AK34/AK148, "NA")</f>
        <v>1.326420021</v>
      </c>
    </row>
    <row r="35" ht="16.5" customHeight="1">
      <c r="A35" s="67" t="s">
        <v>93</v>
      </c>
      <c r="B35" s="70">
        <f>IFERROR(B13+B15+B16+B17+B18+B19+B20+B21+B22+B23+B24+B25+B26+B29+B30+B31+B32+B33, "NA")</f>
        <v>2997.19</v>
      </c>
      <c r="C35" s="71">
        <f>IFERROR(B35/B148, "NA")</f>
        <v>0.2592475982</v>
      </c>
      <c r="D35" s="70">
        <f>IFERROR(D13+D15+D16+D17+D18+D19+D20+D21+D22+D23+D24+D25+D26+D29+D30+D31+D32+D33, "NA")</f>
        <v>4534.76</v>
      </c>
      <c r="E35" s="71">
        <f>IFERROR(D35/D148, "NA")</f>
        <v>0.2463661113</v>
      </c>
      <c r="F35" s="70">
        <f>IFERROR(F13+F15+F16+F17+F18+F19+F20+F21+F22+F23+F24+F25+F26+F29+F30+F31+F32+F33, "NA")</f>
        <v>4974.65</v>
      </c>
      <c r="G35" s="71">
        <f>IFERROR(F35/F148, "NA")</f>
        <v>0.2161822612</v>
      </c>
      <c r="H35" s="70">
        <f>IFERROR(H13+H15+H16+H17+H18+H19+H20+H21+H22+H23+H24+H25+H26+H29+H30+H31+H32+H33, "NA")</f>
        <v>5236.24</v>
      </c>
      <c r="I35" s="71">
        <f>IFERROR(H35/H148, "NA")</f>
        <v>0.2533380941</v>
      </c>
      <c r="J35" s="70">
        <f>IFERROR(J13+J15+J16+J17+J18+J19+J20+J21+J22+J23+J24+J25+J26+J29+J30+J31+J32+J33, "NA")</f>
        <v>4675.3</v>
      </c>
      <c r="K35" s="71">
        <f>IFERROR(J35/J148, "NA")</f>
        <v>0.2344334871</v>
      </c>
      <c r="L35" s="70">
        <f>IFERROR(L13+L15+L16+L17+L18+L19+L20+L21+L22+L23+L24+L25+L26+L29+L30+L31+L32+L33, "NA")</f>
        <v>6954.88</v>
      </c>
      <c r="M35" s="71">
        <f>IFERROR(L35/L148, "NA")</f>
        <v>0.237806521</v>
      </c>
      <c r="N35" s="70">
        <f>IFERROR(N13+N15+N16+N17+N18+N19+N20+N21+N22+N23+N24+N25+N26+N29+N30+N31+N32+N33, "NA")</f>
        <v>5122.21</v>
      </c>
      <c r="O35" s="71">
        <f>IFERROR(N35/N148, "NA")</f>
        <v>0.2286427338</v>
      </c>
      <c r="P35" s="70">
        <f>IFERROR(P13+P15+P16+P17+P18+P19+P20+P21+P22+P23+P24+P25+P26+P29+P30+P31+P32+P33, "NA")</f>
        <v>5604.65</v>
      </c>
      <c r="Q35" s="71">
        <f>IFERROR(P35/P148, "NA")</f>
        <v>0.2209923076</v>
      </c>
      <c r="R35" s="70">
        <f>IFERROR(R13+R15+R16+R17+R18+R19+R20+R21+R22+R23+R24+R25+R26+R29+R30+R31+R32+R33, "NA")</f>
        <v>5893.69</v>
      </c>
      <c r="S35" s="71">
        <f>IFERROR(R35/R148, "NA")</f>
        <v>0.2460994279</v>
      </c>
      <c r="T35" s="70">
        <f>IFERROR(T13+T15+T16+T17+T18+T19+T20+T21+T22+T23+T24+T25+T26+T29+T30+T31+T32+T33, "NA")</f>
        <v>6791.33</v>
      </c>
      <c r="U35" s="71">
        <f>IFERROR(T35/T148, "NA")</f>
        <v>0.2296823361</v>
      </c>
      <c r="V35" s="70">
        <f>IFERROR(V13+V15+V16+V17+V18+V19+V20+V21+V22+V23+V24+V25+V26+V29+V30+V31+V32+V33, "NA")</f>
        <v>5791.2</v>
      </c>
      <c r="W35" s="71">
        <f>IFERROR(V35/V148, "NA")</f>
        <v>0.2407536898</v>
      </c>
      <c r="X35" s="70">
        <f>IFERROR(X13+X15+X16+X17+X18+X19+X20+X21+X22+X23+X24+X25+X26+X29+X30+X31+X32+X33, "NA")</f>
        <v>4007.59</v>
      </c>
      <c r="Y35" s="71">
        <f>IFERROR(X35/X148, "NA")</f>
        <v>0.1990000318</v>
      </c>
      <c r="Z35" s="70">
        <f>IFERROR(Z13+Z15+Z16+Z17+Z18+Z19+Z20+Z21+Z22+Z23+Z24+Z25+Z26+Z29+Z30+Z31+Z32+Z33, "NA")</f>
        <v>16590.12</v>
      </c>
      <c r="AA35" s="71">
        <f>IFERROR(Z35/Z148, "NA")</f>
        <v>0.22491583</v>
      </c>
      <c r="AB35" s="70">
        <f t="shared" si="13"/>
        <v>5620.9525</v>
      </c>
      <c r="AC35" s="71">
        <f>IFERROR(AB35/AB148, "NA")</f>
        <v>0.2301078693</v>
      </c>
      <c r="AD35" s="75">
        <f t="shared" si="14"/>
        <v>-1613.3625</v>
      </c>
      <c r="AE35" s="76">
        <f>IFERROR(AD35/AD148, "NA")</f>
        <v>0.376177988</v>
      </c>
      <c r="AF35" s="75">
        <f t="shared" si="15"/>
        <v>-0.2870265315</v>
      </c>
      <c r="AG35" s="70">
        <f t="shared" si="16"/>
        <v>5605.10625</v>
      </c>
      <c r="AH35" s="71">
        <f>IFERROR(AG35/AG148, "NA")</f>
        <v>0.2303514432</v>
      </c>
      <c r="AI35" s="75">
        <f t="shared" si="17"/>
        <v>-1597.51625</v>
      </c>
      <c r="AJ35" s="76">
        <f>IFERROR(AI35/AI148, "NA")</f>
        <v>0.3808864311</v>
      </c>
      <c r="AK35" s="75">
        <f t="shared" si="18"/>
        <v>-0.2850108774</v>
      </c>
      <c r="AL35" s="76">
        <f>IFERROR(AK35/AK148, "NA")</f>
        <v>1.653501389</v>
      </c>
    </row>
    <row r="36" ht="16.5" customHeight="1">
      <c r="A36" s="22" t="s">
        <v>94</v>
      </c>
      <c r="B36" s="23"/>
      <c r="C36" s="10"/>
      <c r="D36" s="23"/>
      <c r="E36" s="10"/>
      <c r="F36" s="23"/>
      <c r="G36" s="10"/>
      <c r="H36" s="23"/>
      <c r="I36" s="10"/>
      <c r="J36" s="23"/>
      <c r="K36" s="10"/>
      <c r="L36" s="23"/>
      <c r="M36" s="10"/>
      <c r="N36" s="23"/>
      <c r="O36" s="10"/>
      <c r="P36" s="23"/>
      <c r="Q36" s="10"/>
      <c r="R36" s="23"/>
      <c r="S36" s="10"/>
      <c r="T36" s="23"/>
      <c r="U36" s="10"/>
      <c r="V36" s="23"/>
      <c r="W36" s="10"/>
      <c r="X36" s="23"/>
      <c r="Y36" s="10"/>
      <c r="Z36" s="23"/>
      <c r="AA36" s="10"/>
      <c r="AB36" s="23"/>
      <c r="AC36" s="10"/>
      <c r="AD36" s="24"/>
      <c r="AE36" s="25"/>
      <c r="AF36" s="24"/>
      <c r="AG36" s="23"/>
      <c r="AH36" s="10"/>
      <c r="AI36" s="24"/>
      <c r="AJ36" s="25"/>
      <c r="AK36" s="24"/>
      <c r="AL36" s="25"/>
    </row>
    <row r="37" ht="16.5" hidden="1" customHeight="1">
      <c r="A37" s="26" t="s">
        <v>95</v>
      </c>
      <c r="B37" s="28">
        <v>0.0</v>
      </c>
      <c r="C37" s="15">
        <f>IFERROR(B37/B148, "NA")</f>
        <v>0</v>
      </c>
      <c r="D37" s="28">
        <v>0.0</v>
      </c>
      <c r="E37" s="15">
        <f>IFERROR(D37/D148, "NA")</f>
        <v>0</v>
      </c>
      <c r="F37" s="28">
        <v>0.0</v>
      </c>
      <c r="G37" s="15">
        <f>IFERROR(F37/F148, "NA")</f>
        <v>0</v>
      </c>
      <c r="H37" s="28">
        <v>0.0</v>
      </c>
      <c r="I37" s="15">
        <f>IFERROR(H37/H148, "NA")</f>
        <v>0</v>
      </c>
      <c r="J37" s="28">
        <v>0.0</v>
      </c>
      <c r="K37" s="15">
        <f>IFERROR(J37/J148, "NA")</f>
        <v>0</v>
      </c>
      <c r="L37" s="28">
        <v>0.0</v>
      </c>
      <c r="M37" s="15">
        <f>IFERROR(L37/L148, "NA")</f>
        <v>0</v>
      </c>
      <c r="N37" s="28">
        <v>0.0</v>
      </c>
      <c r="O37" s="15">
        <f>IFERROR(N37/N148, "NA")</f>
        <v>0</v>
      </c>
      <c r="P37" s="28">
        <v>0.0</v>
      </c>
      <c r="Q37" s="15">
        <f>IFERROR(P37/P148, "NA")</f>
        <v>0</v>
      </c>
      <c r="R37" s="28">
        <v>0.0</v>
      </c>
      <c r="S37" s="15">
        <f>IFERROR(R37/R148, "NA")</f>
        <v>0</v>
      </c>
      <c r="T37" s="28">
        <v>0.0</v>
      </c>
      <c r="U37" s="15">
        <f>IFERROR(T37/T148, "NA")</f>
        <v>0</v>
      </c>
      <c r="V37" s="28">
        <v>0.0</v>
      </c>
      <c r="W37" s="15">
        <f>IFERROR(V37/V148, "NA")</f>
        <v>0</v>
      </c>
      <c r="X37" s="28">
        <v>0.0</v>
      </c>
      <c r="Y37" s="15">
        <f>IFERROR(X37/X148, "NA")</f>
        <v>0</v>
      </c>
      <c r="Z37" s="28">
        <v>0.0</v>
      </c>
      <c r="AA37" s="15">
        <f>IFERROR(Z37/Z148, "NA")</f>
        <v>0</v>
      </c>
      <c r="AB37" s="57">
        <f>IFERROR((R37+T37+V37+X37)/4, "NA")</f>
        <v>0</v>
      </c>
      <c r="AC37" s="15">
        <f>IFERROR(AB37/AB148, "NA")</f>
        <v>0</v>
      </c>
      <c r="AD37" s="61">
        <f>IFERROR(X37-AB37, "NA")</f>
        <v>0</v>
      </c>
      <c r="AE37" s="62">
        <f>IFERROR(AD37/AD148, "NA")</f>
        <v>0</v>
      </c>
      <c r="AF37" s="61" t="str">
        <f>IFERROR((X37-AB37)/AB37, "NA")</f>
        <v>NA</v>
      </c>
      <c r="AG37" s="57">
        <f>IFERROR((J37+L37+N37+P37+R37+T37+V37+X37)/8, "NA")</f>
        <v>0</v>
      </c>
      <c r="AH37" s="15">
        <f>IFERROR(AG37/AG148, "NA")</f>
        <v>0</v>
      </c>
      <c r="AI37" s="61">
        <f>IFERROR(X37-AG37, "NA")</f>
        <v>0</v>
      </c>
      <c r="AJ37" s="62">
        <f>IFERROR(AI37/AI148, "NA")</f>
        <v>0</v>
      </c>
      <c r="AK37" s="61" t="str">
        <f>IFERROR((X37-AG37)/AG37, "NA")</f>
        <v>NA</v>
      </c>
      <c r="AL37" s="62" t="str">
        <f>IFERROR(AK37/AK148, "NA")</f>
        <v>NA</v>
      </c>
    </row>
    <row r="38" ht="16.5" customHeight="1">
      <c r="A38" s="22" t="s">
        <v>96</v>
      </c>
      <c r="B38" s="23"/>
      <c r="C38" s="10"/>
      <c r="D38" s="23"/>
      <c r="E38" s="10"/>
      <c r="F38" s="23"/>
      <c r="G38" s="10"/>
      <c r="H38" s="23"/>
      <c r="I38" s="10"/>
      <c r="J38" s="23"/>
      <c r="K38" s="10"/>
      <c r="L38" s="23"/>
      <c r="M38" s="10"/>
      <c r="N38" s="23"/>
      <c r="O38" s="10"/>
      <c r="P38" s="23"/>
      <c r="Q38" s="10"/>
      <c r="R38" s="23"/>
      <c r="S38" s="10"/>
      <c r="T38" s="23"/>
      <c r="U38" s="10"/>
      <c r="V38" s="23"/>
      <c r="W38" s="10"/>
      <c r="X38" s="23"/>
      <c r="Y38" s="10"/>
      <c r="Z38" s="23"/>
      <c r="AA38" s="10"/>
      <c r="AB38" s="23"/>
      <c r="AC38" s="10"/>
      <c r="AD38" s="24"/>
      <c r="AE38" s="25"/>
      <c r="AF38" s="24"/>
      <c r="AG38" s="23"/>
      <c r="AH38" s="10"/>
      <c r="AI38" s="24"/>
      <c r="AJ38" s="25"/>
      <c r="AK38" s="24"/>
      <c r="AL38" s="25"/>
    </row>
    <row r="39" ht="16.5" hidden="1" customHeight="1">
      <c r="A39" s="26" t="s">
        <v>97</v>
      </c>
      <c r="B39" s="28">
        <v>0.0</v>
      </c>
      <c r="C39" s="15">
        <f>IFERROR(B39/B148, "NA")</f>
        <v>0</v>
      </c>
      <c r="D39" s="28">
        <v>0.0</v>
      </c>
      <c r="E39" s="15">
        <f>IFERROR(D39/D148, "NA")</f>
        <v>0</v>
      </c>
      <c r="F39" s="28">
        <v>0.0</v>
      </c>
      <c r="G39" s="15">
        <f>IFERROR(F39/F148, "NA")</f>
        <v>0</v>
      </c>
      <c r="H39" s="28">
        <v>0.0</v>
      </c>
      <c r="I39" s="15">
        <f>IFERROR(H39/H148, "NA")</f>
        <v>0</v>
      </c>
      <c r="J39" s="28">
        <v>0.0</v>
      </c>
      <c r="K39" s="15">
        <f>IFERROR(J39/J148, "NA")</f>
        <v>0</v>
      </c>
      <c r="L39" s="28">
        <v>0.0</v>
      </c>
      <c r="M39" s="15">
        <f>IFERROR(L39/L148, "NA")</f>
        <v>0</v>
      </c>
      <c r="N39" s="28">
        <v>0.0</v>
      </c>
      <c r="O39" s="15">
        <f>IFERROR(N39/N148, "NA")</f>
        <v>0</v>
      </c>
      <c r="P39" s="28">
        <v>0.0</v>
      </c>
      <c r="Q39" s="15">
        <f>IFERROR(P39/P148, "NA")</f>
        <v>0</v>
      </c>
      <c r="R39" s="28">
        <v>0.0</v>
      </c>
      <c r="S39" s="15">
        <f>IFERROR(R39/R148, "NA")</f>
        <v>0</v>
      </c>
      <c r="T39" s="28">
        <v>0.0</v>
      </c>
      <c r="U39" s="15">
        <f>IFERROR(T39/T148, "NA")</f>
        <v>0</v>
      </c>
      <c r="V39" s="28">
        <v>0.0</v>
      </c>
      <c r="W39" s="15">
        <f>IFERROR(V39/V148, "NA")</f>
        <v>0</v>
      </c>
      <c r="X39" s="28">
        <v>0.0</v>
      </c>
      <c r="Y39" s="15">
        <f>IFERROR(X39/X148, "NA")</f>
        <v>0</v>
      </c>
      <c r="Z39" s="28">
        <v>0.0</v>
      </c>
      <c r="AA39" s="15">
        <f>IFERROR(Z39/Z148, "NA")</f>
        <v>0</v>
      </c>
      <c r="AB39" s="57">
        <f t="shared" ref="AB39:AB44" si="19">IFERROR((R39+T39+V39+X39)/4, "NA")</f>
        <v>0</v>
      </c>
      <c r="AC39" s="15">
        <f>IFERROR(AB39/AB148, "NA")</f>
        <v>0</v>
      </c>
      <c r="AD39" s="61">
        <f t="shared" ref="AD39:AD44" si="20">IFERROR(X39-AB39, "NA")</f>
        <v>0</v>
      </c>
      <c r="AE39" s="62">
        <f>IFERROR(AD39/AD148, "NA")</f>
        <v>0</v>
      </c>
      <c r="AF39" s="61" t="str">
        <f t="shared" ref="AF39:AF44" si="21">IFERROR((X39-AB39)/AB39, "NA")</f>
        <v>NA</v>
      </c>
      <c r="AG39" s="57">
        <f t="shared" ref="AG39:AG44" si="22">IFERROR((J39+L39+N39+P39+R39+T39+V39+X39)/8, "NA")</f>
        <v>0</v>
      </c>
      <c r="AH39" s="15">
        <f>IFERROR(AG39/AG148, "NA")</f>
        <v>0</v>
      </c>
      <c r="AI39" s="61">
        <f t="shared" ref="AI39:AI44" si="23">IFERROR(X39-AG39, "NA")</f>
        <v>0</v>
      </c>
      <c r="AJ39" s="62">
        <f>IFERROR(AI39/AI148, "NA")</f>
        <v>0</v>
      </c>
      <c r="AK39" s="61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6" t="s">
        <v>100</v>
      </c>
      <c r="B40" s="28">
        <v>299.07</v>
      </c>
      <c r="C40" s="15">
        <f>IFERROR(B40/B148, "NA")</f>
        <v>0.02586862334</v>
      </c>
      <c r="D40" s="28">
        <v>673.98</v>
      </c>
      <c r="E40" s="15">
        <f>IFERROR(D40/D148, "NA")</f>
        <v>0.03661623364</v>
      </c>
      <c r="F40" s="28">
        <v>567.38</v>
      </c>
      <c r="G40" s="15">
        <f>IFERROR(F40/F148, "NA")</f>
        <v>0.02465650676</v>
      </c>
      <c r="H40" s="28">
        <v>568.32</v>
      </c>
      <c r="I40" s="15">
        <f>IFERROR(H40/H148, "NA")</f>
        <v>0.02749627703</v>
      </c>
      <c r="J40" s="28">
        <v>604.49</v>
      </c>
      <c r="K40" s="15">
        <f>IFERROR(J40/J148, "NA")</f>
        <v>0.03031093162</v>
      </c>
      <c r="L40" s="28">
        <v>754.87</v>
      </c>
      <c r="M40" s="15">
        <f>IFERROR(L40/L148, "NA")</f>
        <v>0.02581108639</v>
      </c>
      <c r="N40" s="28">
        <v>614.1</v>
      </c>
      <c r="O40" s="15">
        <f>IFERROR(N40/N148, "NA")</f>
        <v>0.02741189893</v>
      </c>
      <c r="P40" s="28">
        <v>728.96</v>
      </c>
      <c r="Q40" s="15">
        <f>IFERROR(P40/P148, "NA")</f>
        <v>0.02874301741</v>
      </c>
      <c r="R40" s="28">
        <v>722.64</v>
      </c>
      <c r="S40" s="15">
        <f>IFERROR(R40/R148, "NA")</f>
        <v>0.03017486338</v>
      </c>
      <c r="T40" s="28">
        <v>868.6</v>
      </c>
      <c r="U40" s="15">
        <f>IFERROR(T40/T148, "NA")</f>
        <v>0.02937599515</v>
      </c>
      <c r="V40" s="28">
        <v>826.0</v>
      </c>
      <c r="W40" s="15">
        <f>IFERROR(V40/V148, "NA")</f>
        <v>0.03433874633</v>
      </c>
      <c r="X40" s="28">
        <v>499.96</v>
      </c>
      <c r="Y40" s="15">
        <f>IFERROR(X40/X148, "NA")</f>
        <v>0.02482590681</v>
      </c>
      <c r="Z40" s="28">
        <v>2194.56</v>
      </c>
      <c r="AA40" s="15">
        <f>IFERROR(Z40/Z148, "NA")</f>
        <v>0.02975212259</v>
      </c>
      <c r="AB40" s="57">
        <f t="shared" si="19"/>
        <v>729.3</v>
      </c>
      <c r="AC40" s="15">
        <f>IFERROR(AB40/AB148, "NA")</f>
        <v>0.02985573515</v>
      </c>
      <c r="AD40" s="61">
        <f t="shared" si="20"/>
        <v>-229.34</v>
      </c>
      <c r="AE40" s="62">
        <f>IFERROR(AD40/AD148, "NA")</f>
        <v>0.05347382239</v>
      </c>
      <c r="AF40" s="61">
        <f t="shared" si="21"/>
        <v>-0.3144659262</v>
      </c>
      <c r="AG40" s="57">
        <f t="shared" si="22"/>
        <v>702.4525</v>
      </c>
      <c r="AH40" s="15">
        <f>IFERROR(AG40/AG148, "NA")</f>
        <v>0.02886848882</v>
      </c>
      <c r="AI40" s="61">
        <f t="shared" si="23"/>
        <v>-202.4925</v>
      </c>
      <c r="AJ40" s="62">
        <f>IFERROR(AI40/AI148, "NA")</f>
        <v>0.04827909929</v>
      </c>
      <c r="AK40" s="61">
        <f t="shared" si="24"/>
        <v>-0.2882650428</v>
      </c>
      <c r="AL40" s="62">
        <f>IFERROR(AK40/AK148, "NA")</f>
        <v>1.672380553</v>
      </c>
    </row>
    <row r="41" ht="16.5" customHeight="1">
      <c r="A41" s="26" t="s">
        <v>101</v>
      </c>
      <c r="B41" s="28">
        <v>131.54</v>
      </c>
      <c r="C41" s="15">
        <f>IFERROR(B41/B148, "NA")</f>
        <v>0.01137780023</v>
      </c>
      <c r="D41" s="28">
        <v>410.69</v>
      </c>
      <c r="E41" s="15">
        <f>IFERROR(D41/D148, "NA")</f>
        <v>0.02231211756</v>
      </c>
      <c r="F41" s="28">
        <v>244.5</v>
      </c>
      <c r="G41" s="15">
        <f>IFERROR(F41/F148, "NA")</f>
        <v>0.01062518225</v>
      </c>
      <c r="H41" s="28">
        <v>407.85</v>
      </c>
      <c r="I41" s="15">
        <f>IFERROR(H41/H148, "NA")</f>
        <v>0.01973246866</v>
      </c>
      <c r="J41" s="28">
        <v>303.79</v>
      </c>
      <c r="K41" s="15">
        <f>IFERROR(J41/J148, "NA")</f>
        <v>0.01523293672</v>
      </c>
      <c r="L41" s="28">
        <v>692.95</v>
      </c>
      <c r="M41" s="15">
        <f>IFERROR(L41/L148, "NA")</f>
        <v>0.02369387088</v>
      </c>
      <c r="N41" s="28">
        <v>253.38</v>
      </c>
      <c r="O41" s="15">
        <f>IFERROR(N41/N148, "NA")</f>
        <v>0.01131025395</v>
      </c>
      <c r="P41" s="28">
        <v>538.74</v>
      </c>
      <c r="Q41" s="15">
        <f>IFERROR(P41/P148, "NA")</f>
        <v>0.02124261029</v>
      </c>
      <c r="R41" s="28">
        <v>503.09</v>
      </c>
      <c r="S41" s="15">
        <f>IFERROR(R41/R148, "NA")</f>
        <v>0.02100724015</v>
      </c>
      <c r="T41" s="28">
        <v>334.51</v>
      </c>
      <c r="U41" s="15">
        <f>IFERROR(T41/T148, "NA")</f>
        <v>0.01131310631</v>
      </c>
      <c r="V41" s="28">
        <v>297.29</v>
      </c>
      <c r="W41" s="15">
        <f>IFERROR(V41/V148, "NA")</f>
        <v>0.01235903861</v>
      </c>
      <c r="X41" s="28">
        <v>179.64</v>
      </c>
      <c r="Y41" s="15">
        <f>IFERROR(X41/X148, "NA")</f>
        <v>0.008920165413</v>
      </c>
      <c r="Z41" s="28">
        <v>811.44</v>
      </c>
      <c r="AA41" s="15">
        <f>IFERROR(Z41/Z148, "NA")</f>
        <v>0.01100086685</v>
      </c>
      <c r="AB41" s="57">
        <f t="shared" si="19"/>
        <v>328.6325</v>
      </c>
      <c r="AC41" s="15">
        <f>IFERROR(AB41/AB148, "NA")</f>
        <v>0.01345340036</v>
      </c>
      <c r="AD41" s="61">
        <f t="shared" si="20"/>
        <v>-148.9925</v>
      </c>
      <c r="AE41" s="62">
        <f>IFERROR(AD41/AD148, "NA")</f>
        <v>0.03473968118</v>
      </c>
      <c r="AF41" s="61">
        <f t="shared" si="21"/>
        <v>-0.4533711669</v>
      </c>
      <c r="AG41" s="57">
        <f t="shared" si="22"/>
        <v>387.92375</v>
      </c>
      <c r="AH41" s="15">
        <f>IFERROR(AG41/AG148, "NA")</f>
        <v>0.01594239104</v>
      </c>
      <c r="AI41" s="61">
        <f t="shared" si="23"/>
        <v>-208.28375</v>
      </c>
      <c r="AJ41" s="62">
        <f>IFERROR(AI41/AI148, "NA")</f>
        <v>0.04965987307</v>
      </c>
      <c r="AK41" s="61">
        <f t="shared" si="24"/>
        <v>-0.5369193044</v>
      </c>
      <c r="AL41" s="62">
        <f>IFERROR(AK41/AK148, "NA")</f>
        <v>3.114957659</v>
      </c>
    </row>
    <row r="42" ht="16.5" hidden="1" customHeight="1">
      <c r="A42" s="26" t="s">
        <v>102</v>
      </c>
      <c r="B42" s="28">
        <v>0.0</v>
      </c>
      <c r="C42" s="15">
        <f>IFERROR(B42/B148, "NA")</f>
        <v>0</v>
      </c>
      <c r="D42" s="28">
        <v>0.0</v>
      </c>
      <c r="E42" s="15">
        <f>IFERROR(D42/D148, "NA")</f>
        <v>0</v>
      </c>
      <c r="F42" s="28">
        <v>0.0</v>
      </c>
      <c r="G42" s="15">
        <f>IFERROR(F42/F148, "NA")</f>
        <v>0</v>
      </c>
      <c r="H42" s="28">
        <v>0.0</v>
      </c>
      <c r="I42" s="15">
        <f>IFERROR(H42/H148, "NA")</f>
        <v>0</v>
      </c>
      <c r="J42" s="28">
        <v>0.0</v>
      </c>
      <c r="K42" s="15">
        <f>IFERROR(J42/J148, "NA")</f>
        <v>0</v>
      </c>
      <c r="L42" s="28">
        <v>0.0</v>
      </c>
      <c r="M42" s="15">
        <f>IFERROR(L42/L148, "NA")</f>
        <v>0</v>
      </c>
      <c r="N42" s="28">
        <v>0.0</v>
      </c>
      <c r="O42" s="15">
        <f>IFERROR(N42/N148, "NA")</f>
        <v>0</v>
      </c>
      <c r="P42" s="28">
        <v>0.0</v>
      </c>
      <c r="Q42" s="15">
        <f>IFERROR(P42/P148, "NA")</f>
        <v>0</v>
      </c>
      <c r="R42" s="28">
        <v>0.0</v>
      </c>
      <c r="S42" s="15">
        <f>IFERROR(R42/R148, "NA")</f>
        <v>0</v>
      </c>
      <c r="T42" s="28">
        <v>0.0</v>
      </c>
      <c r="U42" s="15">
        <f>IFERROR(T42/T148, "NA")</f>
        <v>0</v>
      </c>
      <c r="V42" s="28">
        <v>0.0</v>
      </c>
      <c r="W42" s="15">
        <f>IFERROR(V42/V148, "NA")</f>
        <v>0</v>
      </c>
      <c r="X42" s="28">
        <v>0.0</v>
      </c>
      <c r="Y42" s="15">
        <f>IFERROR(X42/X148, "NA")</f>
        <v>0</v>
      </c>
      <c r="Z42" s="28">
        <v>0.0</v>
      </c>
      <c r="AA42" s="15">
        <f>IFERROR(Z42/Z148, "NA")</f>
        <v>0</v>
      </c>
      <c r="AB42" s="57">
        <f t="shared" si="19"/>
        <v>0</v>
      </c>
      <c r="AC42" s="15">
        <f>IFERROR(AB42/AB148, "NA")</f>
        <v>0</v>
      </c>
      <c r="AD42" s="61">
        <f t="shared" si="20"/>
        <v>0</v>
      </c>
      <c r="AE42" s="62">
        <f>IFERROR(AD42/AD148, "NA")</f>
        <v>0</v>
      </c>
      <c r="AF42" s="61" t="str">
        <f t="shared" si="21"/>
        <v>NA</v>
      </c>
      <c r="AG42" s="57">
        <f t="shared" si="22"/>
        <v>0</v>
      </c>
      <c r="AH42" s="15">
        <f>IFERROR(AG42/AG148, "NA")</f>
        <v>0</v>
      </c>
      <c r="AI42" s="61">
        <f t="shared" si="23"/>
        <v>0</v>
      </c>
      <c r="AJ42" s="62">
        <f>IFERROR(AI42/AI148, "NA")</f>
        <v>0</v>
      </c>
      <c r="AK42" s="61" t="str">
        <f t="shared" si="24"/>
        <v>NA</v>
      </c>
      <c r="AL42" s="62" t="str">
        <f>IFERROR(AK42/AK148, "NA")</f>
        <v>NA</v>
      </c>
    </row>
    <row r="43" ht="16.5" hidden="1" customHeight="1">
      <c r="A43" s="26" t="s">
        <v>103</v>
      </c>
      <c r="B43" s="28">
        <v>0.0</v>
      </c>
      <c r="C43" s="15">
        <f>IFERROR(B43/B148, "NA")</f>
        <v>0</v>
      </c>
      <c r="D43" s="28">
        <v>0.0</v>
      </c>
      <c r="E43" s="15">
        <f>IFERROR(D43/D148, "NA")</f>
        <v>0</v>
      </c>
      <c r="F43" s="28">
        <v>0.0</v>
      </c>
      <c r="G43" s="15">
        <f>IFERROR(F43/F148, "NA")</f>
        <v>0</v>
      </c>
      <c r="H43" s="28">
        <v>0.0</v>
      </c>
      <c r="I43" s="15">
        <f>IFERROR(H43/H148, "NA")</f>
        <v>0</v>
      </c>
      <c r="J43" s="28">
        <v>0.0</v>
      </c>
      <c r="K43" s="15">
        <f>IFERROR(J43/J148, "NA")</f>
        <v>0</v>
      </c>
      <c r="L43" s="28">
        <v>0.0</v>
      </c>
      <c r="M43" s="15">
        <f>IFERROR(L43/L148, "NA")</f>
        <v>0</v>
      </c>
      <c r="N43" s="28">
        <v>0.0</v>
      </c>
      <c r="O43" s="15">
        <f>IFERROR(N43/N148, "NA")</f>
        <v>0</v>
      </c>
      <c r="P43" s="28">
        <v>0.0</v>
      </c>
      <c r="Q43" s="15">
        <f>IFERROR(P43/P148, "NA")</f>
        <v>0</v>
      </c>
      <c r="R43" s="28">
        <v>0.0</v>
      </c>
      <c r="S43" s="15">
        <f>IFERROR(R43/R148, "NA")</f>
        <v>0</v>
      </c>
      <c r="T43" s="28">
        <v>0.0</v>
      </c>
      <c r="U43" s="15">
        <f>IFERROR(T43/T148, "NA")</f>
        <v>0</v>
      </c>
      <c r="V43" s="28">
        <v>0.0</v>
      </c>
      <c r="W43" s="15">
        <f>IFERROR(V43/V148, "NA")</f>
        <v>0</v>
      </c>
      <c r="X43" s="28">
        <v>0.0</v>
      </c>
      <c r="Y43" s="15">
        <f>IFERROR(X43/X148, "NA")</f>
        <v>0</v>
      </c>
      <c r="Z43" s="28">
        <v>0.0</v>
      </c>
      <c r="AA43" s="15">
        <f>IFERROR(Z43/Z148, "NA")</f>
        <v>0</v>
      </c>
      <c r="AB43" s="57">
        <f t="shared" si="19"/>
        <v>0</v>
      </c>
      <c r="AC43" s="15">
        <f>IFERROR(AB43/AB148, "NA")</f>
        <v>0</v>
      </c>
      <c r="AD43" s="61">
        <f t="shared" si="20"/>
        <v>0</v>
      </c>
      <c r="AE43" s="62">
        <f>IFERROR(AD43/AD148, "NA")</f>
        <v>0</v>
      </c>
      <c r="AF43" s="61" t="str">
        <f t="shared" si="21"/>
        <v>NA</v>
      </c>
      <c r="AG43" s="57">
        <f t="shared" si="22"/>
        <v>0</v>
      </c>
      <c r="AH43" s="15">
        <f>IFERROR(AG43/AG148, "NA")</f>
        <v>0</v>
      </c>
      <c r="AI43" s="61">
        <f t="shared" si="23"/>
        <v>0</v>
      </c>
      <c r="AJ43" s="62">
        <f>IFERROR(AI43/AI148, "NA")</f>
        <v>0</v>
      </c>
      <c r="AK43" s="61" t="str">
        <f t="shared" si="24"/>
        <v>NA</v>
      </c>
      <c r="AL43" s="62" t="str">
        <f>IFERROR(AK43/AK148, "NA")</f>
        <v>NA</v>
      </c>
    </row>
    <row r="44" ht="16.5" customHeight="1">
      <c r="A44" s="67" t="s">
        <v>104</v>
      </c>
      <c r="B44" s="70">
        <f>IFERROR(B39+B40+B41+B42+B43, "NA")</f>
        <v>430.61</v>
      </c>
      <c r="C44" s="71">
        <f>IFERROR(B44/B148, "NA")</f>
        <v>0.03724642357</v>
      </c>
      <c r="D44" s="70">
        <f>IFERROR(D39+D40+D41+D42+D43, "NA")</f>
        <v>1084.67</v>
      </c>
      <c r="E44" s="71">
        <f>IFERROR(D44/D148, "NA")</f>
        <v>0.0589283512</v>
      </c>
      <c r="F44" s="70">
        <f>IFERROR(F39+F40+F41+F42+F43, "NA")</f>
        <v>811.88</v>
      </c>
      <c r="G44" s="71">
        <f>IFERROR(F44/F148, "NA")</f>
        <v>0.03528168901</v>
      </c>
      <c r="H44" s="70">
        <f>IFERROR(H39+H40+H41+H42+H43, "NA")</f>
        <v>976.17</v>
      </c>
      <c r="I44" s="71">
        <f>IFERROR(H44/H148, "NA")</f>
        <v>0.04722874569</v>
      </c>
      <c r="J44" s="70">
        <f>IFERROR(J39+J40+J41+J42+J43, "NA")</f>
        <v>908.28</v>
      </c>
      <c r="K44" s="71">
        <f>IFERROR(J44/J148, "NA")</f>
        <v>0.04554386834</v>
      </c>
      <c r="L44" s="70">
        <f>IFERROR(L39+L40+L41+L42+L43, "NA")</f>
        <v>1447.82</v>
      </c>
      <c r="M44" s="71">
        <f>IFERROR(L44/L148, "NA")</f>
        <v>0.04950495727</v>
      </c>
      <c r="N44" s="70">
        <f>IFERROR(N39+N40+N41+N42+N43, "NA")</f>
        <v>867.48</v>
      </c>
      <c r="O44" s="71">
        <f>IFERROR(N44/N148, "NA")</f>
        <v>0.03872215289</v>
      </c>
      <c r="P44" s="70">
        <f>IFERROR(P39+P40+P41+P42+P43, "NA")</f>
        <v>1267.7</v>
      </c>
      <c r="Q44" s="71">
        <f>IFERROR(P44/P148, "NA")</f>
        <v>0.0499856277</v>
      </c>
      <c r="R44" s="70">
        <f>IFERROR(R39+R40+R41+R42+R43, "NA")</f>
        <v>1225.73</v>
      </c>
      <c r="S44" s="71">
        <f>IFERROR(R44/R148, "NA")</f>
        <v>0.05118210353</v>
      </c>
      <c r="T44" s="70">
        <f>IFERROR(T39+T40+T41+T42+T43, "NA")</f>
        <v>1203.11</v>
      </c>
      <c r="U44" s="71">
        <f>IFERROR(T44/T148, "NA")</f>
        <v>0.04068910146</v>
      </c>
      <c r="V44" s="70">
        <f>IFERROR(V39+V40+V41+V42+V43, "NA")</f>
        <v>1123.29</v>
      </c>
      <c r="W44" s="71">
        <f>IFERROR(V44/V148, "NA")</f>
        <v>0.04669778494</v>
      </c>
      <c r="X44" s="70">
        <f>IFERROR(X39+X40+X41+X42+X43, "NA")</f>
        <v>679.6</v>
      </c>
      <c r="Y44" s="71">
        <f>IFERROR(X44/X148, "NA")</f>
        <v>0.03374607223</v>
      </c>
      <c r="Z44" s="70">
        <f>IFERROR(Z39+Z40+Z41+Z42+Z43, "NA")</f>
        <v>3006</v>
      </c>
      <c r="AA44" s="71">
        <f>IFERROR(Z44/Z148, "NA")</f>
        <v>0.04075298943</v>
      </c>
      <c r="AB44" s="70">
        <f t="shared" si="19"/>
        <v>1057.9325</v>
      </c>
      <c r="AC44" s="71">
        <f>IFERROR(AB44/AB148, "NA")</f>
        <v>0.0433091355</v>
      </c>
      <c r="AD44" s="75">
        <f t="shared" si="20"/>
        <v>-378.3325</v>
      </c>
      <c r="AE44" s="76">
        <f>IFERROR(AD44/AD148, "NA")</f>
        <v>0.08821350357</v>
      </c>
      <c r="AF44" s="75">
        <f t="shared" si="21"/>
        <v>-0.3576149707</v>
      </c>
      <c r="AG44" s="70">
        <f t="shared" si="22"/>
        <v>1090.37625</v>
      </c>
      <c r="AH44" s="71">
        <f>IFERROR(AG44/AG148, "NA")</f>
        <v>0.04481087986</v>
      </c>
      <c r="AI44" s="75">
        <f t="shared" si="23"/>
        <v>-410.77625</v>
      </c>
      <c r="AJ44" s="76">
        <f>IFERROR(AI44/AI148, "NA")</f>
        <v>0.09793897236</v>
      </c>
      <c r="AK44" s="75">
        <f t="shared" si="24"/>
        <v>-0.3767289044</v>
      </c>
      <c r="AL44" s="76">
        <f>IFERROR(AK44/AK148, "NA")</f>
        <v>2.185606992</v>
      </c>
    </row>
    <row r="45" ht="16.5" customHeight="1">
      <c r="A45" s="22" t="s">
        <v>105</v>
      </c>
      <c r="B45" s="23"/>
      <c r="C45" s="10"/>
      <c r="D45" s="23"/>
      <c r="E45" s="10"/>
      <c r="F45" s="23"/>
      <c r="G45" s="10"/>
      <c r="H45" s="23"/>
      <c r="I45" s="10"/>
      <c r="J45" s="23"/>
      <c r="K45" s="10"/>
      <c r="L45" s="23"/>
      <c r="M45" s="10"/>
      <c r="N45" s="23"/>
      <c r="O45" s="10"/>
      <c r="P45" s="23"/>
      <c r="Q45" s="10"/>
      <c r="R45" s="23"/>
      <c r="S45" s="10"/>
      <c r="T45" s="23"/>
      <c r="U45" s="10"/>
      <c r="V45" s="23"/>
      <c r="W45" s="10"/>
      <c r="X45" s="23"/>
      <c r="Y45" s="10"/>
      <c r="Z45" s="23"/>
      <c r="AA45" s="10"/>
      <c r="AB45" s="23"/>
      <c r="AC45" s="10"/>
      <c r="AD45" s="24"/>
      <c r="AE45" s="25"/>
      <c r="AF45" s="24"/>
      <c r="AG45" s="23"/>
      <c r="AH45" s="10"/>
      <c r="AI45" s="24"/>
      <c r="AJ45" s="25"/>
      <c r="AK45" s="24"/>
      <c r="AL45" s="25"/>
    </row>
    <row r="46" ht="16.5" hidden="1" customHeight="1">
      <c r="A46" s="26" t="s">
        <v>106</v>
      </c>
      <c r="B46" s="28">
        <v>0.0</v>
      </c>
      <c r="C46" s="15">
        <f>IFERROR(B46/B148, "NA")</f>
        <v>0</v>
      </c>
      <c r="D46" s="28">
        <v>0.0</v>
      </c>
      <c r="E46" s="15">
        <f>IFERROR(D46/D148, "NA")</f>
        <v>0</v>
      </c>
      <c r="F46" s="28">
        <v>0.0</v>
      </c>
      <c r="G46" s="15">
        <f>IFERROR(F46/F148, "NA")</f>
        <v>0</v>
      </c>
      <c r="H46" s="28">
        <v>0.0</v>
      </c>
      <c r="I46" s="15">
        <f>IFERROR(H46/H148, "NA")</f>
        <v>0</v>
      </c>
      <c r="J46" s="28">
        <v>0.0</v>
      </c>
      <c r="K46" s="15">
        <f>IFERROR(J46/J148, "NA")</f>
        <v>0</v>
      </c>
      <c r="L46" s="28">
        <v>0.0</v>
      </c>
      <c r="M46" s="15">
        <f>IFERROR(L46/L148, "NA")</f>
        <v>0</v>
      </c>
      <c r="N46" s="28">
        <v>0.0</v>
      </c>
      <c r="O46" s="15">
        <f>IFERROR(N46/N148, "NA")</f>
        <v>0</v>
      </c>
      <c r="P46" s="28">
        <v>0.0</v>
      </c>
      <c r="Q46" s="15">
        <f>IFERROR(P46/P148, "NA")</f>
        <v>0</v>
      </c>
      <c r="R46" s="28">
        <v>0.0</v>
      </c>
      <c r="S46" s="15">
        <f>IFERROR(R46/R148, "NA")</f>
        <v>0</v>
      </c>
      <c r="T46" s="28">
        <v>0.0</v>
      </c>
      <c r="U46" s="15">
        <f>IFERROR(T46/T148, "NA")</f>
        <v>0</v>
      </c>
      <c r="V46" s="28">
        <v>0.0</v>
      </c>
      <c r="W46" s="15">
        <f>IFERROR(V46/V148, "NA")</f>
        <v>0</v>
      </c>
      <c r="X46" s="28">
        <v>0.0</v>
      </c>
      <c r="Y46" s="15">
        <f>IFERROR(X46/X148, "NA")</f>
        <v>0</v>
      </c>
      <c r="Z46" s="28">
        <v>0.0</v>
      </c>
      <c r="AA46" s="15">
        <f>IFERROR(Z46/Z148, "NA")</f>
        <v>0</v>
      </c>
      <c r="AB46" s="57">
        <f t="shared" ref="AB46:AB57" si="25">IFERROR((R46+T46+V46+X46)/4, "NA")</f>
        <v>0</v>
      </c>
      <c r="AC46" s="15">
        <f>IFERROR(AB46/AB148, "NA")</f>
        <v>0</v>
      </c>
      <c r="AD46" s="61">
        <f t="shared" ref="AD46:AD57" si="26">IFERROR(X46-AB46, "NA")</f>
        <v>0</v>
      </c>
      <c r="AE46" s="62">
        <f>IFERROR(AD46/AD148, "NA")</f>
        <v>0</v>
      </c>
      <c r="AF46" s="61" t="str">
        <f t="shared" ref="AF46:AF57" si="27">IFERROR((X46-AB46)/AB46, "NA")</f>
        <v>NA</v>
      </c>
      <c r="AG46" s="57">
        <f t="shared" ref="AG46:AG57" si="28">IFERROR((J46+L46+N46+P46+R46+T46+V46+X46)/8, "NA")</f>
        <v>0</v>
      </c>
      <c r="AH46" s="15">
        <f>IFERROR(AG46/AG148, "NA")</f>
        <v>0</v>
      </c>
      <c r="AI46" s="61">
        <f t="shared" ref="AI46:AI57" si="29">IFERROR(X46-AG46, "NA")</f>
        <v>0</v>
      </c>
      <c r="AJ46" s="62">
        <f>IFERROR(AI46/AI148, "NA")</f>
        <v>0</v>
      </c>
      <c r="AK46" s="61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6" t="s">
        <v>108</v>
      </c>
      <c r="B47" s="28">
        <v>68.29</v>
      </c>
      <c r="C47" s="15">
        <f>IFERROR(B47/B148, "NA")</f>
        <v>0.005906872264</v>
      </c>
      <c r="D47" s="28">
        <v>94.35</v>
      </c>
      <c r="E47" s="15">
        <f>IFERROR(D47/D148, "NA")</f>
        <v>0.005125881546</v>
      </c>
      <c r="F47" s="28">
        <v>130.89</v>
      </c>
      <c r="G47" s="15">
        <f>IFERROR(F47/F148, "NA")</f>
        <v>0.005688057686</v>
      </c>
      <c r="H47" s="28">
        <v>109.52</v>
      </c>
      <c r="I47" s="15">
        <f>IFERROR(H47/H148, "NA")</f>
        <v>0.005298761719</v>
      </c>
      <c r="J47" s="28">
        <v>147.85</v>
      </c>
      <c r="K47" s="15">
        <f>IFERROR(J47/J148, "NA")</f>
        <v>0.007413639994</v>
      </c>
      <c r="L47" s="28">
        <v>102.65</v>
      </c>
      <c r="M47" s="15">
        <f>IFERROR(L47/L148, "NA")</f>
        <v>0.003509886494</v>
      </c>
      <c r="N47" s="28">
        <v>116.22</v>
      </c>
      <c r="O47" s="15">
        <f>IFERROR(N47/N148, "NA")</f>
        <v>0.005187772177</v>
      </c>
      <c r="P47" s="28">
        <v>128.13</v>
      </c>
      <c r="Q47" s="15">
        <f>IFERROR(P47/P148, "NA")</f>
        <v>0.005052187803</v>
      </c>
      <c r="R47" s="28">
        <v>105.62</v>
      </c>
      <c r="S47" s="15">
        <f>IFERROR(R47/R148, "NA")</f>
        <v>0.00441031367</v>
      </c>
      <c r="T47" s="28">
        <v>128.72</v>
      </c>
      <c r="U47" s="15">
        <f>IFERROR(T47/T148, "NA")</f>
        <v>0.004353301975</v>
      </c>
      <c r="V47" s="28">
        <v>130.37</v>
      </c>
      <c r="W47" s="15">
        <f>IFERROR(V47/V148, "NA")</f>
        <v>0.005419784938</v>
      </c>
      <c r="X47" s="28">
        <v>126.7</v>
      </c>
      <c r="Y47" s="15">
        <f>IFERROR(X47/X148, "NA")</f>
        <v>0.006291388098</v>
      </c>
      <c r="Z47" s="28">
        <v>385.79</v>
      </c>
      <c r="AA47" s="15">
        <f>IFERROR(Z47/Z148, "NA")</f>
        <v>0.005230238122</v>
      </c>
      <c r="AB47" s="57">
        <f t="shared" si="25"/>
        <v>122.8525</v>
      </c>
      <c r="AC47" s="15">
        <f>IFERROR(AB47/AB148, "NA")</f>
        <v>0.005029276981</v>
      </c>
      <c r="AD47" s="61">
        <f t="shared" si="26"/>
        <v>3.8475</v>
      </c>
      <c r="AE47" s="62">
        <f>IFERROR(AD47/AD148, "NA")</f>
        <v>-0.0008970983328</v>
      </c>
      <c r="AF47" s="61">
        <f t="shared" si="27"/>
        <v>0.031318044</v>
      </c>
      <c r="AG47" s="57">
        <f t="shared" si="28"/>
        <v>123.2825</v>
      </c>
      <c r="AH47" s="15">
        <f>IFERROR(AG47/AG148, "NA")</f>
        <v>0.005066505526</v>
      </c>
      <c r="AI47" s="61">
        <f t="shared" si="29"/>
        <v>3.4175</v>
      </c>
      <c r="AJ47" s="62">
        <f>IFERROR(AI47/AI148, "NA")</f>
        <v>-0.0008148144837</v>
      </c>
      <c r="AK47" s="61">
        <f t="shared" si="30"/>
        <v>0.02772088496</v>
      </c>
      <c r="AL47" s="62">
        <f>IFERROR(AK47/AK148, "NA")</f>
        <v>-0.1608237629</v>
      </c>
    </row>
    <row r="48" ht="16.5" customHeight="1">
      <c r="A48" s="26" t="s">
        <v>109</v>
      </c>
      <c r="B48" s="28">
        <v>0.0</v>
      </c>
      <c r="C48" s="15">
        <f>IFERROR(B48/B148, "NA")</f>
        <v>0</v>
      </c>
      <c r="D48" s="28">
        <v>0.0</v>
      </c>
      <c r="E48" s="15">
        <f>IFERROR(D48/D148, "NA")</f>
        <v>0</v>
      </c>
      <c r="F48" s="28">
        <v>0.0</v>
      </c>
      <c r="G48" s="15">
        <f>IFERROR(F48/F148, "NA")</f>
        <v>0</v>
      </c>
      <c r="H48" s="28">
        <v>0.0</v>
      </c>
      <c r="I48" s="15">
        <f>IFERROR(H48/H148, "NA")</f>
        <v>0</v>
      </c>
      <c r="J48" s="28">
        <v>2.33</v>
      </c>
      <c r="K48" s="15">
        <f>IFERROR(J48/J148, "NA")</f>
        <v>0.0001168331497</v>
      </c>
      <c r="L48" s="28">
        <v>0.0</v>
      </c>
      <c r="M48" s="15">
        <f>IFERROR(L48/L148, "NA")</f>
        <v>0</v>
      </c>
      <c r="N48" s="28">
        <v>0.0</v>
      </c>
      <c r="O48" s="15">
        <f>IFERROR(N48/N148, "NA")</f>
        <v>0</v>
      </c>
      <c r="P48" s="28">
        <v>0.0</v>
      </c>
      <c r="Q48" s="15">
        <f>IFERROR(P48/P148, "NA")</f>
        <v>0</v>
      </c>
      <c r="R48" s="28">
        <v>0.0</v>
      </c>
      <c r="S48" s="15">
        <f>IFERROR(R48/R148, "NA")</f>
        <v>0</v>
      </c>
      <c r="T48" s="28">
        <v>0.0</v>
      </c>
      <c r="U48" s="15">
        <f>IFERROR(T48/T148, "NA")</f>
        <v>0</v>
      </c>
      <c r="V48" s="28">
        <v>0.0</v>
      </c>
      <c r="W48" s="15">
        <f>IFERROR(V48/V148, "NA")</f>
        <v>0</v>
      </c>
      <c r="X48" s="28">
        <v>0.0</v>
      </c>
      <c r="Y48" s="15">
        <f>IFERROR(X48/X148, "NA")</f>
        <v>0</v>
      </c>
      <c r="Z48" s="28">
        <v>0.0</v>
      </c>
      <c r="AA48" s="15">
        <f>IFERROR(Z48/Z148, "NA")</f>
        <v>0</v>
      </c>
      <c r="AB48" s="57">
        <f t="shared" si="25"/>
        <v>0</v>
      </c>
      <c r="AC48" s="15">
        <f>IFERROR(AB48/AB148, "NA")</f>
        <v>0</v>
      </c>
      <c r="AD48" s="61">
        <f t="shared" si="26"/>
        <v>0</v>
      </c>
      <c r="AE48" s="62">
        <f>IFERROR(AD48/AD148, "NA")</f>
        <v>0</v>
      </c>
      <c r="AF48" s="61" t="str">
        <f t="shared" si="27"/>
        <v>NA</v>
      </c>
      <c r="AG48" s="57">
        <f t="shared" si="28"/>
        <v>0.29125</v>
      </c>
      <c r="AH48" s="15">
        <f>IFERROR(AG48/AG148, "NA")</f>
        <v>0.00001196941768</v>
      </c>
      <c r="AI48" s="61">
        <f t="shared" si="29"/>
        <v>-0.29125</v>
      </c>
      <c r="AJ48" s="62">
        <f>IFERROR(AI48/AI148, "NA")</f>
        <v>0.00006944102952</v>
      </c>
      <c r="AK48" s="61">
        <f t="shared" si="30"/>
        <v>-1</v>
      </c>
      <c r="AL48" s="62">
        <f>IFERROR(AK48/AK148, "NA")</f>
        <v>5.801537836</v>
      </c>
    </row>
    <row r="49" ht="16.5" hidden="1" customHeight="1">
      <c r="A49" s="26" t="s">
        <v>110</v>
      </c>
      <c r="B49" s="28">
        <v>0.0</v>
      </c>
      <c r="C49" s="15">
        <f>IFERROR(B49/B148, "NA")</f>
        <v>0</v>
      </c>
      <c r="D49" s="28">
        <v>0.0</v>
      </c>
      <c r="E49" s="15">
        <f>IFERROR(D49/D148, "NA")</f>
        <v>0</v>
      </c>
      <c r="F49" s="28">
        <v>0.0</v>
      </c>
      <c r="G49" s="15">
        <f>IFERROR(F49/F148, "NA")</f>
        <v>0</v>
      </c>
      <c r="H49" s="28">
        <v>0.0</v>
      </c>
      <c r="I49" s="15">
        <f>IFERROR(H49/H148, "NA")</f>
        <v>0</v>
      </c>
      <c r="J49" s="28">
        <v>0.0</v>
      </c>
      <c r="K49" s="15">
        <f>IFERROR(J49/J148, "NA")</f>
        <v>0</v>
      </c>
      <c r="L49" s="28">
        <v>0.0</v>
      </c>
      <c r="M49" s="15">
        <f>IFERROR(L49/L148, "NA")</f>
        <v>0</v>
      </c>
      <c r="N49" s="28">
        <v>0.0</v>
      </c>
      <c r="O49" s="15">
        <f>IFERROR(N49/N148, "NA")</f>
        <v>0</v>
      </c>
      <c r="P49" s="28">
        <v>0.0</v>
      </c>
      <c r="Q49" s="15">
        <f>IFERROR(P49/P148, "NA")</f>
        <v>0</v>
      </c>
      <c r="R49" s="28">
        <v>0.0</v>
      </c>
      <c r="S49" s="15">
        <f>IFERROR(R49/R148, "NA")</f>
        <v>0</v>
      </c>
      <c r="T49" s="28">
        <v>0.0</v>
      </c>
      <c r="U49" s="15">
        <f>IFERROR(T49/T148, "NA")</f>
        <v>0</v>
      </c>
      <c r="V49" s="28">
        <v>0.0</v>
      </c>
      <c r="W49" s="15">
        <f>IFERROR(V49/V148, "NA")</f>
        <v>0</v>
      </c>
      <c r="X49" s="28">
        <v>0.0</v>
      </c>
      <c r="Y49" s="15">
        <f>IFERROR(X49/X148, "NA")</f>
        <v>0</v>
      </c>
      <c r="Z49" s="28">
        <v>0.0</v>
      </c>
      <c r="AA49" s="15">
        <f>IFERROR(Z49/Z148, "NA")</f>
        <v>0</v>
      </c>
      <c r="AB49" s="57">
        <f t="shared" si="25"/>
        <v>0</v>
      </c>
      <c r="AC49" s="15">
        <f>IFERROR(AB49/AB148, "NA")</f>
        <v>0</v>
      </c>
      <c r="AD49" s="61">
        <f t="shared" si="26"/>
        <v>0</v>
      </c>
      <c r="AE49" s="62">
        <f>IFERROR(AD49/AD148, "NA")</f>
        <v>0</v>
      </c>
      <c r="AF49" s="61" t="str">
        <f t="shared" si="27"/>
        <v>NA</v>
      </c>
      <c r="AG49" s="57">
        <f t="shared" si="28"/>
        <v>0</v>
      </c>
      <c r="AH49" s="15">
        <f>IFERROR(AG49/AG148, "NA")</f>
        <v>0</v>
      </c>
      <c r="AI49" s="61">
        <f t="shared" si="29"/>
        <v>0</v>
      </c>
      <c r="AJ49" s="62">
        <f>IFERROR(AI49/AI148, "NA")</f>
        <v>0</v>
      </c>
      <c r="AK49" s="61" t="str">
        <f t="shared" si="30"/>
        <v>NA</v>
      </c>
      <c r="AL49" s="62" t="str">
        <f>IFERROR(AK49/AK148, "NA")</f>
        <v>NA</v>
      </c>
    </row>
    <row r="50" ht="16.5" hidden="1" customHeight="1">
      <c r="A50" s="26" t="s">
        <v>111</v>
      </c>
      <c r="B50" s="28">
        <v>0.0</v>
      </c>
      <c r="C50" s="15">
        <f>IFERROR(B50/B148, "NA")</f>
        <v>0</v>
      </c>
      <c r="D50" s="28">
        <v>0.0</v>
      </c>
      <c r="E50" s="15">
        <f>IFERROR(D50/D148, "NA")</f>
        <v>0</v>
      </c>
      <c r="F50" s="28">
        <v>0.0</v>
      </c>
      <c r="G50" s="15">
        <f>IFERROR(F50/F148, "NA")</f>
        <v>0</v>
      </c>
      <c r="H50" s="28">
        <v>0.0</v>
      </c>
      <c r="I50" s="15">
        <f>IFERROR(H50/H148, "NA")</f>
        <v>0</v>
      </c>
      <c r="J50" s="28">
        <v>0.0</v>
      </c>
      <c r="K50" s="15">
        <f>IFERROR(J50/J148, "NA")</f>
        <v>0</v>
      </c>
      <c r="L50" s="28">
        <v>0.0</v>
      </c>
      <c r="M50" s="15">
        <f>IFERROR(L50/L148, "NA")</f>
        <v>0</v>
      </c>
      <c r="N50" s="28">
        <v>0.0</v>
      </c>
      <c r="O50" s="15">
        <f>IFERROR(N50/N148, "NA")</f>
        <v>0</v>
      </c>
      <c r="P50" s="28">
        <v>0.0</v>
      </c>
      <c r="Q50" s="15">
        <f>IFERROR(P50/P148, "NA")</f>
        <v>0</v>
      </c>
      <c r="R50" s="28">
        <v>0.0</v>
      </c>
      <c r="S50" s="15">
        <f>IFERROR(R50/R148, "NA")</f>
        <v>0</v>
      </c>
      <c r="T50" s="28">
        <v>0.0</v>
      </c>
      <c r="U50" s="15">
        <f>IFERROR(T50/T148, "NA")</f>
        <v>0</v>
      </c>
      <c r="V50" s="28">
        <v>0.0</v>
      </c>
      <c r="W50" s="15">
        <f>IFERROR(V50/V148, "NA")</f>
        <v>0</v>
      </c>
      <c r="X50" s="28">
        <v>0.0</v>
      </c>
      <c r="Y50" s="15">
        <f>IFERROR(X50/X148, "NA")</f>
        <v>0</v>
      </c>
      <c r="Z50" s="28">
        <v>0.0</v>
      </c>
      <c r="AA50" s="15">
        <f>IFERROR(Z50/Z148, "NA")</f>
        <v>0</v>
      </c>
      <c r="AB50" s="57">
        <f t="shared" si="25"/>
        <v>0</v>
      </c>
      <c r="AC50" s="15">
        <f>IFERROR(AB50/AB148, "NA")</f>
        <v>0</v>
      </c>
      <c r="AD50" s="61">
        <f t="shared" si="26"/>
        <v>0</v>
      </c>
      <c r="AE50" s="62">
        <f>IFERROR(AD50/AD148, "NA")</f>
        <v>0</v>
      </c>
      <c r="AF50" s="61" t="str">
        <f t="shared" si="27"/>
        <v>NA</v>
      </c>
      <c r="AG50" s="57">
        <f t="shared" si="28"/>
        <v>0</v>
      </c>
      <c r="AH50" s="15">
        <f>IFERROR(AG50/AG148, "NA")</f>
        <v>0</v>
      </c>
      <c r="AI50" s="61">
        <f t="shared" si="29"/>
        <v>0</v>
      </c>
      <c r="AJ50" s="62">
        <f>IFERROR(AI50/AI148, "NA")</f>
        <v>0</v>
      </c>
      <c r="AK50" s="61" t="str">
        <f t="shared" si="30"/>
        <v>NA</v>
      </c>
      <c r="AL50" s="62" t="str">
        <f>IFERROR(AK50/AK148, "NA")</f>
        <v>NA</v>
      </c>
    </row>
    <row r="51" ht="16.5" hidden="1" customHeight="1">
      <c r="A51" s="26" t="s">
        <v>112</v>
      </c>
      <c r="B51" s="28">
        <v>0.0</v>
      </c>
      <c r="C51" s="15">
        <f>IFERROR(B51/B148, "NA")</f>
        <v>0</v>
      </c>
      <c r="D51" s="28">
        <v>0.0</v>
      </c>
      <c r="E51" s="15">
        <f>IFERROR(D51/D148, "NA")</f>
        <v>0</v>
      </c>
      <c r="F51" s="28">
        <v>0.0</v>
      </c>
      <c r="G51" s="15">
        <f>IFERROR(F51/F148, "NA")</f>
        <v>0</v>
      </c>
      <c r="H51" s="28">
        <v>0.0</v>
      </c>
      <c r="I51" s="15">
        <f>IFERROR(H51/H148, "NA")</f>
        <v>0</v>
      </c>
      <c r="J51" s="28">
        <v>0.0</v>
      </c>
      <c r="K51" s="15">
        <f>IFERROR(J51/J148, "NA")</f>
        <v>0</v>
      </c>
      <c r="L51" s="28">
        <v>0.0</v>
      </c>
      <c r="M51" s="15">
        <f>IFERROR(L51/L148, "NA")</f>
        <v>0</v>
      </c>
      <c r="N51" s="28">
        <v>0.0</v>
      </c>
      <c r="O51" s="15">
        <f>IFERROR(N51/N148, "NA")</f>
        <v>0</v>
      </c>
      <c r="P51" s="28">
        <v>0.0</v>
      </c>
      <c r="Q51" s="15">
        <f>IFERROR(P51/P148, "NA")</f>
        <v>0</v>
      </c>
      <c r="R51" s="28">
        <v>0.0</v>
      </c>
      <c r="S51" s="15">
        <f>IFERROR(R51/R148, "NA")</f>
        <v>0</v>
      </c>
      <c r="T51" s="28">
        <v>0.0</v>
      </c>
      <c r="U51" s="15">
        <f>IFERROR(T51/T148, "NA")</f>
        <v>0</v>
      </c>
      <c r="V51" s="28">
        <v>0.0</v>
      </c>
      <c r="W51" s="15">
        <f>IFERROR(V51/V148, "NA")</f>
        <v>0</v>
      </c>
      <c r="X51" s="28">
        <v>0.0</v>
      </c>
      <c r="Y51" s="15">
        <f>IFERROR(X51/X148, "NA")</f>
        <v>0</v>
      </c>
      <c r="Z51" s="28">
        <v>0.0</v>
      </c>
      <c r="AA51" s="15">
        <f>IFERROR(Z51/Z148, "NA")</f>
        <v>0</v>
      </c>
      <c r="AB51" s="57">
        <f t="shared" si="25"/>
        <v>0</v>
      </c>
      <c r="AC51" s="15">
        <f>IFERROR(AB51/AB148, "NA")</f>
        <v>0</v>
      </c>
      <c r="AD51" s="61">
        <f t="shared" si="26"/>
        <v>0</v>
      </c>
      <c r="AE51" s="62">
        <f>IFERROR(AD51/AD148, "NA")</f>
        <v>0</v>
      </c>
      <c r="AF51" s="61" t="str">
        <f t="shared" si="27"/>
        <v>NA</v>
      </c>
      <c r="AG51" s="57">
        <f t="shared" si="28"/>
        <v>0</v>
      </c>
      <c r="AH51" s="15">
        <f>IFERROR(AG51/AG148, "NA")</f>
        <v>0</v>
      </c>
      <c r="AI51" s="61">
        <f t="shared" si="29"/>
        <v>0</v>
      </c>
      <c r="AJ51" s="62">
        <f>IFERROR(AI51/AI148, "NA")</f>
        <v>0</v>
      </c>
      <c r="AK51" s="61" t="str">
        <f t="shared" si="30"/>
        <v>NA</v>
      </c>
      <c r="AL51" s="62" t="str">
        <f>IFERROR(AK51/AK148, "NA")</f>
        <v>NA</v>
      </c>
    </row>
    <row r="52" ht="16.5" customHeight="1">
      <c r="A52" s="67" t="s">
        <v>113</v>
      </c>
      <c r="B52" s="70">
        <f>IFERROR(B46+B47+B48+B49+B50+B51, "NA")</f>
        <v>68.29</v>
      </c>
      <c r="C52" s="71">
        <f>IFERROR(B52/B148, "NA")</f>
        <v>0.005906872264</v>
      </c>
      <c r="D52" s="70">
        <f>IFERROR(D46+D47+D48+D49+D50+D51, "NA")</f>
        <v>94.35</v>
      </c>
      <c r="E52" s="71">
        <f>IFERROR(D52/D148, "NA")</f>
        <v>0.005125881546</v>
      </c>
      <c r="F52" s="70">
        <f>IFERROR(F46+F47+F48+F49+F50+F51, "NA")</f>
        <v>130.89</v>
      </c>
      <c r="G52" s="71">
        <f>IFERROR(F52/F148, "NA")</f>
        <v>0.005688057686</v>
      </c>
      <c r="H52" s="70">
        <f>IFERROR(H46+H47+H48+H49+H50+H51, "NA")</f>
        <v>109.52</v>
      </c>
      <c r="I52" s="71">
        <f>IFERROR(H52/H148, "NA")</f>
        <v>0.005298761719</v>
      </c>
      <c r="J52" s="70">
        <f>IFERROR(J46+J47+J48+J49+J50+J51, "NA")</f>
        <v>150.18</v>
      </c>
      <c r="K52" s="71">
        <f>IFERROR(J52/J148, "NA")</f>
        <v>0.007530473144</v>
      </c>
      <c r="L52" s="70">
        <f>IFERROR(L46+L47+L48+L49+L50+L51, "NA")</f>
        <v>102.65</v>
      </c>
      <c r="M52" s="71">
        <f>IFERROR(L52/L148, "NA")</f>
        <v>0.003509886494</v>
      </c>
      <c r="N52" s="70">
        <f>IFERROR(N46+N47+N48+N49+N50+N51, "NA")</f>
        <v>116.22</v>
      </c>
      <c r="O52" s="71">
        <f>IFERROR(N52/N148, "NA")</f>
        <v>0.005187772177</v>
      </c>
      <c r="P52" s="70">
        <f>IFERROR(P46+P47+P48+P49+P50+P51, "NA")</f>
        <v>128.13</v>
      </c>
      <c r="Q52" s="71">
        <f>IFERROR(P52/P148, "NA")</f>
        <v>0.005052187803</v>
      </c>
      <c r="R52" s="70">
        <f>IFERROR(R46+R47+R48+R49+R50+R51, "NA")</f>
        <v>105.62</v>
      </c>
      <c r="S52" s="71">
        <f>IFERROR(R52/R148, "NA")</f>
        <v>0.00441031367</v>
      </c>
      <c r="T52" s="70">
        <f>IFERROR(T46+T47+T48+T49+T50+T51, "NA")</f>
        <v>128.72</v>
      </c>
      <c r="U52" s="71">
        <f>IFERROR(T52/T148, "NA")</f>
        <v>0.004353301975</v>
      </c>
      <c r="V52" s="70">
        <f>IFERROR(V46+V47+V48+V49+V50+V51, "NA")</f>
        <v>130.37</v>
      </c>
      <c r="W52" s="71">
        <f>IFERROR(V52/V148, "NA")</f>
        <v>0.005419784938</v>
      </c>
      <c r="X52" s="70">
        <f>IFERROR(X46+X47+X48+X49+X50+X51, "NA")</f>
        <v>126.7</v>
      </c>
      <c r="Y52" s="71">
        <f>IFERROR(X52/X148, "NA")</f>
        <v>0.006291388098</v>
      </c>
      <c r="Z52" s="70">
        <f>IFERROR(Z46+Z47+Z48+Z49+Z50+Z51, "NA")</f>
        <v>385.79</v>
      </c>
      <c r="AA52" s="71">
        <f>IFERROR(Z52/Z148, "NA")</f>
        <v>0.005230238122</v>
      </c>
      <c r="AB52" s="70">
        <f t="shared" si="25"/>
        <v>122.8525</v>
      </c>
      <c r="AC52" s="71">
        <f>IFERROR(AB52/AB148, "NA")</f>
        <v>0.005029276981</v>
      </c>
      <c r="AD52" s="75">
        <f t="shared" si="26"/>
        <v>3.8475</v>
      </c>
      <c r="AE52" s="76">
        <f>IFERROR(AD52/AD148, "NA")</f>
        <v>-0.0008970983328</v>
      </c>
      <c r="AF52" s="75">
        <f t="shared" si="27"/>
        <v>0.031318044</v>
      </c>
      <c r="AG52" s="70">
        <f t="shared" si="28"/>
        <v>123.57375</v>
      </c>
      <c r="AH52" s="71">
        <f>IFERROR(AG52/AG148, "NA")</f>
        <v>0.005078474944</v>
      </c>
      <c r="AI52" s="75">
        <f t="shared" si="29"/>
        <v>3.12625</v>
      </c>
      <c r="AJ52" s="76">
        <f>IFERROR(AI52/AI148, "NA")</f>
        <v>-0.0007453734542</v>
      </c>
      <c r="AK52" s="75">
        <f t="shared" si="30"/>
        <v>0.02529865768</v>
      </c>
      <c r="AL52" s="76">
        <f>IFERROR(AK52/AK148, "NA")</f>
        <v>-0.1467711197</v>
      </c>
    </row>
    <row r="53" ht="16.5" customHeight="1">
      <c r="A53" s="26" t="s">
        <v>114</v>
      </c>
      <c r="B53" s="28">
        <v>9.74</v>
      </c>
      <c r="C53" s="15">
        <f>IFERROR(B53/B148, "NA")</f>
        <v>0.0008424796581</v>
      </c>
      <c r="D53" s="28">
        <v>9.23</v>
      </c>
      <c r="E53" s="15">
        <f>IFERROR(D53/D148, "NA")</f>
        <v>0.0005014508391</v>
      </c>
      <c r="F53" s="28">
        <v>24.28</v>
      </c>
      <c r="G53" s="15">
        <f>IFERROR(F53/F148, "NA")</f>
        <v>0.001055130572</v>
      </c>
      <c r="H53" s="28">
        <v>0.0</v>
      </c>
      <c r="I53" s="15">
        <f>IFERROR(H53/H148, "NA")</f>
        <v>0</v>
      </c>
      <c r="J53" s="28">
        <v>13.43</v>
      </c>
      <c r="K53" s="15">
        <f>IFERROR(J53/J148, "NA")</f>
        <v>0.0006734202579</v>
      </c>
      <c r="L53" s="28">
        <v>15.46</v>
      </c>
      <c r="M53" s="15">
        <f>IFERROR(L53/L148, "NA")</f>
        <v>0.0005286200214</v>
      </c>
      <c r="N53" s="28">
        <v>26.4</v>
      </c>
      <c r="O53" s="15">
        <f>IFERROR(N53/N148, "NA")</f>
        <v>0.001178430438</v>
      </c>
      <c r="P53" s="28">
        <v>25.02</v>
      </c>
      <c r="Q53" s="15">
        <f>IFERROR(P53/P148, "NA")</f>
        <v>0.000986542877</v>
      </c>
      <c r="R53" s="28">
        <v>8.09</v>
      </c>
      <c r="S53" s="15">
        <f>IFERROR(R53/R148, "NA")</f>
        <v>0.000337809483</v>
      </c>
      <c r="T53" s="28">
        <v>12.47</v>
      </c>
      <c r="U53" s="15">
        <f>IFERROR(T53/T148, "NA")</f>
        <v>0.0004217345839</v>
      </c>
      <c r="V53" s="28">
        <v>32.97</v>
      </c>
      <c r="W53" s="15">
        <f>IFERROR(V53/V148, "NA")</f>
        <v>0.00137063979</v>
      </c>
      <c r="X53" s="28">
        <v>0.0</v>
      </c>
      <c r="Y53" s="15">
        <f>IFERROR(X53/X148, "NA")</f>
        <v>0</v>
      </c>
      <c r="Z53" s="28">
        <v>45.44</v>
      </c>
      <c r="AA53" s="15">
        <f>IFERROR(Z53/Z148, "NA")</f>
        <v>0.0006160398669</v>
      </c>
      <c r="AB53" s="57">
        <f t="shared" si="25"/>
        <v>13.3825</v>
      </c>
      <c r="AC53" s="15">
        <f>IFERROR(AB53/AB148, "NA")</f>
        <v>0.0005478463946</v>
      </c>
      <c r="AD53" s="61">
        <f t="shared" si="26"/>
        <v>-13.3825</v>
      </c>
      <c r="AE53" s="62">
        <f>IFERROR(AD53/AD148, "NA")</f>
        <v>0.003120316683</v>
      </c>
      <c r="AF53" s="61">
        <f t="shared" si="27"/>
        <v>-1</v>
      </c>
      <c r="AG53" s="57">
        <f t="shared" si="28"/>
        <v>16.73</v>
      </c>
      <c r="AH53" s="15">
        <f>IFERROR(AG53/AG148, "NA")</f>
        <v>0.0006875480093</v>
      </c>
      <c r="AI53" s="61">
        <f t="shared" si="29"/>
        <v>-16.73</v>
      </c>
      <c r="AJ53" s="62">
        <f>IFERROR(AI53/AI148, "NA")</f>
        <v>0.00398883579</v>
      </c>
      <c r="AK53" s="61">
        <f t="shared" si="30"/>
        <v>-1</v>
      </c>
      <c r="AL53" s="62">
        <f>IFERROR(AK53/AK148, "NA")</f>
        <v>5.801537836</v>
      </c>
    </row>
    <row r="54" ht="16.5" customHeight="1">
      <c r="A54" s="26" t="s">
        <v>115</v>
      </c>
      <c r="B54" s="28">
        <v>3.0</v>
      </c>
      <c r="C54" s="15">
        <f>IFERROR(B54/B148, "NA")</f>
        <v>0.0002594906544</v>
      </c>
      <c r="D54" s="28">
        <v>6.0</v>
      </c>
      <c r="E54" s="15">
        <f>IFERROR(D54/D148, "NA")</f>
        <v>0.0003259702096</v>
      </c>
      <c r="F54" s="28">
        <v>6.0</v>
      </c>
      <c r="G54" s="15">
        <f>IFERROR(F54/F148, "NA")</f>
        <v>0.0002607406686</v>
      </c>
      <c r="H54" s="28">
        <v>3.0</v>
      </c>
      <c r="I54" s="15">
        <f>IFERROR(H54/H148, "NA")</f>
        <v>0.0001451450434</v>
      </c>
      <c r="J54" s="28">
        <v>9.31</v>
      </c>
      <c r="K54" s="15">
        <f>IFERROR(J54/J148, "NA")</f>
        <v>0.0004668311691</v>
      </c>
      <c r="L54" s="28">
        <v>9.0</v>
      </c>
      <c r="M54" s="15">
        <f>IFERROR(L54/L148, "NA")</f>
        <v>0.0003077348119</v>
      </c>
      <c r="N54" s="28">
        <v>6.31</v>
      </c>
      <c r="O54" s="15">
        <f>IFERROR(N54/N148, "NA")</f>
        <v>0.0002816627296</v>
      </c>
      <c r="P54" s="28">
        <v>21.0</v>
      </c>
      <c r="Q54" s="15">
        <f>IFERROR(P54/P148, "NA")</f>
        <v>0.0008280335898</v>
      </c>
      <c r="R54" s="28">
        <v>128.52</v>
      </c>
      <c r="S54" s="15">
        <f>IFERROR(R54/R148, "NA")</f>
        <v>0.005366535816</v>
      </c>
      <c r="T54" s="28">
        <v>24.0</v>
      </c>
      <c r="U54" s="15">
        <f>IFERROR(T54/T148, "NA")</f>
        <v>0.0008116784292</v>
      </c>
      <c r="V54" s="28">
        <v>24.75</v>
      </c>
      <c r="W54" s="15">
        <f>IFERROR(V54/V148, "NA")</f>
        <v>0.00102891522</v>
      </c>
      <c r="X54" s="28">
        <v>21.75</v>
      </c>
      <c r="Y54" s="15">
        <f>IFERROR(X54/X148, "NA")</f>
        <v>0.001080013347</v>
      </c>
      <c r="Z54" s="28">
        <v>70.5</v>
      </c>
      <c r="AA54" s="15">
        <f>IFERROR(Z54/Z148, "NA")</f>
        <v>0.0009557836843</v>
      </c>
      <c r="AB54" s="57">
        <f t="shared" si="25"/>
        <v>49.755</v>
      </c>
      <c r="AC54" s="15">
        <f>IFERROR(AB54/AB148, "NA")</f>
        <v>0.002036846431</v>
      </c>
      <c r="AD54" s="61">
        <f t="shared" si="26"/>
        <v>-28.005</v>
      </c>
      <c r="AE54" s="62">
        <f>IFERROR(AD54/AD148, "NA")</f>
        <v>0.006529756676</v>
      </c>
      <c r="AF54" s="61">
        <f t="shared" si="27"/>
        <v>-0.5628580042</v>
      </c>
      <c r="AG54" s="57">
        <f t="shared" si="28"/>
        <v>30.58</v>
      </c>
      <c r="AH54" s="15">
        <f>IFERROR(AG54/AG148, "NA")</f>
        <v>0.001256737485</v>
      </c>
      <c r="AI54" s="61">
        <f t="shared" si="29"/>
        <v>-8.83</v>
      </c>
      <c r="AJ54" s="62">
        <f>IFERROR(AI54/AI148, "NA")</f>
        <v>0.002105285118</v>
      </c>
      <c r="AK54" s="61">
        <f t="shared" si="30"/>
        <v>-0.2887508175</v>
      </c>
      <c r="AL54" s="62">
        <f>IFERROR(AK54/AK148, "NA")</f>
        <v>1.675198793</v>
      </c>
    </row>
    <row r="55" ht="16.5" customHeight="1">
      <c r="A55" s="26" t="s">
        <v>116</v>
      </c>
      <c r="B55" s="28">
        <v>-134.39</v>
      </c>
      <c r="C55" s="15">
        <f>IFERROR(B55/B148, "NA")</f>
        <v>-0.01162431635</v>
      </c>
      <c r="D55" s="28">
        <v>-199.89</v>
      </c>
      <c r="E55" s="15">
        <f>IFERROR(D55/D148, "NA")</f>
        <v>-0.01085969753</v>
      </c>
      <c r="F55" s="28">
        <v>-201.09</v>
      </c>
      <c r="G55" s="15">
        <f>IFERROR(F55/F148, "NA")</f>
        <v>-0.008738723509</v>
      </c>
      <c r="H55" s="28">
        <v>-149.27</v>
      </c>
      <c r="I55" s="15">
        <f>IFERROR(H55/H148, "NA")</f>
        <v>-0.007221933545</v>
      </c>
      <c r="J55" s="28">
        <v>-193.6</v>
      </c>
      <c r="K55" s="15">
        <f>IFERROR(J55/J148, "NA")</f>
        <v>-0.009707681454</v>
      </c>
      <c r="L55" s="28">
        <v>-148.15</v>
      </c>
      <c r="M55" s="15">
        <f>IFERROR(L55/L148, "NA")</f>
        <v>-0.005065656932</v>
      </c>
      <c r="N55" s="28">
        <v>-311.13</v>
      </c>
      <c r="O55" s="15">
        <f>IFERROR(N55/N148, "NA")</f>
        <v>-0.01388807053</v>
      </c>
      <c r="P55" s="28">
        <v>-235.94</v>
      </c>
      <c r="Q55" s="15">
        <f>IFERROR(P55/P148, "NA")</f>
        <v>-0.009303154532</v>
      </c>
      <c r="R55" s="28">
        <v>-210.41</v>
      </c>
      <c r="S55" s="15">
        <f>IFERROR(R55/R148, "NA")</f>
        <v>-0.008785969507</v>
      </c>
      <c r="T55" s="28">
        <v>-205.72</v>
      </c>
      <c r="U55" s="15">
        <f>IFERROR(T55/T148, "NA")</f>
        <v>-0.006957436936</v>
      </c>
      <c r="V55" s="28">
        <v>-213.6</v>
      </c>
      <c r="W55" s="15">
        <f>IFERROR(V55/V148, "NA")</f>
        <v>-0.00887985014</v>
      </c>
      <c r="X55" s="28">
        <v>-181.85</v>
      </c>
      <c r="Y55" s="15">
        <f>IFERROR(X55/X148, "NA")</f>
        <v>-0.009029904701</v>
      </c>
      <c r="Z55" s="28">
        <v>-601.17</v>
      </c>
      <c r="AA55" s="15">
        <f>IFERROR(Z55/Z148, "NA")</f>
        <v>-0.00815019117</v>
      </c>
      <c r="AB55" s="57">
        <f t="shared" si="25"/>
        <v>-202.895</v>
      </c>
      <c r="AC55" s="15">
        <f>IFERROR(AB55/AB148, "NA")</f>
        <v>-0.008306018624</v>
      </c>
      <c r="AD55" s="61">
        <f t="shared" si="26"/>
        <v>21.045</v>
      </c>
      <c r="AE55" s="62">
        <f>IFERROR(AD55/AD148, "NA")</f>
        <v>-0.00490693552</v>
      </c>
      <c r="AF55" s="61">
        <f t="shared" si="27"/>
        <v>-0.1037236009</v>
      </c>
      <c r="AG55" s="57">
        <f t="shared" si="28"/>
        <v>-212.55</v>
      </c>
      <c r="AH55" s="15">
        <f>IFERROR(AG55/AG148, "NA")</f>
        <v>-0.008735106359</v>
      </c>
      <c r="AI55" s="61">
        <f t="shared" si="29"/>
        <v>30.7</v>
      </c>
      <c r="AJ55" s="62">
        <f>IFERROR(AI55/AI148, "NA")</f>
        <v>-0.007319620965</v>
      </c>
      <c r="AK55" s="61">
        <f t="shared" si="30"/>
        <v>-0.1444366032</v>
      </c>
      <c r="AL55" s="62">
        <f>IFERROR(AK55/AK148, "NA")</f>
        <v>0.837954418</v>
      </c>
    </row>
    <row r="56" ht="16.5" customHeight="1">
      <c r="A56" s="67" t="s">
        <v>117</v>
      </c>
      <c r="B56" s="70">
        <f>IFERROR(B37+B39+B40+B41+B42+B43+B46+B47+B48+B49+B50+B51+B53+B54+B55, "NA")</f>
        <v>377.25</v>
      </c>
      <c r="C56" s="71">
        <f>IFERROR(B56/B148, "NA")</f>
        <v>0.0326309498</v>
      </c>
      <c r="D56" s="70">
        <f>IFERROR(D37+D39+D40+D41+D42+D43+D46+D47+D48+D49+D50+D51+D53+D54+D55, "NA")</f>
        <v>994.36</v>
      </c>
      <c r="E56" s="71">
        <f>IFERROR(D56/D148, "NA")</f>
        <v>0.05402195627</v>
      </c>
      <c r="F56" s="70">
        <f>IFERROR(F37+F39+F40+F41+F42+F43+F46+F47+F48+F49+F50+F51+F53+F54+F55, "NA")</f>
        <v>771.96</v>
      </c>
      <c r="G56" s="71">
        <f>IFERROR(F56/F148, "NA")</f>
        <v>0.03354689443</v>
      </c>
      <c r="H56" s="70">
        <f>IFERROR(H37+H39+H40+H41+H42+H43+H46+H47+H48+H49+H50+H51+H53+H54+H55, "NA")</f>
        <v>939.42</v>
      </c>
      <c r="I56" s="71">
        <f>IFERROR(H56/H148, "NA")</f>
        <v>0.0454507189</v>
      </c>
      <c r="J56" s="70">
        <f>IFERROR(J37+J39+J40+J41+J42+J43+J46+J47+J48+J49+J50+J51+J53+J54+J55, "NA")</f>
        <v>887.6</v>
      </c>
      <c r="K56" s="71">
        <f>IFERROR(J56/J148, "NA")</f>
        <v>0.04450691146</v>
      </c>
      <c r="L56" s="70">
        <f>IFERROR(L37+L39+L40+L41+L42+L43+L46+L47+L48+L49+L50+L51+L53+L54+L55, "NA")</f>
        <v>1426.78</v>
      </c>
      <c r="M56" s="71">
        <f>IFERROR(L56/L148, "NA")</f>
        <v>0.04878554166</v>
      </c>
      <c r="N56" s="70">
        <f>IFERROR(N37+N39+N40+N41+N42+N43+N46+N47+N48+N49+N50+N51+N53+N54+N55, "NA")</f>
        <v>705.28</v>
      </c>
      <c r="O56" s="71">
        <f>IFERROR(N56/N148, "NA")</f>
        <v>0.0314819477</v>
      </c>
      <c r="P56" s="70">
        <f>IFERROR(P37+P39+P40+P41+P42+P43+P46+P47+P48+P49+P50+P51+P53+P54+P55, "NA")</f>
        <v>1205.91</v>
      </c>
      <c r="Q56" s="71">
        <f>IFERROR(P56/P148, "NA")</f>
        <v>0.04754923744</v>
      </c>
      <c r="R56" s="70">
        <f>IFERROR(R37+R39+R40+R41+R42+R43+R46+R47+R48+R49+R50+R51+R53+R54+R55, "NA")</f>
        <v>1257.55</v>
      </c>
      <c r="S56" s="71">
        <f>IFERROR(R56/R148, "NA")</f>
        <v>0.05251079299</v>
      </c>
      <c r="T56" s="70">
        <f>IFERROR(T37+T39+T40+T41+T42+T43+T46+T47+T48+T49+T50+T51+T53+T54+T55, "NA")</f>
        <v>1162.58</v>
      </c>
      <c r="U56" s="71">
        <f>IFERROR(T56/T148, "NA")</f>
        <v>0.03931837951</v>
      </c>
      <c r="V56" s="70">
        <f>IFERROR(V37+V39+V40+V41+V42+V43+V46+V47+V48+V49+V50+V51+V53+V54+V55, "NA")</f>
        <v>1097.78</v>
      </c>
      <c r="W56" s="71">
        <f>IFERROR(V56/V148, "NA")</f>
        <v>0.04563727475</v>
      </c>
      <c r="X56" s="70">
        <f>IFERROR(X37+X39+X40+X41+X42+X43+X46+X47+X48+X49+X50+X51+X53+X54+X55, "NA")</f>
        <v>646.2</v>
      </c>
      <c r="Y56" s="71">
        <f>IFERROR(X56/X148, "NA")</f>
        <v>0.03208756897</v>
      </c>
      <c r="Z56" s="70">
        <f>IFERROR(Z37+Z39+Z40+Z41+Z42+Z43+Z46+Z47+Z48+Z49+Z50+Z51+Z53+Z54+Z55, "NA")</f>
        <v>2906.56</v>
      </c>
      <c r="AA56" s="71">
        <f>IFERROR(Z56/Z148, "NA")</f>
        <v>0.03940485994</v>
      </c>
      <c r="AB56" s="70">
        <f t="shared" si="25"/>
        <v>1041.0275</v>
      </c>
      <c r="AC56" s="71">
        <f>IFERROR(AB56/AB148, "NA")</f>
        <v>0.04261708669</v>
      </c>
      <c r="AD56" s="75">
        <f t="shared" si="26"/>
        <v>-394.8275</v>
      </c>
      <c r="AE56" s="76">
        <f>IFERROR(AD56/AD148, "NA")</f>
        <v>0.09205954308</v>
      </c>
      <c r="AF56" s="75">
        <f t="shared" si="27"/>
        <v>-0.3792671183</v>
      </c>
      <c r="AG56" s="70">
        <f t="shared" si="28"/>
        <v>1048.71</v>
      </c>
      <c r="AH56" s="71">
        <f>IFERROR(AG56/AG148, "NA")</f>
        <v>0.04309853394</v>
      </c>
      <c r="AI56" s="75">
        <f t="shared" si="29"/>
        <v>-402.51</v>
      </c>
      <c r="AJ56" s="76">
        <f>IFERROR(AI56/AI148, "NA")</f>
        <v>0.09596809885</v>
      </c>
      <c r="AK56" s="75">
        <f t="shared" si="30"/>
        <v>-0.3838144005</v>
      </c>
      <c r="AL56" s="76">
        <f>IFERROR(AK56/AK148, "NA")</f>
        <v>2.226713767</v>
      </c>
    </row>
    <row r="57" ht="16.5" customHeight="1">
      <c r="A57" s="67" t="s">
        <v>54</v>
      </c>
      <c r="B57" s="118">
        <f>IFERROR(B13+B15+B16+B17+B18+B19+B20+B21+B22+B23+B24+B25+B26+B29+B30+B31+B32+B33+B37+B39+B40+B41+B42+B43+B46+B47+B48+B49+B50+B51+B53+B54+B55, "NA")</f>
        <v>3374.44</v>
      </c>
      <c r="C57" s="94">
        <f>IFERROR(B57/B148, "NA")</f>
        <v>0.291878548</v>
      </c>
      <c r="D57" s="118">
        <f>IFERROR(D13+D15+D16+D17+D18+D19+D20+D21+D22+D23+D24+D25+D26+D29+D30+D31+D32+D33+D37+D39+D40+D41+D42+D43+D46+D47+D48+D49+D50+D51+D53+D54+D55, "NA")</f>
        <v>5529.12</v>
      </c>
      <c r="E57" s="94">
        <f>IFERROR(D57/D148, "NA")</f>
        <v>0.3003880675</v>
      </c>
      <c r="F57" s="118">
        <f>IFERROR(F13+F15+F16+F17+F18+F19+F20+F21+F22+F23+F24+F25+F26+F29+F30+F31+F32+F33+F37+F39+F40+F41+F42+F43+F46+F47+F48+F49+F50+F51+F53+F54+F55, "NA")</f>
        <v>5746.61</v>
      </c>
      <c r="G57" s="94">
        <f>IFERROR(F57/F148, "NA")</f>
        <v>0.2497291556</v>
      </c>
      <c r="H57" s="118">
        <f>IFERROR(H13+H15+H16+H17+H18+H19+H20+H21+H22+H23+H24+H25+H26+H29+H30+H31+H32+H33+H37+H39+H40+H41+H42+H43+H46+H47+H48+H49+H50+H51+H53+H54+H55, "NA")</f>
        <v>6175.66</v>
      </c>
      <c r="I57" s="94">
        <f>IFERROR(H57/H148, "NA")</f>
        <v>0.298788813</v>
      </c>
      <c r="J57" s="118">
        <f>IFERROR(J13+J15+J16+J17+J18+J19+J20+J21+J22+J23+J24+J25+J26+J29+J30+J31+J32+J33+J37+J39+J40+J41+J42+J43+J46+J47+J48+J49+J50+J51+J53+J54+J55, "NA")</f>
        <v>5562.9</v>
      </c>
      <c r="K57" s="94">
        <f>IFERROR(J57/J148, "NA")</f>
        <v>0.2789403985</v>
      </c>
      <c r="L57" s="118">
        <f>IFERROR(L13+L15+L16+L17+L18+L19+L20+L21+L22+L23+L24+L25+L26+L29+L30+L31+L32+L33+L37+L39+L40+L41+L42+L43+L46+L47+L48+L49+L50+L51+L53+L54+L55, "NA")</f>
        <v>8381.66</v>
      </c>
      <c r="M57" s="94">
        <f>IFERROR(L57/L148, "NA")</f>
        <v>0.2865920626</v>
      </c>
      <c r="N57" s="118">
        <f>IFERROR(N13+N15+N16+N17+N18+N19+N20+N21+N22+N23+N24+N25+N26+N29+N30+N31+N32+N33+N37+N39+N40+N41+N42+N43+N46+N47+N48+N49+N50+N51+N53+N54+N55, "NA")</f>
        <v>5827.49</v>
      </c>
      <c r="O57" s="94">
        <f>IFERROR(N57/N148, "NA")</f>
        <v>0.2601246815</v>
      </c>
      <c r="P57" s="118">
        <f>IFERROR(P13+P15+P16+P17+P18+P19+P20+P21+P22+P23+P24+P25+P26+P29+P30+P31+P32+P33+P37+P39+P40+P41+P42+P43+P46+P47+P48+P49+P50+P51+P53+P54+P55, "NA")</f>
        <v>6810.56</v>
      </c>
      <c r="Q57" s="94">
        <f>IFERROR(P57/P148, "NA")</f>
        <v>0.268541545</v>
      </c>
      <c r="R57" s="118">
        <f>IFERROR(R13+R15+R16+R17+R18+R19+R20+R21+R22+R23+R24+R25+R26+R29+R30+R31+R32+R33+R37+R39+R40+R41+R42+R43+R46+R47+R48+R49+R50+R51+R53+R54+R55, "NA")</f>
        <v>7151.24</v>
      </c>
      <c r="S57" s="94">
        <f>IFERROR(R57/R148, "NA")</f>
        <v>0.2986102209</v>
      </c>
      <c r="T57" s="118">
        <f>IFERROR(T13+T15+T16+T17+T18+T19+T20+T21+T22+T23+T24+T25+T26+T29+T30+T31+T32+T33+T37+T39+T40+T41+T42+T43+T46+T47+T48+T49+T50+T51+T53+T54+T55, "NA")</f>
        <v>7953.91</v>
      </c>
      <c r="U57" s="94">
        <f>IFERROR(T57/T148, "NA")</f>
        <v>0.2690007156</v>
      </c>
      <c r="V57" s="118">
        <f>IFERROR(V13+V15+V16+V17+V18+V19+V20+V21+V22+V23+V24+V25+V26+V29+V30+V31+V32+V33+V37+V39+V40+V41+V42+V43+V46+V47+V48+V49+V50+V51+V53+V54+V55, "NA")</f>
        <v>6888.98</v>
      </c>
      <c r="W57" s="94">
        <f>IFERROR(V57/V148, "NA")</f>
        <v>0.2863909645</v>
      </c>
      <c r="X57" s="118">
        <f>IFERROR(X13+X15+X16+X17+X18+X19+X20+X21+X22+X23+X24+X25+X26+X29+X30+X31+X32+X33+X37+X39+X40+X41+X42+X43+X46+X47+X48+X49+X50+X51+X53+X54+X55, "NA")</f>
        <v>4653.79</v>
      </c>
      <c r="Y57" s="94">
        <f>IFERROR(X57/X148, "NA")</f>
        <v>0.2310876008</v>
      </c>
      <c r="Z57" s="118">
        <f>IFERROR(Z13+Z15+Z16+Z17+Z18+Z19+Z20+Z21+Z22+Z23+Z24+Z25+Z26+Z29+Z30+Z31+Z32+Z33+Z37+Z39+Z40+Z41+Z42+Z43+Z46+Z47+Z48+Z49+Z50+Z51+Z53+Z54+Z55, "NA")</f>
        <v>19496.68</v>
      </c>
      <c r="AA57" s="94">
        <f>IFERROR(Z57/Z148, "NA")</f>
        <v>0.26432069</v>
      </c>
      <c r="AB57" s="118">
        <f t="shared" si="25"/>
        <v>6661.98</v>
      </c>
      <c r="AC57" s="94">
        <f>IFERROR(AB57/AB148, "NA")</f>
        <v>0.272724956</v>
      </c>
      <c r="AD57" s="119">
        <f t="shared" si="26"/>
        <v>-2008.19</v>
      </c>
      <c r="AE57" s="120">
        <f>IFERROR(AD57/AD148, "NA")</f>
        <v>0.4682375311</v>
      </c>
      <c r="AF57" s="119">
        <f t="shared" si="27"/>
        <v>-0.3014404126</v>
      </c>
      <c r="AG57" s="118">
        <f t="shared" si="28"/>
        <v>6653.81625</v>
      </c>
      <c r="AH57" s="94">
        <f>IFERROR(AG57/AG148, "NA")</f>
        <v>0.2734499771</v>
      </c>
      <c r="AI57" s="119">
        <f t="shared" si="29"/>
        <v>-2000.02625</v>
      </c>
      <c r="AJ57" s="120">
        <f>IFERROR(AI57/AI148, "NA")</f>
        <v>0.47685453</v>
      </c>
      <c r="AK57" s="119">
        <f t="shared" si="30"/>
        <v>-0.3005833307</v>
      </c>
      <c r="AL57" s="120">
        <f>IFERROR(AK57/AK148, "NA")</f>
        <v>1.743845566</v>
      </c>
    </row>
    <row r="58" ht="3.75" customHeight="1">
      <c r="A58" s="79"/>
      <c r="B58" s="80"/>
      <c r="C58" s="74"/>
      <c r="D58" s="80"/>
      <c r="E58" s="74"/>
      <c r="F58" s="80"/>
      <c r="G58" s="74"/>
      <c r="H58" s="80"/>
      <c r="I58" s="74"/>
      <c r="J58" s="80"/>
      <c r="K58" s="74"/>
      <c r="L58" s="80"/>
      <c r="M58" s="74"/>
      <c r="N58" s="80"/>
      <c r="O58" s="74"/>
      <c r="P58" s="80"/>
      <c r="Q58" s="74"/>
      <c r="R58" s="80"/>
      <c r="S58" s="74"/>
      <c r="T58" s="80"/>
      <c r="U58" s="74"/>
      <c r="V58" s="80"/>
      <c r="W58" s="74"/>
      <c r="X58" s="80"/>
      <c r="Y58" s="74"/>
      <c r="Z58" s="80"/>
      <c r="AA58" s="74"/>
      <c r="AB58" s="80"/>
      <c r="AC58" s="74"/>
      <c r="AD58" s="81"/>
      <c r="AE58" s="82"/>
      <c r="AF58" s="81"/>
      <c r="AG58" s="80"/>
      <c r="AH58" s="74"/>
      <c r="AI58" s="81"/>
      <c r="AJ58" s="82"/>
      <c r="AK58" s="81"/>
      <c r="AL58" s="82"/>
    </row>
    <row r="59" ht="16.5" customHeight="1">
      <c r="A59" s="121" t="s">
        <v>120</v>
      </c>
      <c r="B59" s="122">
        <f>IFERROR(B9-B57, "NA")</f>
        <v>8186.67</v>
      </c>
      <c r="C59" s="98">
        <f>IFERROR(B59/B148, "NA")</f>
        <v>0.708121452</v>
      </c>
      <c r="D59" s="122">
        <f>IFERROR(D9-D57, "NA")</f>
        <v>12877.47</v>
      </c>
      <c r="E59" s="98">
        <f>IFERROR(D59/D148, "NA")</f>
        <v>0.6996119325</v>
      </c>
      <c r="F59" s="122">
        <f>IFERROR(F9-F57, "NA")</f>
        <v>17264.76</v>
      </c>
      <c r="G59" s="98">
        <f>IFERROR(F59/F148, "NA")</f>
        <v>0.7502708444</v>
      </c>
      <c r="H59" s="122">
        <f>IFERROR(H9-H57, "NA")</f>
        <v>14493.32</v>
      </c>
      <c r="I59" s="98">
        <f>IFERROR(H59/H148, "NA")</f>
        <v>0.701211187</v>
      </c>
      <c r="J59" s="122">
        <f>IFERROR(J9-J57, "NA")</f>
        <v>14380.07</v>
      </c>
      <c r="K59" s="98">
        <f>IFERROR(J59/J148, "NA")</f>
        <v>0.7210596015</v>
      </c>
      <c r="L59" s="122">
        <f>IFERROR(L9-L57, "NA")</f>
        <v>20864.3</v>
      </c>
      <c r="M59" s="98">
        <f>IFERROR(L59/L148, "NA")</f>
        <v>0.7134079374</v>
      </c>
      <c r="N59" s="122">
        <f>IFERROR(N9-N57, "NA")</f>
        <v>16575.19</v>
      </c>
      <c r="O59" s="98">
        <f>IFERROR(N59/N148, "NA")</f>
        <v>0.7398753185</v>
      </c>
      <c r="P59" s="122">
        <f>IFERROR(P9-P57, "NA")</f>
        <v>18550.73</v>
      </c>
      <c r="Q59" s="98">
        <f>IFERROR(P59/P148, "NA")</f>
        <v>0.731458455</v>
      </c>
      <c r="R59" s="122">
        <f>IFERROR(R9-R57, "NA")</f>
        <v>16797.17</v>
      </c>
      <c r="S59" s="98">
        <f>IFERROR(R59/R148, "NA")</f>
        <v>0.7013897791</v>
      </c>
      <c r="T59" s="122">
        <f>IFERROR(T9-T57, "NA")</f>
        <v>21614.45</v>
      </c>
      <c r="U59" s="98">
        <f>IFERROR(T59/T148, "NA")</f>
        <v>0.7309992844</v>
      </c>
      <c r="V59" s="122">
        <f>IFERROR(V9-V57, "NA")</f>
        <v>17165.48</v>
      </c>
      <c r="W59" s="98">
        <f>IFERROR(V59/V148, "NA")</f>
        <v>0.7136090355</v>
      </c>
      <c r="X59" s="122">
        <f>IFERROR(X9-X57, "NA")</f>
        <v>15484.85</v>
      </c>
      <c r="Y59" s="98">
        <f>IFERROR(X59/X148, "NA")</f>
        <v>0.7689123992</v>
      </c>
      <c r="Z59" s="122">
        <f>IFERROR(Z9-Z57, "NA")</f>
        <v>54264.78</v>
      </c>
      <c r="AA59" s="98">
        <f>IFERROR(Z59/Z148, "NA")</f>
        <v>0.73567931</v>
      </c>
      <c r="AB59" s="122">
        <f>IFERROR((R59+T59+V59+X59)/4, "NA")</f>
        <v>17765.4875</v>
      </c>
      <c r="AC59" s="98">
        <f>IFERROR(AB59/AB148, "NA")</f>
        <v>0.727275044</v>
      </c>
      <c r="AD59" s="75">
        <f>IFERROR(X59-AB59, "NA")</f>
        <v>-2280.6375</v>
      </c>
      <c r="AE59" s="76">
        <f>IFERROR(AD59/AD148, "NA")</f>
        <v>0.5317624689</v>
      </c>
      <c r="AF59" s="75">
        <f>IFERROR((X59-AB59)/AB59, "NA")</f>
        <v>-0.1283746084</v>
      </c>
      <c r="AG59" s="122">
        <f>IFERROR((J59+L59+N59+P59+R59+T59+V59+X59)/8, "NA")</f>
        <v>17679.03</v>
      </c>
      <c r="AH59" s="98">
        <f>IFERROR(AG59/AG148, "NA")</f>
        <v>0.7265500229</v>
      </c>
      <c r="AI59" s="75">
        <f>IFERROR(X59-AG59, "NA")</f>
        <v>-2194.18</v>
      </c>
      <c r="AJ59" s="76">
        <f>IFERROR(AI59/AI148, "NA")</f>
        <v>0.52314547</v>
      </c>
      <c r="AK59" s="75">
        <f>IFERROR((X59-AG59)/AG59, "NA")</f>
        <v>-0.1241120129</v>
      </c>
      <c r="AL59" s="76">
        <f>IFERROR(AK59/AK148, "NA")</f>
        <v>0.7200405389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2"/>
      <c r="AF60" s="125"/>
      <c r="AG60" s="124"/>
      <c r="AH60" s="74"/>
      <c r="AI60" s="125"/>
      <c r="AJ60" s="82"/>
      <c r="AK60" s="125"/>
      <c r="AL60" s="82"/>
    </row>
    <row r="61" ht="16.5" customHeight="1">
      <c r="A61" s="22" t="s">
        <v>121</v>
      </c>
      <c r="B61" s="23"/>
      <c r="C61" s="10"/>
      <c r="D61" s="23"/>
      <c r="E61" s="10"/>
      <c r="F61" s="23"/>
      <c r="G61" s="10"/>
      <c r="H61" s="23"/>
      <c r="I61" s="10"/>
      <c r="J61" s="23"/>
      <c r="K61" s="10"/>
      <c r="L61" s="23"/>
      <c r="M61" s="10"/>
      <c r="N61" s="23"/>
      <c r="O61" s="10"/>
      <c r="P61" s="23"/>
      <c r="Q61" s="10"/>
      <c r="R61" s="23"/>
      <c r="S61" s="10"/>
      <c r="T61" s="23"/>
      <c r="U61" s="10"/>
      <c r="V61" s="23"/>
      <c r="W61" s="10"/>
      <c r="X61" s="23"/>
      <c r="Y61" s="10"/>
      <c r="Z61" s="23"/>
      <c r="AA61" s="10"/>
      <c r="AB61" s="23"/>
      <c r="AC61" s="10"/>
      <c r="AD61" s="24"/>
      <c r="AE61" s="25"/>
      <c r="AF61" s="24"/>
      <c r="AG61" s="23"/>
      <c r="AH61" s="10"/>
      <c r="AI61" s="24"/>
      <c r="AJ61" s="25"/>
      <c r="AK61" s="24"/>
      <c r="AL61" s="25"/>
    </row>
    <row r="62" ht="16.5" customHeight="1">
      <c r="A62" s="22" t="s">
        <v>121</v>
      </c>
      <c r="B62" s="23"/>
      <c r="C62" s="10"/>
      <c r="D62" s="23"/>
      <c r="E62" s="10"/>
      <c r="F62" s="23"/>
      <c r="G62" s="10"/>
      <c r="H62" s="23"/>
      <c r="I62" s="10"/>
      <c r="J62" s="23"/>
      <c r="K62" s="10"/>
      <c r="L62" s="23"/>
      <c r="M62" s="10"/>
      <c r="N62" s="23"/>
      <c r="O62" s="10"/>
      <c r="P62" s="23"/>
      <c r="Q62" s="10"/>
      <c r="R62" s="23"/>
      <c r="S62" s="10"/>
      <c r="T62" s="23"/>
      <c r="U62" s="10"/>
      <c r="V62" s="23"/>
      <c r="W62" s="10"/>
      <c r="X62" s="23"/>
      <c r="Y62" s="10"/>
      <c r="Z62" s="23"/>
      <c r="AA62" s="10"/>
      <c r="AB62" s="23"/>
      <c r="AC62" s="10"/>
      <c r="AD62" s="24"/>
      <c r="AE62" s="25"/>
      <c r="AF62" s="24"/>
      <c r="AG62" s="23"/>
      <c r="AH62" s="10"/>
      <c r="AI62" s="24"/>
      <c r="AJ62" s="25"/>
      <c r="AK62" s="24"/>
      <c r="AL62" s="25"/>
    </row>
    <row r="63" ht="16.5" hidden="1" customHeight="1">
      <c r="A63" s="26" t="s">
        <v>122</v>
      </c>
      <c r="B63" s="28">
        <v>0.0</v>
      </c>
      <c r="C63" s="15">
        <f>IFERROR(B63/B148, "NA")</f>
        <v>0</v>
      </c>
      <c r="D63" s="28">
        <v>0.0</v>
      </c>
      <c r="E63" s="15">
        <f>IFERROR(D63/D148, "NA")</f>
        <v>0</v>
      </c>
      <c r="F63" s="28">
        <v>0.0</v>
      </c>
      <c r="G63" s="15">
        <f>IFERROR(F63/F148, "NA")</f>
        <v>0</v>
      </c>
      <c r="H63" s="28">
        <v>0.0</v>
      </c>
      <c r="I63" s="15">
        <f>IFERROR(H63/H148, "NA")</f>
        <v>0</v>
      </c>
      <c r="J63" s="28">
        <v>0.0</v>
      </c>
      <c r="K63" s="15">
        <f>IFERROR(J63/J148, "NA")</f>
        <v>0</v>
      </c>
      <c r="L63" s="28">
        <v>0.0</v>
      </c>
      <c r="M63" s="15">
        <f>IFERROR(L63/L148, "NA")</f>
        <v>0</v>
      </c>
      <c r="N63" s="28">
        <v>0.0</v>
      </c>
      <c r="O63" s="15">
        <f>IFERROR(N63/N148, "NA")</f>
        <v>0</v>
      </c>
      <c r="P63" s="28">
        <v>0.0</v>
      </c>
      <c r="Q63" s="15">
        <f>IFERROR(P63/P148, "NA")</f>
        <v>0</v>
      </c>
      <c r="R63" s="28">
        <v>0.0</v>
      </c>
      <c r="S63" s="15">
        <f>IFERROR(R63/R148, "NA")</f>
        <v>0</v>
      </c>
      <c r="T63" s="28">
        <v>0.0</v>
      </c>
      <c r="U63" s="15">
        <f>IFERROR(T63/T148, "NA")</f>
        <v>0</v>
      </c>
      <c r="V63" s="28">
        <v>0.0</v>
      </c>
      <c r="W63" s="15">
        <f>IFERROR(V63/V148, "NA")</f>
        <v>0</v>
      </c>
      <c r="X63" s="28">
        <v>0.0</v>
      </c>
      <c r="Y63" s="15">
        <f>IFERROR(X63/X148, "NA")</f>
        <v>0</v>
      </c>
      <c r="Z63" s="28">
        <v>0.0</v>
      </c>
      <c r="AA63" s="15">
        <f>IFERROR(Z63/Z148, "NA")</f>
        <v>0</v>
      </c>
      <c r="AB63" s="57">
        <f>IFERROR((R63+T63+V63+X63)/4, "NA")</f>
        <v>0</v>
      </c>
      <c r="AC63" s="15">
        <f>IFERROR(AB63/AB148, "NA")</f>
        <v>0</v>
      </c>
      <c r="AD63" s="61">
        <f>IFERROR(X63-AB63, "NA")</f>
        <v>0</v>
      </c>
      <c r="AE63" s="62">
        <f>IFERROR(AD63/AD148, "NA")</f>
        <v>0</v>
      </c>
      <c r="AF63" s="61" t="str">
        <f>IFERROR((X63-AB63)/AB63, "NA")</f>
        <v>NA</v>
      </c>
      <c r="AG63" s="57">
        <f>IFERROR((J63+L63+N63+P63+R63+T63+V63+X63)/8, "NA")</f>
        <v>0</v>
      </c>
      <c r="AH63" s="15">
        <f>IFERROR(AG63/AG148, "NA")</f>
        <v>0</v>
      </c>
      <c r="AI63" s="61">
        <f>IFERROR(X63-AG63, "NA")</f>
        <v>0</v>
      </c>
      <c r="AJ63" s="62">
        <f>IFERROR(AI63/AI148, "NA")</f>
        <v>0</v>
      </c>
      <c r="AK63" s="61" t="str">
        <f>IFERROR((X63-AG63)/AG63, "NA")</f>
        <v>NA</v>
      </c>
      <c r="AL63" s="62" t="str">
        <f>IFERROR(AK63/AK148, "NA")</f>
        <v>NA</v>
      </c>
    </row>
    <row r="64" ht="16.5" customHeight="1">
      <c r="A64" s="22" t="s">
        <v>123</v>
      </c>
      <c r="B64" s="23"/>
      <c r="C64" s="10"/>
      <c r="D64" s="23"/>
      <c r="E64" s="10"/>
      <c r="F64" s="23"/>
      <c r="G64" s="10"/>
      <c r="H64" s="23"/>
      <c r="I64" s="10"/>
      <c r="J64" s="23"/>
      <c r="K64" s="10"/>
      <c r="L64" s="23"/>
      <c r="M64" s="10"/>
      <c r="N64" s="23"/>
      <c r="O64" s="10"/>
      <c r="P64" s="23"/>
      <c r="Q64" s="10"/>
      <c r="R64" s="23"/>
      <c r="S64" s="10"/>
      <c r="T64" s="23"/>
      <c r="U64" s="10"/>
      <c r="V64" s="23"/>
      <c r="W64" s="10"/>
      <c r="X64" s="23"/>
      <c r="Y64" s="10"/>
      <c r="Z64" s="23"/>
      <c r="AA64" s="10"/>
      <c r="AB64" s="23"/>
      <c r="AC64" s="10"/>
      <c r="AD64" s="24"/>
      <c r="AE64" s="25"/>
      <c r="AF64" s="24"/>
      <c r="AG64" s="23"/>
      <c r="AH64" s="10"/>
      <c r="AI64" s="24"/>
      <c r="AJ64" s="25"/>
      <c r="AK64" s="24"/>
      <c r="AL64" s="25"/>
    </row>
    <row r="65" ht="16.5" hidden="1" customHeight="1">
      <c r="A65" s="26" t="s">
        <v>124</v>
      </c>
      <c r="B65" s="28">
        <v>0.0</v>
      </c>
      <c r="C65" s="15">
        <f>IFERROR(B65/B148, "NA")</f>
        <v>0</v>
      </c>
      <c r="D65" s="28">
        <v>0.0</v>
      </c>
      <c r="E65" s="15">
        <f>IFERROR(D65/D148, "NA")</f>
        <v>0</v>
      </c>
      <c r="F65" s="28">
        <v>0.0</v>
      </c>
      <c r="G65" s="15">
        <f>IFERROR(F65/F148, "NA")</f>
        <v>0</v>
      </c>
      <c r="H65" s="28">
        <v>0.0</v>
      </c>
      <c r="I65" s="15">
        <f>IFERROR(H65/H148, "NA")</f>
        <v>0</v>
      </c>
      <c r="J65" s="28">
        <v>0.0</v>
      </c>
      <c r="K65" s="15">
        <f>IFERROR(J65/J148, "NA")</f>
        <v>0</v>
      </c>
      <c r="L65" s="28">
        <v>0.0</v>
      </c>
      <c r="M65" s="15">
        <f>IFERROR(L65/L148, "NA")</f>
        <v>0</v>
      </c>
      <c r="N65" s="28">
        <v>0.0</v>
      </c>
      <c r="O65" s="15">
        <f>IFERROR(N65/N148, "NA")</f>
        <v>0</v>
      </c>
      <c r="P65" s="28">
        <v>0.0</v>
      </c>
      <c r="Q65" s="15">
        <f>IFERROR(P65/P148, "NA")</f>
        <v>0</v>
      </c>
      <c r="R65" s="28">
        <v>0.0</v>
      </c>
      <c r="S65" s="15">
        <f>IFERROR(R65/R148, "NA")</f>
        <v>0</v>
      </c>
      <c r="T65" s="28">
        <v>0.0</v>
      </c>
      <c r="U65" s="15">
        <f>IFERROR(T65/T148, "NA")</f>
        <v>0</v>
      </c>
      <c r="V65" s="28">
        <v>0.0</v>
      </c>
      <c r="W65" s="15">
        <f>IFERROR(V65/V148, "NA")</f>
        <v>0</v>
      </c>
      <c r="X65" s="28">
        <v>0.0</v>
      </c>
      <c r="Y65" s="15">
        <f>IFERROR(X65/X148, "NA")</f>
        <v>0</v>
      </c>
      <c r="Z65" s="28">
        <v>0.0</v>
      </c>
      <c r="AA65" s="15">
        <f>IFERROR(Z65/Z148, "NA")</f>
        <v>0</v>
      </c>
      <c r="AB65" s="57">
        <f t="shared" ref="AB65:AB72" si="31">IFERROR((R65+T65+V65+X65)/4, "NA")</f>
        <v>0</v>
      </c>
      <c r="AC65" s="15">
        <f>IFERROR(AB65/AB148, "NA")</f>
        <v>0</v>
      </c>
      <c r="AD65" s="61">
        <f t="shared" ref="AD65:AD72" si="32">IFERROR(X65-AB65, "NA")</f>
        <v>0</v>
      </c>
      <c r="AE65" s="62">
        <f>IFERROR(AD65/AD148, "NA")</f>
        <v>0</v>
      </c>
      <c r="AF65" s="61" t="str">
        <f t="shared" ref="AF65:AF72" si="33">IFERROR((X65-AB65)/AB65, "NA")</f>
        <v>NA</v>
      </c>
      <c r="AG65" s="57">
        <f t="shared" ref="AG65:AG72" si="34">IFERROR((J65+L65+N65+P65+R65+T65+V65+X65)/8, "NA")</f>
        <v>0</v>
      </c>
      <c r="AH65" s="15">
        <f>IFERROR(AG65/AG148, "NA")</f>
        <v>0</v>
      </c>
      <c r="AI65" s="61">
        <f t="shared" ref="AI65:AI72" si="35">IFERROR(X65-AG65, "NA")</f>
        <v>0</v>
      </c>
      <c r="AJ65" s="62">
        <f>IFERROR(AI65/AI148, "NA")</f>
        <v>0</v>
      </c>
      <c r="AK65" s="61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6" t="s">
        <v>125</v>
      </c>
      <c r="B66" s="28">
        <v>1269.23</v>
      </c>
      <c r="C66" s="15">
        <f>IFERROR(B66/B148, "NA")</f>
        <v>0.1097844411</v>
      </c>
      <c r="D66" s="28">
        <v>1269.23</v>
      </c>
      <c r="E66" s="15">
        <f>IFERROR(D66/D148, "NA")</f>
        <v>0.06895519485</v>
      </c>
      <c r="F66" s="28">
        <v>1269.23</v>
      </c>
      <c r="G66" s="15">
        <f>IFERROR(F66/F148, "NA")</f>
        <v>0.05515664648</v>
      </c>
      <c r="H66" s="28">
        <v>1269.23</v>
      </c>
      <c r="I66" s="15">
        <f>IFERROR(H66/H148, "NA")</f>
        <v>0.06140748116</v>
      </c>
      <c r="J66" s="28">
        <v>1269.23</v>
      </c>
      <c r="K66" s="15">
        <f>IFERROR(J66/J148, "NA")</f>
        <v>0.06364297795</v>
      </c>
      <c r="L66" s="28">
        <v>1162.46</v>
      </c>
      <c r="M66" s="15">
        <f>IFERROR(L66/L148, "NA")</f>
        <v>0.03974771216</v>
      </c>
      <c r="N66" s="28">
        <v>1162.46</v>
      </c>
      <c r="O66" s="15">
        <f>IFERROR(N66/N148, "NA")</f>
        <v>0.05188932753</v>
      </c>
      <c r="P66" s="28">
        <v>1162.46</v>
      </c>
      <c r="Q66" s="15">
        <f>IFERROR(P66/P148, "NA")</f>
        <v>0.04583599651</v>
      </c>
      <c r="R66" s="28">
        <v>1162.46</v>
      </c>
      <c r="S66" s="15">
        <f>IFERROR(R66/R148, "NA")</f>
        <v>0.04854017448</v>
      </c>
      <c r="T66" s="28">
        <v>1162.46</v>
      </c>
      <c r="U66" s="15">
        <f>IFERROR(T66/T148, "NA")</f>
        <v>0.03931432112</v>
      </c>
      <c r="V66" s="28">
        <v>1162.46</v>
      </c>
      <c r="W66" s="15">
        <f>IFERROR(V66/V148, "NA")</f>
        <v>0.04832617319</v>
      </c>
      <c r="X66" s="28">
        <v>1162.46</v>
      </c>
      <c r="Y66" s="15">
        <f>IFERROR(X66/X148, "NA")</f>
        <v>0.0577228651</v>
      </c>
      <c r="Z66" s="28">
        <v>3487.38</v>
      </c>
      <c r="AA66" s="15">
        <f>IFERROR(Z66/Z148, "NA")</f>
        <v>0.04727916177</v>
      </c>
      <c r="AB66" s="57">
        <f t="shared" si="31"/>
        <v>1162.46</v>
      </c>
      <c r="AC66" s="15">
        <f>IFERROR(AB66/AB148, "NA")</f>
        <v>0.04758823239</v>
      </c>
      <c r="AD66" s="61">
        <f t="shared" si="32"/>
        <v>0</v>
      </c>
      <c r="AE66" s="62">
        <f>IFERROR(AD66/AD148, "NA")</f>
        <v>0</v>
      </c>
      <c r="AF66" s="61">
        <f t="shared" si="33"/>
        <v>0</v>
      </c>
      <c r="AG66" s="57">
        <f t="shared" si="34"/>
        <v>1175.80625</v>
      </c>
      <c r="AH66" s="15">
        <f>IFERROR(AG66/AG148, "NA")</f>
        <v>0.04832177206</v>
      </c>
      <c r="AI66" s="61">
        <f t="shared" si="35"/>
        <v>-13.34625</v>
      </c>
      <c r="AJ66" s="62">
        <f>IFERROR(AI66/AI148, "NA")</f>
        <v>0.003182068121</v>
      </c>
      <c r="AK66" s="61">
        <f t="shared" si="36"/>
        <v>-0.01135072211</v>
      </c>
      <c r="AL66" s="62">
        <f>IFERROR(AK66/AK148, "NA")</f>
        <v>0.06585164379</v>
      </c>
    </row>
    <row r="67" ht="16.5" hidden="1" customHeight="1">
      <c r="A67" s="26" t="s">
        <v>128</v>
      </c>
      <c r="B67" s="28">
        <v>0.0</v>
      </c>
      <c r="C67" s="15">
        <f>IFERROR(B67/B148, "NA")</f>
        <v>0</v>
      </c>
      <c r="D67" s="28">
        <v>0.0</v>
      </c>
      <c r="E67" s="15">
        <f>IFERROR(D67/D148, "NA")</f>
        <v>0</v>
      </c>
      <c r="F67" s="28">
        <v>0.0</v>
      </c>
      <c r="G67" s="15">
        <f>IFERROR(F67/F148, "NA")</f>
        <v>0</v>
      </c>
      <c r="H67" s="28">
        <v>0.0</v>
      </c>
      <c r="I67" s="15">
        <f>IFERROR(H67/H148, "NA")</f>
        <v>0</v>
      </c>
      <c r="J67" s="28">
        <v>0.0</v>
      </c>
      <c r="K67" s="15">
        <f>IFERROR(J67/J148, "NA")</f>
        <v>0</v>
      </c>
      <c r="L67" s="28">
        <v>0.0</v>
      </c>
      <c r="M67" s="15">
        <f>IFERROR(L67/L148, "NA")</f>
        <v>0</v>
      </c>
      <c r="N67" s="28">
        <v>0.0</v>
      </c>
      <c r="O67" s="15">
        <f>IFERROR(N67/N148, "NA")</f>
        <v>0</v>
      </c>
      <c r="P67" s="28">
        <v>0.0</v>
      </c>
      <c r="Q67" s="15">
        <f>IFERROR(P67/P148, "NA")</f>
        <v>0</v>
      </c>
      <c r="R67" s="28">
        <v>0.0</v>
      </c>
      <c r="S67" s="15">
        <f>IFERROR(R67/R148, "NA")</f>
        <v>0</v>
      </c>
      <c r="T67" s="28">
        <v>0.0</v>
      </c>
      <c r="U67" s="15">
        <f>IFERROR(T67/T148, "NA")</f>
        <v>0</v>
      </c>
      <c r="V67" s="28">
        <v>0.0</v>
      </c>
      <c r="W67" s="15">
        <f>IFERROR(V67/V148, "NA")</f>
        <v>0</v>
      </c>
      <c r="X67" s="28">
        <v>0.0</v>
      </c>
      <c r="Y67" s="15">
        <f>IFERROR(X67/X148, "NA")</f>
        <v>0</v>
      </c>
      <c r="Z67" s="28">
        <v>0.0</v>
      </c>
      <c r="AA67" s="15">
        <f>IFERROR(Z67/Z148, "NA")</f>
        <v>0</v>
      </c>
      <c r="AB67" s="57">
        <f t="shared" si="31"/>
        <v>0</v>
      </c>
      <c r="AC67" s="15">
        <f>IFERROR(AB67/AB148, "NA")</f>
        <v>0</v>
      </c>
      <c r="AD67" s="61">
        <f t="shared" si="32"/>
        <v>0</v>
      </c>
      <c r="AE67" s="62">
        <f>IFERROR(AD67/AD148, "NA")</f>
        <v>0</v>
      </c>
      <c r="AF67" s="61" t="str">
        <f t="shared" si="33"/>
        <v>NA</v>
      </c>
      <c r="AG67" s="57">
        <f t="shared" si="34"/>
        <v>0</v>
      </c>
      <c r="AH67" s="15">
        <f>IFERROR(AG67/AG148, "NA")</f>
        <v>0</v>
      </c>
      <c r="AI67" s="61">
        <f t="shared" si="35"/>
        <v>0</v>
      </c>
      <c r="AJ67" s="62">
        <f>IFERROR(AI67/AI148, "NA")</f>
        <v>0</v>
      </c>
      <c r="AK67" s="61" t="str">
        <f t="shared" si="36"/>
        <v>NA</v>
      </c>
      <c r="AL67" s="62" t="str">
        <f>IFERROR(AK67/AK148, "NA")</f>
        <v>NA</v>
      </c>
    </row>
    <row r="68" ht="16.5" customHeight="1">
      <c r="A68" s="26" t="s">
        <v>131</v>
      </c>
      <c r="B68" s="28">
        <v>3041.05</v>
      </c>
      <c r="C68" s="15">
        <f>IFERROR(B68/B148, "NA")</f>
        <v>0.2630413516</v>
      </c>
      <c r="D68" s="28">
        <v>3722.05</v>
      </c>
      <c r="E68" s="15">
        <f>IFERROR(D68/D148, "NA")</f>
        <v>0.2022129031</v>
      </c>
      <c r="F68" s="28">
        <v>4019.27</v>
      </c>
      <c r="G68" s="15">
        <f>IFERROR(F68/F148, "NA")</f>
        <v>0.1746645245</v>
      </c>
      <c r="H68" s="28">
        <v>3574.42</v>
      </c>
      <c r="I68" s="15">
        <f>IFERROR(H68/H148, "NA")</f>
        <v>0.1729364487</v>
      </c>
      <c r="J68" s="28">
        <v>4046.99</v>
      </c>
      <c r="K68" s="15">
        <f>IFERROR(J68/J148, "NA")</f>
        <v>0.2029281496</v>
      </c>
      <c r="L68" s="28">
        <v>4646.01</v>
      </c>
      <c r="M68" s="15">
        <f>IFERROR(L68/L148, "NA")</f>
        <v>0.1588598904</v>
      </c>
      <c r="N68" s="28">
        <v>4340.92</v>
      </c>
      <c r="O68" s="15">
        <f>IFERROR(N68/N148, "NA")</f>
        <v>0.1937678885</v>
      </c>
      <c r="P68" s="28">
        <v>4779.16</v>
      </c>
      <c r="Q68" s="15">
        <f>IFERROR(P68/P148, "NA")</f>
        <v>0.1884430958</v>
      </c>
      <c r="R68" s="28">
        <v>4566.99</v>
      </c>
      <c r="S68" s="15">
        <f>IFERROR(R68/R148, "NA")</f>
        <v>0.1907011781</v>
      </c>
      <c r="T68" s="28">
        <v>4814.01</v>
      </c>
      <c r="U68" s="15">
        <f>IFERROR(T68/T148, "NA")</f>
        <v>0.1628095031</v>
      </c>
      <c r="V68" s="28">
        <v>4794.81</v>
      </c>
      <c r="W68" s="15">
        <f>IFERROR(V68/V148, "NA")</f>
        <v>0.1993314338</v>
      </c>
      <c r="X68" s="28">
        <v>4643.7</v>
      </c>
      <c r="Y68" s="15">
        <f>IFERROR(X68/X148, "NA")</f>
        <v>0.2305865739</v>
      </c>
      <c r="Z68" s="28">
        <v>14252.52</v>
      </c>
      <c r="AA68" s="15">
        <f>IFERROR(Z68/Z148, "NA")</f>
        <v>0.1932244834</v>
      </c>
      <c r="AB68" s="57">
        <f t="shared" si="31"/>
        <v>4704.8775</v>
      </c>
      <c r="AC68" s="15">
        <f>IFERROR(AB68/AB148, "NA")</f>
        <v>0.1926060284</v>
      </c>
      <c r="AD68" s="61">
        <f t="shared" si="32"/>
        <v>-61.1775</v>
      </c>
      <c r="AE68" s="62">
        <f>IFERROR(AD68/AD148, "NA")</f>
        <v>0.01426438811</v>
      </c>
      <c r="AF68" s="61">
        <f t="shared" si="33"/>
        <v>-0.0130029953</v>
      </c>
      <c r="AG68" s="57">
        <f t="shared" si="34"/>
        <v>4579.07375</v>
      </c>
      <c r="AH68" s="15">
        <f>IFERROR(AG68/AG148, "NA")</f>
        <v>0.1881848799</v>
      </c>
      <c r="AI68" s="61">
        <f t="shared" si="35"/>
        <v>64.62625</v>
      </c>
      <c r="AJ68" s="62">
        <f>IFERROR(AI68/AI148, "NA")</f>
        <v>-0.0154084578</v>
      </c>
      <c r="AK68" s="61">
        <f t="shared" si="36"/>
        <v>0.0141133892</v>
      </c>
      <c r="AL68" s="62">
        <f>IFERROR(AK68/AK148, "NA")</f>
        <v>-0.08187936142</v>
      </c>
    </row>
    <row r="69" ht="16.5" customHeight="1">
      <c r="A69" s="26" t="s">
        <v>134</v>
      </c>
      <c r="B69" s="28">
        <v>0.0</v>
      </c>
      <c r="C69" s="15">
        <f>IFERROR(B69/B148, "NA")</f>
        <v>0</v>
      </c>
      <c r="D69" s="28">
        <v>41.03</v>
      </c>
      <c r="E69" s="15">
        <f>IFERROR(D69/D148, "NA")</f>
        <v>0.00222909295</v>
      </c>
      <c r="F69" s="28">
        <v>0.0</v>
      </c>
      <c r="G69" s="15">
        <f>IFERROR(F69/F148, "NA")</f>
        <v>0</v>
      </c>
      <c r="H69" s="28">
        <v>0.0</v>
      </c>
      <c r="I69" s="15">
        <f>IFERROR(H69/H148, "NA")</f>
        <v>0</v>
      </c>
      <c r="J69" s="28">
        <v>13.32</v>
      </c>
      <c r="K69" s="15">
        <f>IFERROR(J69/J148, "NA")</f>
        <v>0.0006679045298</v>
      </c>
      <c r="L69" s="28">
        <v>208.47</v>
      </c>
      <c r="M69" s="15">
        <f>IFERROR(L69/L148, "NA")</f>
        <v>0.007128164027</v>
      </c>
      <c r="N69" s="28">
        <v>0.0</v>
      </c>
      <c r="O69" s="15">
        <f>IFERROR(N69/N148, "NA")</f>
        <v>0</v>
      </c>
      <c r="P69" s="28">
        <v>95.94</v>
      </c>
      <c r="Q69" s="15">
        <f>IFERROR(P69/P148, "NA")</f>
        <v>0.0037829306</v>
      </c>
      <c r="R69" s="28">
        <v>0.0</v>
      </c>
      <c r="S69" s="15">
        <f>IFERROR(R69/R148, "NA")</f>
        <v>0</v>
      </c>
      <c r="T69" s="28">
        <v>0.0</v>
      </c>
      <c r="U69" s="15">
        <f>IFERROR(T69/T148, "NA")</f>
        <v>0</v>
      </c>
      <c r="V69" s="28">
        <v>41.66</v>
      </c>
      <c r="W69" s="15">
        <f>IFERROR(V69/V148, "NA")</f>
        <v>0.001731903356</v>
      </c>
      <c r="X69" s="28">
        <v>0.0</v>
      </c>
      <c r="Y69" s="15">
        <f>IFERROR(X69/X148, "NA")</f>
        <v>0</v>
      </c>
      <c r="Z69" s="28">
        <v>41.66</v>
      </c>
      <c r="AA69" s="15">
        <f>IFERROR(Z69/Z148, "NA")</f>
        <v>0.0005647935928</v>
      </c>
      <c r="AB69" s="57">
        <f t="shared" si="31"/>
        <v>10.415</v>
      </c>
      <c r="AC69" s="15">
        <f>IFERROR(AB69/AB148, "NA")</f>
        <v>0.0004263642967</v>
      </c>
      <c r="AD69" s="61">
        <f t="shared" si="32"/>
        <v>-10.415</v>
      </c>
      <c r="AE69" s="62">
        <f>IFERROR(AD69/AD148, "NA")</f>
        <v>0.002428402635</v>
      </c>
      <c r="AF69" s="61">
        <f t="shared" si="33"/>
        <v>-1</v>
      </c>
      <c r="AG69" s="57">
        <f t="shared" si="34"/>
        <v>44.92375</v>
      </c>
      <c r="AH69" s="15">
        <f>IFERROR(AG69/AG148, "NA")</f>
        <v>0.001846218463</v>
      </c>
      <c r="AI69" s="61">
        <f t="shared" si="35"/>
        <v>-44.92375</v>
      </c>
      <c r="AJ69" s="62">
        <f>IFERROR(AI69/AI148, "NA")</f>
        <v>0.01071090627</v>
      </c>
      <c r="AK69" s="61">
        <f t="shared" si="36"/>
        <v>-1</v>
      </c>
      <c r="AL69" s="62">
        <f>IFERROR(AK69/AK148, "NA")</f>
        <v>5.801537836</v>
      </c>
    </row>
    <row r="70" ht="16.5" customHeight="1">
      <c r="A70" s="67" t="s">
        <v>138</v>
      </c>
      <c r="B70" s="70">
        <f>IFERROR(B65+B66+B67+B68+B69, "NA")</f>
        <v>4310.28</v>
      </c>
      <c r="C70" s="71">
        <f>IFERROR(B70/B148, "NA")</f>
        <v>0.3728257927</v>
      </c>
      <c r="D70" s="70">
        <f>IFERROR(D65+D66+D67+D68+D69, "NA")</f>
        <v>5032.31</v>
      </c>
      <c r="E70" s="71">
        <f>IFERROR(D70/D148, "NA")</f>
        <v>0.2733971909</v>
      </c>
      <c r="F70" s="70">
        <f>IFERROR(F65+F66+F67+F68+F69, "NA")</f>
        <v>5288.5</v>
      </c>
      <c r="G70" s="71">
        <f>IFERROR(F70/F148, "NA")</f>
        <v>0.229821171</v>
      </c>
      <c r="H70" s="70">
        <f>IFERROR(H65+H66+H67+H68+H69, "NA")</f>
        <v>4843.65</v>
      </c>
      <c r="I70" s="71">
        <f>IFERROR(H70/H148, "NA")</f>
        <v>0.2343439299</v>
      </c>
      <c r="J70" s="70">
        <f>IFERROR(J65+J66+J67+J68+J69, "NA")</f>
        <v>5329.54</v>
      </c>
      <c r="K70" s="71">
        <f>IFERROR(J70/J148, "NA")</f>
        <v>0.2672390321</v>
      </c>
      <c r="L70" s="70">
        <f>IFERROR(L65+L66+L67+L68+L69, "NA")</f>
        <v>6016.94</v>
      </c>
      <c r="M70" s="71">
        <f>IFERROR(L70/L148, "NA")</f>
        <v>0.2057357666</v>
      </c>
      <c r="N70" s="70">
        <f>IFERROR(N65+N66+N67+N68+N69, "NA")</f>
        <v>5503.38</v>
      </c>
      <c r="O70" s="71">
        <f>IFERROR(N70/N148, "NA")</f>
        <v>0.245657216</v>
      </c>
      <c r="P70" s="70">
        <f>IFERROR(P65+P66+P67+P68+P69, "NA")</f>
        <v>6037.56</v>
      </c>
      <c r="Q70" s="71">
        <f>IFERROR(P70/P148, "NA")</f>
        <v>0.2380620229</v>
      </c>
      <c r="R70" s="70">
        <f>IFERROR(R65+R66+R67+R68+R69, "NA")</f>
        <v>5729.45</v>
      </c>
      <c r="S70" s="71">
        <f>IFERROR(R70/R148, "NA")</f>
        <v>0.2392413526</v>
      </c>
      <c r="T70" s="70">
        <f>IFERROR(T65+T66+T67+T68+T69, "NA")</f>
        <v>5976.47</v>
      </c>
      <c r="U70" s="71">
        <f>IFERROR(T70/T148, "NA")</f>
        <v>0.2021238242</v>
      </c>
      <c r="V70" s="70">
        <f>IFERROR(V65+V66+V67+V68+V69, "NA")</f>
        <v>5998.93</v>
      </c>
      <c r="W70" s="71">
        <f>IFERROR(V70/V148, "NA")</f>
        <v>0.2493895103</v>
      </c>
      <c r="X70" s="70">
        <f>IFERROR(X65+X66+X67+X68+X69, "NA")</f>
        <v>5806.16</v>
      </c>
      <c r="Y70" s="71">
        <f>IFERROR(X70/X148, "NA")</f>
        <v>0.288309439</v>
      </c>
      <c r="Z70" s="70">
        <f>IFERROR(Z65+Z66+Z67+Z68+Z69, "NA")</f>
        <v>17781.56</v>
      </c>
      <c r="AA70" s="71">
        <f>IFERROR(Z70/Z148, "NA")</f>
        <v>0.2410684387</v>
      </c>
      <c r="AB70" s="70">
        <f t="shared" si="31"/>
        <v>5877.7525</v>
      </c>
      <c r="AC70" s="71">
        <f>IFERROR(AB70/AB148, "NA")</f>
        <v>0.2406206251</v>
      </c>
      <c r="AD70" s="75">
        <f t="shared" si="32"/>
        <v>-71.5925</v>
      </c>
      <c r="AE70" s="76">
        <f>IFERROR(AD70/AD148, "NA")</f>
        <v>0.01669279075</v>
      </c>
      <c r="AF70" s="75">
        <f t="shared" si="33"/>
        <v>-0.01218025087</v>
      </c>
      <c r="AG70" s="70">
        <f t="shared" si="34"/>
        <v>5799.80375</v>
      </c>
      <c r="AH70" s="71">
        <f>IFERROR(AG70/AG148, "NA")</f>
        <v>0.2383528705</v>
      </c>
      <c r="AI70" s="75">
        <f t="shared" si="35"/>
        <v>6.35625</v>
      </c>
      <c r="AJ70" s="76">
        <f>IFERROR(AI70/AI148, "NA")</f>
        <v>-0.001515483412</v>
      </c>
      <c r="AK70" s="75">
        <f t="shared" si="36"/>
        <v>0.001095942255</v>
      </c>
      <c r="AL70" s="76">
        <f>IFERROR(AK70/AK148, "NA")</f>
        <v>-0.006358150458</v>
      </c>
    </row>
    <row r="71" ht="16.5" hidden="1" customHeight="1">
      <c r="A71" s="26" t="s">
        <v>143</v>
      </c>
      <c r="B71" s="28">
        <v>0.0</v>
      </c>
      <c r="C71" s="15">
        <f>IFERROR(B71/B148, "NA")</f>
        <v>0</v>
      </c>
      <c r="D71" s="28">
        <v>0.0</v>
      </c>
      <c r="E71" s="15">
        <f>IFERROR(D71/D148, "NA")</f>
        <v>0</v>
      </c>
      <c r="F71" s="28">
        <v>0.0</v>
      </c>
      <c r="G71" s="15">
        <f>IFERROR(F71/F148, "NA")</f>
        <v>0</v>
      </c>
      <c r="H71" s="28">
        <v>0.0</v>
      </c>
      <c r="I71" s="15">
        <f>IFERROR(H71/H148, "NA")</f>
        <v>0</v>
      </c>
      <c r="J71" s="28">
        <v>0.0</v>
      </c>
      <c r="K71" s="15">
        <f>IFERROR(J71/J148, "NA")</f>
        <v>0</v>
      </c>
      <c r="L71" s="28">
        <v>0.0</v>
      </c>
      <c r="M71" s="15">
        <f>IFERROR(L71/L148, "NA")</f>
        <v>0</v>
      </c>
      <c r="N71" s="28">
        <v>0.0</v>
      </c>
      <c r="O71" s="15">
        <f>IFERROR(N71/N148, "NA")</f>
        <v>0</v>
      </c>
      <c r="P71" s="28">
        <v>0.0</v>
      </c>
      <c r="Q71" s="15">
        <f>IFERROR(P71/P148, "NA")</f>
        <v>0</v>
      </c>
      <c r="R71" s="28">
        <v>0.0</v>
      </c>
      <c r="S71" s="15">
        <f>IFERROR(R71/R148, "NA")</f>
        <v>0</v>
      </c>
      <c r="T71" s="28">
        <v>0.0</v>
      </c>
      <c r="U71" s="15">
        <f>IFERROR(T71/T148, "NA")</f>
        <v>0</v>
      </c>
      <c r="V71" s="28">
        <v>0.0</v>
      </c>
      <c r="W71" s="15">
        <f>IFERROR(V71/V148, "NA")</f>
        <v>0</v>
      </c>
      <c r="X71" s="28">
        <v>0.0</v>
      </c>
      <c r="Y71" s="15">
        <f>IFERROR(X71/X148, "NA")</f>
        <v>0</v>
      </c>
      <c r="Z71" s="28">
        <v>0.0</v>
      </c>
      <c r="AA71" s="15">
        <f>IFERROR(Z71/Z148, "NA")</f>
        <v>0</v>
      </c>
      <c r="AB71" s="57">
        <f t="shared" si="31"/>
        <v>0</v>
      </c>
      <c r="AC71" s="15">
        <f>IFERROR(AB71/AB148, "NA")</f>
        <v>0</v>
      </c>
      <c r="AD71" s="61">
        <f t="shared" si="32"/>
        <v>0</v>
      </c>
      <c r="AE71" s="62">
        <f>IFERROR(AD71/AD148, "NA")</f>
        <v>0</v>
      </c>
      <c r="AF71" s="61" t="str">
        <f t="shared" si="33"/>
        <v>NA</v>
      </c>
      <c r="AG71" s="57">
        <f t="shared" si="34"/>
        <v>0</v>
      </c>
      <c r="AH71" s="15">
        <f>IFERROR(AG71/AG148, "NA")</f>
        <v>0</v>
      </c>
      <c r="AI71" s="61">
        <f t="shared" si="35"/>
        <v>0</v>
      </c>
      <c r="AJ71" s="62">
        <f>IFERROR(AI71/AI148, "NA")</f>
        <v>0</v>
      </c>
      <c r="AK71" s="61" t="str">
        <f t="shared" si="36"/>
        <v>NA</v>
      </c>
      <c r="AL71" s="62" t="str">
        <f>IFERROR(AK71/AK148, "NA")</f>
        <v>NA</v>
      </c>
    </row>
    <row r="72" ht="16.5" customHeight="1">
      <c r="A72" s="26" t="s">
        <v>146</v>
      </c>
      <c r="B72" s="28">
        <v>0.0</v>
      </c>
      <c r="C72" s="15">
        <f>IFERROR(B72/B148, "NA")</f>
        <v>0</v>
      </c>
      <c r="D72" s="28">
        <v>0.0</v>
      </c>
      <c r="E72" s="15">
        <f>IFERROR(D72/D148, "NA")</f>
        <v>0</v>
      </c>
      <c r="F72" s="28">
        <v>0.0</v>
      </c>
      <c r="G72" s="15">
        <f>IFERROR(F72/F148, "NA")</f>
        <v>0</v>
      </c>
      <c r="H72" s="28">
        <v>165.0</v>
      </c>
      <c r="I72" s="15">
        <f>IFERROR(H72/H148, "NA")</f>
        <v>0.007982977389</v>
      </c>
      <c r="J72" s="28">
        <v>0.0</v>
      </c>
      <c r="K72" s="15">
        <f>IFERROR(J72/J148, "NA")</f>
        <v>0</v>
      </c>
      <c r="L72" s="28">
        <v>0.0</v>
      </c>
      <c r="M72" s="15">
        <f>IFERROR(L72/L148, "NA")</f>
        <v>0</v>
      </c>
      <c r="N72" s="28">
        <v>0.0</v>
      </c>
      <c r="O72" s="15">
        <f>IFERROR(N72/N148, "NA")</f>
        <v>0</v>
      </c>
      <c r="P72" s="28">
        <v>0.0</v>
      </c>
      <c r="Q72" s="15">
        <f>IFERROR(P72/P148, "NA")</f>
        <v>0</v>
      </c>
      <c r="R72" s="28">
        <v>-125.0</v>
      </c>
      <c r="S72" s="15">
        <f>IFERROR(R72/R148, "NA")</f>
        <v>-0.005219553198</v>
      </c>
      <c r="T72" s="28">
        <v>0.0</v>
      </c>
      <c r="U72" s="15">
        <f>IFERROR(T72/T148, "NA")</f>
        <v>0</v>
      </c>
      <c r="V72" s="28">
        <v>0.0</v>
      </c>
      <c r="W72" s="15">
        <f>IFERROR(V72/V148, "NA")</f>
        <v>0</v>
      </c>
      <c r="X72" s="28">
        <v>0.0</v>
      </c>
      <c r="Y72" s="15">
        <f>IFERROR(X72/X148, "NA")</f>
        <v>0</v>
      </c>
      <c r="Z72" s="28">
        <v>0.0</v>
      </c>
      <c r="AA72" s="15">
        <f>IFERROR(Z72/Z148, "NA")</f>
        <v>0</v>
      </c>
      <c r="AB72" s="57">
        <f t="shared" si="31"/>
        <v>-31.25</v>
      </c>
      <c r="AC72" s="15">
        <f>IFERROR(AB72/AB148, "NA")</f>
        <v>-0.001279297578</v>
      </c>
      <c r="AD72" s="61">
        <f t="shared" si="32"/>
        <v>31.25</v>
      </c>
      <c r="AE72" s="62">
        <f>IFERROR(AD72/AD148, "NA")</f>
        <v>-0.007286373723</v>
      </c>
      <c r="AF72" s="61">
        <f t="shared" si="33"/>
        <v>-1</v>
      </c>
      <c r="AG72" s="57">
        <f t="shared" si="34"/>
        <v>-15.625</v>
      </c>
      <c r="AH72" s="15">
        <f>IFERROR(AG72/AG148, "NA")</f>
        <v>-0.0006421361414</v>
      </c>
      <c r="AI72" s="61">
        <f t="shared" si="35"/>
        <v>15.625</v>
      </c>
      <c r="AJ72" s="62">
        <f>IFERROR(AI72/AI148, "NA")</f>
        <v>-0.00372537712</v>
      </c>
      <c r="AK72" s="61">
        <f t="shared" si="36"/>
        <v>-1</v>
      </c>
      <c r="AL72" s="62">
        <f>IFERROR(AK72/AK148, "NA")</f>
        <v>5.801537836</v>
      </c>
    </row>
    <row r="73" ht="16.5" customHeight="1">
      <c r="A73" s="22" t="s">
        <v>151</v>
      </c>
      <c r="B73" s="23"/>
      <c r="C73" s="10"/>
      <c r="D73" s="23"/>
      <c r="E73" s="10"/>
      <c r="F73" s="23"/>
      <c r="G73" s="10"/>
      <c r="H73" s="23"/>
      <c r="I73" s="10"/>
      <c r="J73" s="23"/>
      <c r="K73" s="10"/>
      <c r="L73" s="23"/>
      <c r="M73" s="10"/>
      <c r="N73" s="23"/>
      <c r="O73" s="10"/>
      <c r="P73" s="23"/>
      <c r="Q73" s="10"/>
      <c r="R73" s="23"/>
      <c r="S73" s="10"/>
      <c r="T73" s="23"/>
      <c r="U73" s="10"/>
      <c r="V73" s="23"/>
      <c r="W73" s="10"/>
      <c r="X73" s="23"/>
      <c r="Y73" s="10"/>
      <c r="Z73" s="23"/>
      <c r="AA73" s="10"/>
      <c r="AB73" s="23"/>
      <c r="AC73" s="10"/>
      <c r="AD73" s="24"/>
      <c r="AE73" s="25"/>
      <c r="AF73" s="24"/>
      <c r="AG73" s="23"/>
      <c r="AH73" s="10"/>
      <c r="AI73" s="24"/>
      <c r="AJ73" s="25"/>
      <c r="AK73" s="24"/>
      <c r="AL73" s="25"/>
    </row>
    <row r="74" ht="16.5" customHeight="1">
      <c r="A74" s="26" t="s">
        <v>153</v>
      </c>
      <c r="B74" s="28">
        <v>520.93</v>
      </c>
      <c r="C74" s="15">
        <f>IFERROR(B74/B148, "NA")</f>
        <v>0.04505882221</v>
      </c>
      <c r="D74" s="28">
        <v>646.73</v>
      </c>
      <c r="E74" s="15">
        <f>IFERROR(D74/D148, "NA")</f>
        <v>0.03513578561</v>
      </c>
      <c r="F74" s="28">
        <v>643.84</v>
      </c>
      <c r="G74" s="15">
        <f>IFERROR(F74/F148, "NA")</f>
        <v>0.02797921202</v>
      </c>
      <c r="H74" s="28">
        <v>557.25</v>
      </c>
      <c r="I74" s="15">
        <f>IFERROR(H74/H148, "NA")</f>
        <v>0.02696069182</v>
      </c>
      <c r="J74" s="28">
        <v>670.29</v>
      </c>
      <c r="K74" s="15">
        <f>IFERROR(J74/J148, "NA")</f>
        <v>0.03361033988</v>
      </c>
      <c r="L74" s="28">
        <v>708.01</v>
      </c>
      <c r="M74" s="15">
        <f>IFERROR(L74/L148, "NA")</f>
        <v>0.0242088138</v>
      </c>
      <c r="N74" s="28">
        <v>613.52</v>
      </c>
      <c r="O74" s="15">
        <f>IFERROR(N74/N148, "NA")</f>
        <v>0.02738600917</v>
      </c>
      <c r="P74" s="28">
        <v>656.29</v>
      </c>
      <c r="Q74" s="15">
        <f>IFERROR(P74/P148, "NA")</f>
        <v>0.02587762689</v>
      </c>
      <c r="R74" s="28">
        <v>616.21</v>
      </c>
      <c r="S74" s="15">
        <f>IFERROR(R74/R148, "NA")</f>
        <v>0.02573072701</v>
      </c>
      <c r="T74" s="28">
        <v>668.55</v>
      </c>
      <c r="U74" s="15">
        <f>IFERROR(T74/T148, "NA")</f>
        <v>0.02261031724</v>
      </c>
      <c r="V74" s="28">
        <v>611.94</v>
      </c>
      <c r="W74" s="15">
        <f>IFERROR(V74/V148, "NA")</f>
        <v>0.02543977292</v>
      </c>
      <c r="X74" s="28">
        <v>600.52</v>
      </c>
      <c r="Y74" s="15">
        <f>IFERROR(X74/X148, "NA")</f>
        <v>0.02981929266</v>
      </c>
      <c r="Z74" s="28">
        <v>1881.01</v>
      </c>
      <c r="AA74" s="15">
        <f>IFERROR(Z74/Z148, "NA")</f>
        <v>0.0255012577</v>
      </c>
      <c r="AB74" s="57">
        <f t="shared" ref="AB74:AB85" si="37">IFERROR((R74+T74+V74+X74)/4, "NA")</f>
        <v>624.305</v>
      </c>
      <c r="AC74" s="15">
        <f>IFERROR(AB74/AB148, "NA")</f>
        <v>0.02555749997</v>
      </c>
      <c r="AD74" s="61">
        <f t="shared" ref="AD74:AD85" si="38">IFERROR(X74-AB74, "NA")</f>
        <v>-23.785</v>
      </c>
      <c r="AE74" s="62">
        <f>IFERROR(AD74/AD148, "NA")</f>
        <v>0.005545804768</v>
      </c>
      <c r="AF74" s="61">
        <f t="shared" ref="AF74:AF85" si="39">IFERROR((X74-AB74)/AB74, "NA")</f>
        <v>-0.03809836538</v>
      </c>
      <c r="AG74" s="57">
        <f t="shared" ref="AG74:AG85" si="40">IFERROR((J74+L74+N74+P74+R74+T74+V74+X74)/8, "NA")</f>
        <v>643.16625</v>
      </c>
      <c r="AH74" s="15">
        <f>IFERROR(AG74/AG148, "NA")</f>
        <v>0.02643201882</v>
      </c>
      <c r="AI74" s="61">
        <f t="shared" ref="AI74:AI85" si="41">IFERROR(X74-AG74, "NA")</f>
        <v>-42.64625</v>
      </c>
      <c r="AJ74" s="62">
        <f>IFERROR(AI74/AI148, "NA")</f>
        <v>0.0101678953</v>
      </c>
      <c r="AK74" s="61">
        <f t="shared" ref="AK74:AK85" si="42">IFERROR((X74-AG74)/AG74, "NA")</f>
        <v>-0.06630672863</v>
      </c>
      <c r="AL74" s="62">
        <f>IFERROR(AK74/AK148, "NA")</f>
        <v>0.3846809949</v>
      </c>
    </row>
    <row r="75" ht="16.5" hidden="1" customHeight="1">
      <c r="A75" s="26" t="s">
        <v>158</v>
      </c>
      <c r="B75" s="28">
        <v>0.0</v>
      </c>
      <c r="C75" s="15">
        <f>IFERROR(B75/B148, "NA")</f>
        <v>0</v>
      </c>
      <c r="D75" s="28">
        <v>0.0</v>
      </c>
      <c r="E75" s="15">
        <f>IFERROR(D75/D148, "NA")</f>
        <v>0</v>
      </c>
      <c r="F75" s="28">
        <v>0.0</v>
      </c>
      <c r="G75" s="15">
        <f>IFERROR(F75/F148, "NA")</f>
        <v>0</v>
      </c>
      <c r="H75" s="28">
        <v>0.0</v>
      </c>
      <c r="I75" s="15">
        <f>IFERROR(H75/H148, "NA")</f>
        <v>0</v>
      </c>
      <c r="J75" s="28">
        <v>0.0</v>
      </c>
      <c r="K75" s="15">
        <f>IFERROR(J75/J148, "NA")</f>
        <v>0</v>
      </c>
      <c r="L75" s="28">
        <v>0.0</v>
      </c>
      <c r="M75" s="15">
        <f>IFERROR(L75/L148, "NA")</f>
        <v>0</v>
      </c>
      <c r="N75" s="28">
        <v>0.0</v>
      </c>
      <c r="O75" s="15">
        <f>IFERROR(N75/N148, "NA")</f>
        <v>0</v>
      </c>
      <c r="P75" s="28">
        <v>0.0</v>
      </c>
      <c r="Q75" s="15">
        <f>IFERROR(P75/P148, "NA")</f>
        <v>0</v>
      </c>
      <c r="R75" s="28">
        <v>0.0</v>
      </c>
      <c r="S75" s="15">
        <f>IFERROR(R75/R148, "NA")</f>
        <v>0</v>
      </c>
      <c r="T75" s="28">
        <v>0.0</v>
      </c>
      <c r="U75" s="15">
        <f>IFERROR(T75/T148, "NA")</f>
        <v>0</v>
      </c>
      <c r="V75" s="28">
        <v>0.0</v>
      </c>
      <c r="W75" s="15">
        <f>IFERROR(V75/V148, "NA")</f>
        <v>0</v>
      </c>
      <c r="X75" s="28">
        <v>0.0</v>
      </c>
      <c r="Y75" s="15">
        <f>IFERROR(X75/X148, "NA")</f>
        <v>0</v>
      </c>
      <c r="Z75" s="28">
        <v>0.0</v>
      </c>
      <c r="AA75" s="15">
        <f>IFERROR(Z75/Z148, "NA")</f>
        <v>0</v>
      </c>
      <c r="AB75" s="57">
        <f t="shared" si="37"/>
        <v>0</v>
      </c>
      <c r="AC75" s="15">
        <f>IFERROR(AB75/AB148, "NA")</f>
        <v>0</v>
      </c>
      <c r="AD75" s="61">
        <f t="shared" si="38"/>
        <v>0</v>
      </c>
      <c r="AE75" s="62">
        <f>IFERROR(AD75/AD148, "NA")</f>
        <v>0</v>
      </c>
      <c r="AF75" s="61" t="str">
        <f t="shared" si="39"/>
        <v>NA</v>
      </c>
      <c r="AG75" s="57">
        <f t="shared" si="40"/>
        <v>0</v>
      </c>
      <c r="AH75" s="15">
        <f>IFERROR(AG75/AG148, "NA")</f>
        <v>0</v>
      </c>
      <c r="AI75" s="61">
        <f t="shared" si="41"/>
        <v>0</v>
      </c>
      <c r="AJ75" s="62">
        <f>IFERROR(AI75/AI148, "NA")</f>
        <v>0</v>
      </c>
      <c r="AK75" s="61" t="str">
        <f t="shared" si="42"/>
        <v>NA</v>
      </c>
      <c r="AL75" s="62" t="str">
        <f>IFERROR(AK75/AK148, "NA")</f>
        <v>NA</v>
      </c>
    </row>
    <row r="76" ht="16.5" hidden="1" customHeight="1">
      <c r="A76" s="26" t="s">
        <v>160</v>
      </c>
      <c r="B76" s="28">
        <v>0.0</v>
      </c>
      <c r="C76" s="15">
        <f>IFERROR(B76/B148, "NA")</f>
        <v>0</v>
      </c>
      <c r="D76" s="28">
        <v>0.0</v>
      </c>
      <c r="E76" s="15">
        <f>IFERROR(D76/D148, "NA")</f>
        <v>0</v>
      </c>
      <c r="F76" s="28">
        <v>0.0</v>
      </c>
      <c r="G76" s="15">
        <f>IFERROR(F76/F148, "NA")</f>
        <v>0</v>
      </c>
      <c r="H76" s="28">
        <v>0.0</v>
      </c>
      <c r="I76" s="15">
        <f>IFERROR(H76/H148, "NA")</f>
        <v>0</v>
      </c>
      <c r="J76" s="28">
        <v>0.0</v>
      </c>
      <c r="K76" s="15">
        <f>IFERROR(J76/J148, "NA")</f>
        <v>0</v>
      </c>
      <c r="L76" s="28">
        <v>0.0</v>
      </c>
      <c r="M76" s="15">
        <f>IFERROR(L76/L148, "NA")</f>
        <v>0</v>
      </c>
      <c r="N76" s="28">
        <v>0.0</v>
      </c>
      <c r="O76" s="15">
        <f>IFERROR(N76/N148, "NA")</f>
        <v>0</v>
      </c>
      <c r="P76" s="28">
        <v>0.0</v>
      </c>
      <c r="Q76" s="15">
        <f>IFERROR(P76/P148, "NA")</f>
        <v>0</v>
      </c>
      <c r="R76" s="28">
        <v>0.0</v>
      </c>
      <c r="S76" s="15">
        <f>IFERROR(R76/R148, "NA")</f>
        <v>0</v>
      </c>
      <c r="T76" s="28">
        <v>0.0</v>
      </c>
      <c r="U76" s="15">
        <f>IFERROR(T76/T148, "NA")</f>
        <v>0</v>
      </c>
      <c r="V76" s="28">
        <v>0.0</v>
      </c>
      <c r="W76" s="15">
        <f>IFERROR(V76/V148, "NA")</f>
        <v>0</v>
      </c>
      <c r="X76" s="28">
        <v>0.0</v>
      </c>
      <c r="Y76" s="15">
        <f>IFERROR(X76/X148, "NA")</f>
        <v>0</v>
      </c>
      <c r="Z76" s="28">
        <v>0.0</v>
      </c>
      <c r="AA76" s="15">
        <f>IFERROR(Z76/Z148, "NA")</f>
        <v>0</v>
      </c>
      <c r="AB76" s="57">
        <f t="shared" si="37"/>
        <v>0</v>
      </c>
      <c r="AC76" s="15">
        <f>IFERROR(AB76/AB148, "NA")</f>
        <v>0</v>
      </c>
      <c r="AD76" s="61">
        <f t="shared" si="38"/>
        <v>0</v>
      </c>
      <c r="AE76" s="62">
        <f>IFERROR(AD76/AD148, "NA")</f>
        <v>0</v>
      </c>
      <c r="AF76" s="61" t="str">
        <f t="shared" si="39"/>
        <v>NA</v>
      </c>
      <c r="AG76" s="57">
        <f t="shared" si="40"/>
        <v>0</v>
      </c>
      <c r="AH76" s="15">
        <f>IFERROR(AG76/AG148, "NA")</f>
        <v>0</v>
      </c>
      <c r="AI76" s="61">
        <f t="shared" si="41"/>
        <v>0</v>
      </c>
      <c r="AJ76" s="62">
        <f>IFERROR(AI76/AI148, "NA")</f>
        <v>0</v>
      </c>
      <c r="AK76" s="61" t="str">
        <f t="shared" si="42"/>
        <v>NA</v>
      </c>
      <c r="AL76" s="62" t="str">
        <f>IFERROR(AK76/AK148, "NA")</f>
        <v>NA</v>
      </c>
    </row>
    <row r="77" ht="16.5" hidden="1" customHeight="1">
      <c r="A77" s="26" t="s">
        <v>163</v>
      </c>
      <c r="B77" s="28">
        <v>0.0</v>
      </c>
      <c r="C77" s="15">
        <f>IFERROR(B77/B148, "NA")</f>
        <v>0</v>
      </c>
      <c r="D77" s="28">
        <v>0.0</v>
      </c>
      <c r="E77" s="15">
        <f>IFERROR(D77/D148, "NA")</f>
        <v>0</v>
      </c>
      <c r="F77" s="28">
        <v>0.0</v>
      </c>
      <c r="G77" s="15">
        <f>IFERROR(F77/F148, "NA")</f>
        <v>0</v>
      </c>
      <c r="H77" s="28">
        <v>0.0</v>
      </c>
      <c r="I77" s="15">
        <f>IFERROR(H77/H148, "NA")</f>
        <v>0</v>
      </c>
      <c r="J77" s="28">
        <v>0.0</v>
      </c>
      <c r="K77" s="15">
        <f>IFERROR(J77/J148, "NA")</f>
        <v>0</v>
      </c>
      <c r="L77" s="28">
        <v>0.0</v>
      </c>
      <c r="M77" s="15">
        <f>IFERROR(L77/L148, "NA")</f>
        <v>0</v>
      </c>
      <c r="N77" s="28">
        <v>0.0</v>
      </c>
      <c r="O77" s="15">
        <f>IFERROR(N77/N148, "NA")</f>
        <v>0</v>
      </c>
      <c r="P77" s="28">
        <v>0.0</v>
      </c>
      <c r="Q77" s="15">
        <f>IFERROR(P77/P148, "NA")</f>
        <v>0</v>
      </c>
      <c r="R77" s="28">
        <v>0.0</v>
      </c>
      <c r="S77" s="15">
        <f>IFERROR(R77/R148, "NA")</f>
        <v>0</v>
      </c>
      <c r="T77" s="28">
        <v>0.0</v>
      </c>
      <c r="U77" s="15">
        <f>IFERROR(T77/T148, "NA")</f>
        <v>0</v>
      </c>
      <c r="V77" s="28">
        <v>0.0</v>
      </c>
      <c r="W77" s="15">
        <f>IFERROR(V77/V148, "NA")</f>
        <v>0</v>
      </c>
      <c r="X77" s="28">
        <v>0.0</v>
      </c>
      <c r="Y77" s="15">
        <f>IFERROR(X77/X148, "NA")</f>
        <v>0</v>
      </c>
      <c r="Z77" s="28">
        <v>0.0</v>
      </c>
      <c r="AA77" s="15">
        <f>IFERROR(Z77/Z148, "NA")</f>
        <v>0</v>
      </c>
      <c r="AB77" s="57">
        <f t="shared" si="37"/>
        <v>0</v>
      </c>
      <c r="AC77" s="15">
        <f>IFERROR(AB77/AB148, "NA")</f>
        <v>0</v>
      </c>
      <c r="AD77" s="61">
        <f t="shared" si="38"/>
        <v>0</v>
      </c>
      <c r="AE77" s="62">
        <f>IFERROR(AD77/AD148, "NA")</f>
        <v>0</v>
      </c>
      <c r="AF77" s="61" t="str">
        <f t="shared" si="39"/>
        <v>NA</v>
      </c>
      <c r="AG77" s="57">
        <f t="shared" si="40"/>
        <v>0</v>
      </c>
      <c r="AH77" s="15">
        <f>IFERROR(AG77/AG148, "NA")</f>
        <v>0</v>
      </c>
      <c r="AI77" s="61">
        <f t="shared" si="41"/>
        <v>0</v>
      </c>
      <c r="AJ77" s="62">
        <f>IFERROR(AI77/AI148, "NA")</f>
        <v>0</v>
      </c>
      <c r="AK77" s="61" t="str">
        <f t="shared" si="42"/>
        <v>NA</v>
      </c>
      <c r="AL77" s="62" t="str">
        <f>IFERROR(AK77/AK148, "NA")</f>
        <v>NA</v>
      </c>
    </row>
    <row r="78" ht="16.5" hidden="1" customHeight="1">
      <c r="A78" s="26" t="s">
        <v>167</v>
      </c>
      <c r="B78" s="28">
        <v>0.0</v>
      </c>
      <c r="C78" s="15">
        <f>IFERROR(B78/B148, "NA")</f>
        <v>0</v>
      </c>
      <c r="D78" s="28">
        <v>0.0</v>
      </c>
      <c r="E78" s="15">
        <f>IFERROR(D78/D148, "NA")</f>
        <v>0</v>
      </c>
      <c r="F78" s="28">
        <v>0.0</v>
      </c>
      <c r="G78" s="15">
        <f>IFERROR(F78/F148, "NA")</f>
        <v>0</v>
      </c>
      <c r="H78" s="28">
        <v>0.0</v>
      </c>
      <c r="I78" s="15">
        <f>IFERROR(H78/H148, "NA")</f>
        <v>0</v>
      </c>
      <c r="J78" s="28">
        <v>0.0</v>
      </c>
      <c r="K78" s="15">
        <f>IFERROR(J78/J148, "NA")</f>
        <v>0</v>
      </c>
      <c r="L78" s="28">
        <v>0.0</v>
      </c>
      <c r="M78" s="15">
        <f>IFERROR(L78/L148, "NA")</f>
        <v>0</v>
      </c>
      <c r="N78" s="28">
        <v>0.0</v>
      </c>
      <c r="O78" s="15">
        <f>IFERROR(N78/N148, "NA")</f>
        <v>0</v>
      </c>
      <c r="P78" s="28">
        <v>0.0</v>
      </c>
      <c r="Q78" s="15">
        <f>IFERROR(P78/P148, "NA")</f>
        <v>0</v>
      </c>
      <c r="R78" s="28">
        <v>0.0</v>
      </c>
      <c r="S78" s="15">
        <f>IFERROR(R78/R148, "NA")</f>
        <v>0</v>
      </c>
      <c r="T78" s="28">
        <v>0.0</v>
      </c>
      <c r="U78" s="15">
        <f>IFERROR(T78/T148, "NA")</f>
        <v>0</v>
      </c>
      <c r="V78" s="28">
        <v>0.0</v>
      </c>
      <c r="W78" s="15">
        <f>IFERROR(V78/V148, "NA")</f>
        <v>0</v>
      </c>
      <c r="X78" s="28">
        <v>0.0</v>
      </c>
      <c r="Y78" s="15">
        <f>IFERROR(X78/X148, "NA")</f>
        <v>0</v>
      </c>
      <c r="Z78" s="28">
        <v>0.0</v>
      </c>
      <c r="AA78" s="15">
        <f>IFERROR(Z78/Z148, "NA")</f>
        <v>0</v>
      </c>
      <c r="AB78" s="57">
        <f t="shared" si="37"/>
        <v>0</v>
      </c>
      <c r="AC78" s="15">
        <f>IFERROR(AB78/AB148, "NA")</f>
        <v>0</v>
      </c>
      <c r="AD78" s="61">
        <f t="shared" si="38"/>
        <v>0</v>
      </c>
      <c r="AE78" s="62">
        <f>IFERROR(AD78/AD148, "NA")</f>
        <v>0</v>
      </c>
      <c r="AF78" s="61" t="str">
        <f t="shared" si="39"/>
        <v>NA</v>
      </c>
      <c r="AG78" s="57">
        <f t="shared" si="40"/>
        <v>0</v>
      </c>
      <c r="AH78" s="15">
        <f>IFERROR(AG78/AG148, "NA")</f>
        <v>0</v>
      </c>
      <c r="AI78" s="61">
        <f t="shared" si="41"/>
        <v>0</v>
      </c>
      <c r="AJ78" s="62">
        <f>IFERROR(AI78/AI148, "NA")</f>
        <v>0</v>
      </c>
      <c r="AK78" s="61" t="str">
        <f t="shared" si="42"/>
        <v>NA</v>
      </c>
      <c r="AL78" s="62" t="str">
        <f>IFERROR(AK78/AK148, "NA")</f>
        <v>NA</v>
      </c>
    </row>
    <row r="79" ht="16.5" hidden="1" customHeight="1">
      <c r="A79" s="26" t="s">
        <v>169</v>
      </c>
      <c r="B79" s="28">
        <v>0.0</v>
      </c>
      <c r="C79" s="15">
        <f>IFERROR(B79/B148, "NA")</f>
        <v>0</v>
      </c>
      <c r="D79" s="28">
        <v>0.0</v>
      </c>
      <c r="E79" s="15">
        <f>IFERROR(D79/D148, "NA")</f>
        <v>0</v>
      </c>
      <c r="F79" s="28">
        <v>0.0</v>
      </c>
      <c r="G79" s="15">
        <f>IFERROR(F79/F148, "NA")</f>
        <v>0</v>
      </c>
      <c r="H79" s="28">
        <v>0.0</v>
      </c>
      <c r="I79" s="15">
        <f>IFERROR(H79/H148, "NA")</f>
        <v>0</v>
      </c>
      <c r="J79" s="28">
        <v>0.0</v>
      </c>
      <c r="K79" s="15">
        <f>IFERROR(J79/J148, "NA")</f>
        <v>0</v>
      </c>
      <c r="L79" s="28">
        <v>0.0</v>
      </c>
      <c r="M79" s="15">
        <f>IFERROR(L79/L148, "NA")</f>
        <v>0</v>
      </c>
      <c r="N79" s="28">
        <v>0.0</v>
      </c>
      <c r="O79" s="15">
        <f>IFERROR(N79/N148, "NA")</f>
        <v>0</v>
      </c>
      <c r="P79" s="28">
        <v>0.0</v>
      </c>
      <c r="Q79" s="15">
        <f>IFERROR(P79/P148, "NA")</f>
        <v>0</v>
      </c>
      <c r="R79" s="28">
        <v>0.0</v>
      </c>
      <c r="S79" s="15">
        <f>IFERROR(R79/R148, "NA")</f>
        <v>0</v>
      </c>
      <c r="T79" s="28">
        <v>0.0</v>
      </c>
      <c r="U79" s="15">
        <f>IFERROR(T79/T148, "NA")</f>
        <v>0</v>
      </c>
      <c r="V79" s="28">
        <v>0.0</v>
      </c>
      <c r="W79" s="15">
        <f>IFERROR(V79/V148, "NA")</f>
        <v>0</v>
      </c>
      <c r="X79" s="28">
        <v>0.0</v>
      </c>
      <c r="Y79" s="15">
        <f>IFERROR(X79/X148, "NA")</f>
        <v>0</v>
      </c>
      <c r="Z79" s="28">
        <v>0.0</v>
      </c>
      <c r="AA79" s="15">
        <f>IFERROR(Z79/Z148, "NA")</f>
        <v>0</v>
      </c>
      <c r="AB79" s="57">
        <f t="shared" si="37"/>
        <v>0</v>
      </c>
      <c r="AC79" s="15">
        <f>IFERROR(AB79/AB148, "NA")</f>
        <v>0</v>
      </c>
      <c r="AD79" s="61">
        <f t="shared" si="38"/>
        <v>0</v>
      </c>
      <c r="AE79" s="62">
        <f>IFERROR(AD79/AD148, "NA")</f>
        <v>0</v>
      </c>
      <c r="AF79" s="61" t="str">
        <f t="shared" si="39"/>
        <v>NA</v>
      </c>
      <c r="AG79" s="57">
        <f t="shared" si="40"/>
        <v>0</v>
      </c>
      <c r="AH79" s="15">
        <f>IFERROR(AG79/AG148, "NA")</f>
        <v>0</v>
      </c>
      <c r="AI79" s="61">
        <f t="shared" si="41"/>
        <v>0</v>
      </c>
      <c r="AJ79" s="62">
        <f>IFERROR(AI79/AI148, "NA")</f>
        <v>0</v>
      </c>
      <c r="AK79" s="61" t="str">
        <f t="shared" si="42"/>
        <v>NA</v>
      </c>
      <c r="AL79" s="62" t="str">
        <f>IFERROR(AK79/AK148, "NA")</f>
        <v>NA</v>
      </c>
    </row>
    <row r="80" ht="16.5" hidden="1" customHeight="1">
      <c r="A80" s="26" t="s">
        <v>172</v>
      </c>
      <c r="B80" s="28">
        <v>0.0</v>
      </c>
      <c r="C80" s="15">
        <f>IFERROR(B80/B148, "NA")</f>
        <v>0</v>
      </c>
      <c r="D80" s="28">
        <v>0.0</v>
      </c>
      <c r="E80" s="15">
        <f>IFERROR(D80/D148, "NA")</f>
        <v>0</v>
      </c>
      <c r="F80" s="28">
        <v>0.0</v>
      </c>
      <c r="G80" s="15">
        <f>IFERROR(F80/F148, "NA")</f>
        <v>0</v>
      </c>
      <c r="H80" s="28">
        <v>0.0</v>
      </c>
      <c r="I80" s="15">
        <f>IFERROR(H80/H148, "NA")</f>
        <v>0</v>
      </c>
      <c r="J80" s="28">
        <v>0.0</v>
      </c>
      <c r="K80" s="15">
        <f>IFERROR(J80/J148, "NA")</f>
        <v>0</v>
      </c>
      <c r="L80" s="28">
        <v>0.0</v>
      </c>
      <c r="M80" s="15">
        <f>IFERROR(L80/L148, "NA")</f>
        <v>0</v>
      </c>
      <c r="N80" s="28">
        <v>0.0</v>
      </c>
      <c r="O80" s="15">
        <f>IFERROR(N80/N148, "NA")</f>
        <v>0</v>
      </c>
      <c r="P80" s="28">
        <v>0.0</v>
      </c>
      <c r="Q80" s="15">
        <f>IFERROR(P80/P148, "NA")</f>
        <v>0</v>
      </c>
      <c r="R80" s="28">
        <v>0.0</v>
      </c>
      <c r="S80" s="15">
        <f>IFERROR(R80/R148, "NA")</f>
        <v>0</v>
      </c>
      <c r="T80" s="28">
        <v>0.0</v>
      </c>
      <c r="U80" s="15">
        <f>IFERROR(T80/T148, "NA")</f>
        <v>0</v>
      </c>
      <c r="V80" s="28">
        <v>0.0</v>
      </c>
      <c r="W80" s="15">
        <f>IFERROR(V80/V148, "NA")</f>
        <v>0</v>
      </c>
      <c r="X80" s="28">
        <v>0.0</v>
      </c>
      <c r="Y80" s="15">
        <f>IFERROR(X80/X148, "NA")</f>
        <v>0</v>
      </c>
      <c r="Z80" s="28">
        <v>0.0</v>
      </c>
      <c r="AA80" s="15">
        <f>IFERROR(Z80/Z148, "NA")</f>
        <v>0</v>
      </c>
      <c r="AB80" s="57">
        <f t="shared" si="37"/>
        <v>0</v>
      </c>
      <c r="AC80" s="15">
        <f>IFERROR(AB80/AB148, "NA")</f>
        <v>0</v>
      </c>
      <c r="AD80" s="61">
        <f t="shared" si="38"/>
        <v>0</v>
      </c>
      <c r="AE80" s="62">
        <f>IFERROR(AD80/AD148, "NA")</f>
        <v>0</v>
      </c>
      <c r="AF80" s="61" t="str">
        <f t="shared" si="39"/>
        <v>NA</v>
      </c>
      <c r="AG80" s="57">
        <f t="shared" si="40"/>
        <v>0</v>
      </c>
      <c r="AH80" s="15">
        <f>IFERROR(AG80/AG148, "NA")</f>
        <v>0</v>
      </c>
      <c r="AI80" s="61">
        <f t="shared" si="41"/>
        <v>0</v>
      </c>
      <c r="AJ80" s="62">
        <f>IFERROR(AI80/AI148, "NA")</f>
        <v>0</v>
      </c>
      <c r="AK80" s="61" t="str">
        <f t="shared" si="42"/>
        <v>NA</v>
      </c>
      <c r="AL80" s="62" t="str">
        <f>IFERROR(AK80/AK148, "NA")</f>
        <v>NA</v>
      </c>
    </row>
    <row r="81" ht="16.5" customHeight="1">
      <c r="A81" s="67" t="s">
        <v>176</v>
      </c>
      <c r="B81" s="70">
        <f>IFERROR(B74+B75+B76+B77+B78+B79+B80, "NA")</f>
        <v>520.93</v>
      </c>
      <c r="C81" s="71">
        <f>IFERROR(B81/B148, "NA")</f>
        <v>0.04505882221</v>
      </c>
      <c r="D81" s="70">
        <f>IFERROR(D74+D75+D76+D77+D78+D79+D80, "NA")</f>
        <v>646.73</v>
      </c>
      <c r="E81" s="71">
        <f>IFERROR(D81/D148, "NA")</f>
        <v>0.03513578561</v>
      </c>
      <c r="F81" s="70">
        <f>IFERROR(F74+F75+F76+F77+F78+F79+F80, "NA")</f>
        <v>643.84</v>
      </c>
      <c r="G81" s="71">
        <f>IFERROR(F81/F148, "NA")</f>
        <v>0.02797921202</v>
      </c>
      <c r="H81" s="70">
        <f>IFERROR(H74+H75+H76+H77+H78+H79+H80, "NA")</f>
        <v>557.25</v>
      </c>
      <c r="I81" s="71">
        <f>IFERROR(H81/H148, "NA")</f>
        <v>0.02696069182</v>
      </c>
      <c r="J81" s="70">
        <f>IFERROR(J74+J75+J76+J77+J78+J79+J80, "NA")</f>
        <v>670.29</v>
      </c>
      <c r="K81" s="71">
        <f>IFERROR(J81/J148, "NA")</f>
        <v>0.03361033988</v>
      </c>
      <c r="L81" s="70">
        <f>IFERROR(L74+L75+L76+L77+L78+L79+L80, "NA")</f>
        <v>708.01</v>
      </c>
      <c r="M81" s="71">
        <f>IFERROR(L81/L148, "NA")</f>
        <v>0.0242088138</v>
      </c>
      <c r="N81" s="70">
        <f>IFERROR(N74+N75+N76+N77+N78+N79+N80, "NA")</f>
        <v>613.52</v>
      </c>
      <c r="O81" s="71">
        <f>IFERROR(N81/N148, "NA")</f>
        <v>0.02738600917</v>
      </c>
      <c r="P81" s="70">
        <f>IFERROR(P74+P75+P76+P77+P78+P79+P80, "NA")</f>
        <v>656.29</v>
      </c>
      <c r="Q81" s="71">
        <f>IFERROR(P81/P148, "NA")</f>
        <v>0.02587762689</v>
      </c>
      <c r="R81" s="70">
        <f>IFERROR(R74+R75+R76+R77+R78+R79+R80, "NA")</f>
        <v>616.21</v>
      </c>
      <c r="S81" s="71">
        <f>IFERROR(R81/R148, "NA")</f>
        <v>0.02573072701</v>
      </c>
      <c r="T81" s="70">
        <f>IFERROR(T74+T75+T76+T77+T78+T79+T80, "NA")</f>
        <v>668.55</v>
      </c>
      <c r="U81" s="71">
        <f>IFERROR(T81/T148, "NA")</f>
        <v>0.02261031724</v>
      </c>
      <c r="V81" s="70">
        <f>IFERROR(V74+V75+V76+V77+V78+V79+V80, "NA")</f>
        <v>611.94</v>
      </c>
      <c r="W81" s="71">
        <f>IFERROR(V81/V148, "NA")</f>
        <v>0.02543977292</v>
      </c>
      <c r="X81" s="70">
        <f>IFERROR(X74+X75+X76+X77+X78+X79+X80, "NA")</f>
        <v>600.52</v>
      </c>
      <c r="Y81" s="71">
        <f>IFERROR(X81/X148, "NA")</f>
        <v>0.02981929266</v>
      </c>
      <c r="Z81" s="70">
        <f>IFERROR(Z74+Z75+Z76+Z77+Z78+Z79+Z80, "NA")</f>
        <v>1881.01</v>
      </c>
      <c r="AA81" s="71">
        <f>IFERROR(Z81/Z148, "NA")</f>
        <v>0.0255012577</v>
      </c>
      <c r="AB81" s="70">
        <f t="shared" si="37"/>
        <v>624.305</v>
      </c>
      <c r="AC81" s="71">
        <f>IFERROR(AB81/AB148, "NA")</f>
        <v>0.02555749997</v>
      </c>
      <c r="AD81" s="75">
        <f t="shared" si="38"/>
        <v>-23.785</v>
      </c>
      <c r="AE81" s="76">
        <f>IFERROR(AD81/AD148, "NA")</f>
        <v>0.005545804768</v>
      </c>
      <c r="AF81" s="75">
        <f t="shared" si="39"/>
        <v>-0.03809836538</v>
      </c>
      <c r="AG81" s="70">
        <f t="shared" si="40"/>
        <v>643.16625</v>
      </c>
      <c r="AH81" s="71">
        <f>IFERROR(AG81/AG148, "NA")</f>
        <v>0.02643201882</v>
      </c>
      <c r="AI81" s="75">
        <f t="shared" si="41"/>
        <v>-42.64625</v>
      </c>
      <c r="AJ81" s="76">
        <f>IFERROR(AI81/AI148, "NA")</f>
        <v>0.0101678953</v>
      </c>
      <c r="AK81" s="75">
        <f t="shared" si="42"/>
        <v>-0.06630672863</v>
      </c>
      <c r="AL81" s="76">
        <f>IFERROR(AK81/AK148, "NA")</f>
        <v>0.3846809949</v>
      </c>
    </row>
    <row r="82" ht="16.5" customHeight="1">
      <c r="A82" s="26" t="s">
        <v>179</v>
      </c>
      <c r="B82" s="28">
        <v>391.14</v>
      </c>
      <c r="C82" s="15">
        <f>IFERROR(B82/B148, "NA")</f>
        <v>0.03383239153</v>
      </c>
      <c r="D82" s="28">
        <v>0.0</v>
      </c>
      <c r="E82" s="15">
        <f>IFERROR(D82/D148, "NA")</f>
        <v>0</v>
      </c>
      <c r="F82" s="28">
        <v>0.0</v>
      </c>
      <c r="G82" s="15">
        <f>IFERROR(F82/F148, "NA")</f>
        <v>0</v>
      </c>
      <c r="H82" s="28">
        <v>0.0</v>
      </c>
      <c r="I82" s="15">
        <f>IFERROR(H82/H148, "NA")</f>
        <v>0</v>
      </c>
      <c r="J82" s="28">
        <v>250.72</v>
      </c>
      <c r="K82" s="15">
        <f>IFERROR(J82/J148, "NA")</f>
        <v>0.01257184863</v>
      </c>
      <c r="L82" s="28">
        <v>0.0</v>
      </c>
      <c r="M82" s="15">
        <f>IFERROR(L82/L148, "NA")</f>
        <v>0</v>
      </c>
      <c r="N82" s="28">
        <v>0.0</v>
      </c>
      <c r="O82" s="15">
        <f>IFERROR(N82/N148, "NA")</f>
        <v>0</v>
      </c>
      <c r="P82" s="28">
        <v>0.0</v>
      </c>
      <c r="Q82" s="15">
        <f>IFERROR(P82/P148, "NA")</f>
        <v>0</v>
      </c>
      <c r="R82" s="28">
        <v>0.0</v>
      </c>
      <c r="S82" s="15">
        <f>IFERROR(R82/R148, "NA")</f>
        <v>0</v>
      </c>
      <c r="T82" s="28">
        <v>211.92</v>
      </c>
      <c r="U82" s="15">
        <f>IFERROR(T82/T148, "NA")</f>
        <v>0.00716712053</v>
      </c>
      <c r="V82" s="28">
        <v>0.0</v>
      </c>
      <c r="W82" s="15">
        <f>IFERROR(V82/V148, "NA")</f>
        <v>0</v>
      </c>
      <c r="X82" s="28">
        <v>0.0</v>
      </c>
      <c r="Y82" s="15">
        <f>IFERROR(X82/X148, "NA")</f>
        <v>0</v>
      </c>
      <c r="Z82" s="28">
        <v>211.92</v>
      </c>
      <c r="AA82" s="15">
        <f>IFERROR(Z82/Z148, "NA")</f>
        <v>0.002873045083</v>
      </c>
      <c r="AB82" s="57">
        <f t="shared" si="37"/>
        <v>52.98</v>
      </c>
      <c r="AC82" s="15">
        <f>IFERROR(AB82/AB148, "NA")</f>
        <v>0.002168869941</v>
      </c>
      <c r="AD82" s="61">
        <f t="shared" si="38"/>
        <v>-52.98</v>
      </c>
      <c r="AE82" s="62">
        <f>IFERROR(AD82/AD148, "NA")</f>
        <v>0.01235302656</v>
      </c>
      <c r="AF82" s="61">
        <f t="shared" si="39"/>
        <v>-1</v>
      </c>
      <c r="AG82" s="57">
        <f t="shared" si="40"/>
        <v>57.83</v>
      </c>
      <c r="AH82" s="15">
        <f>IFERROR(AG82/AG148, "NA")</f>
        <v>0.002376622916</v>
      </c>
      <c r="AI82" s="61">
        <f t="shared" si="41"/>
        <v>-57.83</v>
      </c>
      <c r="AJ82" s="62">
        <f>IFERROR(AI82/AI148, "NA")</f>
        <v>0.01378806777</v>
      </c>
      <c r="AK82" s="61">
        <f t="shared" si="42"/>
        <v>-1</v>
      </c>
      <c r="AL82" s="62">
        <f>IFERROR(AK82/AK148, "NA")</f>
        <v>5.801537836</v>
      </c>
    </row>
    <row r="83" ht="16.5" customHeight="1">
      <c r="A83" s="26" t="s">
        <v>181</v>
      </c>
      <c r="B83" s="28">
        <v>-10.72</v>
      </c>
      <c r="C83" s="15">
        <f>IFERROR(B83/B148, "NA")</f>
        <v>-0.0009272466052</v>
      </c>
      <c r="D83" s="28">
        <v>-10.72</v>
      </c>
      <c r="E83" s="15">
        <f>IFERROR(D83/D148, "NA")</f>
        <v>-0.0005824001078</v>
      </c>
      <c r="F83" s="28">
        <v>35.73</v>
      </c>
      <c r="G83" s="15">
        <f>IFERROR(F83/F148, "NA")</f>
        <v>0.001552710682</v>
      </c>
      <c r="H83" s="28">
        <v>-10.72</v>
      </c>
      <c r="I83" s="15">
        <f>IFERROR(H83/H148, "NA")</f>
        <v>-0.0005186516219</v>
      </c>
      <c r="J83" s="28">
        <v>-10.72</v>
      </c>
      <c r="K83" s="15">
        <f>IFERROR(J83/J148, "NA")</f>
        <v>-0.0005375327747</v>
      </c>
      <c r="L83" s="28">
        <v>-10.72</v>
      </c>
      <c r="M83" s="15">
        <f>IFERROR(L83/L148, "NA")</f>
        <v>-0.0003665463538</v>
      </c>
      <c r="N83" s="28">
        <v>35.73</v>
      </c>
      <c r="O83" s="15">
        <f>IFERROR(N83/N148, "NA")</f>
        <v>0.001594898468</v>
      </c>
      <c r="P83" s="28">
        <v>-10.72</v>
      </c>
      <c r="Q83" s="15">
        <f>IFERROR(P83/P148, "NA")</f>
        <v>-0.0004226914325</v>
      </c>
      <c r="R83" s="28">
        <v>-10.72</v>
      </c>
      <c r="S83" s="15">
        <f>IFERROR(R83/R148, "NA")</f>
        <v>-0.0004476288823</v>
      </c>
      <c r="T83" s="28">
        <v>-10.72</v>
      </c>
      <c r="U83" s="15">
        <f>IFERROR(T83/T148, "NA")</f>
        <v>-0.0003625496984</v>
      </c>
      <c r="V83" s="28">
        <v>-10.72</v>
      </c>
      <c r="W83" s="15">
        <f>IFERROR(V83/V148, "NA")</f>
        <v>-0.0004456554003</v>
      </c>
      <c r="X83" s="28">
        <v>35.73</v>
      </c>
      <c r="Y83" s="15">
        <f>IFERROR(X83/X148, "NA")</f>
        <v>0.001774201237</v>
      </c>
      <c r="Z83" s="28">
        <v>14.29</v>
      </c>
      <c r="AA83" s="15">
        <f>IFERROR(Z83/Z148, "NA")</f>
        <v>0.0001937326078</v>
      </c>
      <c r="AB83" s="57">
        <f t="shared" si="37"/>
        <v>0.8925</v>
      </c>
      <c r="AC83" s="15">
        <f>IFERROR(AB83/AB148, "NA")</f>
        <v>0.00003653673882</v>
      </c>
      <c r="AD83" s="61">
        <f t="shared" si="38"/>
        <v>34.8375</v>
      </c>
      <c r="AE83" s="62">
        <f>IFERROR(AD83/AD148, "NA")</f>
        <v>-0.008122849427</v>
      </c>
      <c r="AF83" s="61">
        <f t="shared" si="39"/>
        <v>39.03361345</v>
      </c>
      <c r="AG83" s="57">
        <f t="shared" si="40"/>
        <v>0.8925</v>
      </c>
      <c r="AH83" s="15">
        <f>IFERROR(AG83/AG148, "NA")</f>
        <v>0.0000366788164</v>
      </c>
      <c r="AI83" s="61">
        <f t="shared" si="41"/>
        <v>34.8375</v>
      </c>
      <c r="AJ83" s="62">
        <f>IFERROR(AI83/AI148, "NA")</f>
        <v>-0.008306100827</v>
      </c>
      <c r="AK83" s="61">
        <f t="shared" si="42"/>
        <v>39.03361345</v>
      </c>
      <c r="AL83" s="62">
        <f>IFERROR(AK83/AK148, "NA")</f>
        <v>-226.4549853</v>
      </c>
    </row>
    <row r="84" ht="16.5" customHeight="1">
      <c r="A84" s="67" t="s">
        <v>55</v>
      </c>
      <c r="B84" s="70">
        <f>IFERROR(B63+B65+B66+B67+B68+B69+B71+B72+B74+B75+B76+B77+B78+B79+B80+B82+B83, "NA")</f>
        <v>5211.63</v>
      </c>
      <c r="C84" s="71">
        <f>IFERROR(B84/B148, "NA")</f>
        <v>0.4507897598</v>
      </c>
      <c r="D84" s="70">
        <f>IFERROR(D63+D65+D66+D67+D68+D69+D71+D72+D74+D75+D76+D77+D78+D79+D80+D82+D83, "NA")</f>
        <v>5668.32</v>
      </c>
      <c r="E84" s="71">
        <f>IFERROR(D84/D148, "NA")</f>
        <v>0.3079505764</v>
      </c>
      <c r="F84" s="70">
        <f>IFERROR(F63+F65+F66+F67+F68+F69+F71+F72+F74+F75+F76+F77+F78+F79+F80+F82+F83, "NA")</f>
        <v>5968.07</v>
      </c>
      <c r="G84" s="71">
        <f>IFERROR(F84/F148, "NA")</f>
        <v>0.2593530937</v>
      </c>
      <c r="H84" s="70">
        <f>IFERROR(H63+H65+H66+H67+H68+H69+H71+H72+H74+H75+H76+H77+H78+H79+H80+H82+H83, "NA")</f>
        <v>5555.18</v>
      </c>
      <c r="I84" s="71">
        <f>IFERROR(H84/H148, "NA")</f>
        <v>0.2687689475</v>
      </c>
      <c r="J84" s="70">
        <f>IFERROR(J63+J65+J66+J67+J68+J69+J71+J72+J74+J75+J76+J77+J78+J79+J80+J82+J83, "NA")</f>
        <v>6239.83</v>
      </c>
      <c r="K84" s="71">
        <f>IFERROR(J84/J148, "NA")</f>
        <v>0.3128836878</v>
      </c>
      <c r="L84" s="70">
        <f>IFERROR(L63+L65+L66+L67+L68+L69+L71+L72+L74+L75+L76+L77+L78+L79+L80+L82+L83, "NA")</f>
        <v>6714.23</v>
      </c>
      <c r="M84" s="71">
        <f>IFERROR(L84/L148, "NA")</f>
        <v>0.229578034</v>
      </c>
      <c r="N84" s="70">
        <f>IFERROR(N63+N65+N66+N67+N68+N69+N71+N72+N74+N75+N76+N77+N78+N79+N80+N82+N83, "NA")</f>
        <v>6152.63</v>
      </c>
      <c r="O84" s="71">
        <f>IFERROR(N84/N148, "NA")</f>
        <v>0.2746381237</v>
      </c>
      <c r="P84" s="70">
        <f>IFERROR(P63+P65+P66+P67+P68+P69+P71+P72+P74+P75+P76+P77+P78+P79+P80+P82+P83, "NA")</f>
        <v>6683.13</v>
      </c>
      <c r="Q84" s="71">
        <f>IFERROR(P84/P148, "NA")</f>
        <v>0.2635169583</v>
      </c>
      <c r="R84" s="70">
        <f>IFERROR(R63+R65+R66+R67+R68+R69+R71+R72+R74+R75+R76+R77+R78+R79+R80+R82+R83, "NA")</f>
        <v>6209.94</v>
      </c>
      <c r="S84" s="71">
        <f>IFERROR(R84/R148, "NA")</f>
        <v>0.2593048975</v>
      </c>
      <c r="T84" s="70">
        <f>IFERROR(T63+T65+T66+T67+T68+T69+T71+T72+T74+T75+T76+T77+T78+T79+T80+T82+T83, "NA")</f>
        <v>6846.22</v>
      </c>
      <c r="U84" s="71">
        <f>IFERROR(T84/T148, "NA")</f>
        <v>0.2315387123</v>
      </c>
      <c r="V84" s="70">
        <f>IFERROR(V63+V65+V66+V67+V68+V69+V71+V72+V74+V75+V76+V77+V78+V79+V80+V82+V83, "NA")</f>
        <v>6600.15</v>
      </c>
      <c r="W84" s="71">
        <f>IFERROR(V84/V148, "NA")</f>
        <v>0.2743836278</v>
      </c>
      <c r="X84" s="70">
        <f>IFERROR(X63+X65+X66+X67+X68+X69+X71+X72+X74+X75+X76+X77+X78+X79+X80+X82+X83, "NA")</f>
        <v>6442.41</v>
      </c>
      <c r="Y84" s="71">
        <f>IFERROR(X84/X148, "NA")</f>
        <v>0.3199029329</v>
      </c>
      <c r="Z84" s="70">
        <f>IFERROR(Z63+Z65+Z66+Z67+Z68+Z69+Z71+Z72+Z74+Z75+Z76+Z77+Z78+Z79+Z80+Z82+Z83, "NA")</f>
        <v>19888.78</v>
      </c>
      <c r="AA84" s="71">
        <f>IFERROR(Z84/Z148, "NA")</f>
        <v>0.2696364741</v>
      </c>
      <c r="AB84" s="70">
        <f t="shared" si="37"/>
        <v>6524.68</v>
      </c>
      <c r="AC84" s="71">
        <f>IFERROR(AB84/AB148, "NA")</f>
        <v>0.2671042342</v>
      </c>
      <c r="AD84" s="75">
        <f t="shared" si="38"/>
        <v>-82.27</v>
      </c>
      <c r="AE84" s="76">
        <f>IFERROR(AD84/AD148, "NA")</f>
        <v>0.01918239892</v>
      </c>
      <c r="AF84" s="75">
        <f t="shared" si="39"/>
        <v>-0.01260904749</v>
      </c>
      <c r="AG84" s="70">
        <f t="shared" si="40"/>
        <v>6486.0675</v>
      </c>
      <c r="AH84" s="71">
        <f>IFERROR(AG84/AG148, "NA")</f>
        <v>0.2665560549</v>
      </c>
      <c r="AI84" s="75">
        <f t="shared" si="41"/>
        <v>-43.6575</v>
      </c>
      <c r="AJ84" s="76">
        <f>IFERROR(AI84/AI148, "NA")</f>
        <v>0.0104090017</v>
      </c>
      <c r="AK84" s="75">
        <f t="shared" si="42"/>
        <v>-0.006730966028</v>
      </c>
      <c r="AL84" s="76">
        <f>IFERROR(AK84/AK148, "NA")</f>
        <v>0.03904995408</v>
      </c>
    </row>
    <row r="85" ht="16.5" customHeight="1">
      <c r="A85" s="67" t="s">
        <v>55</v>
      </c>
      <c r="B85" s="118">
        <f>IFERROR(B63+B65+B66+B67+B68+B69+B71+B72+B74+B75+B76+B77+B78+B79+B80+B82+B83, "NA")</f>
        <v>5211.63</v>
      </c>
      <c r="C85" s="94">
        <f>IFERROR(B85/B148, "NA")</f>
        <v>0.4507897598</v>
      </c>
      <c r="D85" s="118">
        <f>IFERROR(D63+D65+D66+D67+D68+D69+D71+D72+D74+D75+D76+D77+D78+D79+D80+D82+D83, "NA")</f>
        <v>5668.32</v>
      </c>
      <c r="E85" s="94">
        <f>IFERROR(D85/D148, "NA")</f>
        <v>0.3079505764</v>
      </c>
      <c r="F85" s="118">
        <f>IFERROR(F63+F65+F66+F67+F68+F69+F71+F72+F74+F75+F76+F77+F78+F79+F80+F82+F83, "NA")</f>
        <v>5968.07</v>
      </c>
      <c r="G85" s="94">
        <f>IFERROR(F85/F148, "NA")</f>
        <v>0.2593530937</v>
      </c>
      <c r="H85" s="118">
        <f>IFERROR(H63+H65+H66+H67+H68+H69+H71+H72+H74+H75+H76+H77+H78+H79+H80+H82+H83, "NA")</f>
        <v>5555.18</v>
      </c>
      <c r="I85" s="94">
        <f>IFERROR(H85/H148, "NA")</f>
        <v>0.2687689475</v>
      </c>
      <c r="J85" s="118">
        <f>IFERROR(J63+J65+J66+J67+J68+J69+J71+J72+J74+J75+J76+J77+J78+J79+J80+J82+J83, "NA")</f>
        <v>6239.83</v>
      </c>
      <c r="K85" s="94">
        <f>IFERROR(J85/J148, "NA")</f>
        <v>0.3128836878</v>
      </c>
      <c r="L85" s="118">
        <f>IFERROR(L63+L65+L66+L67+L68+L69+L71+L72+L74+L75+L76+L77+L78+L79+L80+L82+L83, "NA")</f>
        <v>6714.23</v>
      </c>
      <c r="M85" s="94">
        <f>IFERROR(L85/L148, "NA")</f>
        <v>0.229578034</v>
      </c>
      <c r="N85" s="118">
        <f>IFERROR(N63+N65+N66+N67+N68+N69+N71+N72+N74+N75+N76+N77+N78+N79+N80+N82+N83, "NA")</f>
        <v>6152.63</v>
      </c>
      <c r="O85" s="94">
        <f>IFERROR(N85/N148, "NA")</f>
        <v>0.2746381237</v>
      </c>
      <c r="P85" s="118">
        <f>IFERROR(P63+P65+P66+P67+P68+P69+P71+P72+P74+P75+P76+P77+P78+P79+P80+P82+P83, "NA")</f>
        <v>6683.13</v>
      </c>
      <c r="Q85" s="94">
        <f>IFERROR(P85/P148, "NA")</f>
        <v>0.2635169583</v>
      </c>
      <c r="R85" s="118">
        <f>IFERROR(R63+R65+R66+R67+R68+R69+R71+R72+R74+R75+R76+R77+R78+R79+R80+R82+R83, "NA")</f>
        <v>6209.94</v>
      </c>
      <c r="S85" s="94">
        <f>IFERROR(R85/R148, "NA")</f>
        <v>0.2593048975</v>
      </c>
      <c r="T85" s="118">
        <f>IFERROR(T63+T65+T66+T67+T68+T69+T71+T72+T74+T75+T76+T77+T78+T79+T80+T82+T83, "NA")</f>
        <v>6846.22</v>
      </c>
      <c r="U85" s="94">
        <f>IFERROR(T85/T148, "NA")</f>
        <v>0.2315387123</v>
      </c>
      <c r="V85" s="118">
        <f>IFERROR(V63+V65+V66+V67+V68+V69+V71+V72+V74+V75+V76+V77+V78+V79+V80+V82+V83, "NA")</f>
        <v>6600.15</v>
      </c>
      <c r="W85" s="94">
        <f>IFERROR(V85/V148, "NA")</f>
        <v>0.2743836278</v>
      </c>
      <c r="X85" s="118">
        <f>IFERROR(X63+X65+X66+X67+X68+X69+X71+X72+X74+X75+X76+X77+X78+X79+X80+X82+X83, "NA")</f>
        <v>6442.41</v>
      </c>
      <c r="Y85" s="94">
        <f>IFERROR(X85/X148, "NA")</f>
        <v>0.3199029329</v>
      </c>
      <c r="Z85" s="118">
        <f>IFERROR(Z63+Z65+Z66+Z67+Z68+Z69+Z71+Z72+Z74+Z75+Z76+Z77+Z78+Z79+Z80+Z82+Z83, "NA")</f>
        <v>19888.78</v>
      </c>
      <c r="AA85" s="94">
        <f>IFERROR(Z85/Z148, "NA")</f>
        <v>0.2696364741</v>
      </c>
      <c r="AB85" s="118">
        <f t="shared" si="37"/>
        <v>6524.68</v>
      </c>
      <c r="AC85" s="94">
        <f>IFERROR(AB85/AB148, "NA")</f>
        <v>0.2671042342</v>
      </c>
      <c r="AD85" s="119">
        <f t="shared" si="38"/>
        <v>-82.27</v>
      </c>
      <c r="AE85" s="120">
        <f>IFERROR(AD85/AD148, "NA")</f>
        <v>0.01918239892</v>
      </c>
      <c r="AF85" s="119">
        <f t="shared" si="39"/>
        <v>-0.01260904749</v>
      </c>
      <c r="AG85" s="118">
        <f t="shared" si="40"/>
        <v>6486.0675</v>
      </c>
      <c r="AH85" s="94">
        <f>IFERROR(AG85/AG148, "NA")</f>
        <v>0.2665560549</v>
      </c>
      <c r="AI85" s="119">
        <f t="shared" si="41"/>
        <v>-43.6575</v>
      </c>
      <c r="AJ85" s="120">
        <f>IFERROR(AI85/AI148, "NA")</f>
        <v>0.0104090017</v>
      </c>
      <c r="AK85" s="119">
        <f t="shared" si="42"/>
        <v>-0.006730966028</v>
      </c>
      <c r="AL85" s="120">
        <f>IFERROR(AK85/AK148, "NA")</f>
        <v>0.03904995408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2"/>
      <c r="AF86" s="125"/>
      <c r="AG86" s="124"/>
      <c r="AH86" s="74"/>
      <c r="AI86" s="125"/>
      <c r="AJ86" s="82"/>
      <c r="AK86" s="125"/>
      <c r="AL86" s="82"/>
    </row>
    <row r="87" ht="16.5" customHeight="1">
      <c r="A87" s="121" t="s">
        <v>56</v>
      </c>
      <c r="B87" s="122">
        <f>IFERROR(B59-B85, "NA")</f>
        <v>2975.04</v>
      </c>
      <c r="C87" s="98">
        <f>IFERROR(B87/B148, "NA")</f>
        <v>0.2573316922</v>
      </c>
      <c r="D87" s="122">
        <f>IFERROR(D59-D85, "NA")</f>
        <v>7209.15</v>
      </c>
      <c r="E87" s="98">
        <f>IFERROR(D87/D148, "NA")</f>
        <v>0.3916613561</v>
      </c>
      <c r="F87" s="122">
        <f>IFERROR(F59-F85, "NA")</f>
        <v>11296.69</v>
      </c>
      <c r="G87" s="98">
        <f>IFERROR(F87/F148, "NA")</f>
        <v>0.4909177507</v>
      </c>
      <c r="H87" s="122">
        <f>IFERROR(H59-H85, "NA")</f>
        <v>8938.14</v>
      </c>
      <c r="I87" s="98">
        <f>IFERROR(H87/H148, "NA")</f>
        <v>0.4324422395</v>
      </c>
      <c r="J87" s="122">
        <f>IFERROR(J59-J85, "NA")</f>
        <v>8140.24</v>
      </c>
      <c r="K87" s="98">
        <f>IFERROR(J87/J148, "NA")</f>
        <v>0.4081759136</v>
      </c>
      <c r="L87" s="122">
        <f>IFERROR(L59-L85, "NA")</f>
        <v>14150.07</v>
      </c>
      <c r="M87" s="98">
        <f>IFERROR(L87/L148, "NA")</f>
        <v>0.4838299033</v>
      </c>
      <c r="N87" s="122">
        <f>IFERROR(N59-N85, "NA")</f>
        <v>10422.56</v>
      </c>
      <c r="O87" s="98">
        <f>IFERROR(N87/N148, "NA")</f>
        <v>0.4652371948</v>
      </c>
      <c r="P87" s="122">
        <f>IFERROR(P59-P85, "NA")</f>
        <v>11867.6</v>
      </c>
      <c r="Q87" s="98">
        <f>IFERROR(P87/P148, "NA")</f>
        <v>0.4679414967</v>
      </c>
      <c r="R87" s="122">
        <f>IFERROR(R59-R85, "NA")</f>
        <v>10587.23</v>
      </c>
      <c r="S87" s="98">
        <f>IFERROR(R87/R148, "NA")</f>
        <v>0.4420848816</v>
      </c>
      <c r="T87" s="122">
        <f>IFERROR(T59-T85, "NA")</f>
        <v>14768.23</v>
      </c>
      <c r="U87" s="98">
        <f>IFERROR(T87/T148, "NA")</f>
        <v>0.499460572</v>
      </c>
      <c r="V87" s="122">
        <f>IFERROR(V59-V85, "NA")</f>
        <v>10565.33</v>
      </c>
      <c r="W87" s="98">
        <f>IFERROR(V87/V148, "NA")</f>
        <v>0.4392254077</v>
      </c>
      <c r="X87" s="122">
        <f>IFERROR(X59-X85, "NA")</f>
        <v>9042.44</v>
      </c>
      <c r="Y87" s="98">
        <f>IFERROR(X87/X148, "NA")</f>
        <v>0.4490094664</v>
      </c>
      <c r="Z87" s="122">
        <f>IFERROR(Z59-Z85, "NA")</f>
        <v>34376</v>
      </c>
      <c r="AA87" s="98">
        <f>IFERROR(Z87/Z148, "NA")</f>
        <v>0.4660428359</v>
      </c>
      <c r="AB87" s="122">
        <f>IFERROR((R87+T87+V87+X87)/4, "NA")</f>
        <v>11240.8075</v>
      </c>
      <c r="AC87" s="98">
        <f>IFERROR(AB87/AB148, "NA")</f>
        <v>0.4601708098</v>
      </c>
      <c r="AD87" s="75">
        <f>IFERROR(X87-AB87, "NA")</f>
        <v>-2198.3675</v>
      </c>
      <c r="AE87" s="76">
        <f>IFERROR(AD87/AD148, "NA")</f>
        <v>0.51258007</v>
      </c>
      <c r="AF87" s="75">
        <f>IFERROR((X87-AB87)/AB87, "NA")</f>
        <v>-0.1955702471</v>
      </c>
      <c r="AG87" s="122">
        <f>IFERROR((J87+L87+N87+P87+R87+T87+V87+X87)/8, "NA")</f>
        <v>11192.9625</v>
      </c>
      <c r="AH87" s="98">
        <f>IFERROR(AG87/AG148, "NA")</f>
        <v>0.459993968</v>
      </c>
      <c r="AI87" s="75">
        <f>IFERROR(X87-AG87, "NA")</f>
        <v>-2150.5225</v>
      </c>
      <c r="AJ87" s="76">
        <f>IFERROR(AI87/AI148, "NA")</f>
        <v>0.5127364683</v>
      </c>
      <c r="AK87" s="75">
        <f>IFERROR((X87-AG87)/AG87, "NA")</f>
        <v>-0.1921316631</v>
      </c>
      <c r="AL87" s="76">
        <f>IFERROR(AK87/AK148, "NA")</f>
        <v>1.114659113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2"/>
      <c r="AF88" s="125"/>
      <c r="AG88" s="124"/>
      <c r="AH88" s="74"/>
      <c r="AI88" s="125"/>
      <c r="AJ88" s="82"/>
      <c r="AK88" s="125"/>
      <c r="AL88" s="82"/>
    </row>
    <row r="89" ht="16.5" hidden="1" customHeight="1">
      <c r="A89" s="22" t="s">
        <v>206</v>
      </c>
      <c r="B89" s="23"/>
      <c r="C89" s="10"/>
      <c r="D89" s="23"/>
      <c r="E89" s="10"/>
      <c r="F89" s="23"/>
      <c r="G89" s="10"/>
      <c r="H89" s="23"/>
      <c r="I89" s="10"/>
      <c r="J89" s="23"/>
      <c r="K89" s="10"/>
      <c r="L89" s="23"/>
      <c r="M89" s="10"/>
      <c r="N89" s="23"/>
      <c r="O89" s="10"/>
      <c r="P89" s="23"/>
      <c r="Q89" s="10"/>
      <c r="R89" s="23"/>
      <c r="S89" s="10"/>
      <c r="T89" s="23"/>
      <c r="U89" s="10"/>
      <c r="V89" s="23"/>
      <c r="W89" s="10"/>
      <c r="X89" s="23"/>
      <c r="Y89" s="10"/>
      <c r="Z89" s="23"/>
      <c r="AA89" s="10"/>
      <c r="AB89" s="23"/>
      <c r="AC89" s="10"/>
      <c r="AD89" s="24"/>
      <c r="AE89" s="25"/>
      <c r="AF89" s="24"/>
      <c r="AG89" s="23"/>
      <c r="AH89" s="10"/>
      <c r="AI89" s="24"/>
      <c r="AJ89" s="25"/>
      <c r="AK89" s="24"/>
      <c r="AL89" s="25"/>
    </row>
    <row r="90" ht="16.5" hidden="1" customHeight="1">
      <c r="A90" s="26" t="s">
        <v>207</v>
      </c>
      <c r="B90" s="28">
        <v>400.64</v>
      </c>
      <c r="C90" s="15">
        <f>IFERROR(B90/B148, "NA")</f>
        <v>0.03465411193</v>
      </c>
      <c r="D90" s="28">
        <v>295.38</v>
      </c>
      <c r="E90" s="15">
        <f>IFERROR(D90/D148, "NA")</f>
        <v>0.01604751342</v>
      </c>
      <c r="F90" s="28">
        <v>331.31</v>
      </c>
      <c r="G90" s="15">
        <f>IFERROR(F90/F148, "NA")</f>
        <v>0.01439766515</v>
      </c>
      <c r="H90" s="28">
        <v>325.29</v>
      </c>
      <c r="I90" s="15">
        <f>IFERROR(H90/H148, "NA")</f>
        <v>0.01573807706</v>
      </c>
      <c r="J90" s="28">
        <v>602.39</v>
      </c>
      <c r="K90" s="15">
        <f>IFERROR(J90/J148, "NA")</f>
        <v>0.03020563136</v>
      </c>
      <c r="L90" s="28">
        <v>598.0</v>
      </c>
      <c r="M90" s="15">
        <f>IFERROR(L90/L148, "NA")</f>
        <v>0.02044726861</v>
      </c>
      <c r="N90" s="28">
        <v>1013.44</v>
      </c>
      <c r="O90" s="15">
        <f>IFERROR(N90/N148, "NA")</f>
        <v>0.04523744481</v>
      </c>
      <c r="P90" s="28">
        <v>369.15</v>
      </c>
      <c r="Q90" s="15">
        <f>IFERROR(P90/P148, "NA")</f>
        <v>0.0145556476</v>
      </c>
      <c r="R90" s="28">
        <v>413.26</v>
      </c>
      <c r="S90" s="15">
        <f>IFERROR(R90/R148, "NA")</f>
        <v>0.01725626044</v>
      </c>
      <c r="T90" s="28">
        <v>912.37</v>
      </c>
      <c r="U90" s="15">
        <f>IFERROR(T90/T148, "NA")</f>
        <v>0.03085629369</v>
      </c>
      <c r="V90" s="28">
        <v>412.39</v>
      </c>
      <c r="W90" s="15">
        <f>IFERROR(V90/V148, "NA")</f>
        <v>0.01714401404</v>
      </c>
      <c r="X90" s="28">
        <v>125.7</v>
      </c>
      <c r="Y90" s="15">
        <f>IFERROR(X90/X148, "NA")</f>
        <v>0.006241732312</v>
      </c>
      <c r="Z90" s="28">
        <v>1450.46</v>
      </c>
      <c r="AA90" s="15">
        <f>IFERROR(Z90/Z148, "NA")</f>
        <v>0.01966419862</v>
      </c>
      <c r="AB90" s="57">
        <f t="shared" ref="AB90:AB99" si="43">IFERROR((R90+T90+V90+X90)/4, "NA")</f>
        <v>465.93</v>
      </c>
      <c r="AC90" s="15">
        <f>IFERROR(AB90/AB148, "NA")</f>
        <v>0.01907401985</v>
      </c>
      <c r="AD90" s="61">
        <f t="shared" ref="AD90:AD99" si="44">IFERROR(X90-AB90, "NA")</f>
        <v>-340.23</v>
      </c>
      <c r="AE90" s="62">
        <f>IFERROR(AD90/AD148, "NA")</f>
        <v>0.07932937382</v>
      </c>
      <c r="AF90" s="61">
        <f t="shared" ref="AF90:AF99" si="45">IFERROR((X90-AB90)/AB90, "NA")</f>
        <v>-0.7302169854</v>
      </c>
      <c r="AG90" s="57">
        <f t="shared" ref="AG90:AG99" si="46">IFERROR((J90+L90+N90+P90+R90+T90+V90+X90)/8, "NA")</f>
        <v>555.8375</v>
      </c>
      <c r="AH90" s="15">
        <f>IFERROR(AG90/AG148, "NA")</f>
        <v>0.02284309424</v>
      </c>
      <c r="AI90" s="61">
        <f t="shared" ref="AI90:AI99" si="47">IFERROR(X90-AG90, "NA")</f>
        <v>-430.1375</v>
      </c>
      <c r="AJ90" s="62">
        <f>IFERROR(AI90/AI148, "NA")</f>
        <v>0.1025551617</v>
      </c>
      <c r="AK90" s="61">
        <f t="shared" ref="AK90:AK99" si="48">IFERROR((X90-AG90)/AG90, "NA")</f>
        <v>-0.7738547687</v>
      </c>
      <c r="AL90" s="62">
        <f>IFERROR(AK90/AK148, "NA")</f>
        <v>4.48954772</v>
      </c>
    </row>
    <row r="91" ht="16.5" hidden="1" customHeight="1">
      <c r="A91" s="26" t="s">
        <v>208</v>
      </c>
      <c r="B91" s="28">
        <v>668.43</v>
      </c>
      <c r="C91" s="15">
        <f>IFERROR(B91/B148, "NA")</f>
        <v>0.05781711272</v>
      </c>
      <c r="D91" s="28">
        <v>916.76</v>
      </c>
      <c r="E91" s="15">
        <f>IFERROR(D91/D148, "NA")</f>
        <v>0.04980607489</v>
      </c>
      <c r="F91" s="28">
        <v>889.3</v>
      </c>
      <c r="G91" s="15">
        <f>IFERROR(F91/F148, "NA")</f>
        <v>0.03864611277</v>
      </c>
      <c r="H91" s="28">
        <v>825.06</v>
      </c>
      <c r="I91" s="15">
        <f>IFERROR(H91/H148, "NA")</f>
        <v>0.03991778985</v>
      </c>
      <c r="J91" s="28">
        <v>1067.06</v>
      </c>
      <c r="K91" s="15">
        <f>IFERROR(J91/J148, "NA")</f>
        <v>0.05350557114</v>
      </c>
      <c r="L91" s="28">
        <v>1157.23</v>
      </c>
      <c r="M91" s="15">
        <f>IFERROR(L91/L148, "NA")</f>
        <v>0.03956888404</v>
      </c>
      <c r="N91" s="28">
        <v>813.41</v>
      </c>
      <c r="O91" s="15">
        <f>IFERROR(N91/N148, "NA")</f>
        <v>0.03630860236</v>
      </c>
      <c r="P91" s="28">
        <v>887.47</v>
      </c>
      <c r="Q91" s="15">
        <f>IFERROR(P91/P148, "NA")</f>
        <v>0.03499309381</v>
      </c>
      <c r="R91" s="28">
        <v>1045.44</v>
      </c>
      <c r="S91" s="15">
        <f>IFERROR(R91/R148, "NA")</f>
        <v>0.04365383756</v>
      </c>
      <c r="T91" s="28">
        <v>1325.23</v>
      </c>
      <c r="U91" s="15">
        <f>IFERROR(T91/T148, "NA")</f>
        <v>0.04481919187</v>
      </c>
      <c r="V91" s="28">
        <v>666.4</v>
      </c>
      <c r="W91" s="15">
        <f>IFERROR(V91/V148, "NA")</f>
        <v>0.02770380212</v>
      </c>
      <c r="X91" s="28">
        <v>391.65</v>
      </c>
      <c r="Y91" s="15">
        <f>IFERROR(X91/X148, "NA")</f>
        <v>0.01944768862</v>
      </c>
      <c r="Z91" s="28">
        <v>2383.28</v>
      </c>
      <c r="AA91" s="15">
        <f>IFERROR(Z91/Z148, "NA")</f>
        <v>0.03231064027</v>
      </c>
      <c r="AB91" s="57">
        <f t="shared" si="43"/>
        <v>857.18</v>
      </c>
      <c r="AC91" s="15">
        <f>IFERROR(AB91/AB148, "NA")</f>
        <v>0.03509082552</v>
      </c>
      <c r="AD91" s="61">
        <f t="shared" si="44"/>
        <v>-465.53</v>
      </c>
      <c r="AE91" s="62">
        <f>IFERROR(AD91/AD148, "NA")</f>
        <v>0.1085448179</v>
      </c>
      <c r="AF91" s="61">
        <f t="shared" si="45"/>
        <v>-0.5430947992</v>
      </c>
      <c r="AG91" s="57">
        <f t="shared" si="46"/>
        <v>919.23625</v>
      </c>
      <c r="AH91" s="15">
        <f>IFERROR(AG91/AG148, "NA")</f>
        <v>0.03777758839</v>
      </c>
      <c r="AI91" s="61">
        <f t="shared" si="47"/>
        <v>-527.58625</v>
      </c>
      <c r="AJ91" s="62">
        <f>IFERROR(AI91/AI148, "NA")</f>
        <v>0.1257892957</v>
      </c>
      <c r="AK91" s="61">
        <f t="shared" si="48"/>
        <v>-0.5739397788</v>
      </c>
      <c r="AL91" s="62">
        <f>IFERROR(AK91/AK148, "NA")</f>
        <v>3.329733342</v>
      </c>
    </row>
    <row r="92" ht="16.5" hidden="1" customHeight="1">
      <c r="A92" s="26" t="s">
        <v>209</v>
      </c>
      <c r="B92" s="28">
        <v>142.25</v>
      </c>
      <c r="C92" s="15">
        <f>IFERROR(B92/B148, "NA")</f>
        <v>0.01230418186</v>
      </c>
      <c r="D92" s="28">
        <v>120.31</v>
      </c>
      <c r="E92" s="15">
        <f>IFERROR(D92/D148, "NA")</f>
        <v>0.006536245986</v>
      </c>
      <c r="F92" s="28">
        <v>98.2</v>
      </c>
      <c r="G92" s="15">
        <f>IFERROR(F92/F148, "NA")</f>
        <v>0.00426745561</v>
      </c>
      <c r="H92" s="28">
        <v>157.67</v>
      </c>
      <c r="I92" s="15">
        <f>IFERROR(H92/H148, "NA")</f>
        <v>0.007628339666</v>
      </c>
      <c r="J92" s="28">
        <v>186.1</v>
      </c>
      <c r="K92" s="15">
        <f>IFERROR(J92/J148, "NA")</f>
        <v>0.009331609083</v>
      </c>
      <c r="L92" s="28">
        <v>313.66</v>
      </c>
      <c r="M92" s="15">
        <f>IFERROR(L92/L148, "NA")</f>
        <v>0.01072490012</v>
      </c>
      <c r="N92" s="28">
        <v>206.72</v>
      </c>
      <c r="O92" s="15">
        <f>IFERROR(N92/N148, "NA")</f>
        <v>0.009227467428</v>
      </c>
      <c r="P92" s="28">
        <v>170.0</v>
      </c>
      <c r="Q92" s="15">
        <f>IFERROR(P92/P148, "NA")</f>
        <v>0.00670312906</v>
      </c>
      <c r="R92" s="28">
        <v>165.65</v>
      </c>
      <c r="S92" s="15">
        <f>IFERROR(R92/R148, "NA")</f>
        <v>0.006916951898</v>
      </c>
      <c r="T92" s="28">
        <v>132.82</v>
      </c>
      <c r="U92" s="15">
        <f>IFERROR(T92/T148, "NA")</f>
        <v>0.004491963707</v>
      </c>
      <c r="V92" s="28">
        <v>57.45</v>
      </c>
      <c r="W92" s="15">
        <f>IFERROR(V92/V148, "NA")</f>
        <v>0.00238833048</v>
      </c>
      <c r="X92" s="28">
        <v>4.47</v>
      </c>
      <c r="Y92" s="15">
        <f>IFERROR(X92/X148, "NA")</f>
        <v>0.0002219613638</v>
      </c>
      <c r="Z92" s="28">
        <v>194.74</v>
      </c>
      <c r="AA92" s="15">
        <f>IFERROR(Z92/Z148, "NA")</f>
        <v>0.002640132123</v>
      </c>
      <c r="AB92" s="57">
        <f t="shared" si="43"/>
        <v>90.0975</v>
      </c>
      <c r="AC92" s="15">
        <f>IFERROR(AB92/AB148, "NA")</f>
        <v>0.003688368432</v>
      </c>
      <c r="AD92" s="61">
        <f t="shared" si="44"/>
        <v>-85.6275</v>
      </c>
      <c r="AE92" s="62">
        <f>IFERROR(AD92/AD148, "NA")</f>
        <v>0.01996524691</v>
      </c>
      <c r="AF92" s="61">
        <f t="shared" si="45"/>
        <v>-0.9503870807</v>
      </c>
      <c r="AG92" s="57">
        <f t="shared" si="46"/>
        <v>154.60875</v>
      </c>
      <c r="AH92" s="15">
        <f>IFERROR(AG92/AG148, "NA")</f>
        <v>0.006353911434</v>
      </c>
      <c r="AI92" s="61">
        <f t="shared" si="47"/>
        <v>-150.13875</v>
      </c>
      <c r="AJ92" s="62">
        <f>IFERROR(AI92/AI148, "NA")</f>
        <v>0.0357967017</v>
      </c>
      <c r="AK92" s="61">
        <f t="shared" si="48"/>
        <v>-0.9710883116</v>
      </c>
      <c r="AL92" s="62">
        <f>IFERROR(AK92/AK148, "NA")</f>
        <v>5.633805582</v>
      </c>
    </row>
    <row r="93" ht="16.5" hidden="1" customHeight="1">
      <c r="A93" s="26" t="s">
        <v>210</v>
      </c>
      <c r="B93" s="28">
        <v>466.41</v>
      </c>
      <c r="C93" s="15">
        <f>IFERROR(B93/B148, "NA")</f>
        <v>0.04034301205</v>
      </c>
      <c r="D93" s="28">
        <v>1004.73</v>
      </c>
      <c r="E93" s="15">
        <f>IFERROR(D93/D148, "NA")</f>
        <v>0.05458534145</v>
      </c>
      <c r="F93" s="28">
        <v>2141.38</v>
      </c>
      <c r="G93" s="15">
        <f>IFERROR(F93/F148, "NA")</f>
        <v>0.0930574755</v>
      </c>
      <c r="H93" s="28">
        <v>1539.36</v>
      </c>
      <c r="I93" s="15">
        <f>IFERROR(H93/H148, "NA")</f>
        <v>0.07447682469</v>
      </c>
      <c r="J93" s="28">
        <v>1104.79</v>
      </c>
      <c r="K93" s="15">
        <f>IFERROR(J93/J148, "NA")</f>
        <v>0.05539746587</v>
      </c>
      <c r="L93" s="28">
        <v>2227.4</v>
      </c>
      <c r="M93" s="15">
        <f>IFERROR(L93/L148, "NA")</f>
        <v>0.07616094667</v>
      </c>
      <c r="N93" s="28">
        <v>1261.7</v>
      </c>
      <c r="O93" s="15">
        <f>IFERROR(N93/N148, "NA")</f>
        <v>0.05631915467</v>
      </c>
      <c r="P93" s="28">
        <v>1476.97</v>
      </c>
      <c r="Q93" s="15">
        <f>IFERROR(P93/P148, "NA")</f>
        <v>0.05823717958</v>
      </c>
      <c r="R93" s="28">
        <v>1746.16</v>
      </c>
      <c r="S93" s="15">
        <f>IFERROR(R93/R148, "NA")</f>
        <v>0.0729134001</v>
      </c>
      <c r="T93" s="28">
        <v>1471.93</v>
      </c>
      <c r="U93" s="15">
        <f>IFERROR(T93/T148, "NA")</f>
        <v>0.04978057626</v>
      </c>
      <c r="V93" s="28">
        <v>1714.46</v>
      </c>
      <c r="W93" s="15">
        <f>IFERROR(V93/V148, "NA")</f>
        <v>0.07127410052</v>
      </c>
      <c r="X93" s="28">
        <v>620.58</v>
      </c>
      <c r="Y93" s="15">
        <f>IFERROR(X93/X148, "NA")</f>
        <v>0.03081538773</v>
      </c>
      <c r="Z93" s="28">
        <v>3806.97</v>
      </c>
      <c r="AA93" s="15">
        <f>IFERROR(Z93/Z148, "NA")</f>
        <v>0.05161191224</v>
      </c>
      <c r="AB93" s="57">
        <f t="shared" si="43"/>
        <v>1388.2825</v>
      </c>
      <c r="AC93" s="15">
        <f>IFERROR(AB93/AB148, "NA")</f>
        <v>0.05683284606</v>
      </c>
      <c r="AD93" s="61">
        <f t="shared" si="44"/>
        <v>-767.7025</v>
      </c>
      <c r="AE93" s="62">
        <f>IFERROR(AD93/AD148, "NA")</f>
        <v>0.1790005543</v>
      </c>
      <c r="AF93" s="61">
        <f t="shared" si="45"/>
        <v>-0.5529872342</v>
      </c>
      <c r="AG93" s="57">
        <f t="shared" si="46"/>
        <v>1452.99875</v>
      </c>
      <c r="AH93" s="15">
        <f>IFERROR(AG93/AG148, "NA")</f>
        <v>0.05971347269</v>
      </c>
      <c r="AI93" s="61">
        <f t="shared" si="47"/>
        <v>-832.41875</v>
      </c>
      <c r="AJ93" s="62">
        <f>IFERROR(AI93/AI148, "NA")</f>
        <v>0.198468721</v>
      </c>
      <c r="AK93" s="61">
        <f t="shared" si="48"/>
        <v>-0.5728970861</v>
      </c>
      <c r="AL93" s="62">
        <f>IFERROR(AK93/AK148, "NA")</f>
        <v>3.323684121</v>
      </c>
    </row>
    <row r="94" ht="16.5" hidden="1" customHeight="1">
      <c r="A94" s="26" t="s">
        <v>211</v>
      </c>
      <c r="B94" s="28">
        <v>321.3</v>
      </c>
      <c r="C94" s="15">
        <f>IFERROR(B94/B148, "NA")</f>
        <v>0.02779144909</v>
      </c>
      <c r="D94" s="28">
        <v>468.73</v>
      </c>
      <c r="E94" s="15">
        <f>IFERROR(D94/D148, "NA")</f>
        <v>0.02546533606</v>
      </c>
      <c r="F94" s="28">
        <v>521.55</v>
      </c>
      <c r="G94" s="15">
        <f>IFERROR(F94/F148, "NA")</f>
        <v>0.02266488262</v>
      </c>
      <c r="H94" s="28">
        <v>412.01</v>
      </c>
      <c r="I94" s="15">
        <f>IFERROR(H94/H148, "NA")</f>
        <v>0.01993373645</v>
      </c>
      <c r="J94" s="28">
        <v>708.05</v>
      </c>
      <c r="K94" s="15">
        <f>IFERROR(J94/J148, "NA")</f>
        <v>0.03550373891</v>
      </c>
      <c r="L94" s="28">
        <v>647.44</v>
      </c>
      <c r="M94" s="15">
        <f>IFERROR(L94/L148, "NA")</f>
        <v>0.02213775851</v>
      </c>
      <c r="N94" s="28">
        <v>653.83</v>
      </c>
      <c r="O94" s="15">
        <f>IFERROR(N94/N148, "NA")</f>
        <v>0.02918534747</v>
      </c>
      <c r="P94" s="28">
        <v>592.5</v>
      </c>
      <c r="Q94" s="15">
        <f>IFERROR(P94/P148, "NA")</f>
        <v>0.02336237628</v>
      </c>
      <c r="R94" s="28">
        <v>705.22</v>
      </c>
      <c r="S94" s="15">
        <f>IFERROR(R94/R148, "NA")</f>
        <v>0.02944746645</v>
      </c>
      <c r="T94" s="28">
        <v>814.98</v>
      </c>
      <c r="U94" s="15">
        <f>IFERROR(T94/T148, "NA")</f>
        <v>0.02756257026</v>
      </c>
      <c r="V94" s="28">
        <v>640.61</v>
      </c>
      <c r="W94" s="15">
        <f>IFERROR(V94/V148, "NA")</f>
        <v>0.02663165168</v>
      </c>
      <c r="X94" s="28">
        <v>491.65</v>
      </c>
      <c r="Y94" s="15">
        <f>IFERROR(X94/X148, "NA")</f>
        <v>0.02441326723</v>
      </c>
      <c r="Z94" s="28">
        <v>1947.24</v>
      </c>
      <c r="AA94" s="15">
        <f>IFERROR(Z94/Z148, "NA")</f>
        <v>0.02639915208</v>
      </c>
      <c r="AB94" s="57">
        <f t="shared" si="43"/>
        <v>663.115</v>
      </c>
      <c r="AC94" s="15">
        <f>IFERROR(AB94/AB148, "NA")</f>
        <v>0.02714628522</v>
      </c>
      <c r="AD94" s="61">
        <f t="shared" si="44"/>
        <v>-171.465</v>
      </c>
      <c r="AE94" s="62">
        <f>IFERROR(AD94/AD148, "NA")</f>
        <v>0.03997945826</v>
      </c>
      <c r="AF94" s="61">
        <f t="shared" si="45"/>
        <v>-0.2585750586</v>
      </c>
      <c r="AG94" s="57">
        <f t="shared" si="46"/>
        <v>656.785</v>
      </c>
      <c r="AH94" s="15">
        <f>IFERROR(AG94/AG148, "NA")</f>
        <v>0.02699170468</v>
      </c>
      <c r="AI94" s="61">
        <f t="shared" si="47"/>
        <v>-165.135</v>
      </c>
      <c r="AJ94" s="62">
        <f>IFERROR(AI94/AI148, "NA")</f>
        <v>0.03937216964</v>
      </c>
      <c r="AK94" s="61">
        <f t="shared" si="48"/>
        <v>-0.251429311</v>
      </c>
      <c r="AL94" s="62">
        <f>IFERROR(AK94/AK148, "NA")</f>
        <v>1.458676661</v>
      </c>
    </row>
    <row r="95" ht="16.5" hidden="1" customHeight="1">
      <c r="A95" s="26" t="s">
        <v>212</v>
      </c>
      <c r="B95" s="28">
        <v>0.0</v>
      </c>
      <c r="C95" s="15">
        <f>IFERROR(B95/B148, "NA")</f>
        <v>0</v>
      </c>
      <c r="D95" s="28">
        <v>0.0</v>
      </c>
      <c r="E95" s="15">
        <f>IFERROR(D95/D148, "NA")</f>
        <v>0</v>
      </c>
      <c r="F95" s="28">
        <v>0.0</v>
      </c>
      <c r="G95" s="15">
        <f>IFERROR(F95/F148, "NA")</f>
        <v>0</v>
      </c>
      <c r="H95" s="28">
        <v>1409.46</v>
      </c>
      <c r="I95" s="15">
        <f>IFERROR(H95/H148, "NA")</f>
        <v>0.06819204431</v>
      </c>
      <c r="J95" s="28">
        <v>0.0</v>
      </c>
      <c r="K95" s="15">
        <f>IFERROR(J95/J148, "NA")</f>
        <v>0</v>
      </c>
      <c r="L95" s="28">
        <v>0.0</v>
      </c>
      <c r="M95" s="15">
        <f>IFERROR(L95/L148, "NA")</f>
        <v>0</v>
      </c>
      <c r="N95" s="28">
        <v>0.0</v>
      </c>
      <c r="O95" s="15">
        <f>IFERROR(N95/N148, "NA")</f>
        <v>0</v>
      </c>
      <c r="P95" s="28">
        <v>0.0</v>
      </c>
      <c r="Q95" s="15">
        <f>IFERROR(P95/P148, "NA")</f>
        <v>0</v>
      </c>
      <c r="R95" s="28">
        <v>1409.46</v>
      </c>
      <c r="S95" s="15">
        <f>IFERROR(R95/R148, "NA")</f>
        <v>0.0588540116</v>
      </c>
      <c r="T95" s="28">
        <v>0.0</v>
      </c>
      <c r="U95" s="15">
        <f>IFERROR(T95/T148, "NA")</f>
        <v>0</v>
      </c>
      <c r="V95" s="28">
        <v>0.0</v>
      </c>
      <c r="W95" s="15">
        <f>IFERROR(V95/V148, "NA")</f>
        <v>0</v>
      </c>
      <c r="X95" s="28">
        <v>0.0</v>
      </c>
      <c r="Y95" s="15">
        <f>IFERROR(X95/X148, "NA")</f>
        <v>0</v>
      </c>
      <c r="Z95" s="28">
        <v>0.0</v>
      </c>
      <c r="AA95" s="15">
        <f>IFERROR(Z95/Z148, "NA")</f>
        <v>0</v>
      </c>
      <c r="AB95" s="57">
        <f t="shared" si="43"/>
        <v>352.365</v>
      </c>
      <c r="AC95" s="15">
        <f>IFERROR(AB95/AB148, "NA")</f>
        <v>0.01442495011</v>
      </c>
      <c r="AD95" s="61">
        <f t="shared" si="44"/>
        <v>-352.365</v>
      </c>
      <c r="AE95" s="62">
        <f>IFERROR(AD95/AD148, "NA")</f>
        <v>0.08215881846</v>
      </c>
      <c r="AF95" s="61">
        <f t="shared" si="45"/>
        <v>-1</v>
      </c>
      <c r="AG95" s="57">
        <f t="shared" si="46"/>
        <v>176.1825</v>
      </c>
      <c r="AH95" s="15">
        <f>IFERROR(AG95/AG148, "NA")</f>
        <v>0.007240521647</v>
      </c>
      <c r="AI95" s="61">
        <f t="shared" si="47"/>
        <v>-176.1825</v>
      </c>
      <c r="AJ95" s="62">
        <f>IFERROR(AI95/AI148, "NA")</f>
        <v>0.04200616028</v>
      </c>
      <c r="AK95" s="61">
        <f t="shared" si="48"/>
        <v>-1</v>
      </c>
      <c r="AL95" s="62">
        <f>IFERROR(AK95/AK148, "NA")</f>
        <v>5.801537836</v>
      </c>
    </row>
    <row r="96" ht="16.5" hidden="1" customHeight="1">
      <c r="A96" s="26" t="s">
        <v>213</v>
      </c>
      <c r="B96" s="28">
        <v>0.0</v>
      </c>
      <c r="C96" s="15">
        <f>IFERROR(B96/B148, "NA")</f>
        <v>0</v>
      </c>
      <c r="D96" s="28">
        <v>0.0</v>
      </c>
      <c r="E96" s="15">
        <f>IFERROR(D96/D148, "NA")</f>
        <v>0</v>
      </c>
      <c r="F96" s="28">
        <v>0.0</v>
      </c>
      <c r="G96" s="15">
        <f>IFERROR(F96/F148, "NA")</f>
        <v>0</v>
      </c>
      <c r="H96" s="28">
        <v>0.0</v>
      </c>
      <c r="I96" s="15">
        <f>IFERROR(H96/H148, "NA")</f>
        <v>0</v>
      </c>
      <c r="J96" s="28">
        <v>0.0</v>
      </c>
      <c r="K96" s="15">
        <f>IFERROR(J96/J148, "NA")</f>
        <v>0</v>
      </c>
      <c r="L96" s="28">
        <v>0.0</v>
      </c>
      <c r="M96" s="15">
        <f>IFERROR(L96/L148, "NA")</f>
        <v>0</v>
      </c>
      <c r="N96" s="28">
        <v>0.0</v>
      </c>
      <c r="O96" s="15">
        <f>IFERROR(N96/N148, "NA")</f>
        <v>0</v>
      </c>
      <c r="P96" s="28">
        <v>0.0</v>
      </c>
      <c r="Q96" s="15">
        <f>IFERROR(P96/P148, "NA")</f>
        <v>0</v>
      </c>
      <c r="R96" s="28">
        <v>0.0</v>
      </c>
      <c r="S96" s="15">
        <f>IFERROR(R96/R148, "NA")</f>
        <v>0</v>
      </c>
      <c r="T96" s="28">
        <v>0.0</v>
      </c>
      <c r="U96" s="15">
        <f>IFERROR(T96/T148, "NA")</f>
        <v>0</v>
      </c>
      <c r="V96" s="28">
        <v>0.0</v>
      </c>
      <c r="W96" s="15">
        <f>IFERROR(V96/V148, "NA")</f>
        <v>0</v>
      </c>
      <c r="X96" s="28">
        <v>0.0</v>
      </c>
      <c r="Y96" s="15">
        <f>IFERROR(X96/X148, "NA")</f>
        <v>0</v>
      </c>
      <c r="Z96" s="28">
        <v>0.0</v>
      </c>
      <c r="AA96" s="15">
        <f>IFERROR(Z96/Z148, "NA")</f>
        <v>0</v>
      </c>
      <c r="AB96" s="57">
        <f t="shared" si="43"/>
        <v>0</v>
      </c>
      <c r="AC96" s="15">
        <f>IFERROR(AB96/AB148, "NA")</f>
        <v>0</v>
      </c>
      <c r="AD96" s="61">
        <f t="shared" si="44"/>
        <v>0</v>
      </c>
      <c r="AE96" s="62">
        <f>IFERROR(AD96/AD148, "NA")</f>
        <v>0</v>
      </c>
      <c r="AF96" s="61" t="str">
        <f t="shared" si="45"/>
        <v>NA</v>
      </c>
      <c r="AG96" s="57">
        <f t="shared" si="46"/>
        <v>0</v>
      </c>
      <c r="AH96" s="15">
        <f>IFERROR(AG96/AG148, "NA")</f>
        <v>0</v>
      </c>
      <c r="AI96" s="61">
        <f t="shared" si="47"/>
        <v>0</v>
      </c>
      <c r="AJ96" s="62">
        <f>IFERROR(AI96/AI148, "NA")</f>
        <v>0</v>
      </c>
      <c r="AK96" s="61" t="str">
        <f t="shared" si="48"/>
        <v>NA</v>
      </c>
      <c r="AL96" s="62" t="str">
        <f>IFERROR(AK96/AK148, "NA")</f>
        <v>NA</v>
      </c>
    </row>
    <row r="97" ht="16.5" hidden="1" customHeight="1">
      <c r="A97" s="26" t="s">
        <v>214</v>
      </c>
      <c r="B97" s="28">
        <v>0.0</v>
      </c>
      <c r="C97" s="15">
        <f>IFERROR(B97/B148, "NA")</f>
        <v>0</v>
      </c>
      <c r="D97" s="28">
        <v>0.0</v>
      </c>
      <c r="E97" s="15">
        <f>IFERROR(D97/D148, "NA")</f>
        <v>0</v>
      </c>
      <c r="F97" s="28">
        <v>689.65</v>
      </c>
      <c r="G97" s="15">
        <f>IFERROR(F97/F148, "NA")</f>
        <v>0.02996996702</v>
      </c>
      <c r="H97" s="28">
        <v>2246.72</v>
      </c>
      <c r="I97" s="15">
        <f>IFERROR(H97/H148, "NA")</f>
        <v>0.1087000907</v>
      </c>
      <c r="J97" s="28">
        <v>812.92</v>
      </c>
      <c r="K97" s="15">
        <f>IFERROR(J97/J148, "NA")</f>
        <v>0.04076223351</v>
      </c>
      <c r="L97" s="28">
        <v>178.88</v>
      </c>
      <c r="M97" s="15">
        <f>IFERROR(L97/L148, "NA")</f>
        <v>0.006116400351</v>
      </c>
      <c r="N97" s="28">
        <v>237.03</v>
      </c>
      <c r="O97" s="15">
        <f>IFERROR(N97/N148, "NA")</f>
        <v>0.01058043056</v>
      </c>
      <c r="P97" s="28">
        <v>0.0</v>
      </c>
      <c r="Q97" s="15">
        <f>IFERROR(P97/P148, "NA")</f>
        <v>0</v>
      </c>
      <c r="R97" s="28">
        <v>3005.05</v>
      </c>
      <c r="S97" s="15">
        <f>IFERROR(R97/R148, "NA")</f>
        <v>0.1254801467</v>
      </c>
      <c r="T97" s="28">
        <v>1664.28</v>
      </c>
      <c r="U97" s="15">
        <f>IFERROR(T97/T148, "NA")</f>
        <v>0.05628584068</v>
      </c>
      <c r="V97" s="28">
        <v>43.59</v>
      </c>
      <c r="W97" s="15">
        <f>IFERROR(V97/V148, "NA")</f>
        <v>0.001812137957</v>
      </c>
      <c r="X97" s="28">
        <v>239.94</v>
      </c>
      <c r="Y97" s="15">
        <f>IFERROR(X97/X148, "NA")</f>
        <v>0.01191440931</v>
      </c>
      <c r="Z97" s="28">
        <v>1947.81</v>
      </c>
      <c r="AA97" s="15">
        <f>IFERROR(Z97/Z148, "NA")</f>
        <v>0.02640687969</v>
      </c>
      <c r="AB97" s="57">
        <f t="shared" si="43"/>
        <v>1238.215</v>
      </c>
      <c r="AC97" s="15">
        <f>IFERROR(AB97/AB148, "NA")</f>
        <v>0.0506894544</v>
      </c>
      <c r="AD97" s="61">
        <f t="shared" si="44"/>
        <v>-998.275</v>
      </c>
      <c r="AE97" s="62">
        <f>IFERROR(AD97/AD148, "NA")</f>
        <v>0.2327617513</v>
      </c>
      <c r="AF97" s="61">
        <f t="shared" si="45"/>
        <v>-0.8062210521</v>
      </c>
      <c r="AG97" s="57">
        <f t="shared" si="46"/>
        <v>772.71125</v>
      </c>
      <c r="AH97" s="15">
        <f>IFERROR(AG97/AG148, "NA")</f>
        <v>0.03175589251</v>
      </c>
      <c r="AI97" s="61">
        <f t="shared" si="47"/>
        <v>-532.77125</v>
      </c>
      <c r="AJ97" s="62">
        <f>IFERROR(AI97/AI148, "NA")</f>
        <v>0.1270255248</v>
      </c>
      <c r="AK97" s="61">
        <f t="shared" si="48"/>
        <v>-0.6894829731</v>
      </c>
      <c r="AL97" s="62">
        <f>IFERROR(AK97/AK148, "NA")</f>
        <v>4.000061556</v>
      </c>
    </row>
    <row r="98" ht="16.5" hidden="1" customHeight="1">
      <c r="A98" s="26" t="s">
        <v>215</v>
      </c>
      <c r="B98" s="28">
        <v>259.85</v>
      </c>
      <c r="C98" s="15">
        <f>IFERROR(B98/B148, "NA")</f>
        <v>0.02247621552</v>
      </c>
      <c r="D98" s="28">
        <v>213.39</v>
      </c>
      <c r="E98" s="15">
        <f>IFERROR(D98/D148, "NA")</f>
        <v>0.0115931305</v>
      </c>
      <c r="F98" s="28">
        <v>2266.71</v>
      </c>
      <c r="G98" s="15">
        <f>IFERROR(F98/F148, "NA")</f>
        <v>0.0985039135</v>
      </c>
      <c r="H98" s="28">
        <v>806.39</v>
      </c>
      <c r="I98" s="15">
        <f>IFERROR(H98/H148, "NA")</f>
        <v>0.03901450386</v>
      </c>
      <c r="J98" s="28">
        <v>185.32</v>
      </c>
      <c r="K98" s="15">
        <f>IFERROR(J98/J148, "NA")</f>
        <v>0.009292497557</v>
      </c>
      <c r="L98" s="28">
        <v>511.05</v>
      </c>
      <c r="M98" s="15">
        <f>IFERROR(L98/L148, "NA")</f>
        <v>0.0174742084</v>
      </c>
      <c r="N98" s="28">
        <v>2504.22</v>
      </c>
      <c r="O98" s="15">
        <f>IFERROR(N98/N148, "NA")</f>
        <v>0.1117821618</v>
      </c>
      <c r="P98" s="28">
        <v>291.03</v>
      </c>
      <c r="Q98" s="15">
        <f>IFERROR(P98/P148, "NA")</f>
        <v>0.01147536265</v>
      </c>
      <c r="R98" s="28">
        <v>960.66</v>
      </c>
      <c r="S98" s="15">
        <f>IFERROR(R98/R148, "NA")</f>
        <v>0.0401137278</v>
      </c>
      <c r="T98" s="28">
        <v>254.77</v>
      </c>
      <c r="U98" s="15">
        <f>IFERROR(T98/T148, "NA")</f>
        <v>0.008616304726</v>
      </c>
      <c r="V98" s="28">
        <v>783.73</v>
      </c>
      <c r="W98" s="15">
        <f>IFERROR(V98/V148, "NA")</f>
        <v>0.03258148385</v>
      </c>
      <c r="X98" s="28">
        <v>2306.76</v>
      </c>
      <c r="Y98" s="15">
        <f>IFERROR(X98/X148, "NA")</f>
        <v>0.1145439811</v>
      </c>
      <c r="Z98" s="28">
        <v>3345.26</v>
      </c>
      <c r="AA98" s="15">
        <f>IFERROR(Z98/Z148, "NA")</f>
        <v>0.04535241032</v>
      </c>
      <c r="AB98" s="57">
        <f t="shared" si="43"/>
        <v>1076.48</v>
      </c>
      <c r="AC98" s="15">
        <f>IFERROR(AB98/AB148, "NA")</f>
        <v>0.0440684242</v>
      </c>
      <c r="AD98" s="61">
        <f t="shared" si="44"/>
        <v>1230.28</v>
      </c>
      <c r="AE98" s="62">
        <f>IFERROR(AD98/AD148, "NA")</f>
        <v>-0.2868569557</v>
      </c>
      <c r="AF98" s="61">
        <f t="shared" si="45"/>
        <v>1.142873068</v>
      </c>
      <c r="AG98" s="57">
        <f t="shared" si="46"/>
        <v>974.6925</v>
      </c>
      <c r="AH98" s="15">
        <f>IFERROR(AG98/AG148, "NA")</f>
        <v>0.04005665798</v>
      </c>
      <c r="AI98" s="61">
        <f t="shared" si="47"/>
        <v>1332.0675</v>
      </c>
      <c r="AJ98" s="62">
        <f>IFERROR(AI98/AI148, "NA")</f>
        <v>-0.3175970423</v>
      </c>
      <c r="AK98" s="61">
        <f t="shared" si="48"/>
        <v>1.366654099</v>
      </c>
      <c r="AL98" s="62">
        <f>IFERROR(AK98/AK148, "NA")</f>
        <v>-7.928695461</v>
      </c>
    </row>
    <row r="99" ht="16.5" hidden="1" customHeight="1">
      <c r="A99" s="67" t="s">
        <v>216</v>
      </c>
      <c r="B99" s="70">
        <f>IFERROR(B90+B91+B92+B93+B94+B95+B96+B97+B98, "NA")</f>
        <v>2258.88</v>
      </c>
      <c r="C99" s="71">
        <f>IFERROR(B99/B148, "NA")</f>
        <v>0.1953860832</v>
      </c>
      <c r="D99" s="70">
        <f>IFERROR(D90+D91+D92+D93+D94+D95+D96+D97+D98, "NA")</f>
        <v>3019.3</v>
      </c>
      <c r="E99" s="71">
        <f>IFERROR(D99/D148, "NA")</f>
        <v>0.1640336423</v>
      </c>
      <c r="F99" s="70">
        <f>IFERROR(F90+F91+F92+F93+F94+F95+F96+F97+F98, "NA")</f>
        <v>6938.1</v>
      </c>
      <c r="G99" s="71">
        <f>IFERROR(F99/F148, "NA")</f>
        <v>0.3015074722</v>
      </c>
      <c r="H99" s="70">
        <f>IFERROR(H90+H91+H92+H93+H94+H95+H96+H97+H98, "NA")</f>
        <v>7721.96</v>
      </c>
      <c r="I99" s="71">
        <f>IFERROR(H99/H148, "NA")</f>
        <v>0.3736014066</v>
      </c>
      <c r="J99" s="70">
        <f>IFERROR(J90+J91+J92+J93+J94+J95+J96+J97+J98, "NA")</f>
        <v>4666.63</v>
      </c>
      <c r="K99" s="71">
        <f>IFERROR(J99/J148, "NA")</f>
        <v>0.2339987474</v>
      </c>
      <c r="L99" s="70">
        <f>IFERROR(L90+L91+L92+L93+L94+L95+L96+L97+L98, "NA")</f>
        <v>5633.66</v>
      </c>
      <c r="M99" s="71">
        <f>IFERROR(L99/L148, "NA")</f>
        <v>0.1926303667</v>
      </c>
      <c r="N99" s="70">
        <f>IFERROR(N90+N91+N92+N93+N94+N95+N96+N97+N98, "NA")</f>
        <v>6690.35</v>
      </c>
      <c r="O99" s="71">
        <f>IFERROR(N99/N148, "NA")</f>
        <v>0.2986406091</v>
      </c>
      <c r="P99" s="70">
        <f>IFERROR(P90+P91+P92+P93+P94+P95+P96+P97+P98, "NA")</f>
        <v>3787.12</v>
      </c>
      <c r="Q99" s="71">
        <f>IFERROR(P99/P148, "NA")</f>
        <v>0.149326789</v>
      </c>
      <c r="R99" s="70">
        <f>IFERROR(R90+R91+R92+R93+R94+R95+R96+R97+R98, "NA")</f>
        <v>9450.9</v>
      </c>
      <c r="S99" s="71">
        <f>IFERROR(R99/R148, "NA")</f>
        <v>0.3946358025</v>
      </c>
      <c r="T99" s="70">
        <f>IFERROR(T90+T91+T92+T93+T94+T95+T96+T97+T98, "NA")</f>
        <v>6576.38</v>
      </c>
      <c r="U99" s="71">
        <f>IFERROR(T99/T148, "NA")</f>
        <v>0.2224127412</v>
      </c>
      <c r="V99" s="70">
        <f>IFERROR(V90+V91+V92+V93+V94+V95+V96+V97+V98, "NA")</f>
        <v>4318.63</v>
      </c>
      <c r="W99" s="71">
        <f>IFERROR(V99/V148, "NA")</f>
        <v>0.1795355206</v>
      </c>
      <c r="X99" s="70">
        <f>IFERROR(X90+X91+X92+X93+X94+X95+X96+X97+X98, "NA")</f>
        <v>4180.75</v>
      </c>
      <c r="Y99" s="71">
        <f>IFERROR(X99/X148, "NA")</f>
        <v>0.2075984277</v>
      </c>
      <c r="Z99" s="70">
        <f>IFERROR(Z90+Z91+Z92+Z93+Z94+Z95+Z96+Z97+Z98, "NA")</f>
        <v>15075.76</v>
      </c>
      <c r="AA99" s="71">
        <f>IFERROR(Z99/Z148, "NA")</f>
        <v>0.2043853253</v>
      </c>
      <c r="AB99" s="70">
        <f t="shared" si="43"/>
        <v>6131.665</v>
      </c>
      <c r="AC99" s="71">
        <f>IFERROR(AB99/AB148, "NA")</f>
        <v>0.2510151738</v>
      </c>
      <c r="AD99" s="75">
        <f t="shared" si="44"/>
        <v>-1950.915</v>
      </c>
      <c r="AE99" s="76">
        <f>IFERROR(AD99/AD148, "NA")</f>
        <v>0.4548830654</v>
      </c>
      <c r="AF99" s="75">
        <f t="shared" si="45"/>
        <v>-0.3181705132</v>
      </c>
      <c r="AG99" s="70">
        <f t="shared" si="46"/>
        <v>5663.0525</v>
      </c>
      <c r="AH99" s="71">
        <f>IFERROR(AG99/AG148, "NA")</f>
        <v>0.2327328436</v>
      </c>
      <c r="AI99" s="75">
        <f t="shared" si="47"/>
        <v>-1482.3025</v>
      </c>
      <c r="AJ99" s="76">
        <f>IFERROR(AI99/AI148, "NA")</f>
        <v>0.3534166924</v>
      </c>
      <c r="AK99" s="75">
        <f t="shared" si="48"/>
        <v>-0.2617497366</v>
      </c>
      <c r="AL99" s="76">
        <f>IFERROR(AK99/AK148, "NA")</f>
        <v>1.518551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2"/>
      <c r="AF100" s="125"/>
      <c r="AG100" s="124"/>
      <c r="AH100" s="74"/>
      <c r="AI100" s="125"/>
      <c r="AJ100" s="82"/>
      <c r="AK100" s="125"/>
      <c r="AL100" s="82"/>
    </row>
    <row r="101" ht="16.5" hidden="1" customHeight="1">
      <c r="A101" s="121" t="s">
        <v>217</v>
      </c>
      <c r="B101" s="122">
        <f>IFERROR(B87-B99, "NA")</f>
        <v>716.16</v>
      </c>
      <c r="C101" s="98">
        <f>IFERROR(B101/B148, "NA")</f>
        <v>0.06194560903</v>
      </c>
      <c r="D101" s="122">
        <f>IFERROR(D87-D99, "NA")</f>
        <v>4189.85</v>
      </c>
      <c r="E101" s="98">
        <f>IFERROR(D101/D148, "NA")</f>
        <v>0.2276277138</v>
      </c>
      <c r="F101" s="122">
        <f>IFERROR(F87-F99, "NA")</f>
        <v>4358.59</v>
      </c>
      <c r="G101" s="98">
        <f>IFERROR(F101/F148, "NA")</f>
        <v>0.1894102785</v>
      </c>
      <c r="H101" s="122">
        <f>IFERROR(H87-H99, "NA")</f>
        <v>1216.18</v>
      </c>
      <c r="I101" s="98">
        <f>IFERROR(H101/H148, "NA")</f>
        <v>0.05884083298</v>
      </c>
      <c r="J101" s="122">
        <f>IFERROR(J87-J99, "NA")</f>
        <v>3473.61</v>
      </c>
      <c r="K101" s="98">
        <f>IFERROR(J101/J148, "NA")</f>
        <v>0.1741771662</v>
      </c>
      <c r="L101" s="122">
        <f>IFERROR(L87-L99, "NA")</f>
        <v>8516.41</v>
      </c>
      <c r="M101" s="98">
        <f>IFERROR(L101/L148, "NA")</f>
        <v>0.2911995366</v>
      </c>
      <c r="N101" s="122">
        <f>IFERROR(N87-N99, "NA")</f>
        <v>3732.21</v>
      </c>
      <c r="O101" s="98">
        <f>IFERROR(N101/N148, "NA")</f>
        <v>0.1665965858</v>
      </c>
      <c r="P101" s="122">
        <f>IFERROR(P87-P99, "NA")</f>
        <v>8080.48</v>
      </c>
      <c r="Q101" s="98">
        <f>IFERROR(P101/P148, "NA")</f>
        <v>0.3186147077</v>
      </c>
      <c r="R101" s="122">
        <f>IFERROR(R87-R99, "NA")</f>
        <v>1136.33</v>
      </c>
      <c r="S101" s="98">
        <f>IFERROR(R101/R148, "NA")</f>
        <v>0.04744907908</v>
      </c>
      <c r="T101" s="122">
        <f>IFERROR(T87-T99, "NA")</f>
        <v>8191.85</v>
      </c>
      <c r="U101" s="98">
        <f>IFERROR(T101/T148, "NA")</f>
        <v>0.2770478309</v>
      </c>
      <c r="V101" s="122">
        <f>IFERROR(V87-V99, "NA")</f>
        <v>6246.7</v>
      </c>
      <c r="W101" s="98">
        <f>IFERROR(V101/V148, "NA")</f>
        <v>0.259689887</v>
      </c>
      <c r="X101" s="122">
        <f>IFERROR(X87-X99, "NA")</f>
        <v>4861.69</v>
      </c>
      <c r="Y101" s="98">
        <f>IFERROR(X101/X148, "NA")</f>
        <v>0.2414110387</v>
      </c>
      <c r="Z101" s="122">
        <f>IFERROR(Z87-Z99, "NA")</f>
        <v>19300.24</v>
      </c>
      <c r="AA101" s="98">
        <f>IFERROR(Z101/Z148, "NA")</f>
        <v>0.2616575106</v>
      </c>
      <c r="AB101" s="122">
        <f>IFERROR((R101+T101+V101+X101)/4, "NA")</f>
        <v>5109.1425</v>
      </c>
      <c r="AC101" s="98">
        <f>IFERROR(AB101/AB148, "NA")</f>
        <v>0.209155636</v>
      </c>
      <c r="AD101" s="75">
        <f>IFERROR(X101-AB101, "NA")</f>
        <v>-247.4525</v>
      </c>
      <c r="AE101" s="76">
        <f>IFERROR(AD101/AD148, "NA")</f>
        <v>0.0576970046</v>
      </c>
      <c r="AF101" s="75">
        <f>IFERROR((X101-AB101)/AB101, "NA")</f>
        <v>-0.04843327427</v>
      </c>
      <c r="AG101" s="122">
        <f>IFERROR((J101+L101+N101+P101+R101+T101+V101+X101)/8, "NA")</f>
        <v>5529.91</v>
      </c>
      <c r="AH101" s="98">
        <f>IFERROR(AG101/AG148, "NA")</f>
        <v>0.2272611245</v>
      </c>
      <c r="AI101" s="75">
        <f>IFERROR(X101-AG101, "NA")</f>
        <v>-668.22</v>
      </c>
      <c r="AJ101" s="76">
        <f>IFERROR(AI101/AI148, "NA")</f>
        <v>0.1593197759</v>
      </c>
      <c r="AK101" s="75">
        <f>IFERROR((X101-AG101)/AG101, "NA")</f>
        <v>-0.1208374097</v>
      </c>
      <c r="AL101" s="76">
        <f>IFERROR(AK101/AK148, "NA")</f>
        <v>0.7010428041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2"/>
      <c r="AF102" s="125"/>
      <c r="AG102" s="124"/>
      <c r="AH102" s="74"/>
      <c r="AI102" s="125"/>
      <c r="AJ102" s="82"/>
      <c r="AK102" s="125"/>
      <c r="AL102" s="82"/>
    </row>
    <row r="103" ht="16.5" hidden="1" customHeight="1">
      <c r="A103" s="22" t="s">
        <v>218</v>
      </c>
      <c r="B103" s="23"/>
      <c r="C103" s="10"/>
      <c r="D103" s="23"/>
      <c r="E103" s="10"/>
      <c r="F103" s="23"/>
      <c r="G103" s="10"/>
      <c r="H103" s="23"/>
      <c r="I103" s="10"/>
      <c r="J103" s="23"/>
      <c r="K103" s="10"/>
      <c r="L103" s="23"/>
      <c r="M103" s="10"/>
      <c r="N103" s="23"/>
      <c r="O103" s="10"/>
      <c r="P103" s="23"/>
      <c r="Q103" s="10"/>
      <c r="R103" s="23"/>
      <c r="S103" s="10"/>
      <c r="T103" s="23"/>
      <c r="U103" s="10"/>
      <c r="V103" s="23"/>
      <c r="W103" s="10"/>
      <c r="X103" s="23"/>
      <c r="Y103" s="10"/>
      <c r="Z103" s="23"/>
      <c r="AA103" s="10"/>
      <c r="AB103" s="23"/>
      <c r="AC103" s="10"/>
      <c r="AD103" s="24"/>
      <c r="AE103" s="25"/>
      <c r="AF103" s="24"/>
      <c r="AG103" s="23"/>
      <c r="AH103" s="10"/>
      <c r="AI103" s="24"/>
      <c r="AJ103" s="25"/>
      <c r="AK103" s="24"/>
      <c r="AL103" s="25"/>
    </row>
    <row r="104" ht="16.5" hidden="1" customHeight="1">
      <c r="A104" s="126" t="s">
        <v>219</v>
      </c>
      <c r="B104" s="127">
        <v>524.66</v>
      </c>
      <c r="C104" s="98">
        <f>IFERROR(B104/B148, "NA")</f>
        <v>0.04538145559</v>
      </c>
      <c r="D104" s="127">
        <v>0.0</v>
      </c>
      <c r="E104" s="98">
        <f>IFERROR(D104/D148, "NA")</f>
        <v>0</v>
      </c>
      <c r="F104" s="127">
        <v>2887.79</v>
      </c>
      <c r="G104" s="98">
        <f>IFERROR(F104/F148, "NA")</f>
        <v>0.1254940492</v>
      </c>
      <c r="H104" s="127">
        <v>7989.63</v>
      </c>
      <c r="I104" s="98">
        <f>IFERROR(H104/H148, "NA")</f>
        <v>0.3865517311</v>
      </c>
      <c r="J104" s="127">
        <v>3085.78</v>
      </c>
      <c r="K104" s="98">
        <f>IFERROR(J104/J148, "NA")</f>
        <v>0.1547302132</v>
      </c>
      <c r="L104" s="127">
        <v>0.0</v>
      </c>
      <c r="M104" s="98">
        <f>IFERROR(L104/L148, "NA")</f>
        <v>0</v>
      </c>
      <c r="N104" s="127">
        <v>2557.38</v>
      </c>
      <c r="O104" s="98">
        <f>IFERROR(N104/N148, "NA")</f>
        <v>0.1141550922</v>
      </c>
      <c r="P104" s="127">
        <v>0.0</v>
      </c>
      <c r="Q104" s="98">
        <f>IFERROR(P104/P148, "NA")</f>
        <v>0</v>
      </c>
      <c r="R104" s="127">
        <v>9083.58</v>
      </c>
      <c r="S104" s="98">
        <f>IFERROR(R104/R148, "NA")</f>
        <v>0.3792978323</v>
      </c>
      <c r="T104" s="127">
        <v>654.23</v>
      </c>
      <c r="U104" s="98">
        <f>IFERROR(T104/T148, "NA")</f>
        <v>0.02212601578</v>
      </c>
      <c r="V104" s="127">
        <v>0.0</v>
      </c>
      <c r="W104" s="98">
        <f>IFERROR(V104/V148, "NA")</f>
        <v>0</v>
      </c>
      <c r="X104" s="127">
        <v>329.61</v>
      </c>
      <c r="Y104" s="98">
        <f>IFERROR(X104/X148, "NA")</f>
        <v>0.01636704365</v>
      </c>
      <c r="Z104" s="127">
        <v>983.84</v>
      </c>
      <c r="AA104" s="98">
        <f>IFERROR(Z104/Z148, "NA")</f>
        <v>0.01333813078</v>
      </c>
      <c r="AB104" s="122">
        <f t="shared" ref="AB104:AB105" si="49">IFERROR((R104+T104+V104+X104)/4, "NA")</f>
        <v>2516.855</v>
      </c>
      <c r="AC104" s="98">
        <f>IFERROR(AB104/AB148, "NA")</f>
        <v>0.1030338082</v>
      </c>
      <c r="AD104" s="75">
        <f t="shared" ref="AD104:AD105" si="50">IFERROR(X104-AB104, "NA")</f>
        <v>-2187.245</v>
      </c>
      <c r="AE104" s="76">
        <f>IFERROR(AD104/AD148, "NA")</f>
        <v>0.5099867038</v>
      </c>
      <c r="AF104" s="75">
        <f t="shared" ref="AF104:AF105" si="51">IFERROR((X104-AB104)/AB104, "NA")</f>
        <v>-0.8690389395</v>
      </c>
      <c r="AG104" s="122">
        <f t="shared" ref="AG104:AG105" si="52">IFERROR((J104+L104+N104+P104+R104+T104+V104+X104)/8, "NA")</f>
        <v>1963.8225</v>
      </c>
      <c r="AH104" s="98">
        <f>IFERROR(AG104/AG148, "NA")</f>
        <v>0.08070664976</v>
      </c>
      <c r="AI104" s="75">
        <f t="shared" ref="AI104:AI105" si="53">IFERROR(X104-AG104, "NA")</f>
        <v>-1634.2125</v>
      </c>
      <c r="AJ104" s="76">
        <f>IFERROR(AI104/AI148, "NA")</f>
        <v>0.3896357028</v>
      </c>
      <c r="AK104" s="75">
        <f t="shared" ref="AK104:AK105" si="54">IFERROR((X104-AG104)/AG104, "NA")</f>
        <v>-0.8321589655</v>
      </c>
      <c r="AL104" s="76">
        <f>IFERROR(AK104/AK148, "NA")</f>
        <v>4.827801724</v>
      </c>
    </row>
    <row r="105" ht="16.5" hidden="1" customHeight="1">
      <c r="A105" s="67" t="s">
        <v>220</v>
      </c>
      <c r="B105" s="70">
        <f>IFERROR(B104, "NA")</f>
        <v>524.66</v>
      </c>
      <c r="C105" s="71">
        <f>IFERROR(B105/B148, "NA")</f>
        <v>0.04538145559</v>
      </c>
      <c r="D105" s="70">
        <f>IFERROR(D104, "NA")</f>
        <v>0</v>
      </c>
      <c r="E105" s="71">
        <f>IFERROR(D105/D148, "NA")</f>
        <v>0</v>
      </c>
      <c r="F105" s="70">
        <f>IFERROR(F104, "NA")</f>
        <v>2887.79</v>
      </c>
      <c r="G105" s="71">
        <f>IFERROR(F105/F148, "NA")</f>
        <v>0.1254940492</v>
      </c>
      <c r="H105" s="70">
        <f>IFERROR(H104, "NA")</f>
        <v>7989.63</v>
      </c>
      <c r="I105" s="71">
        <f>IFERROR(H105/H148, "NA")</f>
        <v>0.3865517311</v>
      </c>
      <c r="J105" s="70">
        <f>IFERROR(J104, "NA")</f>
        <v>3085.78</v>
      </c>
      <c r="K105" s="71">
        <f>IFERROR(J105/J148, "NA")</f>
        <v>0.1547302132</v>
      </c>
      <c r="L105" s="70">
        <f>IFERROR(L104, "NA")</f>
        <v>0</v>
      </c>
      <c r="M105" s="71">
        <f>IFERROR(L105/L148, "NA")</f>
        <v>0</v>
      </c>
      <c r="N105" s="70">
        <f>IFERROR(N104, "NA")</f>
        <v>2557.38</v>
      </c>
      <c r="O105" s="71">
        <f>IFERROR(N105/N148, "NA")</f>
        <v>0.1141550922</v>
      </c>
      <c r="P105" s="70">
        <f>IFERROR(P104, "NA")</f>
        <v>0</v>
      </c>
      <c r="Q105" s="71">
        <f>IFERROR(P105/P148, "NA")</f>
        <v>0</v>
      </c>
      <c r="R105" s="70">
        <f>IFERROR(R104, "NA")</f>
        <v>9083.58</v>
      </c>
      <c r="S105" s="71">
        <f>IFERROR(R105/R148, "NA")</f>
        <v>0.3792978323</v>
      </c>
      <c r="T105" s="70">
        <f>IFERROR(T104, "NA")</f>
        <v>654.23</v>
      </c>
      <c r="U105" s="71">
        <f>IFERROR(T105/T148, "NA")</f>
        <v>0.02212601578</v>
      </c>
      <c r="V105" s="70">
        <f>IFERROR(V104, "NA")</f>
        <v>0</v>
      </c>
      <c r="W105" s="71">
        <f>IFERROR(V105/V148, "NA")</f>
        <v>0</v>
      </c>
      <c r="X105" s="70">
        <f>IFERROR(X104, "NA")</f>
        <v>329.61</v>
      </c>
      <c r="Y105" s="71">
        <f>IFERROR(X105/X148, "NA")</f>
        <v>0.01636704365</v>
      </c>
      <c r="Z105" s="70">
        <f>IFERROR(Z104, "NA")</f>
        <v>983.84</v>
      </c>
      <c r="AA105" s="71">
        <f>IFERROR(Z105/Z148, "NA")</f>
        <v>0.01333813078</v>
      </c>
      <c r="AB105" s="70">
        <f t="shared" si="49"/>
        <v>2516.855</v>
      </c>
      <c r="AC105" s="71">
        <f>IFERROR(AB105/AB148, "NA")</f>
        <v>0.1030338082</v>
      </c>
      <c r="AD105" s="75">
        <f t="shared" si="50"/>
        <v>-2187.245</v>
      </c>
      <c r="AE105" s="76">
        <f>IFERROR(AD105/AD148, "NA")</f>
        <v>0.5099867038</v>
      </c>
      <c r="AF105" s="75">
        <f t="shared" si="51"/>
        <v>-0.8690389395</v>
      </c>
      <c r="AG105" s="70">
        <f t="shared" si="52"/>
        <v>1963.8225</v>
      </c>
      <c r="AH105" s="71">
        <f>IFERROR(AG105/AG148, "NA")</f>
        <v>0.08070664976</v>
      </c>
      <c r="AI105" s="75">
        <f t="shared" si="53"/>
        <v>-1634.2125</v>
      </c>
      <c r="AJ105" s="76">
        <f>IFERROR(AI105/AI148, "NA")</f>
        <v>0.3896357028</v>
      </c>
      <c r="AK105" s="75">
        <f t="shared" si="54"/>
        <v>-0.8321589655</v>
      </c>
      <c r="AL105" s="76">
        <f>IFERROR(AK105/AK148, "NA")</f>
        <v>4.827801724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2"/>
      <c r="AF106" s="125"/>
      <c r="AG106" s="124"/>
      <c r="AH106" s="74"/>
      <c r="AI106" s="125"/>
      <c r="AJ106" s="82"/>
      <c r="AK106" s="125"/>
      <c r="AL106" s="82"/>
    </row>
    <row r="107" ht="16.5" hidden="1" customHeight="1">
      <c r="A107" s="121" t="s">
        <v>221</v>
      </c>
      <c r="B107" s="122">
        <f>IFERROR(B87-B99-B105, "NA")</f>
        <v>191.5</v>
      </c>
      <c r="C107" s="98">
        <f>IFERROR(B107/B148, "NA")</f>
        <v>0.01656415344</v>
      </c>
      <c r="D107" s="122">
        <f>IFERROR(D87-D99-D105, "NA")</f>
        <v>4189.85</v>
      </c>
      <c r="E107" s="98">
        <f>IFERROR(D107/D148, "NA")</f>
        <v>0.2276277138</v>
      </c>
      <c r="F107" s="122">
        <f>IFERROR(F87-F99-F105, "NA")</f>
        <v>1470.8</v>
      </c>
      <c r="G107" s="98">
        <f>IFERROR(F107/F148, "NA")</f>
        <v>0.06391622924</v>
      </c>
      <c r="H107" s="122">
        <f>IFERROR(H87-H99-H105, "NA")</f>
        <v>-6773.45</v>
      </c>
      <c r="I107" s="98">
        <f>IFERROR(H107/H148, "NA")</f>
        <v>-0.3277108982</v>
      </c>
      <c r="J107" s="122">
        <f>IFERROR(J87-J99-J105, "NA")</f>
        <v>387.83</v>
      </c>
      <c r="K107" s="98">
        <f>IFERROR(J107/J148, "NA")</f>
        <v>0.01944695299</v>
      </c>
      <c r="L107" s="122">
        <f>IFERROR(L87-L99-L105, "NA")</f>
        <v>8516.41</v>
      </c>
      <c r="M107" s="98">
        <f>IFERROR(L107/L148, "NA")</f>
        <v>0.2911995366</v>
      </c>
      <c r="N107" s="122">
        <f>IFERROR(N87-N99-N105, "NA")</f>
        <v>1174.83</v>
      </c>
      <c r="O107" s="98">
        <f>IFERROR(N107/N148, "NA")</f>
        <v>0.05244149361</v>
      </c>
      <c r="P107" s="122">
        <f>IFERROR(P87-P99-P105, "NA")</f>
        <v>8080.48</v>
      </c>
      <c r="Q107" s="98">
        <f>IFERROR(P107/P148, "NA")</f>
        <v>0.3186147077</v>
      </c>
      <c r="R107" s="122">
        <f>IFERROR(R87-R99-R105, "NA")</f>
        <v>-7947.25</v>
      </c>
      <c r="S107" s="98">
        <f>IFERROR(R107/R148, "NA")</f>
        <v>-0.3318487532</v>
      </c>
      <c r="T107" s="122">
        <f>IFERROR(T87-T99-T105, "NA")</f>
        <v>7537.62</v>
      </c>
      <c r="U107" s="98">
        <f>IFERROR(T107/T148, "NA")</f>
        <v>0.2549218151</v>
      </c>
      <c r="V107" s="122">
        <f>IFERROR(V87-V99-V105, "NA")</f>
        <v>6246.7</v>
      </c>
      <c r="W107" s="98">
        <f>IFERROR(V107/V148, "NA")</f>
        <v>0.259689887</v>
      </c>
      <c r="X107" s="122">
        <f>IFERROR(X87-X99-X105, "NA")</f>
        <v>4532.08</v>
      </c>
      <c r="Y107" s="98">
        <f>IFERROR(X107/X148, "NA")</f>
        <v>0.225043995</v>
      </c>
      <c r="Z107" s="122">
        <f>IFERROR(Z87-Z99-Z105, "NA")</f>
        <v>18316.4</v>
      </c>
      <c r="AA107" s="98">
        <f>IFERROR(Z107/Z148, "NA")</f>
        <v>0.2483193798</v>
      </c>
      <c r="AB107" s="122">
        <f>IFERROR((R107+T107+V107+X107)/4, "NA")</f>
        <v>2592.2875</v>
      </c>
      <c r="AC107" s="98">
        <f>IFERROR(AB107/AB148, "NA")</f>
        <v>0.1061218278</v>
      </c>
      <c r="AD107" s="75">
        <f>IFERROR(X107-AB107, "NA")</f>
        <v>1939.7925</v>
      </c>
      <c r="AE107" s="76">
        <f>IFERROR(AD107/AD148, "NA")</f>
        <v>-0.4522896992</v>
      </c>
      <c r="AF107" s="75">
        <f>IFERROR((X107-AB107)/AB107, "NA")</f>
        <v>0.7482937367</v>
      </c>
      <c r="AG107" s="122">
        <f>IFERROR((J107+L107+N107+P107+R107+T107+V107+X107)/8, "NA")</f>
        <v>3566.0875</v>
      </c>
      <c r="AH107" s="98">
        <f>IFERROR(AG107/AG148, "NA")</f>
        <v>0.1465544747</v>
      </c>
      <c r="AI107" s="75">
        <f>IFERROR(X107-AG107, "NA")</f>
        <v>965.9925</v>
      </c>
      <c r="AJ107" s="76">
        <f>IFERROR(AI107/AI148, "NA")</f>
        <v>-0.2303159269</v>
      </c>
      <c r="AK107" s="75">
        <f>IFERROR((X107-AG107)/AG107, "NA")</f>
        <v>0.2708830055</v>
      </c>
      <c r="AL107" s="76">
        <f>IFERROR(AK107/AK148, "NA")</f>
        <v>-1.571538006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2"/>
      <c r="AF108" s="125"/>
      <c r="AG108" s="124"/>
      <c r="AH108" s="74"/>
      <c r="AI108" s="125"/>
      <c r="AJ108" s="82"/>
      <c r="AK108" s="125"/>
      <c r="AL108" s="82"/>
    </row>
    <row r="109" ht="16.5" hidden="1" customHeight="1">
      <c r="A109" s="22" t="s">
        <v>222</v>
      </c>
      <c r="B109" s="23"/>
      <c r="C109" s="10"/>
      <c r="D109" s="23"/>
      <c r="E109" s="10"/>
      <c r="F109" s="23"/>
      <c r="G109" s="10"/>
      <c r="H109" s="23"/>
      <c r="I109" s="10"/>
      <c r="J109" s="23"/>
      <c r="K109" s="10"/>
      <c r="L109" s="23"/>
      <c r="M109" s="10"/>
      <c r="N109" s="23"/>
      <c r="O109" s="10"/>
      <c r="P109" s="23"/>
      <c r="Q109" s="10"/>
      <c r="R109" s="23"/>
      <c r="S109" s="10"/>
      <c r="T109" s="23"/>
      <c r="U109" s="10"/>
      <c r="V109" s="23"/>
      <c r="W109" s="10"/>
      <c r="X109" s="23"/>
      <c r="Y109" s="10"/>
      <c r="Z109" s="23"/>
      <c r="AA109" s="10"/>
      <c r="AB109" s="23"/>
      <c r="AC109" s="10"/>
      <c r="AD109" s="24"/>
      <c r="AE109" s="25"/>
      <c r="AF109" s="24"/>
      <c r="AG109" s="23"/>
      <c r="AH109" s="10"/>
      <c r="AI109" s="24"/>
      <c r="AJ109" s="25"/>
      <c r="AK109" s="24"/>
      <c r="AL109" s="25"/>
    </row>
    <row r="110" ht="16.5" hidden="1" customHeight="1">
      <c r="A110" s="26" t="s">
        <v>223</v>
      </c>
      <c r="B110" s="28">
        <v>0.0</v>
      </c>
      <c r="C110" s="15">
        <f>IFERROR(B110/B148, "NA")</f>
        <v>0</v>
      </c>
      <c r="D110" s="28">
        <v>0.0</v>
      </c>
      <c r="E110" s="15">
        <f>IFERROR(D110/D148, "NA")</f>
        <v>0</v>
      </c>
      <c r="F110" s="28">
        <v>0.0</v>
      </c>
      <c r="G110" s="15">
        <f>IFERROR(F110/F148, "NA")</f>
        <v>0</v>
      </c>
      <c r="H110" s="28">
        <v>0.0</v>
      </c>
      <c r="I110" s="15">
        <f>IFERROR(H110/H148, "NA")</f>
        <v>0</v>
      </c>
      <c r="J110" s="28">
        <v>0.0</v>
      </c>
      <c r="K110" s="15">
        <f>IFERROR(J110/J148, "NA")</f>
        <v>0</v>
      </c>
      <c r="L110" s="28">
        <v>0.0</v>
      </c>
      <c r="M110" s="15">
        <f>IFERROR(L110/L148, "NA")</f>
        <v>0</v>
      </c>
      <c r="N110" s="28">
        <v>0.0</v>
      </c>
      <c r="O110" s="15">
        <f>IFERROR(N110/N148, "NA")</f>
        <v>0</v>
      </c>
      <c r="P110" s="28">
        <v>0.0</v>
      </c>
      <c r="Q110" s="15">
        <f>IFERROR(P110/P148, "NA")</f>
        <v>0</v>
      </c>
      <c r="R110" s="28">
        <v>0.0</v>
      </c>
      <c r="S110" s="15">
        <f>IFERROR(R110/R148, "NA")</f>
        <v>0</v>
      </c>
      <c r="T110" s="28">
        <v>0.0</v>
      </c>
      <c r="U110" s="15">
        <f>IFERROR(T110/T148, "NA")</f>
        <v>0</v>
      </c>
      <c r="V110" s="28">
        <v>0.0</v>
      </c>
      <c r="W110" s="15">
        <f>IFERROR(V110/V148, "NA")</f>
        <v>0</v>
      </c>
      <c r="X110" s="28">
        <v>0.0</v>
      </c>
      <c r="Y110" s="15">
        <f>IFERROR(X110/X148, "NA")</f>
        <v>0</v>
      </c>
      <c r="Z110" s="28">
        <v>0.0</v>
      </c>
      <c r="AA110" s="15">
        <f>IFERROR(Z110/Z148, "NA")</f>
        <v>0</v>
      </c>
      <c r="AB110" s="57">
        <f t="shared" ref="AB110:AB135" si="55">IFERROR((R110+T110+V110+X110)/4, "NA")</f>
        <v>0</v>
      </c>
      <c r="AC110" s="15">
        <f>IFERROR(AB110/AB148, "NA")</f>
        <v>0</v>
      </c>
      <c r="AD110" s="61">
        <f t="shared" ref="AD110:AD135" si="56">IFERROR(X110-AB110, "NA")</f>
        <v>0</v>
      </c>
      <c r="AE110" s="62">
        <f>IFERROR(AD110/AD148, "NA")</f>
        <v>0</v>
      </c>
      <c r="AF110" s="61" t="str">
        <f t="shared" ref="AF110:AF135" si="57">IFERROR((X110-AB110)/AB110, "NA")</f>
        <v>NA</v>
      </c>
      <c r="AG110" s="57">
        <f t="shared" ref="AG110:AG135" si="58">IFERROR((J110+L110+N110+P110+R110+T110+V110+X110)/8, "NA")</f>
        <v>0</v>
      </c>
      <c r="AH110" s="15">
        <f>IFERROR(AG110/AG148, "NA")</f>
        <v>0</v>
      </c>
      <c r="AI110" s="61">
        <f t="shared" ref="AI110:AI135" si="59">IFERROR(X110-AG110, "NA")</f>
        <v>0</v>
      </c>
      <c r="AJ110" s="62">
        <f>IFERROR(AI110/AI148, "NA")</f>
        <v>0</v>
      </c>
      <c r="AK110" s="61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6" t="s">
        <v>224</v>
      </c>
      <c r="B111" s="28">
        <v>0.0</v>
      </c>
      <c r="C111" s="15">
        <f>IFERROR(B111/B148, "NA")</f>
        <v>0</v>
      </c>
      <c r="D111" s="28">
        <v>0.0</v>
      </c>
      <c r="E111" s="15">
        <f>IFERROR(D111/D148, "NA")</f>
        <v>0</v>
      </c>
      <c r="F111" s="28">
        <v>0.0</v>
      </c>
      <c r="G111" s="15">
        <f>IFERROR(F111/F148, "NA")</f>
        <v>0</v>
      </c>
      <c r="H111" s="28">
        <v>0.0</v>
      </c>
      <c r="I111" s="15">
        <f>IFERROR(H111/H148, "NA")</f>
        <v>0</v>
      </c>
      <c r="J111" s="28">
        <v>0.0</v>
      </c>
      <c r="K111" s="15">
        <f>IFERROR(J111/J148, "NA")</f>
        <v>0</v>
      </c>
      <c r="L111" s="28">
        <v>0.0</v>
      </c>
      <c r="M111" s="15">
        <f>IFERROR(L111/L148, "NA")</f>
        <v>0</v>
      </c>
      <c r="N111" s="28">
        <v>0.0</v>
      </c>
      <c r="O111" s="15">
        <f>IFERROR(N111/N148, "NA")</f>
        <v>0</v>
      </c>
      <c r="P111" s="28">
        <v>0.0</v>
      </c>
      <c r="Q111" s="15">
        <f>IFERROR(P111/P148, "NA")</f>
        <v>0</v>
      </c>
      <c r="R111" s="28">
        <v>0.0</v>
      </c>
      <c r="S111" s="15">
        <f>IFERROR(R111/R148, "NA")</f>
        <v>0</v>
      </c>
      <c r="T111" s="28">
        <v>0.0</v>
      </c>
      <c r="U111" s="15">
        <f>IFERROR(T111/T148, "NA")</f>
        <v>0</v>
      </c>
      <c r="V111" s="28">
        <v>0.0</v>
      </c>
      <c r="W111" s="15">
        <f>IFERROR(V111/V148, "NA")</f>
        <v>0</v>
      </c>
      <c r="X111" s="28">
        <v>0.0</v>
      </c>
      <c r="Y111" s="15">
        <f>IFERROR(X111/X148, "NA")</f>
        <v>0</v>
      </c>
      <c r="Z111" s="28">
        <v>0.0</v>
      </c>
      <c r="AA111" s="15">
        <f>IFERROR(Z111/Z148, "NA")</f>
        <v>0</v>
      </c>
      <c r="AB111" s="57">
        <f t="shared" si="55"/>
        <v>0</v>
      </c>
      <c r="AC111" s="15">
        <f>IFERROR(AB111/AB148, "NA")</f>
        <v>0</v>
      </c>
      <c r="AD111" s="61">
        <f t="shared" si="56"/>
        <v>0</v>
      </c>
      <c r="AE111" s="62">
        <f>IFERROR(AD111/AD148, "NA")</f>
        <v>0</v>
      </c>
      <c r="AF111" s="61" t="str">
        <f t="shared" si="57"/>
        <v>NA</v>
      </c>
      <c r="AG111" s="57">
        <f t="shared" si="58"/>
        <v>0</v>
      </c>
      <c r="AH111" s="15">
        <f>IFERROR(AG111/AG148, "NA")</f>
        <v>0</v>
      </c>
      <c r="AI111" s="61">
        <f t="shared" si="59"/>
        <v>0</v>
      </c>
      <c r="AJ111" s="62">
        <f>IFERROR(AI111/AI148, "NA")</f>
        <v>0</v>
      </c>
      <c r="AK111" s="61" t="str">
        <f t="shared" si="60"/>
        <v>NA</v>
      </c>
      <c r="AL111" s="62" t="str">
        <f>IFERROR(AK111/AK148, "NA")</f>
        <v>NA</v>
      </c>
    </row>
    <row r="112" ht="16.5" hidden="1" customHeight="1">
      <c r="A112" s="26" t="s">
        <v>225</v>
      </c>
      <c r="B112" s="28">
        <v>0.0</v>
      </c>
      <c r="C112" s="15">
        <f>IFERROR(B112/B148, "NA")</f>
        <v>0</v>
      </c>
      <c r="D112" s="28">
        <v>0.0</v>
      </c>
      <c r="E112" s="15">
        <f>IFERROR(D112/D148, "NA")</f>
        <v>0</v>
      </c>
      <c r="F112" s="28">
        <v>0.0</v>
      </c>
      <c r="G112" s="15">
        <f>IFERROR(F112/F148, "NA")</f>
        <v>0</v>
      </c>
      <c r="H112" s="28">
        <v>0.0</v>
      </c>
      <c r="I112" s="15">
        <f>IFERROR(H112/H148, "NA")</f>
        <v>0</v>
      </c>
      <c r="J112" s="28">
        <v>0.0</v>
      </c>
      <c r="K112" s="15">
        <f>IFERROR(J112/J148, "NA")</f>
        <v>0</v>
      </c>
      <c r="L112" s="28">
        <v>0.0</v>
      </c>
      <c r="M112" s="15">
        <f>IFERROR(L112/L148, "NA")</f>
        <v>0</v>
      </c>
      <c r="N112" s="28">
        <v>0.0</v>
      </c>
      <c r="O112" s="15">
        <f>IFERROR(N112/N148, "NA")</f>
        <v>0</v>
      </c>
      <c r="P112" s="28">
        <v>0.0</v>
      </c>
      <c r="Q112" s="15">
        <f>IFERROR(P112/P148, "NA")</f>
        <v>0</v>
      </c>
      <c r="R112" s="28">
        <v>0.0</v>
      </c>
      <c r="S112" s="15">
        <f>IFERROR(R112/R148, "NA")</f>
        <v>0</v>
      </c>
      <c r="T112" s="28">
        <v>0.0</v>
      </c>
      <c r="U112" s="15">
        <f>IFERROR(T112/T148, "NA")</f>
        <v>0</v>
      </c>
      <c r="V112" s="28">
        <v>0.0</v>
      </c>
      <c r="W112" s="15">
        <f>IFERROR(V112/V148, "NA")</f>
        <v>0</v>
      </c>
      <c r="X112" s="28">
        <v>0.0</v>
      </c>
      <c r="Y112" s="15">
        <f>IFERROR(X112/X148, "NA")</f>
        <v>0</v>
      </c>
      <c r="Z112" s="28">
        <v>0.0</v>
      </c>
      <c r="AA112" s="15">
        <f>IFERROR(Z112/Z148, "NA")</f>
        <v>0</v>
      </c>
      <c r="AB112" s="57">
        <f t="shared" si="55"/>
        <v>0</v>
      </c>
      <c r="AC112" s="15">
        <f>IFERROR(AB112/AB148, "NA")</f>
        <v>0</v>
      </c>
      <c r="AD112" s="61">
        <f t="shared" si="56"/>
        <v>0</v>
      </c>
      <c r="AE112" s="62">
        <f>IFERROR(AD112/AD148, "NA")</f>
        <v>0</v>
      </c>
      <c r="AF112" s="61" t="str">
        <f t="shared" si="57"/>
        <v>NA</v>
      </c>
      <c r="AG112" s="57">
        <f t="shared" si="58"/>
        <v>0</v>
      </c>
      <c r="AH112" s="15">
        <f>IFERROR(AG112/AG148, "NA")</f>
        <v>0</v>
      </c>
      <c r="AI112" s="61">
        <f t="shared" si="59"/>
        <v>0</v>
      </c>
      <c r="AJ112" s="62">
        <f>IFERROR(AI112/AI148, "NA")</f>
        <v>0</v>
      </c>
      <c r="AK112" s="61" t="str">
        <f t="shared" si="60"/>
        <v>NA</v>
      </c>
      <c r="AL112" s="62" t="str">
        <f>IFERROR(AK112/AK148, "NA")</f>
        <v>NA</v>
      </c>
    </row>
    <row r="113" ht="16.5" hidden="1" customHeight="1">
      <c r="A113" s="26" t="s">
        <v>226</v>
      </c>
      <c r="B113" s="28">
        <v>0.0</v>
      </c>
      <c r="C113" s="15">
        <f>IFERROR(B113/B148, "NA")</f>
        <v>0</v>
      </c>
      <c r="D113" s="28">
        <v>0.0</v>
      </c>
      <c r="E113" s="15">
        <f>IFERROR(D113/D148, "NA")</f>
        <v>0</v>
      </c>
      <c r="F113" s="28">
        <v>0.0</v>
      </c>
      <c r="G113" s="15">
        <f>IFERROR(F113/F148, "NA")</f>
        <v>0</v>
      </c>
      <c r="H113" s="28">
        <v>0.0</v>
      </c>
      <c r="I113" s="15">
        <f>IFERROR(H113/H148, "NA")</f>
        <v>0</v>
      </c>
      <c r="J113" s="28">
        <v>0.0</v>
      </c>
      <c r="K113" s="15">
        <f>IFERROR(J113/J148, "NA")</f>
        <v>0</v>
      </c>
      <c r="L113" s="28">
        <v>0.0</v>
      </c>
      <c r="M113" s="15">
        <f>IFERROR(L113/L148, "NA")</f>
        <v>0</v>
      </c>
      <c r="N113" s="28">
        <v>0.0</v>
      </c>
      <c r="O113" s="15">
        <f>IFERROR(N113/N148, "NA")</f>
        <v>0</v>
      </c>
      <c r="P113" s="28">
        <v>0.0</v>
      </c>
      <c r="Q113" s="15">
        <f>IFERROR(P113/P148, "NA")</f>
        <v>0</v>
      </c>
      <c r="R113" s="28">
        <v>0.0</v>
      </c>
      <c r="S113" s="15">
        <f>IFERROR(R113/R148, "NA")</f>
        <v>0</v>
      </c>
      <c r="T113" s="28">
        <v>0.0</v>
      </c>
      <c r="U113" s="15">
        <f>IFERROR(T113/T148, "NA")</f>
        <v>0</v>
      </c>
      <c r="V113" s="28">
        <v>0.0</v>
      </c>
      <c r="W113" s="15">
        <f>IFERROR(V113/V148, "NA")</f>
        <v>0</v>
      </c>
      <c r="X113" s="28">
        <v>0.0</v>
      </c>
      <c r="Y113" s="15">
        <f>IFERROR(X113/X148, "NA")</f>
        <v>0</v>
      </c>
      <c r="Z113" s="28">
        <v>0.0</v>
      </c>
      <c r="AA113" s="15">
        <f>IFERROR(Z113/Z148, "NA")</f>
        <v>0</v>
      </c>
      <c r="AB113" s="57">
        <f t="shared" si="55"/>
        <v>0</v>
      </c>
      <c r="AC113" s="15">
        <f>IFERROR(AB113/AB148, "NA")</f>
        <v>0</v>
      </c>
      <c r="AD113" s="61">
        <f t="shared" si="56"/>
        <v>0</v>
      </c>
      <c r="AE113" s="62">
        <f>IFERROR(AD113/AD148, "NA")</f>
        <v>0</v>
      </c>
      <c r="AF113" s="61" t="str">
        <f t="shared" si="57"/>
        <v>NA</v>
      </c>
      <c r="AG113" s="57">
        <f t="shared" si="58"/>
        <v>0</v>
      </c>
      <c r="AH113" s="15">
        <f>IFERROR(AG113/AG148, "NA")</f>
        <v>0</v>
      </c>
      <c r="AI113" s="61">
        <f t="shared" si="59"/>
        <v>0</v>
      </c>
      <c r="AJ113" s="62">
        <f>IFERROR(AI113/AI148, "NA")</f>
        <v>0</v>
      </c>
      <c r="AK113" s="61" t="str">
        <f t="shared" si="60"/>
        <v>NA</v>
      </c>
      <c r="AL113" s="62" t="str">
        <f>IFERROR(AK113/AK148, "NA")</f>
        <v>NA</v>
      </c>
    </row>
    <row r="114" ht="16.5" hidden="1" customHeight="1">
      <c r="A114" s="26" t="s">
        <v>227</v>
      </c>
      <c r="B114" s="28">
        <v>0.0</v>
      </c>
      <c r="C114" s="15">
        <f>IFERROR(B114/B148, "NA")</f>
        <v>0</v>
      </c>
      <c r="D114" s="28">
        <v>0.0</v>
      </c>
      <c r="E114" s="15">
        <f>IFERROR(D114/D148, "NA")</f>
        <v>0</v>
      </c>
      <c r="F114" s="28">
        <v>0.0</v>
      </c>
      <c r="G114" s="15">
        <f>IFERROR(F114/F148, "NA")</f>
        <v>0</v>
      </c>
      <c r="H114" s="28">
        <v>0.0</v>
      </c>
      <c r="I114" s="15">
        <f>IFERROR(H114/H148, "NA")</f>
        <v>0</v>
      </c>
      <c r="J114" s="28">
        <v>0.0</v>
      </c>
      <c r="K114" s="15">
        <f>IFERROR(J114/J148, "NA")</f>
        <v>0</v>
      </c>
      <c r="L114" s="28">
        <v>0.0</v>
      </c>
      <c r="M114" s="15">
        <f>IFERROR(L114/L148, "NA")</f>
        <v>0</v>
      </c>
      <c r="N114" s="28">
        <v>0.0</v>
      </c>
      <c r="O114" s="15">
        <f>IFERROR(N114/N148, "NA")</f>
        <v>0</v>
      </c>
      <c r="P114" s="28">
        <v>0.0</v>
      </c>
      <c r="Q114" s="15">
        <f>IFERROR(P114/P148, "NA")</f>
        <v>0</v>
      </c>
      <c r="R114" s="28">
        <v>0.0</v>
      </c>
      <c r="S114" s="15">
        <f>IFERROR(R114/R148, "NA")</f>
        <v>0</v>
      </c>
      <c r="T114" s="28">
        <v>0.0</v>
      </c>
      <c r="U114" s="15">
        <f>IFERROR(T114/T148, "NA")</f>
        <v>0</v>
      </c>
      <c r="V114" s="28">
        <v>0.0</v>
      </c>
      <c r="W114" s="15">
        <f>IFERROR(V114/V148, "NA")</f>
        <v>0</v>
      </c>
      <c r="X114" s="28">
        <v>0.0</v>
      </c>
      <c r="Y114" s="15">
        <f>IFERROR(X114/X148, "NA")</f>
        <v>0</v>
      </c>
      <c r="Z114" s="28">
        <v>0.0</v>
      </c>
      <c r="AA114" s="15">
        <f>IFERROR(Z114/Z148, "NA")</f>
        <v>0</v>
      </c>
      <c r="AB114" s="57">
        <f t="shared" si="55"/>
        <v>0</v>
      </c>
      <c r="AC114" s="15">
        <f>IFERROR(AB114/AB148, "NA")</f>
        <v>0</v>
      </c>
      <c r="AD114" s="61">
        <f t="shared" si="56"/>
        <v>0</v>
      </c>
      <c r="AE114" s="62">
        <f>IFERROR(AD114/AD148, "NA")</f>
        <v>0</v>
      </c>
      <c r="AF114" s="61" t="str">
        <f t="shared" si="57"/>
        <v>NA</v>
      </c>
      <c r="AG114" s="57">
        <f t="shared" si="58"/>
        <v>0</v>
      </c>
      <c r="AH114" s="15">
        <f>IFERROR(AG114/AG148, "NA")</f>
        <v>0</v>
      </c>
      <c r="AI114" s="61">
        <f t="shared" si="59"/>
        <v>0</v>
      </c>
      <c r="AJ114" s="62">
        <f>IFERROR(AI114/AI148, "NA")</f>
        <v>0</v>
      </c>
      <c r="AK114" s="61" t="str">
        <f t="shared" si="60"/>
        <v>NA</v>
      </c>
      <c r="AL114" s="62" t="str">
        <f>IFERROR(AK114/AK148, "NA")</f>
        <v>NA</v>
      </c>
    </row>
    <row r="115" ht="16.5" hidden="1" customHeight="1">
      <c r="A115" s="26" t="s">
        <v>228</v>
      </c>
      <c r="B115" s="28">
        <v>0.0</v>
      </c>
      <c r="C115" s="15">
        <f>IFERROR(B115/B148, "NA")</f>
        <v>0</v>
      </c>
      <c r="D115" s="28">
        <v>0.0</v>
      </c>
      <c r="E115" s="15">
        <f>IFERROR(D115/D148, "NA")</f>
        <v>0</v>
      </c>
      <c r="F115" s="28">
        <v>0.0</v>
      </c>
      <c r="G115" s="15">
        <f>IFERROR(F115/F148, "NA")</f>
        <v>0</v>
      </c>
      <c r="H115" s="28">
        <v>0.0</v>
      </c>
      <c r="I115" s="15">
        <f>IFERROR(H115/H148, "NA")</f>
        <v>0</v>
      </c>
      <c r="J115" s="28">
        <v>0.0</v>
      </c>
      <c r="K115" s="15">
        <f>IFERROR(J115/J148, "NA")</f>
        <v>0</v>
      </c>
      <c r="L115" s="28">
        <v>0.0</v>
      </c>
      <c r="M115" s="15">
        <f>IFERROR(L115/L148, "NA")</f>
        <v>0</v>
      </c>
      <c r="N115" s="28">
        <v>0.0</v>
      </c>
      <c r="O115" s="15">
        <f>IFERROR(N115/N148, "NA")</f>
        <v>0</v>
      </c>
      <c r="P115" s="28">
        <v>0.0</v>
      </c>
      <c r="Q115" s="15">
        <f>IFERROR(P115/P148, "NA")</f>
        <v>0</v>
      </c>
      <c r="R115" s="28">
        <v>0.0</v>
      </c>
      <c r="S115" s="15">
        <f>IFERROR(R115/R148, "NA")</f>
        <v>0</v>
      </c>
      <c r="T115" s="28">
        <v>0.0</v>
      </c>
      <c r="U115" s="15">
        <f>IFERROR(T115/T148, "NA")</f>
        <v>0</v>
      </c>
      <c r="V115" s="28">
        <v>0.0</v>
      </c>
      <c r="W115" s="15">
        <f>IFERROR(V115/V148, "NA")</f>
        <v>0</v>
      </c>
      <c r="X115" s="28">
        <v>0.0</v>
      </c>
      <c r="Y115" s="15">
        <f>IFERROR(X115/X148, "NA")</f>
        <v>0</v>
      </c>
      <c r="Z115" s="28">
        <v>0.0</v>
      </c>
      <c r="AA115" s="15">
        <f>IFERROR(Z115/Z148, "NA")</f>
        <v>0</v>
      </c>
      <c r="AB115" s="57">
        <f t="shared" si="55"/>
        <v>0</v>
      </c>
      <c r="AC115" s="15">
        <f>IFERROR(AB115/AB148, "NA")</f>
        <v>0</v>
      </c>
      <c r="AD115" s="61">
        <f t="shared" si="56"/>
        <v>0</v>
      </c>
      <c r="AE115" s="62">
        <f>IFERROR(AD115/AD148, "NA")</f>
        <v>0</v>
      </c>
      <c r="AF115" s="61" t="str">
        <f t="shared" si="57"/>
        <v>NA</v>
      </c>
      <c r="AG115" s="57">
        <f t="shared" si="58"/>
        <v>0</v>
      </c>
      <c r="AH115" s="15">
        <f>IFERROR(AG115/AG148, "NA")</f>
        <v>0</v>
      </c>
      <c r="AI115" s="61">
        <f t="shared" si="59"/>
        <v>0</v>
      </c>
      <c r="AJ115" s="62">
        <f>IFERROR(AI115/AI148, "NA")</f>
        <v>0</v>
      </c>
      <c r="AK115" s="61" t="str">
        <f t="shared" si="60"/>
        <v>NA</v>
      </c>
      <c r="AL115" s="62" t="str">
        <f>IFERROR(AK115/AK148, "NA")</f>
        <v>NA</v>
      </c>
    </row>
    <row r="116" ht="16.5" hidden="1" customHeight="1">
      <c r="A116" s="26" t="s">
        <v>229</v>
      </c>
      <c r="B116" s="28">
        <v>0.0</v>
      </c>
      <c r="C116" s="15">
        <f>IFERROR(B116/B148, "NA")</f>
        <v>0</v>
      </c>
      <c r="D116" s="28">
        <v>0.0</v>
      </c>
      <c r="E116" s="15">
        <f>IFERROR(D116/D148, "NA")</f>
        <v>0</v>
      </c>
      <c r="F116" s="28">
        <v>0.0</v>
      </c>
      <c r="G116" s="15">
        <f>IFERROR(F116/F148, "NA")</f>
        <v>0</v>
      </c>
      <c r="H116" s="28">
        <v>0.0</v>
      </c>
      <c r="I116" s="15">
        <f>IFERROR(H116/H148, "NA")</f>
        <v>0</v>
      </c>
      <c r="J116" s="28">
        <v>0.0</v>
      </c>
      <c r="K116" s="15">
        <f>IFERROR(J116/J148, "NA")</f>
        <v>0</v>
      </c>
      <c r="L116" s="28">
        <v>0.0</v>
      </c>
      <c r="M116" s="15">
        <f>IFERROR(L116/L148, "NA")</f>
        <v>0</v>
      </c>
      <c r="N116" s="28">
        <v>0.0</v>
      </c>
      <c r="O116" s="15">
        <f>IFERROR(N116/N148, "NA")</f>
        <v>0</v>
      </c>
      <c r="P116" s="28">
        <v>0.0</v>
      </c>
      <c r="Q116" s="15">
        <f>IFERROR(P116/P148, "NA")</f>
        <v>0</v>
      </c>
      <c r="R116" s="28">
        <v>0.0</v>
      </c>
      <c r="S116" s="15">
        <f>IFERROR(R116/R148, "NA")</f>
        <v>0</v>
      </c>
      <c r="T116" s="28">
        <v>0.0</v>
      </c>
      <c r="U116" s="15">
        <f>IFERROR(T116/T148, "NA")</f>
        <v>0</v>
      </c>
      <c r="V116" s="28">
        <v>0.0</v>
      </c>
      <c r="W116" s="15">
        <f>IFERROR(V116/V148, "NA")</f>
        <v>0</v>
      </c>
      <c r="X116" s="28">
        <v>0.0</v>
      </c>
      <c r="Y116" s="15">
        <f>IFERROR(X116/X148, "NA")</f>
        <v>0</v>
      </c>
      <c r="Z116" s="28">
        <v>0.0</v>
      </c>
      <c r="AA116" s="15">
        <f>IFERROR(Z116/Z148, "NA")</f>
        <v>0</v>
      </c>
      <c r="AB116" s="57">
        <f t="shared" si="55"/>
        <v>0</v>
      </c>
      <c r="AC116" s="15">
        <f>IFERROR(AB116/AB148, "NA")</f>
        <v>0</v>
      </c>
      <c r="AD116" s="61">
        <f t="shared" si="56"/>
        <v>0</v>
      </c>
      <c r="AE116" s="62">
        <f>IFERROR(AD116/AD148, "NA")</f>
        <v>0</v>
      </c>
      <c r="AF116" s="61" t="str">
        <f t="shared" si="57"/>
        <v>NA</v>
      </c>
      <c r="AG116" s="57">
        <f t="shared" si="58"/>
        <v>0</v>
      </c>
      <c r="AH116" s="15">
        <f>IFERROR(AG116/AG148, "NA")</f>
        <v>0</v>
      </c>
      <c r="AI116" s="61">
        <f t="shared" si="59"/>
        <v>0</v>
      </c>
      <c r="AJ116" s="62">
        <f>IFERROR(AI116/AI148, "NA")</f>
        <v>0</v>
      </c>
      <c r="AK116" s="61" t="str">
        <f t="shared" si="60"/>
        <v>NA</v>
      </c>
      <c r="AL116" s="62" t="str">
        <f>IFERROR(AK116/AK148, "NA")</f>
        <v>NA</v>
      </c>
    </row>
    <row r="117" ht="16.5" hidden="1" customHeight="1">
      <c r="A117" s="26" t="s">
        <v>230</v>
      </c>
      <c r="B117" s="28">
        <v>0.0</v>
      </c>
      <c r="C117" s="15">
        <f>IFERROR(B117/B148, "NA")</f>
        <v>0</v>
      </c>
      <c r="D117" s="28">
        <v>0.0</v>
      </c>
      <c r="E117" s="15">
        <f>IFERROR(D117/D148, "NA")</f>
        <v>0</v>
      </c>
      <c r="F117" s="28">
        <v>0.0</v>
      </c>
      <c r="G117" s="15">
        <f>IFERROR(F117/F148, "NA")</f>
        <v>0</v>
      </c>
      <c r="H117" s="28">
        <v>0.0</v>
      </c>
      <c r="I117" s="15">
        <f>IFERROR(H117/H148, "NA")</f>
        <v>0</v>
      </c>
      <c r="J117" s="28">
        <v>0.0</v>
      </c>
      <c r="K117" s="15">
        <f>IFERROR(J117/J148, "NA")</f>
        <v>0</v>
      </c>
      <c r="L117" s="28">
        <v>0.0</v>
      </c>
      <c r="M117" s="15">
        <f>IFERROR(L117/L148, "NA")</f>
        <v>0</v>
      </c>
      <c r="N117" s="28">
        <v>0.0</v>
      </c>
      <c r="O117" s="15">
        <f>IFERROR(N117/N148, "NA")</f>
        <v>0</v>
      </c>
      <c r="P117" s="28">
        <v>0.0</v>
      </c>
      <c r="Q117" s="15">
        <f>IFERROR(P117/P148, "NA")</f>
        <v>0</v>
      </c>
      <c r="R117" s="28">
        <v>0.0</v>
      </c>
      <c r="S117" s="15">
        <f>IFERROR(R117/R148, "NA")</f>
        <v>0</v>
      </c>
      <c r="T117" s="28">
        <v>0.0</v>
      </c>
      <c r="U117" s="15">
        <f>IFERROR(T117/T148, "NA")</f>
        <v>0</v>
      </c>
      <c r="V117" s="28">
        <v>0.0</v>
      </c>
      <c r="W117" s="15">
        <f>IFERROR(V117/V148, "NA")</f>
        <v>0</v>
      </c>
      <c r="X117" s="28">
        <v>0.0</v>
      </c>
      <c r="Y117" s="15">
        <f>IFERROR(X117/X148, "NA")</f>
        <v>0</v>
      </c>
      <c r="Z117" s="28">
        <v>0.0</v>
      </c>
      <c r="AA117" s="15">
        <f>IFERROR(Z117/Z148, "NA")</f>
        <v>0</v>
      </c>
      <c r="AB117" s="57">
        <f t="shared" si="55"/>
        <v>0</v>
      </c>
      <c r="AC117" s="15">
        <f>IFERROR(AB117/AB148, "NA")</f>
        <v>0</v>
      </c>
      <c r="AD117" s="61">
        <f t="shared" si="56"/>
        <v>0</v>
      </c>
      <c r="AE117" s="62">
        <f>IFERROR(AD117/AD148, "NA")</f>
        <v>0</v>
      </c>
      <c r="AF117" s="61" t="str">
        <f t="shared" si="57"/>
        <v>NA</v>
      </c>
      <c r="AG117" s="57">
        <f t="shared" si="58"/>
        <v>0</v>
      </c>
      <c r="AH117" s="15">
        <f>IFERROR(AG117/AG148, "NA")</f>
        <v>0</v>
      </c>
      <c r="AI117" s="61">
        <f t="shared" si="59"/>
        <v>0</v>
      </c>
      <c r="AJ117" s="62">
        <f>IFERROR(AI117/AI148, "NA")</f>
        <v>0</v>
      </c>
      <c r="AK117" s="61" t="str">
        <f t="shared" si="60"/>
        <v>NA</v>
      </c>
      <c r="AL117" s="62" t="str">
        <f>IFERROR(AK117/AK148, "NA")</f>
        <v>NA</v>
      </c>
    </row>
    <row r="118" ht="16.5" hidden="1" customHeight="1">
      <c r="A118" s="26" t="s">
        <v>231</v>
      </c>
      <c r="B118" s="28">
        <v>0.0</v>
      </c>
      <c r="C118" s="15">
        <f>IFERROR(B118/B148, "NA")</f>
        <v>0</v>
      </c>
      <c r="D118" s="28">
        <v>0.0</v>
      </c>
      <c r="E118" s="15">
        <f>IFERROR(D118/D148, "NA")</f>
        <v>0</v>
      </c>
      <c r="F118" s="28">
        <v>0.0</v>
      </c>
      <c r="G118" s="15">
        <f>IFERROR(F118/F148, "NA")</f>
        <v>0</v>
      </c>
      <c r="H118" s="28">
        <v>0.0</v>
      </c>
      <c r="I118" s="15">
        <f>IFERROR(H118/H148, "NA")</f>
        <v>0</v>
      </c>
      <c r="J118" s="28">
        <v>0.0</v>
      </c>
      <c r="K118" s="15">
        <f>IFERROR(J118/J148, "NA")</f>
        <v>0</v>
      </c>
      <c r="L118" s="28">
        <v>0.0</v>
      </c>
      <c r="M118" s="15">
        <f>IFERROR(L118/L148, "NA")</f>
        <v>0</v>
      </c>
      <c r="N118" s="28">
        <v>0.0</v>
      </c>
      <c r="O118" s="15">
        <f>IFERROR(N118/N148, "NA")</f>
        <v>0</v>
      </c>
      <c r="P118" s="28">
        <v>0.0</v>
      </c>
      <c r="Q118" s="15">
        <f>IFERROR(P118/P148, "NA")</f>
        <v>0</v>
      </c>
      <c r="R118" s="28">
        <v>0.0</v>
      </c>
      <c r="S118" s="15">
        <f>IFERROR(R118/R148, "NA")</f>
        <v>0</v>
      </c>
      <c r="T118" s="28">
        <v>0.0</v>
      </c>
      <c r="U118" s="15">
        <f>IFERROR(T118/T148, "NA")</f>
        <v>0</v>
      </c>
      <c r="V118" s="28">
        <v>0.0</v>
      </c>
      <c r="W118" s="15">
        <f>IFERROR(V118/V148, "NA")</f>
        <v>0</v>
      </c>
      <c r="X118" s="28">
        <v>0.0</v>
      </c>
      <c r="Y118" s="15">
        <f>IFERROR(X118/X148, "NA")</f>
        <v>0</v>
      </c>
      <c r="Z118" s="28">
        <v>0.0</v>
      </c>
      <c r="AA118" s="15">
        <f>IFERROR(Z118/Z148, "NA")</f>
        <v>0</v>
      </c>
      <c r="AB118" s="57">
        <f t="shared" si="55"/>
        <v>0</v>
      </c>
      <c r="AC118" s="15">
        <f>IFERROR(AB118/AB148, "NA")</f>
        <v>0</v>
      </c>
      <c r="AD118" s="61">
        <f t="shared" si="56"/>
        <v>0</v>
      </c>
      <c r="AE118" s="62">
        <f>IFERROR(AD118/AD148, "NA")</f>
        <v>0</v>
      </c>
      <c r="AF118" s="61" t="str">
        <f t="shared" si="57"/>
        <v>NA</v>
      </c>
      <c r="AG118" s="57">
        <f t="shared" si="58"/>
        <v>0</v>
      </c>
      <c r="AH118" s="15">
        <f>IFERROR(AG118/AG148, "NA")</f>
        <v>0</v>
      </c>
      <c r="AI118" s="61">
        <f t="shared" si="59"/>
        <v>0</v>
      </c>
      <c r="AJ118" s="62">
        <f>IFERROR(AI118/AI148, "NA")</f>
        <v>0</v>
      </c>
      <c r="AK118" s="61" t="str">
        <f t="shared" si="60"/>
        <v>NA</v>
      </c>
      <c r="AL118" s="62" t="str">
        <f>IFERROR(AK118/AK148, "NA")</f>
        <v>NA</v>
      </c>
    </row>
    <row r="119" ht="16.5" hidden="1" customHeight="1">
      <c r="A119" s="26" t="s">
        <v>232</v>
      </c>
      <c r="B119" s="28">
        <v>0.0</v>
      </c>
      <c r="C119" s="15">
        <f>IFERROR(B119/B148, "NA")</f>
        <v>0</v>
      </c>
      <c r="D119" s="28">
        <v>0.0</v>
      </c>
      <c r="E119" s="15">
        <f>IFERROR(D119/D148, "NA")</f>
        <v>0</v>
      </c>
      <c r="F119" s="28">
        <v>0.0</v>
      </c>
      <c r="G119" s="15">
        <f>IFERROR(F119/F148, "NA")</f>
        <v>0</v>
      </c>
      <c r="H119" s="28">
        <v>0.0</v>
      </c>
      <c r="I119" s="15">
        <f>IFERROR(H119/H148, "NA")</f>
        <v>0</v>
      </c>
      <c r="J119" s="28">
        <v>0.0</v>
      </c>
      <c r="K119" s="15">
        <f>IFERROR(J119/J148, "NA")</f>
        <v>0</v>
      </c>
      <c r="L119" s="28">
        <v>0.0</v>
      </c>
      <c r="M119" s="15">
        <f>IFERROR(L119/L148, "NA")</f>
        <v>0</v>
      </c>
      <c r="N119" s="28">
        <v>0.0</v>
      </c>
      <c r="O119" s="15">
        <f>IFERROR(N119/N148, "NA")</f>
        <v>0</v>
      </c>
      <c r="P119" s="28">
        <v>0.0</v>
      </c>
      <c r="Q119" s="15">
        <f>IFERROR(P119/P148, "NA")</f>
        <v>0</v>
      </c>
      <c r="R119" s="28">
        <v>0.0</v>
      </c>
      <c r="S119" s="15">
        <f>IFERROR(R119/R148, "NA")</f>
        <v>0</v>
      </c>
      <c r="T119" s="28">
        <v>0.0</v>
      </c>
      <c r="U119" s="15">
        <f>IFERROR(T119/T148, "NA")</f>
        <v>0</v>
      </c>
      <c r="V119" s="28">
        <v>0.0</v>
      </c>
      <c r="W119" s="15">
        <f>IFERROR(V119/V148, "NA")</f>
        <v>0</v>
      </c>
      <c r="X119" s="28">
        <v>0.0</v>
      </c>
      <c r="Y119" s="15">
        <f>IFERROR(X119/X148, "NA")</f>
        <v>0</v>
      </c>
      <c r="Z119" s="28">
        <v>0.0</v>
      </c>
      <c r="AA119" s="15">
        <f>IFERROR(Z119/Z148, "NA")</f>
        <v>0</v>
      </c>
      <c r="AB119" s="57">
        <f t="shared" si="55"/>
        <v>0</v>
      </c>
      <c r="AC119" s="15">
        <f>IFERROR(AB119/AB148, "NA")</f>
        <v>0</v>
      </c>
      <c r="AD119" s="61">
        <f t="shared" si="56"/>
        <v>0</v>
      </c>
      <c r="AE119" s="62">
        <f>IFERROR(AD119/AD148, "NA")</f>
        <v>0</v>
      </c>
      <c r="AF119" s="61" t="str">
        <f t="shared" si="57"/>
        <v>NA</v>
      </c>
      <c r="AG119" s="57">
        <f t="shared" si="58"/>
        <v>0</v>
      </c>
      <c r="AH119" s="15">
        <f>IFERROR(AG119/AG148, "NA")</f>
        <v>0</v>
      </c>
      <c r="AI119" s="61">
        <f t="shared" si="59"/>
        <v>0</v>
      </c>
      <c r="AJ119" s="62">
        <f>IFERROR(AI119/AI148, "NA")</f>
        <v>0</v>
      </c>
      <c r="AK119" s="61" t="str">
        <f t="shared" si="60"/>
        <v>NA</v>
      </c>
      <c r="AL119" s="62" t="str">
        <f>IFERROR(AK119/AK148, "NA")</f>
        <v>NA</v>
      </c>
    </row>
    <row r="120" ht="16.5" hidden="1" customHeight="1">
      <c r="A120" s="26" t="s">
        <v>233</v>
      </c>
      <c r="B120" s="28">
        <v>0.0</v>
      </c>
      <c r="C120" s="15">
        <f>IFERROR(B120/B148, "NA")</f>
        <v>0</v>
      </c>
      <c r="D120" s="28">
        <v>0.0</v>
      </c>
      <c r="E120" s="15">
        <f>IFERROR(D120/D148, "NA")</f>
        <v>0</v>
      </c>
      <c r="F120" s="28">
        <v>0.0</v>
      </c>
      <c r="G120" s="15">
        <f>IFERROR(F120/F148, "NA")</f>
        <v>0</v>
      </c>
      <c r="H120" s="28">
        <v>0.0</v>
      </c>
      <c r="I120" s="15">
        <f>IFERROR(H120/H148, "NA")</f>
        <v>0</v>
      </c>
      <c r="J120" s="28">
        <v>0.0</v>
      </c>
      <c r="K120" s="15">
        <f>IFERROR(J120/J148, "NA")</f>
        <v>0</v>
      </c>
      <c r="L120" s="28">
        <v>0.0</v>
      </c>
      <c r="M120" s="15">
        <f>IFERROR(L120/L148, "NA")</f>
        <v>0</v>
      </c>
      <c r="N120" s="28">
        <v>0.0</v>
      </c>
      <c r="O120" s="15">
        <f>IFERROR(N120/N148, "NA")</f>
        <v>0</v>
      </c>
      <c r="P120" s="28">
        <v>0.0</v>
      </c>
      <c r="Q120" s="15">
        <f>IFERROR(P120/P148, "NA")</f>
        <v>0</v>
      </c>
      <c r="R120" s="28">
        <v>0.0</v>
      </c>
      <c r="S120" s="15">
        <f>IFERROR(R120/R148, "NA")</f>
        <v>0</v>
      </c>
      <c r="T120" s="28">
        <v>0.0</v>
      </c>
      <c r="U120" s="15">
        <f>IFERROR(T120/T148, "NA")</f>
        <v>0</v>
      </c>
      <c r="V120" s="28">
        <v>0.0</v>
      </c>
      <c r="W120" s="15">
        <f>IFERROR(V120/V148, "NA")</f>
        <v>0</v>
      </c>
      <c r="X120" s="28">
        <v>0.0</v>
      </c>
      <c r="Y120" s="15">
        <f>IFERROR(X120/X148, "NA")</f>
        <v>0</v>
      </c>
      <c r="Z120" s="28">
        <v>0.0</v>
      </c>
      <c r="AA120" s="15">
        <f>IFERROR(Z120/Z148, "NA")</f>
        <v>0</v>
      </c>
      <c r="AB120" s="57">
        <f t="shared" si="55"/>
        <v>0</v>
      </c>
      <c r="AC120" s="15">
        <f>IFERROR(AB120/AB148, "NA")</f>
        <v>0</v>
      </c>
      <c r="AD120" s="61">
        <f t="shared" si="56"/>
        <v>0</v>
      </c>
      <c r="AE120" s="62">
        <f>IFERROR(AD120/AD148, "NA")</f>
        <v>0</v>
      </c>
      <c r="AF120" s="61" t="str">
        <f t="shared" si="57"/>
        <v>NA</v>
      </c>
      <c r="AG120" s="57">
        <f t="shared" si="58"/>
        <v>0</v>
      </c>
      <c r="AH120" s="15">
        <f>IFERROR(AG120/AG148, "NA")</f>
        <v>0</v>
      </c>
      <c r="AI120" s="61">
        <f t="shared" si="59"/>
        <v>0</v>
      </c>
      <c r="AJ120" s="62">
        <f>IFERROR(AI120/AI148, "NA")</f>
        <v>0</v>
      </c>
      <c r="AK120" s="61" t="str">
        <f t="shared" si="60"/>
        <v>NA</v>
      </c>
      <c r="AL120" s="62" t="str">
        <f>IFERROR(AK120/AK148, "NA")</f>
        <v>NA</v>
      </c>
    </row>
    <row r="121" ht="16.5" hidden="1" customHeight="1">
      <c r="A121" s="26" t="s">
        <v>234</v>
      </c>
      <c r="B121" s="28">
        <v>0.0</v>
      </c>
      <c r="C121" s="15">
        <f>IFERROR(B121/B148, "NA")</f>
        <v>0</v>
      </c>
      <c r="D121" s="28">
        <v>0.0</v>
      </c>
      <c r="E121" s="15">
        <f>IFERROR(D121/D148, "NA")</f>
        <v>0</v>
      </c>
      <c r="F121" s="28">
        <v>0.0</v>
      </c>
      <c r="G121" s="15">
        <f>IFERROR(F121/F148, "NA")</f>
        <v>0</v>
      </c>
      <c r="H121" s="28">
        <v>0.0</v>
      </c>
      <c r="I121" s="15">
        <f>IFERROR(H121/H148, "NA")</f>
        <v>0</v>
      </c>
      <c r="J121" s="28">
        <v>0.0</v>
      </c>
      <c r="K121" s="15">
        <f>IFERROR(J121/J148, "NA")</f>
        <v>0</v>
      </c>
      <c r="L121" s="28">
        <v>0.0</v>
      </c>
      <c r="M121" s="15">
        <f>IFERROR(L121/L148, "NA")</f>
        <v>0</v>
      </c>
      <c r="N121" s="28">
        <v>0.0</v>
      </c>
      <c r="O121" s="15">
        <f>IFERROR(N121/N148, "NA")</f>
        <v>0</v>
      </c>
      <c r="P121" s="28">
        <v>0.0</v>
      </c>
      <c r="Q121" s="15">
        <f>IFERROR(P121/P148, "NA")</f>
        <v>0</v>
      </c>
      <c r="R121" s="28">
        <v>0.0</v>
      </c>
      <c r="S121" s="15">
        <f>IFERROR(R121/R148, "NA")</f>
        <v>0</v>
      </c>
      <c r="T121" s="28">
        <v>0.0</v>
      </c>
      <c r="U121" s="15">
        <f>IFERROR(T121/T148, "NA")</f>
        <v>0</v>
      </c>
      <c r="V121" s="28">
        <v>0.0</v>
      </c>
      <c r="W121" s="15">
        <f>IFERROR(V121/V148, "NA")</f>
        <v>0</v>
      </c>
      <c r="X121" s="28">
        <v>0.0</v>
      </c>
      <c r="Y121" s="15">
        <f>IFERROR(X121/X148, "NA")</f>
        <v>0</v>
      </c>
      <c r="Z121" s="28">
        <v>0.0</v>
      </c>
      <c r="AA121" s="15">
        <f>IFERROR(Z121/Z148, "NA")</f>
        <v>0</v>
      </c>
      <c r="AB121" s="57">
        <f t="shared" si="55"/>
        <v>0</v>
      </c>
      <c r="AC121" s="15">
        <f>IFERROR(AB121/AB148, "NA")</f>
        <v>0</v>
      </c>
      <c r="AD121" s="61">
        <f t="shared" si="56"/>
        <v>0</v>
      </c>
      <c r="AE121" s="62">
        <f>IFERROR(AD121/AD148, "NA")</f>
        <v>0</v>
      </c>
      <c r="AF121" s="61" t="str">
        <f t="shared" si="57"/>
        <v>NA</v>
      </c>
      <c r="AG121" s="57">
        <f t="shared" si="58"/>
        <v>0</v>
      </c>
      <c r="AH121" s="15">
        <f>IFERROR(AG121/AG148, "NA")</f>
        <v>0</v>
      </c>
      <c r="AI121" s="61">
        <f t="shared" si="59"/>
        <v>0</v>
      </c>
      <c r="AJ121" s="62">
        <f>IFERROR(AI121/AI148, "NA")</f>
        <v>0</v>
      </c>
      <c r="AK121" s="61" t="str">
        <f t="shared" si="60"/>
        <v>NA</v>
      </c>
      <c r="AL121" s="62" t="str">
        <f>IFERROR(AK121/AK148, "NA")</f>
        <v>NA</v>
      </c>
    </row>
    <row r="122" ht="16.5" hidden="1" customHeight="1">
      <c r="A122" s="26" t="s">
        <v>235</v>
      </c>
      <c r="B122" s="28">
        <v>0.0</v>
      </c>
      <c r="C122" s="15">
        <f>IFERROR(B122/B148, "NA")</f>
        <v>0</v>
      </c>
      <c r="D122" s="28">
        <v>0.0</v>
      </c>
      <c r="E122" s="15">
        <f>IFERROR(D122/D148, "NA")</f>
        <v>0</v>
      </c>
      <c r="F122" s="28">
        <v>0.0</v>
      </c>
      <c r="G122" s="15">
        <f>IFERROR(F122/F148, "NA")</f>
        <v>0</v>
      </c>
      <c r="H122" s="28">
        <v>0.0</v>
      </c>
      <c r="I122" s="15">
        <f>IFERROR(H122/H148, "NA")</f>
        <v>0</v>
      </c>
      <c r="J122" s="28">
        <v>0.0</v>
      </c>
      <c r="K122" s="15">
        <f>IFERROR(J122/J148, "NA")</f>
        <v>0</v>
      </c>
      <c r="L122" s="28">
        <v>0.0</v>
      </c>
      <c r="M122" s="15">
        <f>IFERROR(L122/L148, "NA")</f>
        <v>0</v>
      </c>
      <c r="N122" s="28">
        <v>0.0</v>
      </c>
      <c r="O122" s="15">
        <f>IFERROR(N122/N148, "NA")</f>
        <v>0</v>
      </c>
      <c r="P122" s="28">
        <v>0.0</v>
      </c>
      <c r="Q122" s="15">
        <f>IFERROR(P122/P148, "NA")</f>
        <v>0</v>
      </c>
      <c r="R122" s="28">
        <v>0.0</v>
      </c>
      <c r="S122" s="15">
        <f>IFERROR(R122/R148, "NA")</f>
        <v>0</v>
      </c>
      <c r="T122" s="28">
        <v>0.0</v>
      </c>
      <c r="U122" s="15">
        <f>IFERROR(T122/T148, "NA")</f>
        <v>0</v>
      </c>
      <c r="V122" s="28">
        <v>0.0</v>
      </c>
      <c r="W122" s="15">
        <f>IFERROR(V122/V148, "NA")</f>
        <v>0</v>
      </c>
      <c r="X122" s="28">
        <v>0.0</v>
      </c>
      <c r="Y122" s="15">
        <f>IFERROR(X122/X148, "NA")</f>
        <v>0</v>
      </c>
      <c r="Z122" s="28">
        <v>0.0</v>
      </c>
      <c r="AA122" s="15">
        <f>IFERROR(Z122/Z148, "NA")</f>
        <v>0</v>
      </c>
      <c r="AB122" s="57">
        <f t="shared" si="55"/>
        <v>0</v>
      </c>
      <c r="AC122" s="15">
        <f>IFERROR(AB122/AB148, "NA")</f>
        <v>0</v>
      </c>
      <c r="AD122" s="61">
        <f t="shared" si="56"/>
        <v>0</v>
      </c>
      <c r="AE122" s="62">
        <f>IFERROR(AD122/AD148, "NA")</f>
        <v>0</v>
      </c>
      <c r="AF122" s="61" t="str">
        <f t="shared" si="57"/>
        <v>NA</v>
      </c>
      <c r="AG122" s="57">
        <f t="shared" si="58"/>
        <v>0</v>
      </c>
      <c r="AH122" s="15">
        <f>IFERROR(AG122/AG148, "NA")</f>
        <v>0</v>
      </c>
      <c r="AI122" s="61">
        <f t="shared" si="59"/>
        <v>0</v>
      </c>
      <c r="AJ122" s="62">
        <f>IFERROR(AI122/AI148, "NA")</f>
        <v>0</v>
      </c>
      <c r="AK122" s="61" t="str">
        <f t="shared" si="60"/>
        <v>NA</v>
      </c>
      <c r="AL122" s="62" t="str">
        <f>IFERROR(AK122/AK148, "NA")</f>
        <v>NA</v>
      </c>
    </row>
    <row r="123" ht="16.5" hidden="1" customHeight="1">
      <c r="A123" s="26" t="s">
        <v>236</v>
      </c>
      <c r="B123" s="28">
        <v>0.0</v>
      </c>
      <c r="C123" s="15">
        <f>IFERROR(B123/B148, "NA")</f>
        <v>0</v>
      </c>
      <c r="D123" s="28">
        <v>0.0</v>
      </c>
      <c r="E123" s="15">
        <f>IFERROR(D123/D148, "NA")</f>
        <v>0</v>
      </c>
      <c r="F123" s="28">
        <v>0.0</v>
      </c>
      <c r="G123" s="15">
        <f>IFERROR(F123/F148, "NA")</f>
        <v>0</v>
      </c>
      <c r="H123" s="28">
        <v>0.0</v>
      </c>
      <c r="I123" s="15">
        <f>IFERROR(H123/H148, "NA")</f>
        <v>0</v>
      </c>
      <c r="J123" s="28">
        <v>0.0</v>
      </c>
      <c r="K123" s="15">
        <f>IFERROR(J123/J148, "NA")</f>
        <v>0</v>
      </c>
      <c r="L123" s="28">
        <v>0.0</v>
      </c>
      <c r="M123" s="15">
        <f>IFERROR(L123/L148, "NA")</f>
        <v>0</v>
      </c>
      <c r="N123" s="28">
        <v>0.0</v>
      </c>
      <c r="O123" s="15">
        <f>IFERROR(N123/N148, "NA")</f>
        <v>0</v>
      </c>
      <c r="P123" s="28">
        <v>0.0</v>
      </c>
      <c r="Q123" s="15">
        <f>IFERROR(P123/P148, "NA")</f>
        <v>0</v>
      </c>
      <c r="R123" s="28">
        <v>0.0</v>
      </c>
      <c r="S123" s="15">
        <f>IFERROR(R123/R148, "NA")</f>
        <v>0</v>
      </c>
      <c r="T123" s="28">
        <v>0.0</v>
      </c>
      <c r="U123" s="15">
        <f>IFERROR(T123/T148, "NA")</f>
        <v>0</v>
      </c>
      <c r="V123" s="28">
        <v>0.0</v>
      </c>
      <c r="W123" s="15">
        <f>IFERROR(V123/V148, "NA")</f>
        <v>0</v>
      </c>
      <c r="X123" s="28">
        <v>0.0</v>
      </c>
      <c r="Y123" s="15">
        <f>IFERROR(X123/X148, "NA")</f>
        <v>0</v>
      </c>
      <c r="Z123" s="28">
        <v>0.0</v>
      </c>
      <c r="AA123" s="15">
        <f>IFERROR(Z123/Z148, "NA")</f>
        <v>0</v>
      </c>
      <c r="AB123" s="57">
        <f t="shared" si="55"/>
        <v>0</v>
      </c>
      <c r="AC123" s="15">
        <f>IFERROR(AB123/AB148, "NA")</f>
        <v>0</v>
      </c>
      <c r="AD123" s="61">
        <f t="shared" si="56"/>
        <v>0</v>
      </c>
      <c r="AE123" s="62">
        <f>IFERROR(AD123/AD148, "NA")</f>
        <v>0</v>
      </c>
      <c r="AF123" s="61" t="str">
        <f t="shared" si="57"/>
        <v>NA</v>
      </c>
      <c r="AG123" s="57">
        <f t="shared" si="58"/>
        <v>0</v>
      </c>
      <c r="AH123" s="15">
        <f>IFERROR(AG123/AG148, "NA")</f>
        <v>0</v>
      </c>
      <c r="AI123" s="61">
        <f t="shared" si="59"/>
        <v>0</v>
      </c>
      <c r="AJ123" s="62">
        <f>IFERROR(AI123/AI148, "NA")</f>
        <v>0</v>
      </c>
      <c r="AK123" s="61" t="str">
        <f t="shared" si="60"/>
        <v>NA</v>
      </c>
      <c r="AL123" s="62" t="str">
        <f>IFERROR(AK123/AK148, "NA")</f>
        <v>NA</v>
      </c>
    </row>
    <row r="124" ht="16.5" hidden="1" customHeight="1">
      <c r="A124" s="26" t="s">
        <v>237</v>
      </c>
      <c r="B124" s="28">
        <v>0.0</v>
      </c>
      <c r="C124" s="15">
        <f>IFERROR(B124/B148, "NA")</f>
        <v>0</v>
      </c>
      <c r="D124" s="28">
        <v>0.0</v>
      </c>
      <c r="E124" s="15">
        <f>IFERROR(D124/D148, "NA")</f>
        <v>0</v>
      </c>
      <c r="F124" s="28">
        <v>0.0</v>
      </c>
      <c r="G124" s="15">
        <f>IFERROR(F124/F148, "NA")</f>
        <v>0</v>
      </c>
      <c r="H124" s="28">
        <v>0.0</v>
      </c>
      <c r="I124" s="15">
        <f>IFERROR(H124/H148, "NA")</f>
        <v>0</v>
      </c>
      <c r="J124" s="28">
        <v>0.0</v>
      </c>
      <c r="K124" s="15">
        <f>IFERROR(J124/J148, "NA")</f>
        <v>0</v>
      </c>
      <c r="L124" s="28">
        <v>0.0</v>
      </c>
      <c r="M124" s="15">
        <f>IFERROR(L124/L148, "NA")</f>
        <v>0</v>
      </c>
      <c r="N124" s="28">
        <v>0.0</v>
      </c>
      <c r="O124" s="15">
        <f>IFERROR(N124/N148, "NA")</f>
        <v>0</v>
      </c>
      <c r="P124" s="28">
        <v>0.0</v>
      </c>
      <c r="Q124" s="15">
        <f>IFERROR(P124/P148, "NA")</f>
        <v>0</v>
      </c>
      <c r="R124" s="28">
        <v>0.0</v>
      </c>
      <c r="S124" s="15">
        <f>IFERROR(R124/R148, "NA")</f>
        <v>0</v>
      </c>
      <c r="T124" s="28">
        <v>0.0</v>
      </c>
      <c r="U124" s="15">
        <f>IFERROR(T124/T148, "NA")</f>
        <v>0</v>
      </c>
      <c r="V124" s="28">
        <v>0.0</v>
      </c>
      <c r="W124" s="15">
        <f>IFERROR(V124/V148, "NA")</f>
        <v>0</v>
      </c>
      <c r="X124" s="28">
        <v>2650.0</v>
      </c>
      <c r="Y124" s="15">
        <f>IFERROR(X124/X148, "NA")</f>
        <v>0.1315878331</v>
      </c>
      <c r="Z124" s="28">
        <v>2650.0</v>
      </c>
      <c r="AA124" s="15">
        <f>IFERROR(Z124/Z148, "NA")</f>
        <v>0.03592662076</v>
      </c>
      <c r="AB124" s="57">
        <f t="shared" si="55"/>
        <v>662.5</v>
      </c>
      <c r="AC124" s="15">
        <f>IFERROR(AB124/AB148, "NA")</f>
        <v>0.02712110865</v>
      </c>
      <c r="AD124" s="61">
        <f t="shared" si="56"/>
        <v>1987.5</v>
      </c>
      <c r="AE124" s="62">
        <f>IFERROR(AD124/AD148, "NA")</f>
        <v>-0.4634133688</v>
      </c>
      <c r="AF124" s="61">
        <f t="shared" si="57"/>
        <v>3</v>
      </c>
      <c r="AG124" s="57">
        <f t="shared" si="58"/>
        <v>331.25</v>
      </c>
      <c r="AH124" s="15">
        <f>IFERROR(AG124/AG148, "NA")</f>
        <v>0.0136132862</v>
      </c>
      <c r="AI124" s="61">
        <f t="shared" si="59"/>
        <v>2318.75</v>
      </c>
      <c r="AJ124" s="62">
        <f>IFERROR(AI124/AI148, "NA")</f>
        <v>-0.5528459646</v>
      </c>
      <c r="AK124" s="61">
        <f t="shared" si="60"/>
        <v>7</v>
      </c>
      <c r="AL124" s="62">
        <f>IFERROR(AK124/AK148, "NA")</f>
        <v>-40.61076485</v>
      </c>
    </row>
    <row r="125" ht="16.5" hidden="1" customHeight="1">
      <c r="A125" s="26" t="s">
        <v>238</v>
      </c>
      <c r="B125" s="28">
        <v>0.0</v>
      </c>
      <c r="C125" s="15">
        <f>IFERROR(B125/B148, "NA")</f>
        <v>0</v>
      </c>
      <c r="D125" s="28">
        <v>0.0</v>
      </c>
      <c r="E125" s="15">
        <f>IFERROR(D125/D148, "NA")</f>
        <v>0</v>
      </c>
      <c r="F125" s="28">
        <v>0.0</v>
      </c>
      <c r="G125" s="15">
        <f>IFERROR(F125/F148, "NA")</f>
        <v>0</v>
      </c>
      <c r="H125" s="28">
        <v>0.0</v>
      </c>
      <c r="I125" s="15">
        <f>IFERROR(H125/H148, "NA")</f>
        <v>0</v>
      </c>
      <c r="J125" s="28">
        <v>0.0</v>
      </c>
      <c r="K125" s="15">
        <f>IFERROR(J125/J148, "NA")</f>
        <v>0</v>
      </c>
      <c r="L125" s="28">
        <v>0.0</v>
      </c>
      <c r="M125" s="15">
        <f>IFERROR(L125/L148, "NA")</f>
        <v>0</v>
      </c>
      <c r="N125" s="28">
        <v>0.0</v>
      </c>
      <c r="O125" s="15">
        <f>IFERROR(N125/N148, "NA")</f>
        <v>0</v>
      </c>
      <c r="P125" s="28">
        <v>0.0</v>
      </c>
      <c r="Q125" s="15">
        <f>IFERROR(P125/P148, "NA")</f>
        <v>0</v>
      </c>
      <c r="R125" s="28">
        <v>0.0</v>
      </c>
      <c r="S125" s="15">
        <f>IFERROR(R125/R148, "NA")</f>
        <v>0</v>
      </c>
      <c r="T125" s="28">
        <v>0.0</v>
      </c>
      <c r="U125" s="15">
        <f>IFERROR(T125/T148, "NA")</f>
        <v>0</v>
      </c>
      <c r="V125" s="28">
        <v>0.0</v>
      </c>
      <c r="W125" s="15">
        <f>IFERROR(V125/V148, "NA")</f>
        <v>0</v>
      </c>
      <c r="X125" s="28">
        <v>0.0</v>
      </c>
      <c r="Y125" s="15">
        <f>IFERROR(X125/X148, "NA")</f>
        <v>0</v>
      </c>
      <c r="Z125" s="28">
        <v>0.0</v>
      </c>
      <c r="AA125" s="15">
        <f>IFERROR(Z125/Z148, "NA")</f>
        <v>0</v>
      </c>
      <c r="AB125" s="57">
        <f t="shared" si="55"/>
        <v>0</v>
      </c>
      <c r="AC125" s="15">
        <f>IFERROR(AB125/AB148, "NA")</f>
        <v>0</v>
      </c>
      <c r="AD125" s="61">
        <f t="shared" si="56"/>
        <v>0</v>
      </c>
      <c r="AE125" s="62">
        <f>IFERROR(AD125/AD148, "NA")</f>
        <v>0</v>
      </c>
      <c r="AF125" s="61" t="str">
        <f t="shared" si="57"/>
        <v>NA</v>
      </c>
      <c r="AG125" s="57">
        <f t="shared" si="58"/>
        <v>0</v>
      </c>
      <c r="AH125" s="15">
        <f>IFERROR(AG125/AG148, "NA")</f>
        <v>0</v>
      </c>
      <c r="AI125" s="61">
        <f t="shared" si="59"/>
        <v>0</v>
      </c>
      <c r="AJ125" s="62">
        <f>IFERROR(AI125/AI148, "NA")</f>
        <v>0</v>
      </c>
      <c r="AK125" s="61" t="str">
        <f t="shared" si="60"/>
        <v>NA</v>
      </c>
      <c r="AL125" s="62" t="str">
        <f>IFERROR(AK125/AK148, "NA")</f>
        <v>NA</v>
      </c>
    </row>
    <row r="126" ht="16.5" hidden="1" customHeight="1">
      <c r="A126" s="26" t="s">
        <v>239</v>
      </c>
      <c r="B126" s="28">
        <v>0.0</v>
      </c>
      <c r="C126" s="15">
        <f>IFERROR(B126/B148, "NA")</f>
        <v>0</v>
      </c>
      <c r="D126" s="28">
        <v>0.0</v>
      </c>
      <c r="E126" s="15">
        <f>IFERROR(D126/D148, "NA")</f>
        <v>0</v>
      </c>
      <c r="F126" s="28">
        <v>0.0</v>
      </c>
      <c r="G126" s="15">
        <f>IFERROR(F126/F148, "NA")</f>
        <v>0</v>
      </c>
      <c r="H126" s="28">
        <v>0.0</v>
      </c>
      <c r="I126" s="15">
        <f>IFERROR(H126/H148, "NA")</f>
        <v>0</v>
      </c>
      <c r="J126" s="28">
        <v>0.0</v>
      </c>
      <c r="K126" s="15">
        <f>IFERROR(J126/J148, "NA")</f>
        <v>0</v>
      </c>
      <c r="L126" s="28">
        <v>0.0</v>
      </c>
      <c r="M126" s="15">
        <f>IFERROR(L126/L148, "NA")</f>
        <v>0</v>
      </c>
      <c r="N126" s="28">
        <v>0.0</v>
      </c>
      <c r="O126" s="15">
        <f>IFERROR(N126/N148, "NA")</f>
        <v>0</v>
      </c>
      <c r="P126" s="28">
        <v>0.0</v>
      </c>
      <c r="Q126" s="15">
        <f>IFERROR(P126/P148, "NA")</f>
        <v>0</v>
      </c>
      <c r="R126" s="28">
        <v>0.0</v>
      </c>
      <c r="S126" s="15">
        <f>IFERROR(R126/R148, "NA")</f>
        <v>0</v>
      </c>
      <c r="T126" s="28">
        <v>0.0</v>
      </c>
      <c r="U126" s="15">
        <f>IFERROR(T126/T148, "NA")</f>
        <v>0</v>
      </c>
      <c r="V126" s="28">
        <v>0.0</v>
      </c>
      <c r="W126" s="15">
        <f>IFERROR(V126/V148, "NA")</f>
        <v>0</v>
      </c>
      <c r="X126" s="28">
        <v>0.0</v>
      </c>
      <c r="Y126" s="15">
        <f>IFERROR(X126/X148, "NA")</f>
        <v>0</v>
      </c>
      <c r="Z126" s="28">
        <v>0.0</v>
      </c>
      <c r="AA126" s="15">
        <f>IFERROR(Z126/Z148, "NA")</f>
        <v>0</v>
      </c>
      <c r="AB126" s="57">
        <f t="shared" si="55"/>
        <v>0</v>
      </c>
      <c r="AC126" s="15">
        <f>IFERROR(AB126/AB148, "NA")</f>
        <v>0</v>
      </c>
      <c r="AD126" s="61">
        <f t="shared" si="56"/>
        <v>0</v>
      </c>
      <c r="AE126" s="62">
        <f>IFERROR(AD126/AD148, "NA")</f>
        <v>0</v>
      </c>
      <c r="AF126" s="61" t="str">
        <f t="shared" si="57"/>
        <v>NA</v>
      </c>
      <c r="AG126" s="57">
        <f t="shared" si="58"/>
        <v>0</v>
      </c>
      <c r="AH126" s="15">
        <f>IFERROR(AG126/AG148, "NA")</f>
        <v>0</v>
      </c>
      <c r="AI126" s="61">
        <f t="shared" si="59"/>
        <v>0</v>
      </c>
      <c r="AJ126" s="62">
        <f>IFERROR(AI126/AI148, "NA")</f>
        <v>0</v>
      </c>
      <c r="AK126" s="61" t="str">
        <f t="shared" si="60"/>
        <v>NA</v>
      </c>
      <c r="AL126" s="62" t="str">
        <f>IFERROR(AK126/AK148, "NA")</f>
        <v>NA</v>
      </c>
    </row>
    <row r="127" ht="16.5" hidden="1" customHeight="1">
      <c r="A127" s="26" t="s">
        <v>240</v>
      </c>
      <c r="B127" s="28">
        <v>0.0</v>
      </c>
      <c r="C127" s="15">
        <f>IFERROR(B127/B148, "NA")</f>
        <v>0</v>
      </c>
      <c r="D127" s="28">
        <v>0.0</v>
      </c>
      <c r="E127" s="15">
        <f>IFERROR(D127/D148, "NA")</f>
        <v>0</v>
      </c>
      <c r="F127" s="28">
        <v>0.0</v>
      </c>
      <c r="G127" s="15">
        <f>IFERROR(F127/F148, "NA")</f>
        <v>0</v>
      </c>
      <c r="H127" s="28">
        <v>0.0</v>
      </c>
      <c r="I127" s="15">
        <f>IFERROR(H127/H148, "NA")</f>
        <v>0</v>
      </c>
      <c r="J127" s="28">
        <v>0.0</v>
      </c>
      <c r="K127" s="15">
        <f>IFERROR(J127/J148, "NA")</f>
        <v>0</v>
      </c>
      <c r="L127" s="28">
        <v>0.0</v>
      </c>
      <c r="M127" s="15">
        <f>IFERROR(L127/L148, "NA")</f>
        <v>0</v>
      </c>
      <c r="N127" s="28">
        <v>0.0</v>
      </c>
      <c r="O127" s="15">
        <f>IFERROR(N127/N148, "NA")</f>
        <v>0</v>
      </c>
      <c r="P127" s="28">
        <v>0.0</v>
      </c>
      <c r="Q127" s="15">
        <f>IFERROR(P127/P148, "NA")</f>
        <v>0</v>
      </c>
      <c r="R127" s="28">
        <v>0.0</v>
      </c>
      <c r="S127" s="15">
        <f>IFERROR(R127/R148, "NA")</f>
        <v>0</v>
      </c>
      <c r="T127" s="28">
        <v>0.0</v>
      </c>
      <c r="U127" s="15">
        <f>IFERROR(T127/T148, "NA")</f>
        <v>0</v>
      </c>
      <c r="V127" s="28">
        <v>0.0</v>
      </c>
      <c r="W127" s="15">
        <f>IFERROR(V127/V148, "NA")</f>
        <v>0</v>
      </c>
      <c r="X127" s="28">
        <v>0.0</v>
      </c>
      <c r="Y127" s="15">
        <f>IFERROR(X127/X148, "NA")</f>
        <v>0</v>
      </c>
      <c r="Z127" s="28">
        <v>0.0</v>
      </c>
      <c r="AA127" s="15">
        <f>IFERROR(Z127/Z148, "NA")</f>
        <v>0</v>
      </c>
      <c r="AB127" s="57">
        <f t="shared" si="55"/>
        <v>0</v>
      </c>
      <c r="AC127" s="15">
        <f>IFERROR(AB127/AB148, "NA")</f>
        <v>0</v>
      </c>
      <c r="AD127" s="61">
        <f t="shared" si="56"/>
        <v>0</v>
      </c>
      <c r="AE127" s="62">
        <f>IFERROR(AD127/AD148, "NA")</f>
        <v>0</v>
      </c>
      <c r="AF127" s="61" t="str">
        <f t="shared" si="57"/>
        <v>NA</v>
      </c>
      <c r="AG127" s="57">
        <f t="shared" si="58"/>
        <v>0</v>
      </c>
      <c r="AH127" s="15">
        <f>IFERROR(AG127/AG148, "NA")</f>
        <v>0</v>
      </c>
      <c r="AI127" s="61">
        <f t="shared" si="59"/>
        <v>0</v>
      </c>
      <c r="AJ127" s="62">
        <f>IFERROR(AI127/AI148, "NA")</f>
        <v>0</v>
      </c>
      <c r="AK127" s="61" t="str">
        <f t="shared" si="60"/>
        <v>NA</v>
      </c>
      <c r="AL127" s="62" t="str">
        <f>IFERROR(AK127/AK148, "NA")</f>
        <v>NA</v>
      </c>
    </row>
    <row r="128" ht="16.5" hidden="1" customHeight="1">
      <c r="A128" s="26" t="s">
        <v>241</v>
      </c>
      <c r="B128" s="28">
        <v>496.4</v>
      </c>
      <c r="C128" s="15">
        <f>IFERROR(B128/B148, "NA")</f>
        <v>0.04293705362</v>
      </c>
      <c r="D128" s="28">
        <v>320.8</v>
      </c>
      <c r="E128" s="15">
        <f>IFERROR(D128/D148, "NA")</f>
        <v>0.01742854054</v>
      </c>
      <c r="F128" s="28">
        <v>342.5</v>
      </c>
      <c r="G128" s="15">
        <f>IFERROR(F128/F148, "NA")</f>
        <v>0.0148839465</v>
      </c>
      <c r="H128" s="28">
        <v>-1159.7</v>
      </c>
      <c r="I128" s="15">
        <f>IFERROR(H128/H148, "NA")</f>
        <v>-0.05610823563</v>
      </c>
      <c r="J128" s="28">
        <v>320.91</v>
      </c>
      <c r="K128" s="15">
        <f>IFERROR(J128/J148, "NA")</f>
        <v>0.01609138458</v>
      </c>
      <c r="L128" s="28">
        <v>198.19</v>
      </c>
      <c r="M128" s="15">
        <f>IFERROR(L128/L148, "NA")</f>
        <v>0.006776662486</v>
      </c>
      <c r="N128" s="28">
        <v>248.37</v>
      </c>
      <c r="O128" s="15">
        <f>IFERROR(N128/N148, "NA")</f>
        <v>0.01108661999</v>
      </c>
      <c r="P128" s="28">
        <v>250.06</v>
      </c>
      <c r="Q128" s="15">
        <f>IFERROR(P128/P148, "NA")</f>
        <v>0.009859908546</v>
      </c>
      <c r="R128" s="28">
        <v>-1017.53</v>
      </c>
      <c r="S128" s="15">
        <f>IFERROR(R128/R148, "NA")</f>
        <v>-0.04248841572</v>
      </c>
      <c r="T128" s="28">
        <v>219.72</v>
      </c>
      <c r="U128" s="15">
        <f>IFERROR(T128/T148, "NA")</f>
        <v>0.00743091602</v>
      </c>
      <c r="V128" s="28">
        <v>251.81</v>
      </c>
      <c r="W128" s="15">
        <f>IFERROR(V128/V148, "NA")</f>
        <v>0.01046832895</v>
      </c>
      <c r="X128" s="28">
        <v>266.64</v>
      </c>
      <c r="Y128" s="15">
        <f>IFERROR(X128/X148, "NA")</f>
        <v>0.0132402188</v>
      </c>
      <c r="Z128" s="28">
        <v>738.17</v>
      </c>
      <c r="AA128" s="15">
        <f>IFERROR(Z128/Z148, "NA")</f>
        <v>0.01000752968</v>
      </c>
      <c r="AB128" s="57">
        <f t="shared" si="55"/>
        <v>-69.84</v>
      </c>
      <c r="AC128" s="15">
        <f>IFERROR(AB128/AB148, "NA")</f>
        <v>-0.00285907657</v>
      </c>
      <c r="AD128" s="61">
        <f t="shared" si="56"/>
        <v>336.48</v>
      </c>
      <c r="AE128" s="62">
        <f>IFERROR(AD128/AD148, "NA")</f>
        <v>-0.07845500897</v>
      </c>
      <c r="AF128" s="61">
        <f t="shared" si="57"/>
        <v>-4.817869416</v>
      </c>
      <c r="AG128" s="57">
        <f t="shared" si="58"/>
        <v>92.27125</v>
      </c>
      <c r="AH128" s="15">
        <f>IFERROR(AG128/AG148, "NA")</f>
        <v>0.003792045084</v>
      </c>
      <c r="AI128" s="61">
        <f t="shared" si="59"/>
        <v>174.36875</v>
      </c>
      <c r="AJ128" s="62">
        <f>IFERROR(AI128/AI148, "NA")</f>
        <v>-0.04157371851</v>
      </c>
      <c r="AK128" s="61">
        <f t="shared" si="60"/>
        <v>1.889740846</v>
      </c>
      <c r="AL128" s="62">
        <f>IFERROR(AK128/AK148, "NA")</f>
        <v>-10.96340302</v>
      </c>
    </row>
    <row r="129" ht="16.5" hidden="1" customHeight="1">
      <c r="A129" s="26" t="s">
        <v>242</v>
      </c>
      <c r="B129" s="28">
        <v>0.0</v>
      </c>
      <c r="C129" s="15">
        <f>IFERROR(B129/B148, "NA")</f>
        <v>0</v>
      </c>
      <c r="D129" s="28">
        <v>0.0</v>
      </c>
      <c r="E129" s="15">
        <f>IFERROR(D129/D148, "NA")</f>
        <v>0</v>
      </c>
      <c r="F129" s="28">
        <v>0.0</v>
      </c>
      <c r="G129" s="15">
        <f>IFERROR(F129/F148, "NA")</f>
        <v>0</v>
      </c>
      <c r="H129" s="28">
        <v>0.0</v>
      </c>
      <c r="I129" s="15">
        <f>IFERROR(H129/H148, "NA")</f>
        <v>0</v>
      </c>
      <c r="J129" s="28">
        <v>0.0</v>
      </c>
      <c r="K129" s="15">
        <f>IFERROR(J129/J148, "NA")</f>
        <v>0</v>
      </c>
      <c r="L129" s="28">
        <v>0.0</v>
      </c>
      <c r="M129" s="15">
        <f>IFERROR(L129/L148, "NA")</f>
        <v>0</v>
      </c>
      <c r="N129" s="28">
        <v>0.0</v>
      </c>
      <c r="O129" s="15">
        <f>IFERROR(N129/N148, "NA")</f>
        <v>0</v>
      </c>
      <c r="P129" s="28">
        <v>0.0</v>
      </c>
      <c r="Q129" s="15">
        <f>IFERROR(P129/P148, "NA")</f>
        <v>0</v>
      </c>
      <c r="R129" s="28">
        <v>0.0</v>
      </c>
      <c r="S129" s="15">
        <f>IFERROR(R129/R148, "NA")</f>
        <v>0</v>
      </c>
      <c r="T129" s="28">
        <v>0.0</v>
      </c>
      <c r="U129" s="15">
        <f>IFERROR(T129/T148, "NA")</f>
        <v>0</v>
      </c>
      <c r="V129" s="28">
        <v>0.0</v>
      </c>
      <c r="W129" s="15">
        <f>IFERROR(V129/V148, "NA")</f>
        <v>0</v>
      </c>
      <c r="X129" s="28">
        <v>0.0</v>
      </c>
      <c r="Y129" s="15">
        <f>IFERROR(X129/X148, "NA")</f>
        <v>0</v>
      </c>
      <c r="Z129" s="28">
        <v>0.0</v>
      </c>
      <c r="AA129" s="15">
        <f>IFERROR(Z129/Z148, "NA")</f>
        <v>0</v>
      </c>
      <c r="AB129" s="57">
        <f t="shared" si="55"/>
        <v>0</v>
      </c>
      <c r="AC129" s="15">
        <f>IFERROR(AB129/AB148, "NA")</f>
        <v>0</v>
      </c>
      <c r="AD129" s="61">
        <f t="shared" si="56"/>
        <v>0</v>
      </c>
      <c r="AE129" s="62">
        <f>IFERROR(AD129/AD148, "NA")</f>
        <v>0</v>
      </c>
      <c r="AF129" s="61" t="str">
        <f t="shared" si="57"/>
        <v>NA</v>
      </c>
      <c r="AG129" s="57">
        <f t="shared" si="58"/>
        <v>0</v>
      </c>
      <c r="AH129" s="15">
        <f>IFERROR(AG129/AG148, "NA")</f>
        <v>0</v>
      </c>
      <c r="AI129" s="61">
        <f t="shared" si="59"/>
        <v>0</v>
      </c>
      <c r="AJ129" s="62">
        <f>IFERROR(AI129/AI148, "NA")</f>
        <v>0</v>
      </c>
      <c r="AK129" s="61" t="str">
        <f t="shared" si="60"/>
        <v>NA</v>
      </c>
      <c r="AL129" s="62" t="str">
        <f>IFERROR(AK129/AK148, "NA")</f>
        <v>NA</v>
      </c>
    </row>
    <row r="130" ht="16.5" hidden="1" customHeight="1">
      <c r="A130" s="26" t="s">
        <v>243</v>
      </c>
      <c r="B130" s="28">
        <v>0.0</v>
      </c>
      <c r="C130" s="15">
        <f>IFERROR(B130/B148, "NA")</f>
        <v>0</v>
      </c>
      <c r="D130" s="28">
        <v>0.0</v>
      </c>
      <c r="E130" s="15">
        <f>IFERROR(D130/D148, "NA")</f>
        <v>0</v>
      </c>
      <c r="F130" s="28">
        <v>0.0</v>
      </c>
      <c r="G130" s="15">
        <f>IFERROR(F130/F148, "NA")</f>
        <v>0</v>
      </c>
      <c r="H130" s="28">
        <v>0.0</v>
      </c>
      <c r="I130" s="15">
        <f>IFERROR(H130/H148, "NA")</f>
        <v>0</v>
      </c>
      <c r="J130" s="28">
        <v>0.0</v>
      </c>
      <c r="K130" s="15">
        <f>IFERROR(J130/J148, "NA")</f>
        <v>0</v>
      </c>
      <c r="L130" s="28">
        <v>0.0</v>
      </c>
      <c r="M130" s="15">
        <f>IFERROR(L130/L148, "NA")</f>
        <v>0</v>
      </c>
      <c r="N130" s="28">
        <v>0.0</v>
      </c>
      <c r="O130" s="15">
        <f>IFERROR(N130/N148, "NA")</f>
        <v>0</v>
      </c>
      <c r="P130" s="28">
        <v>0.0</v>
      </c>
      <c r="Q130" s="15">
        <f>IFERROR(P130/P148, "NA")</f>
        <v>0</v>
      </c>
      <c r="R130" s="28">
        <v>0.0</v>
      </c>
      <c r="S130" s="15">
        <f>IFERROR(R130/R148, "NA")</f>
        <v>0</v>
      </c>
      <c r="T130" s="28">
        <v>0.0</v>
      </c>
      <c r="U130" s="15">
        <f>IFERROR(T130/T148, "NA")</f>
        <v>0</v>
      </c>
      <c r="V130" s="28">
        <v>0.0</v>
      </c>
      <c r="W130" s="15">
        <f>IFERROR(V130/V148, "NA")</f>
        <v>0</v>
      </c>
      <c r="X130" s="28">
        <v>0.0</v>
      </c>
      <c r="Y130" s="15">
        <f>IFERROR(X130/X148, "NA")</f>
        <v>0</v>
      </c>
      <c r="Z130" s="28">
        <v>0.0</v>
      </c>
      <c r="AA130" s="15">
        <f>IFERROR(Z130/Z148, "NA")</f>
        <v>0</v>
      </c>
      <c r="AB130" s="57">
        <f t="shared" si="55"/>
        <v>0</v>
      </c>
      <c r="AC130" s="15">
        <f>IFERROR(AB130/AB148, "NA")</f>
        <v>0</v>
      </c>
      <c r="AD130" s="61">
        <f t="shared" si="56"/>
        <v>0</v>
      </c>
      <c r="AE130" s="62">
        <f>IFERROR(AD130/AD148, "NA")</f>
        <v>0</v>
      </c>
      <c r="AF130" s="61" t="str">
        <f t="shared" si="57"/>
        <v>NA</v>
      </c>
      <c r="AG130" s="57">
        <f t="shared" si="58"/>
        <v>0</v>
      </c>
      <c r="AH130" s="15">
        <f>IFERROR(AG130/AG148, "NA")</f>
        <v>0</v>
      </c>
      <c r="AI130" s="61">
        <f t="shared" si="59"/>
        <v>0</v>
      </c>
      <c r="AJ130" s="62">
        <f>IFERROR(AI130/AI148, "NA")</f>
        <v>0</v>
      </c>
      <c r="AK130" s="61" t="str">
        <f t="shared" si="60"/>
        <v>NA</v>
      </c>
      <c r="AL130" s="62" t="str">
        <f>IFERROR(AK130/AK148, "NA")</f>
        <v>NA</v>
      </c>
    </row>
    <row r="131" ht="16.5" hidden="1" customHeight="1">
      <c r="A131" s="26" t="s">
        <v>244</v>
      </c>
      <c r="B131" s="28">
        <v>0.0</v>
      </c>
      <c r="C131" s="15">
        <f>IFERROR(B131/B148, "NA")</f>
        <v>0</v>
      </c>
      <c r="D131" s="28">
        <v>0.0</v>
      </c>
      <c r="E131" s="15">
        <f>IFERROR(D131/D148, "NA")</f>
        <v>0</v>
      </c>
      <c r="F131" s="28">
        <v>0.0</v>
      </c>
      <c r="G131" s="15">
        <f>IFERROR(F131/F148, "NA")</f>
        <v>0</v>
      </c>
      <c r="H131" s="28">
        <v>0.0</v>
      </c>
      <c r="I131" s="15">
        <f>IFERROR(H131/H148, "NA")</f>
        <v>0</v>
      </c>
      <c r="J131" s="28">
        <v>0.0</v>
      </c>
      <c r="K131" s="15">
        <f>IFERROR(J131/J148, "NA")</f>
        <v>0</v>
      </c>
      <c r="L131" s="28">
        <v>0.0</v>
      </c>
      <c r="M131" s="15">
        <f>IFERROR(L131/L148, "NA")</f>
        <v>0</v>
      </c>
      <c r="N131" s="28">
        <v>0.0</v>
      </c>
      <c r="O131" s="15">
        <f>IFERROR(N131/N148, "NA")</f>
        <v>0</v>
      </c>
      <c r="P131" s="28">
        <v>0.0</v>
      </c>
      <c r="Q131" s="15">
        <f>IFERROR(P131/P148, "NA")</f>
        <v>0</v>
      </c>
      <c r="R131" s="28">
        <v>0.0</v>
      </c>
      <c r="S131" s="15">
        <f>IFERROR(R131/R148, "NA")</f>
        <v>0</v>
      </c>
      <c r="T131" s="28">
        <v>0.0</v>
      </c>
      <c r="U131" s="15">
        <f>IFERROR(T131/T148, "NA")</f>
        <v>0</v>
      </c>
      <c r="V131" s="28">
        <v>0.0</v>
      </c>
      <c r="W131" s="15">
        <f>IFERROR(V131/V148, "NA")</f>
        <v>0</v>
      </c>
      <c r="X131" s="28">
        <v>0.0</v>
      </c>
      <c r="Y131" s="15">
        <f>IFERROR(X131/X148, "NA")</f>
        <v>0</v>
      </c>
      <c r="Z131" s="28">
        <v>0.0</v>
      </c>
      <c r="AA131" s="15">
        <f>IFERROR(Z131/Z148, "NA")</f>
        <v>0</v>
      </c>
      <c r="AB131" s="57">
        <f t="shared" si="55"/>
        <v>0</v>
      </c>
      <c r="AC131" s="15">
        <f>IFERROR(AB131/AB148, "NA")</f>
        <v>0</v>
      </c>
      <c r="AD131" s="61">
        <f t="shared" si="56"/>
        <v>0</v>
      </c>
      <c r="AE131" s="62">
        <f>IFERROR(AD131/AD148, "NA")</f>
        <v>0</v>
      </c>
      <c r="AF131" s="61" t="str">
        <f t="shared" si="57"/>
        <v>NA</v>
      </c>
      <c r="AG131" s="57">
        <f t="shared" si="58"/>
        <v>0</v>
      </c>
      <c r="AH131" s="15">
        <f>IFERROR(AG131/AG148, "NA")</f>
        <v>0</v>
      </c>
      <c r="AI131" s="61">
        <f t="shared" si="59"/>
        <v>0</v>
      </c>
      <c r="AJ131" s="62">
        <f>IFERROR(AI131/AI148, "NA")</f>
        <v>0</v>
      </c>
      <c r="AK131" s="61" t="str">
        <f t="shared" si="60"/>
        <v>NA</v>
      </c>
      <c r="AL131" s="62" t="str">
        <f>IFERROR(AK131/AK148, "NA")</f>
        <v>NA</v>
      </c>
    </row>
    <row r="132" ht="16.5" hidden="1" customHeight="1">
      <c r="A132" s="26" t="s">
        <v>245</v>
      </c>
      <c r="B132" s="28">
        <v>0.0</v>
      </c>
      <c r="C132" s="15">
        <f>IFERROR(B132/B148, "NA")</f>
        <v>0</v>
      </c>
      <c r="D132" s="28">
        <v>0.0</v>
      </c>
      <c r="E132" s="15">
        <f>IFERROR(D132/D148, "NA")</f>
        <v>0</v>
      </c>
      <c r="F132" s="28">
        <v>0.0</v>
      </c>
      <c r="G132" s="15">
        <f>IFERROR(F132/F148, "NA")</f>
        <v>0</v>
      </c>
      <c r="H132" s="28">
        <v>0.0</v>
      </c>
      <c r="I132" s="15">
        <f>IFERROR(H132/H148, "NA")</f>
        <v>0</v>
      </c>
      <c r="J132" s="28">
        <v>0.0</v>
      </c>
      <c r="K132" s="15">
        <f>IFERROR(J132/J148, "NA")</f>
        <v>0</v>
      </c>
      <c r="L132" s="28">
        <v>0.0</v>
      </c>
      <c r="M132" s="15">
        <f>IFERROR(L132/L148, "NA")</f>
        <v>0</v>
      </c>
      <c r="N132" s="28">
        <v>0.0</v>
      </c>
      <c r="O132" s="15">
        <f>IFERROR(N132/N148, "NA")</f>
        <v>0</v>
      </c>
      <c r="P132" s="28">
        <v>0.0</v>
      </c>
      <c r="Q132" s="15">
        <f>IFERROR(P132/P148, "NA")</f>
        <v>0</v>
      </c>
      <c r="R132" s="28">
        <v>0.0</v>
      </c>
      <c r="S132" s="15">
        <f>IFERROR(R132/R148, "NA")</f>
        <v>0</v>
      </c>
      <c r="T132" s="28">
        <v>0.0</v>
      </c>
      <c r="U132" s="15">
        <f>IFERROR(T132/T148, "NA")</f>
        <v>0</v>
      </c>
      <c r="V132" s="28">
        <v>0.0</v>
      </c>
      <c r="W132" s="15">
        <f>IFERROR(V132/V148, "NA")</f>
        <v>0</v>
      </c>
      <c r="X132" s="28">
        <v>0.0</v>
      </c>
      <c r="Y132" s="15">
        <f>IFERROR(X132/X148, "NA")</f>
        <v>0</v>
      </c>
      <c r="Z132" s="28">
        <v>0.0</v>
      </c>
      <c r="AA132" s="15">
        <f>IFERROR(Z132/Z148, "NA")</f>
        <v>0</v>
      </c>
      <c r="AB132" s="57">
        <f t="shared" si="55"/>
        <v>0</v>
      </c>
      <c r="AC132" s="15">
        <f>IFERROR(AB132/AB148, "NA")</f>
        <v>0</v>
      </c>
      <c r="AD132" s="61">
        <f t="shared" si="56"/>
        <v>0</v>
      </c>
      <c r="AE132" s="62">
        <f>IFERROR(AD132/AD148, "NA")</f>
        <v>0</v>
      </c>
      <c r="AF132" s="61" t="str">
        <f t="shared" si="57"/>
        <v>NA</v>
      </c>
      <c r="AG132" s="57">
        <f t="shared" si="58"/>
        <v>0</v>
      </c>
      <c r="AH132" s="15">
        <f>IFERROR(AG132/AG148, "NA")</f>
        <v>0</v>
      </c>
      <c r="AI132" s="61">
        <f t="shared" si="59"/>
        <v>0</v>
      </c>
      <c r="AJ132" s="62">
        <f>IFERROR(AI132/AI148, "NA")</f>
        <v>0</v>
      </c>
      <c r="AK132" s="61" t="str">
        <f t="shared" si="60"/>
        <v>NA</v>
      </c>
      <c r="AL132" s="62" t="str">
        <f>IFERROR(AK132/AK148, "NA")</f>
        <v>NA</v>
      </c>
    </row>
    <row r="133" ht="16.5" hidden="1" customHeight="1">
      <c r="A133" s="26" t="s">
        <v>246</v>
      </c>
      <c r="B133" s="28">
        <v>0.0</v>
      </c>
      <c r="C133" s="15">
        <f>IFERROR(B133/B148, "NA")</f>
        <v>0</v>
      </c>
      <c r="D133" s="28">
        <v>0.0</v>
      </c>
      <c r="E133" s="15">
        <f>IFERROR(D133/D148, "NA")</f>
        <v>0</v>
      </c>
      <c r="F133" s="28">
        <v>0.0</v>
      </c>
      <c r="G133" s="15">
        <f>IFERROR(F133/F148, "NA")</f>
        <v>0</v>
      </c>
      <c r="H133" s="28">
        <v>0.0</v>
      </c>
      <c r="I133" s="15">
        <f>IFERROR(H133/H148, "NA")</f>
        <v>0</v>
      </c>
      <c r="J133" s="28">
        <v>0.0</v>
      </c>
      <c r="K133" s="15">
        <f>IFERROR(J133/J148, "NA")</f>
        <v>0</v>
      </c>
      <c r="L133" s="28">
        <v>0.0</v>
      </c>
      <c r="M133" s="15">
        <f>IFERROR(L133/L148, "NA")</f>
        <v>0</v>
      </c>
      <c r="N133" s="28">
        <v>0.0</v>
      </c>
      <c r="O133" s="15">
        <f>IFERROR(N133/N148, "NA")</f>
        <v>0</v>
      </c>
      <c r="P133" s="28">
        <v>0.0</v>
      </c>
      <c r="Q133" s="15">
        <f>IFERROR(P133/P148, "NA")</f>
        <v>0</v>
      </c>
      <c r="R133" s="28">
        <v>0.0</v>
      </c>
      <c r="S133" s="15">
        <f>IFERROR(R133/R148, "NA")</f>
        <v>0</v>
      </c>
      <c r="T133" s="28">
        <v>0.0</v>
      </c>
      <c r="U133" s="15">
        <f>IFERROR(T133/T148, "NA")</f>
        <v>0</v>
      </c>
      <c r="V133" s="28">
        <v>0.0</v>
      </c>
      <c r="W133" s="15">
        <f>IFERROR(V133/V148, "NA")</f>
        <v>0</v>
      </c>
      <c r="X133" s="28">
        <v>0.0</v>
      </c>
      <c r="Y133" s="15">
        <f>IFERROR(X133/X148, "NA")</f>
        <v>0</v>
      </c>
      <c r="Z133" s="28">
        <v>0.0</v>
      </c>
      <c r="AA133" s="15">
        <f>IFERROR(Z133/Z148, "NA")</f>
        <v>0</v>
      </c>
      <c r="AB133" s="57">
        <f t="shared" si="55"/>
        <v>0</v>
      </c>
      <c r="AC133" s="15">
        <f>IFERROR(AB133/AB148, "NA")</f>
        <v>0</v>
      </c>
      <c r="AD133" s="61">
        <f t="shared" si="56"/>
        <v>0</v>
      </c>
      <c r="AE133" s="62">
        <f>IFERROR(AD133/AD148, "NA")</f>
        <v>0</v>
      </c>
      <c r="AF133" s="61" t="str">
        <f t="shared" si="57"/>
        <v>NA</v>
      </c>
      <c r="AG133" s="57">
        <f t="shared" si="58"/>
        <v>0</v>
      </c>
      <c r="AH133" s="15">
        <f>IFERROR(AG133/AG148, "NA")</f>
        <v>0</v>
      </c>
      <c r="AI133" s="61">
        <f t="shared" si="59"/>
        <v>0</v>
      </c>
      <c r="AJ133" s="62">
        <f>IFERROR(AI133/AI148, "NA")</f>
        <v>0</v>
      </c>
      <c r="AK133" s="61" t="str">
        <f t="shared" si="60"/>
        <v>NA</v>
      </c>
      <c r="AL133" s="62" t="str">
        <f>IFERROR(AK133/AK148, "NA")</f>
        <v>NA</v>
      </c>
    </row>
    <row r="134" ht="16.5" hidden="1" customHeight="1">
      <c r="A134" s="26" t="s">
        <v>247</v>
      </c>
      <c r="B134" s="28">
        <v>0.0</v>
      </c>
      <c r="C134" s="15">
        <f>IFERROR(B134/B148, "NA")</f>
        <v>0</v>
      </c>
      <c r="D134" s="28">
        <v>0.0</v>
      </c>
      <c r="E134" s="15">
        <f>IFERROR(D134/D148, "NA")</f>
        <v>0</v>
      </c>
      <c r="F134" s="28">
        <v>0.0</v>
      </c>
      <c r="G134" s="15">
        <f>IFERROR(F134/F148, "NA")</f>
        <v>0</v>
      </c>
      <c r="H134" s="28">
        <v>0.0</v>
      </c>
      <c r="I134" s="15">
        <f>IFERROR(H134/H148, "NA")</f>
        <v>0</v>
      </c>
      <c r="J134" s="28">
        <v>0.0</v>
      </c>
      <c r="K134" s="15">
        <f>IFERROR(J134/J148, "NA")</f>
        <v>0</v>
      </c>
      <c r="L134" s="28">
        <v>0.0</v>
      </c>
      <c r="M134" s="15">
        <f>IFERROR(L134/L148, "NA")</f>
        <v>0</v>
      </c>
      <c r="N134" s="28">
        <v>0.0</v>
      </c>
      <c r="O134" s="15">
        <f>IFERROR(N134/N148, "NA")</f>
        <v>0</v>
      </c>
      <c r="P134" s="28">
        <v>0.0</v>
      </c>
      <c r="Q134" s="15">
        <f>IFERROR(P134/P148, "NA")</f>
        <v>0</v>
      </c>
      <c r="R134" s="28">
        <v>0.0</v>
      </c>
      <c r="S134" s="15">
        <f>IFERROR(R134/R148, "NA")</f>
        <v>0</v>
      </c>
      <c r="T134" s="28">
        <v>0.0</v>
      </c>
      <c r="U134" s="15">
        <f>IFERROR(T134/T148, "NA")</f>
        <v>0</v>
      </c>
      <c r="V134" s="28">
        <v>0.0</v>
      </c>
      <c r="W134" s="15">
        <f>IFERROR(V134/V148, "NA")</f>
        <v>0</v>
      </c>
      <c r="X134" s="28">
        <v>0.0</v>
      </c>
      <c r="Y134" s="15">
        <f>IFERROR(X134/X148, "NA")</f>
        <v>0</v>
      </c>
      <c r="Z134" s="28">
        <v>0.0</v>
      </c>
      <c r="AA134" s="15">
        <f>IFERROR(Z134/Z148, "NA")</f>
        <v>0</v>
      </c>
      <c r="AB134" s="57">
        <f t="shared" si="55"/>
        <v>0</v>
      </c>
      <c r="AC134" s="15">
        <f>IFERROR(AB134/AB148, "NA")</f>
        <v>0</v>
      </c>
      <c r="AD134" s="61">
        <f t="shared" si="56"/>
        <v>0</v>
      </c>
      <c r="AE134" s="62">
        <f>IFERROR(AD134/AD148, "NA")</f>
        <v>0</v>
      </c>
      <c r="AF134" s="61" t="str">
        <f t="shared" si="57"/>
        <v>NA</v>
      </c>
      <c r="AG134" s="57">
        <f t="shared" si="58"/>
        <v>0</v>
      </c>
      <c r="AH134" s="15">
        <f>IFERROR(AG134/AG148, "NA")</f>
        <v>0</v>
      </c>
      <c r="AI134" s="61">
        <f t="shared" si="59"/>
        <v>0</v>
      </c>
      <c r="AJ134" s="62">
        <f>IFERROR(AI134/AI148, "NA")</f>
        <v>0</v>
      </c>
      <c r="AK134" s="61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248</v>
      </c>
      <c r="B135" s="70">
        <f>IFERROR(B110+B111+B112+B113+B114+B115+B116+B117+B118+B119+B120+B121+B122+B123+B124+B125+B126+B127+B128+B129+B130+B131+B132+B133+B134, "NA")</f>
        <v>496.4</v>
      </c>
      <c r="C135" s="71">
        <f>IFERROR(B135/B148, "NA")</f>
        <v>0.04293705362</v>
      </c>
      <c r="D135" s="70">
        <f>IFERROR(D110+D111+D112+D113+D114+D115+D116+D117+D118+D119+D120+D121+D122+D123+D124+D125+D126+D127+D128+D129+D130+D131+D132+D133+D134, "NA")</f>
        <v>320.8</v>
      </c>
      <c r="E135" s="71">
        <f>IFERROR(D135/D148, "NA")</f>
        <v>0.01742854054</v>
      </c>
      <c r="F135" s="70">
        <f>IFERROR(F110+F111+F112+F113+F114+F115+F116+F117+F118+F119+F120+F121+F122+F123+F124+F125+F126+F127+F128+F129+F130+F131+F132+F133+F134, "NA")</f>
        <v>342.5</v>
      </c>
      <c r="G135" s="71">
        <f>IFERROR(F135/F148, "NA")</f>
        <v>0.0148839465</v>
      </c>
      <c r="H135" s="70">
        <f>IFERROR(H110+H111+H112+H113+H114+H115+H116+H117+H118+H119+H120+H121+H122+H123+H124+H125+H126+H127+H128+H129+H130+H131+H132+H133+H134, "NA")</f>
        <v>-1159.7</v>
      </c>
      <c r="I135" s="71">
        <f>IFERROR(H135/H148, "NA")</f>
        <v>-0.05610823563</v>
      </c>
      <c r="J135" s="70">
        <f>IFERROR(J110+J111+J112+J113+J114+J115+J116+J117+J118+J119+J120+J121+J122+J123+J124+J125+J126+J127+J128+J129+J130+J131+J132+J133+J134, "NA")</f>
        <v>320.91</v>
      </c>
      <c r="K135" s="71">
        <f>IFERROR(J135/J148, "NA")</f>
        <v>0.01609138458</v>
      </c>
      <c r="L135" s="70">
        <f>IFERROR(L110+L111+L112+L113+L114+L115+L116+L117+L118+L119+L120+L121+L122+L123+L124+L125+L126+L127+L128+L129+L130+L131+L132+L133+L134, "NA")</f>
        <v>198.19</v>
      </c>
      <c r="M135" s="71">
        <f>IFERROR(L135/L148, "NA")</f>
        <v>0.006776662486</v>
      </c>
      <c r="N135" s="70">
        <f>IFERROR(N110+N111+N112+N113+N114+N115+N116+N117+N118+N119+N120+N121+N122+N123+N124+N125+N126+N127+N128+N129+N130+N131+N132+N133+N134, "NA")</f>
        <v>248.37</v>
      </c>
      <c r="O135" s="71">
        <f>IFERROR(N135/N148, "NA")</f>
        <v>0.01108661999</v>
      </c>
      <c r="P135" s="70">
        <f>IFERROR(P110+P111+P112+P113+P114+P115+P116+P117+P118+P119+P120+P121+P122+P123+P124+P125+P126+P127+P128+P129+P130+P131+P132+P133+P134, "NA")</f>
        <v>250.06</v>
      </c>
      <c r="Q135" s="71">
        <f>IFERROR(P135/P148, "NA")</f>
        <v>0.009859908546</v>
      </c>
      <c r="R135" s="70">
        <f>IFERROR(R110+R111+R112+R113+R114+R115+R116+R117+R118+R119+R120+R121+R122+R123+R124+R125+R126+R127+R128+R129+R130+R131+R132+R133+R134, "NA")</f>
        <v>-1017.53</v>
      </c>
      <c r="S135" s="71">
        <f>IFERROR(R135/R148, "NA")</f>
        <v>-0.04248841572</v>
      </c>
      <c r="T135" s="70">
        <f>IFERROR(T110+T111+T112+T113+T114+T115+T116+T117+T118+T119+T120+T121+T122+T123+T124+T125+T126+T127+T128+T129+T130+T131+T132+T133+T134, "NA")</f>
        <v>219.72</v>
      </c>
      <c r="U135" s="71">
        <f>IFERROR(T135/T148, "NA")</f>
        <v>0.00743091602</v>
      </c>
      <c r="V135" s="70">
        <f>IFERROR(V110+V111+V112+V113+V114+V115+V116+V117+V118+V119+V120+V121+V122+V123+V124+V125+V126+V127+V128+V129+V130+V131+V132+V133+V134, "NA")</f>
        <v>251.81</v>
      </c>
      <c r="W135" s="71">
        <f>IFERROR(V135/V148, "NA")</f>
        <v>0.01046832895</v>
      </c>
      <c r="X135" s="70">
        <f>IFERROR(X110+X111+X112+X113+X114+X115+X116+X117+X118+X119+X120+X121+X122+X123+X124+X125+X126+X127+X128+X129+X130+X131+X132+X133+X134, "NA")</f>
        <v>2916.64</v>
      </c>
      <c r="Y135" s="71">
        <f>IFERROR(X135/X148, "NA")</f>
        <v>0.1448280519</v>
      </c>
      <c r="Z135" s="70">
        <f>IFERROR(Z110+Z111+Z112+Z113+Z114+Z115+Z116+Z117+Z118+Z119+Z120+Z121+Z122+Z123+Z124+Z125+Z126+Z127+Z128+Z129+Z130+Z131+Z132+Z133+Z134, "NA")</f>
        <v>3388.17</v>
      </c>
      <c r="AA135" s="71">
        <f>IFERROR(Z135/Z148, "NA")</f>
        <v>0.04593415044</v>
      </c>
      <c r="AB135" s="70">
        <f t="shared" si="55"/>
        <v>592.66</v>
      </c>
      <c r="AC135" s="71">
        <f>IFERROR(AB135/AB148, "NA")</f>
        <v>0.02426203208</v>
      </c>
      <c r="AD135" s="75">
        <f t="shared" si="56"/>
        <v>2323.98</v>
      </c>
      <c r="AE135" s="76">
        <f>IFERROR(AD135/AD148, "NA")</f>
        <v>-0.5418683778</v>
      </c>
      <c r="AF135" s="75">
        <f t="shared" si="57"/>
        <v>3.921270206</v>
      </c>
      <c r="AG135" s="70">
        <f t="shared" si="58"/>
        <v>423.52125</v>
      </c>
      <c r="AH135" s="71">
        <f>IFERROR(AG135/AG148, "NA")</f>
        <v>0.01740533128</v>
      </c>
      <c r="AI135" s="75">
        <f t="shared" si="59"/>
        <v>2493.11875</v>
      </c>
      <c r="AJ135" s="76">
        <f>IFERROR(AI135/AI148, "NA")</f>
        <v>-0.5944196831</v>
      </c>
      <c r="AK135" s="75">
        <f t="shared" si="60"/>
        <v>5.886643822</v>
      </c>
      <c r="AL135" s="76">
        <f>IFERROR(AK135/AK148, "NA")</f>
        <v>-34.15158686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2"/>
      <c r="AF136" s="125"/>
      <c r="AG136" s="124"/>
      <c r="AH136" s="74"/>
      <c r="AI136" s="125"/>
      <c r="AJ136" s="82"/>
      <c r="AK136" s="125"/>
      <c r="AL136" s="82"/>
    </row>
    <row r="137" ht="16.5" hidden="1" customHeight="1">
      <c r="A137" s="121" t="s">
        <v>249</v>
      </c>
      <c r="B137" s="122">
        <f>IFERROR(B107-B135, "NA")</f>
        <v>-304.9</v>
      </c>
      <c r="C137" s="98">
        <f>IFERROR(B137/B148, "NA")</f>
        <v>-0.02637290018</v>
      </c>
      <c r="D137" s="122">
        <f>IFERROR(D107-D135, "NA")</f>
        <v>3869.05</v>
      </c>
      <c r="E137" s="98">
        <f>IFERROR(D137/D148, "NA")</f>
        <v>0.2101991732</v>
      </c>
      <c r="F137" s="122">
        <f>IFERROR(F107-F135, "NA")</f>
        <v>1128.3</v>
      </c>
      <c r="G137" s="98">
        <f>IFERROR(F137/F148, "NA")</f>
        <v>0.04903228274</v>
      </c>
      <c r="H137" s="122">
        <f>IFERROR(H107-H135, "NA")</f>
        <v>-5613.75</v>
      </c>
      <c r="I137" s="98">
        <f>IFERROR(H137/H148, "NA")</f>
        <v>-0.2716026625</v>
      </c>
      <c r="J137" s="122">
        <f>IFERROR(J107-J135, "NA")</f>
        <v>66.92</v>
      </c>
      <c r="K137" s="98">
        <f>IFERROR(J137/J148, "NA")</f>
        <v>0.003355568403</v>
      </c>
      <c r="L137" s="122">
        <f>IFERROR(L107-L135, "NA")</f>
        <v>8318.22</v>
      </c>
      <c r="M137" s="98">
        <f>IFERROR(L137/L148, "NA")</f>
        <v>0.2844228741</v>
      </c>
      <c r="N137" s="122">
        <f>IFERROR(N107-N135, "NA")</f>
        <v>926.46</v>
      </c>
      <c r="O137" s="98">
        <f>IFERROR(N137/N148, "NA")</f>
        <v>0.04135487361</v>
      </c>
      <c r="P137" s="122">
        <f>IFERROR(P107-P135, "NA")</f>
        <v>7830.42</v>
      </c>
      <c r="Q137" s="98">
        <f>IFERROR(P137/P148, "NA")</f>
        <v>0.3087547991</v>
      </c>
      <c r="R137" s="122">
        <f>IFERROR(R107-R135, "NA")</f>
        <v>-6929.72</v>
      </c>
      <c r="S137" s="98">
        <f>IFERROR(R137/R148, "NA")</f>
        <v>-0.2893603375</v>
      </c>
      <c r="T137" s="122">
        <f>IFERROR(T107-T135, "NA")</f>
        <v>7317.9</v>
      </c>
      <c r="U137" s="98">
        <f>IFERROR(T137/T148, "NA")</f>
        <v>0.2474908991</v>
      </c>
      <c r="V137" s="122">
        <f>IFERROR(V107-V135, "NA")</f>
        <v>5994.89</v>
      </c>
      <c r="W137" s="98">
        <f>IFERROR(V137/V148, "NA")</f>
        <v>0.2492215581</v>
      </c>
      <c r="X137" s="122">
        <f>IFERROR(X107-X135, "NA")</f>
        <v>1615.44</v>
      </c>
      <c r="Y137" s="98">
        <f>IFERROR(X137/X148, "NA")</f>
        <v>0.08021594308</v>
      </c>
      <c r="Z137" s="122">
        <f>IFERROR(Z107-Z135, "NA")</f>
        <v>14928.23</v>
      </c>
      <c r="AA137" s="98">
        <f>IFERROR(Z137/Z148, "NA")</f>
        <v>0.2023852294</v>
      </c>
      <c r="AB137" s="122">
        <f>IFERROR((R137+T137+V137+X137)/4, "NA")</f>
        <v>1999.6275</v>
      </c>
      <c r="AC137" s="98">
        <f>IFERROR(AB137/AB148, "NA")</f>
        <v>0.08185979574</v>
      </c>
      <c r="AD137" s="75">
        <f>IFERROR(X137-AB137, "NA")</f>
        <v>-384.1875</v>
      </c>
      <c r="AE137" s="76">
        <f>IFERROR(AD137/AD148, "NA")</f>
        <v>0.08957867855</v>
      </c>
      <c r="AF137" s="75">
        <f>IFERROR((X137-AB137)/AB137, "NA")</f>
        <v>-0.1921295341</v>
      </c>
      <c r="AG137" s="122">
        <f>IFERROR((J137+L137+N137+P137+R137+T137+V137+X137)/8, "NA")</f>
        <v>3142.56625</v>
      </c>
      <c r="AH137" s="98">
        <f>IFERROR(AG137/AG148, "NA")</f>
        <v>0.1291491434</v>
      </c>
      <c r="AI137" s="75">
        <f>IFERROR(X137-AG137, "NA")</f>
        <v>-1527.12625</v>
      </c>
      <c r="AJ137" s="76">
        <f>IFERROR(AI137/AI148, "NA")</f>
        <v>0.3641037562</v>
      </c>
      <c r="AK137" s="75">
        <f>IFERROR((X137-AG137)/AG137, "NA")</f>
        <v>-0.4859487847</v>
      </c>
      <c r="AL137" s="76">
        <f>IFERROR(AK137/AK148, "NA")</f>
        <v>2.819250261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2"/>
      <c r="AF138" s="125"/>
      <c r="AG138" s="124"/>
      <c r="AH138" s="74"/>
      <c r="AI138" s="125"/>
      <c r="AJ138" s="82"/>
      <c r="AK138" s="125"/>
      <c r="AL138" s="82"/>
    </row>
    <row r="139" ht="16.5" hidden="1" customHeight="1">
      <c r="A139" s="22" t="s">
        <v>250</v>
      </c>
      <c r="B139" s="23"/>
      <c r="C139" s="10"/>
      <c r="D139" s="23"/>
      <c r="E139" s="10"/>
      <c r="F139" s="23"/>
      <c r="G139" s="10"/>
      <c r="H139" s="23"/>
      <c r="I139" s="10"/>
      <c r="J139" s="23"/>
      <c r="K139" s="10"/>
      <c r="L139" s="23"/>
      <c r="M139" s="10"/>
      <c r="N139" s="23"/>
      <c r="O139" s="10"/>
      <c r="P139" s="23"/>
      <c r="Q139" s="10"/>
      <c r="R139" s="23"/>
      <c r="S139" s="10"/>
      <c r="T139" s="23"/>
      <c r="U139" s="10"/>
      <c r="V139" s="23"/>
      <c r="W139" s="10"/>
      <c r="X139" s="23"/>
      <c r="Y139" s="10"/>
      <c r="Z139" s="23"/>
      <c r="AA139" s="10"/>
      <c r="AB139" s="23"/>
      <c r="AC139" s="10"/>
      <c r="AD139" s="24"/>
      <c r="AE139" s="25"/>
      <c r="AF139" s="24"/>
      <c r="AG139" s="23"/>
      <c r="AH139" s="10"/>
      <c r="AI139" s="24"/>
      <c r="AJ139" s="25"/>
      <c r="AK139" s="24"/>
      <c r="AL139" s="25"/>
    </row>
    <row r="140" ht="16.5" hidden="1" customHeight="1">
      <c r="A140" s="26" t="s">
        <v>251</v>
      </c>
      <c r="B140" s="28">
        <v>-104.88</v>
      </c>
      <c r="C140" s="15">
        <f>IFERROR(B140/B148, "NA")</f>
        <v>-0.009071793279</v>
      </c>
      <c r="D140" s="28">
        <v>0.0</v>
      </c>
      <c r="E140" s="15">
        <f>IFERROR(D140/D148, "NA")</f>
        <v>0</v>
      </c>
      <c r="F140" s="28">
        <v>0.0</v>
      </c>
      <c r="G140" s="15">
        <f>IFERROR(F140/F148, "NA")</f>
        <v>0</v>
      </c>
      <c r="H140" s="28">
        <v>4802.72</v>
      </c>
      <c r="I140" s="15">
        <f>IFERROR(H140/H148, "NA")</f>
        <v>0.2323636677</v>
      </c>
      <c r="J140" s="28">
        <v>-102.23</v>
      </c>
      <c r="K140" s="15">
        <f>IFERROR(J140/J148, "NA")</f>
        <v>-0.005126117123</v>
      </c>
      <c r="L140" s="28">
        <v>0.0</v>
      </c>
      <c r="M140" s="15">
        <f>IFERROR(L140/L148, "NA")</f>
        <v>0</v>
      </c>
      <c r="N140" s="28">
        <v>0.0</v>
      </c>
      <c r="O140" s="15">
        <f>IFERROR(N140/N148, "NA")</f>
        <v>0</v>
      </c>
      <c r="P140" s="28">
        <v>4.23</v>
      </c>
      <c r="Q140" s="15">
        <f>IFERROR(P140/P148, "NA")</f>
        <v>0.0001667896231</v>
      </c>
      <c r="R140" s="28">
        <v>18338.5</v>
      </c>
      <c r="S140" s="15">
        <f>IFERROR(R140/R148, "NA")</f>
        <v>0.7657502106</v>
      </c>
      <c r="T140" s="28">
        <v>-113.35</v>
      </c>
      <c r="U140" s="15">
        <f>IFERROR(T140/T148, "NA")</f>
        <v>-0.003833489581</v>
      </c>
      <c r="V140" s="28">
        <v>0.0</v>
      </c>
      <c r="W140" s="15">
        <f>IFERROR(V140/V148, "NA")</f>
        <v>0</v>
      </c>
      <c r="X140" s="28">
        <v>0.0</v>
      </c>
      <c r="Y140" s="15">
        <f>IFERROR(X140/X148, "NA")</f>
        <v>0</v>
      </c>
      <c r="Z140" s="28">
        <v>-113.35</v>
      </c>
      <c r="AA140" s="15">
        <f>IFERROR(Z140/Z148, "NA")</f>
        <v>-0.001536710363</v>
      </c>
      <c r="AB140" s="57">
        <f t="shared" ref="AB140:AB141" si="61">IFERROR((R140+T140+V140+X140)/4, "NA")</f>
        <v>4556.2875</v>
      </c>
      <c r="AC140" s="15">
        <f>IFERROR(AB140/AB148, "NA")</f>
        <v>0.186523122</v>
      </c>
      <c r="AD140" s="61">
        <f t="shared" ref="AD140:AD141" si="62">IFERROR(X140-AB140, "NA")</f>
        <v>-4556.2875</v>
      </c>
      <c r="AE140" s="62">
        <f>IFERROR(AD140/AD148, "NA")</f>
        <v>1.062362033</v>
      </c>
      <c r="AF140" s="61">
        <f t="shared" ref="AF140:AF141" si="63">IFERROR((X140-AB140)/AB140, "NA")</f>
        <v>-1</v>
      </c>
      <c r="AG140" s="57">
        <f t="shared" ref="AG140:AG141" si="64">IFERROR((J140+L140+N140+P140+R140+T140+V140+X140)/8, "NA")</f>
        <v>2265.89375</v>
      </c>
      <c r="AH140" s="15">
        <f>IFERROR(AG140/AG148, "NA")</f>
        <v>0.09312078524</v>
      </c>
      <c r="AI140" s="61">
        <f t="shared" ref="AI140:AI141" si="65">IFERROR(X140-AG140, "NA")</f>
        <v>-2265.89375</v>
      </c>
      <c r="AJ140" s="62">
        <f>IFERROR(AI140/AI148, "NA")</f>
        <v>0.5402437589</v>
      </c>
      <c r="AK140" s="61">
        <f t="shared" ref="AK140:AK141" si="66">IFERROR((X140-AG140)/AG140, "NA")</f>
        <v>-1</v>
      </c>
      <c r="AL140" s="62">
        <f>IFERROR(AK140/AK148, "NA")</f>
        <v>5.801537836</v>
      </c>
    </row>
    <row r="141" ht="16.5" hidden="1" customHeight="1">
      <c r="A141" s="67" t="s">
        <v>252</v>
      </c>
      <c r="B141" s="70">
        <f>IFERROR(B140, "NA")</f>
        <v>-104.88</v>
      </c>
      <c r="C141" s="71">
        <f>IFERROR(B141/B148, "NA")</f>
        <v>-0.009071793279</v>
      </c>
      <c r="D141" s="70">
        <f>IFERROR(D140, "NA")</f>
        <v>0</v>
      </c>
      <c r="E141" s="71">
        <f>IFERROR(D141/D148, "NA")</f>
        <v>0</v>
      </c>
      <c r="F141" s="70">
        <f>IFERROR(F140, "NA")</f>
        <v>0</v>
      </c>
      <c r="G141" s="71">
        <f>IFERROR(F141/F148, "NA")</f>
        <v>0</v>
      </c>
      <c r="H141" s="70">
        <f>IFERROR(H140, "NA")</f>
        <v>4802.72</v>
      </c>
      <c r="I141" s="71">
        <f>IFERROR(H141/H148, "NA")</f>
        <v>0.2323636677</v>
      </c>
      <c r="J141" s="70">
        <f>IFERROR(J140, "NA")</f>
        <v>-102.23</v>
      </c>
      <c r="K141" s="71">
        <f>IFERROR(J141/J148, "NA")</f>
        <v>-0.005126117123</v>
      </c>
      <c r="L141" s="70">
        <f>IFERROR(L140, "NA")</f>
        <v>0</v>
      </c>
      <c r="M141" s="71">
        <f>IFERROR(L141/L148, "NA")</f>
        <v>0</v>
      </c>
      <c r="N141" s="70">
        <f>IFERROR(N140, "NA")</f>
        <v>0</v>
      </c>
      <c r="O141" s="71">
        <f>IFERROR(N141/N148, "NA")</f>
        <v>0</v>
      </c>
      <c r="P141" s="70">
        <f>IFERROR(P140, "NA")</f>
        <v>4.23</v>
      </c>
      <c r="Q141" s="71">
        <f>IFERROR(P141/P148, "NA")</f>
        <v>0.0001667896231</v>
      </c>
      <c r="R141" s="70">
        <f>IFERROR(R140, "NA")</f>
        <v>18338.5</v>
      </c>
      <c r="S141" s="71">
        <f>IFERROR(R141/R148, "NA")</f>
        <v>0.7657502106</v>
      </c>
      <c r="T141" s="70">
        <f>IFERROR(T140, "NA")</f>
        <v>-113.35</v>
      </c>
      <c r="U141" s="71">
        <f>IFERROR(T141/T148, "NA")</f>
        <v>-0.003833489581</v>
      </c>
      <c r="V141" s="70">
        <f>IFERROR(V140, "NA")</f>
        <v>0</v>
      </c>
      <c r="W141" s="71">
        <f>IFERROR(V141/V148, "NA")</f>
        <v>0</v>
      </c>
      <c r="X141" s="70">
        <f>IFERROR(X140, "NA")</f>
        <v>0</v>
      </c>
      <c r="Y141" s="71">
        <f>IFERROR(X141/X148, "NA")</f>
        <v>0</v>
      </c>
      <c r="Z141" s="70">
        <f>IFERROR(Z140, "NA")</f>
        <v>-113.35</v>
      </c>
      <c r="AA141" s="71">
        <f>IFERROR(Z141/Z148, "NA")</f>
        <v>-0.001536710363</v>
      </c>
      <c r="AB141" s="70">
        <f t="shared" si="61"/>
        <v>4556.2875</v>
      </c>
      <c r="AC141" s="71">
        <f>IFERROR(AB141/AB148, "NA")</f>
        <v>0.186523122</v>
      </c>
      <c r="AD141" s="75">
        <f t="shared" si="62"/>
        <v>-4556.2875</v>
      </c>
      <c r="AE141" s="76">
        <f>IFERROR(AD141/AD148, "NA")</f>
        <v>1.062362033</v>
      </c>
      <c r="AF141" s="75">
        <f t="shared" si="63"/>
        <v>-1</v>
      </c>
      <c r="AG141" s="70">
        <f t="shared" si="64"/>
        <v>2265.89375</v>
      </c>
      <c r="AH141" s="71">
        <f>IFERROR(AG141/AG148, "NA")</f>
        <v>0.09312078524</v>
      </c>
      <c r="AI141" s="75">
        <f t="shared" si="65"/>
        <v>-2265.89375</v>
      </c>
      <c r="AJ141" s="76">
        <f>IFERROR(AI141/AI148, "NA")</f>
        <v>0.5402437589</v>
      </c>
      <c r="AK141" s="75">
        <f t="shared" si="66"/>
        <v>-1</v>
      </c>
      <c r="AL141" s="76">
        <f>IFERROR(AK141/AK148, "NA")</f>
        <v>5.801537836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2"/>
      <c r="AF142" s="125"/>
      <c r="AG142" s="124"/>
      <c r="AH142" s="74"/>
      <c r="AI142" s="125"/>
      <c r="AJ142" s="82"/>
      <c r="AK142" s="125"/>
      <c r="AL142" s="82"/>
    </row>
    <row r="143" ht="16.5" hidden="1" customHeight="1">
      <c r="A143" s="22" t="s">
        <v>253</v>
      </c>
      <c r="B143" s="23"/>
      <c r="C143" s="10"/>
      <c r="D143" s="23"/>
      <c r="E143" s="10"/>
      <c r="F143" s="23"/>
      <c r="G143" s="10"/>
      <c r="H143" s="23"/>
      <c r="I143" s="10"/>
      <c r="J143" s="23"/>
      <c r="K143" s="10"/>
      <c r="L143" s="23"/>
      <c r="M143" s="10"/>
      <c r="N143" s="23"/>
      <c r="O143" s="10"/>
      <c r="P143" s="23"/>
      <c r="Q143" s="10"/>
      <c r="R143" s="23"/>
      <c r="S143" s="10"/>
      <c r="T143" s="23"/>
      <c r="U143" s="10"/>
      <c r="V143" s="23"/>
      <c r="W143" s="10"/>
      <c r="X143" s="23"/>
      <c r="Y143" s="10"/>
      <c r="Z143" s="23"/>
      <c r="AA143" s="10"/>
      <c r="AB143" s="23"/>
      <c r="AC143" s="10"/>
      <c r="AD143" s="24"/>
      <c r="AE143" s="25"/>
      <c r="AF143" s="24"/>
      <c r="AG143" s="23"/>
      <c r="AH143" s="10"/>
      <c r="AI143" s="24"/>
      <c r="AJ143" s="25"/>
      <c r="AK143" s="24"/>
      <c r="AL143" s="25"/>
    </row>
    <row r="144" ht="16.5" hidden="1" customHeight="1">
      <c r="A144" s="26" t="s">
        <v>254</v>
      </c>
      <c r="B144" s="28">
        <v>0.0</v>
      </c>
      <c r="C144" s="15">
        <f>IFERROR(B144/B148, "NA")</f>
        <v>0</v>
      </c>
      <c r="D144" s="28">
        <v>0.0</v>
      </c>
      <c r="E144" s="15">
        <f>IFERROR(D144/D148, "NA")</f>
        <v>0</v>
      </c>
      <c r="F144" s="28">
        <v>0.0</v>
      </c>
      <c r="G144" s="15">
        <f>IFERROR(F144/F148, "NA")</f>
        <v>0</v>
      </c>
      <c r="H144" s="28">
        <v>0.0</v>
      </c>
      <c r="I144" s="15">
        <f>IFERROR(H144/H148, "NA")</f>
        <v>0</v>
      </c>
      <c r="J144" s="28">
        <v>0.0</v>
      </c>
      <c r="K144" s="15">
        <f>IFERROR(J144/J148, "NA")</f>
        <v>0</v>
      </c>
      <c r="L144" s="28">
        <v>0.0</v>
      </c>
      <c r="M144" s="15">
        <f>IFERROR(L144/L148, "NA")</f>
        <v>0</v>
      </c>
      <c r="N144" s="28">
        <v>0.0</v>
      </c>
      <c r="O144" s="15">
        <f>IFERROR(N144/N148, "NA")</f>
        <v>0</v>
      </c>
      <c r="P144" s="28">
        <v>0.0</v>
      </c>
      <c r="Q144" s="15">
        <f>IFERROR(P144/P148, "NA")</f>
        <v>0</v>
      </c>
      <c r="R144" s="28">
        <v>0.0</v>
      </c>
      <c r="S144" s="15">
        <f>IFERROR(R144/R148, "NA")</f>
        <v>0</v>
      </c>
      <c r="T144" s="28">
        <v>0.0</v>
      </c>
      <c r="U144" s="15">
        <f>IFERROR(T144/T148, "NA")</f>
        <v>0</v>
      </c>
      <c r="V144" s="28">
        <v>0.0</v>
      </c>
      <c r="W144" s="15">
        <f>IFERROR(V144/V148, "NA")</f>
        <v>0</v>
      </c>
      <c r="X144" s="28">
        <v>0.0</v>
      </c>
      <c r="Y144" s="15">
        <f>IFERROR(X144/X148, "NA")</f>
        <v>0</v>
      </c>
      <c r="Z144" s="28">
        <v>0.0</v>
      </c>
      <c r="AA144" s="15">
        <f>IFERROR(Z144/Z148, "NA")</f>
        <v>0</v>
      </c>
      <c r="AB144" s="57">
        <f t="shared" ref="AB144:AB145" si="67">IFERROR((R144+T144+V144+X144)/4, "NA")</f>
        <v>0</v>
      </c>
      <c r="AC144" s="15">
        <f>IFERROR(AB144/AB148, "NA")</f>
        <v>0</v>
      </c>
      <c r="AD144" s="61">
        <f t="shared" ref="AD144:AD145" si="68">IFERROR(X144-AB144, "NA")</f>
        <v>0</v>
      </c>
      <c r="AE144" s="62">
        <f>IFERROR(AD144/AD148, "NA")</f>
        <v>0</v>
      </c>
      <c r="AF144" s="61" t="str">
        <f t="shared" ref="AF144:AF145" si="69">IFERROR((X144-AB144)/AB144, "NA")</f>
        <v>NA</v>
      </c>
      <c r="AG144" s="57">
        <f t="shared" ref="AG144:AG145" si="70">IFERROR((J144+L144+N144+P144+R144+T144+V144+X144)/8, "NA")</f>
        <v>0</v>
      </c>
      <c r="AH144" s="15">
        <f>IFERROR(AG144/AG148, "NA")</f>
        <v>0</v>
      </c>
      <c r="AI144" s="61">
        <f t="shared" ref="AI144:AI145" si="71">IFERROR(X144-AG144, "NA")</f>
        <v>0</v>
      </c>
      <c r="AJ144" s="62">
        <f>IFERROR(AI144/AI148, "NA")</f>
        <v>0</v>
      </c>
      <c r="AK144" s="61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255</v>
      </c>
      <c r="B145" s="70">
        <f>IFERROR(B144, "NA")</f>
        <v>0</v>
      </c>
      <c r="C145" s="71">
        <f>IFERROR(B145/B148, "NA")</f>
        <v>0</v>
      </c>
      <c r="D145" s="70">
        <f>IFERROR(D144, "NA")</f>
        <v>0</v>
      </c>
      <c r="E145" s="71">
        <f>IFERROR(D145/D148, "NA")</f>
        <v>0</v>
      </c>
      <c r="F145" s="70">
        <f>IFERROR(F144, "NA")</f>
        <v>0</v>
      </c>
      <c r="G145" s="71">
        <f>IFERROR(F145/F148, "NA")</f>
        <v>0</v>
      </c>
      <c r="H145" s="70">
        <f>IFERROR(H144, "NA")</f>
        <v>0</v>
      </c>
      <c r="I145" s="71">
        <f>IFERROR(H145/H148, "NA")</f>
        <v>0</v>
      </c>
      <c r="J145" s="70">
        <f>IFERROR(J144, "NA")</f>
        <v>0</v>
      </c>
      <c r="K145" s="71">
        <f>IFERROR(J145/J148, "NA")</f>
        <v>0</v>
      </c>
      <c r="L145" s="70">
        <f>IFERROR(L144, "NA")</f>
        <v>0</v>
      </c>
      <c r="M145" s="71">
        <f>IFERROR(L145/L148, "NA")</f>
        <v>0</v>
      </c>
      <c r="N145" s="70">
        <f>IFERROR(N144, "NA")</f>
        <v>0</v>
      </c>
      <c r="O145" s="71">
        <f>IFERROR(N145/N148, "NA")</f>
        <v>0</v>
      </c>
      <c r="P145" s="70">
        <f>IFERROR(P144, "NA")</f>
        <v>0</v>
      </c>
      <c r="Q145" s="71">
        <f>IFERROR(P145/P148, "NA")</f>
        <v>0</v>
      </c>
      <c r="R145" s="70">
        <f>IFERROR(R144, "NA")</f>
        <v>0</v>
      </c>
      <c r="S145" s="71">
        <f>IFERROR(R145/R148, "NA")</f>
        <v>0</v>
      </c>
      <c r="T145" s="70">
        <f>IFERROR(T144, "NA")</f>
        <v>0</v>
      </c>
      <c r="U145" s="71">
        <f>IFERROR(T145/T148, "NA")</f>
        <v>0</v>
      </c>
      <c r="V145" s="70">
        <f>IFERROR(V144, "NA")</f>
        <v>0</v>
      </c>
      <c r="W145" s="71">
        <f>IFERROR(V145/V148, "NA")</f>
        <v>0</v>
      </c>
      <c r="X145" s="70">
        <f>IFERROR(X144, "NA")</f>
        <v>0</v>
      </c>
      <c r="Y145" s="71">
        <f>IFERROR(X145/X148, "NA")</f>
        <v>0</v>
      </c>
      <c r="Z145" s="70">
        <f>IFERROR(Z144, "NA")</f>
        <v>0</v>
      </c>
      <c r="AA145" s="71">
        <f>IFERROR(Z145/Z148, "NA")</f>
        <v>0</v>
      </c>
      <c r="AB145" s="70">
        <f t="shared" si="67"/>
        <v>0</v>
      </c>
      <c r="AC145" s="71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70">
        <f t="shared" si="70"/>
        <v>0</v>
      </c>
      <c r="AH145" s="71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2"/>
      <c r="AF146" s="125"/>
      <c r="AG146" s="124"/>
      <c r="AH146" s="74"/>
      <c r="AI146" s="125"/>
      <c r="AJ146" s="82"/>
      <c r="AK146" s="125"/>
      <c r="AL146" s="82"/>
    </row>
    <row r="147" ht="16.5" hidden="1" customHeight="1">
      <c r="A147" s="121" t="s">
        <v>256</v>
      </c>
      <c r="B147" s="122">
        <f>IFERROR(B137-B141-B145, "NA")</f>
        <v>-200.02</v>
      </c>
      <c r="C147" s="98">
        <f>IFERROR(B147/B148, "NA")</f>
        <v>-0.0173011069</v>
      </c>
      <c r="D147" s="122">
        <f>IFERROR(D137-D141-D145, "NA")</f>
        <v>3869.05</v>
      </c>
      <c r="E147" s="98">
        <f>IFERROR(D147/D148, "NA")</f>
        <v>0.2101991732</v>
      </c>
      <c r="F147" s="122">
        <f>IFERROR(F137-F141-F145, "NA")</f>
        <v>1128.3</v>
      </c>
      <c r="G147" s="98">
        <f>IFERROR(F147/F148, "NA")</f>
        <v>0.04903228274</v>
      </c>
      <c r="H147" s="122">
        <f>IFERROR(H137-H141-H145, "NA")</f>
        <v>-10416.47</v>
      </c>
      <c r="I147" s="98">
        <f>IFERROR(H147/H148, "NA")</f>
        <v>-0.5039663302</v>
      </c>
      <c r="J147" s="122">
        <f>IFERROR(J137-J141-J145, "NA")</f>
        <v>169.15</v>
      </c>
      <c r="K147" s="98">
        <f>IFERROR(J147/J148, "NA")</f>
        <v>0.008481685526</v>
      </c>
      <c r="L147" s="122">
        <f>IFERROR(L137-L141-L145, "NA")</f>
        <v>8318.22</v>
      </c>
      <c r="M147" s="98">
        <f>IFERROR(L147/L148, "NA")</f>
        <v>0.2844228741</v>
      </c>
      <c r="N147" s="122">
        <f>IFERROR(N137-N141-N145, "NA")</f>
        <v>926.46</v>
      </c>
      <c r="O147" s="98">
        <f>IFERROR(N147/N148, "NA")</f>
        <v>0.04135487361</v>
      </c>
      <c r="P147" s="122">
        <f>IFERROR(P137-P141-P145, "NA")</f>
        <v>7826.19</v>
      </c>
      <c r="Q147" s="98">
        <f>IFERROR(P147/P148, "NA")</f>
        <v>0.3085880095</v>
      </c>
      <c r="R147" s="122">
        <f>IFERROR(R137-R141-R145, "NA")</f>
        <v>-25268.22</v>
      </c>
      <c r="S147" s="98">
        <f>IFERROR(R147/R148, "NA")</f>
        <v>-1.055110548</v>
      </c>
      <c r="T147" s="122">
        <f>IFERROR(T137-T141-T145, "NA")</f>
        <v>7431.25</v>
      </c>
      <c r="U147" s="98">
        <f>IFERROR(T147/T148, "NA")</f>
        <v>0.2513243886</v>
      </c>
      <c r="V147" s="122">
        <f>IFERROR(V137-V141-V145, "NA")</f>
        <v>5994.89</v>
      </c>
      <c r="W147" s="98">
        <f>IFERROR(V147/V148, "NA")</f>
        <v>0.2492215581</v>
      </c>
      <c r="X147" s="122">
        <f>IFERROR(X137-X141-X145, "NA")</f>
        <v>1615.44</v>
      </c>
      <c r="Y147" s="98">
        <f>IFERROR(X147/X148, "NA")</f>
        <v>0.08021594308</v>
      </c>
      <c r="Z147" s="122">
        <f>IFERROR(Z137-Z141-Z145, "NA")</f>
        <v>15041.58</v>
      </c>
      <c r="AA147" s="98">
        <f>IFERROR(Z147/Z148, "NA")</f>
        <v>0.2039219397</v>
      </c>
      <c r="AB147" s="122">
        <f t="shared" ref="AB147:AB148" si="73">IFERROR((R147+T147+V147+X147)/4, "NA")</f>
        <v>-2556.66</v>
      </c>
      <c r="AC147" s="98">
        <f>IFERROR(AB147/AB148, "NA")</f>
        <v>-0.1046633262</v>
      </c>
      <c r="AD147" s="75">
        <f t="shared" ref="AD147:AD148" si="74">IFERROR(X147-AB147, "NA")</f>
        <v>4172.1</v>
      </c>
      <c r="AE147" s="76">
        <f>IFERROR(AD147/AD148, "NA")</f>
        <v>-0.972783354</v>
      </c>
      <c r="AF147" s="75">
        <f t="shared" ref="AF147:AF148" si="75">IFERROR((X147-AB147)/AB147, "NA")</f>
        <v>-1.631855624</v>
      </c>
      <c r="AG147" s="122">
        <f t="shared" ref="AG147:AG148" si="76">IFERROR((J147+L147+N147+P147+R147+T147+V147+X147)/8, "NA")</f>
        <v>876.6725</v>
      </c>
      <c r="AH147" s="98">
        <f>IFERROR(AG147/AG148, "NA")</f>
        <v>0.03602835817</v>
      </c>
      <c r="AI147" s="75">
        <f t="shared" ref="AI147:AI148" si="77">IFERROR(X147-AG147, "NA")</f>
        <v>738.7675</v>
      </c>
      <c r="AJ147" s="76">
        <f>IFERROR(AI147/AI148, "NA")</f>
        <v>-0.1761400027</v>
      </c>
      <c r="AK147" s="75">
        <f t="shared" ref="AK147:AK148" si="78">IFERROR((X147-AG147)/AG147, "NA")</f>
        <v>0.8426949631</v>
      </c>
      <c r="AL147" s="76">
        <f>IFERROR(AK147/AK148, "NA")</f>
        <v>-4.888926712</v>
      </c>
    </row>
    <row r="148" ht="14.25" hidden="1" customHeight="1">
      <c r="A148" s="26" t="s">
        <v>53</v>
      </c>
      <c r="B148" s="28">
        <v>11561.11</v>
      </c>
      <c r="C148" s="128"/>
      <c r="D148" s="28">
        <v>18406.59</v>
      </c>
      <c r="E148" s="128"/>
      <c r="F148" s="28">
        <v>23011.37</v>
      </c>
      <c r="G148" s="128"/>
      <c r="H148" s="28">
        <v>20668.98</v>
      </c>
      <c r="I148" s="128"/>
      <c r="J148" s="28">
        <v>19942.97</v>
      </c>
      <c r="K148" s="128"/>
      <c r="L148" s="28">
        <v>29245.96</v>
      </c>
      <c r="M148" s="128"/>
      <c r="N148" s="28">
        <v>22402.68</v>
      </c>
      <c r="O148" s="128"/>
      <c r="P148" s="28">
        <v>25361.29</v>
      </c>
      <c r="Q148" s="128"/>
      <c r="R148" s="28">
        <v>23948.41</v>
      </c>
      <c r="S148" s="128"/>
      <c r="T148" s="28">
        <v>29568.36</v>
      </c>
      <c r="U148" s="128"/>
      <c r="V148" s="28">
        <v>24054.46</v>
      </c>
      <c r="W148" s="128"/>
      <c r="X148" s="28">
        <v>20138.64</v>
      </c>
      <c r="Y148" s="128"/>
      <c r="Z148" s="28">
        <v>73761.46</v>
      </c>
      <c r="AA148" s="128"/>
      <c r="AB148" s="57">
        <f t="shared" si="73"/>
        <v>24427.4675</v>
      </c>
      <c r="AC148" s="128"/>
      <c r="AD148" s="61">
        <f t="shared" si="74"/>
        <v>-4288.8275</v>
      </c>
      <c r="AE148" s="129"/>
      <c r="AF148" s="61">
        <f t="shared" si="75"/>
        <v>-0.1755739722</v>
      </c>
      <c r="AG148" s="57">
        <f t="shared" si="76"/>
        <v>24332.84625</v>
      </c>
      <c r="AH148" s="128"/>
      <c r="AI148" s="61">
        <f t="shared" si="77"/>
        <v>-4194.20625</v>
      </c>
      <c r="AJ148" s="129"/>
      <c r="AK148" s="61">
        <f t="shared" si="78"/>
        <v>-0.1723680907</v>
      </c>
      <c r="AL148" s="129"/>
    </row>
    <row r="149" ht="14.25" customHeight="1"/>
    <row r="150" ht="14.25" customHeight="1"/>
    <row r="151" ht="14.25" customHeight="1">
      <c r="A151" s="130" t="s">
        <v>257</v>
      </c>
    </row>
    <row r="152" ht="14.25" customHeight="1">
      <c r="A152" s="130" t="s">
        <v>258</v>
      </c>
    </row>
    <row r="153" ht="14.25" customHeight="1">
      <c r="A153" s="130" t="s">
        <v>259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5" t="s">
        <v>12</v>
      </c>
    </row>
    <row r="3" ht="14.25" customHeight="1">
      <c r="A3" s="6" t="s">
        <v>75</v>
      </c>
    </row>
    <row r="4" ht="14.25" customHeight="1"/>
    <row r="5" ht="13.5" customHeight="1">
      <c r="A5" s="17"/>
      <c r="B5" s="1" t="s">
        <v>16</v>
      </c>
      <c r="D5" s="1" t="s">
        <v>17</v>
      </c>
      <c r="F5" s="1" t="s">
        <v>18</v>
      </c>
      <c r="H5" s="1" t="s">
        <v>19</v>
      </c>
      <c r="J5" s="1" t="s">
        <v>20</v>
      </c>
      <c r="L5" s="1" t="s">
        <v>21</v>
      </c>
      <c r="N5" s="1" t="s">
        <v>22</v>
      </c>
      <c r="P5" s="1" t="s">
        <v>23</v>
      </c>
      <c r="R5" s="1" t="s">
        <v>25</v>
      </c>
      <c r="T5" s="1" t="s">
        <v>26</v>
      </c>
      <c r="V5" s="1" t="s">
        <v>27</v>
      </c>
      <c r="X5" s="1" t="s">
        <v>13</v>
      </c>
      <c r="Z5" s="1" t="s">
        <v>28</v>
      </c>
      <c r="AB5" s="1" t="s">
        <v>29</v>
      </c>
      <c r="AD5" s="21" t="s">
        <v>30</v>
      </c>
      <c r="AF5" s="21" t="s">
        <v>32</v>
      </c>
      <c r="AG5" s="1" t="s">
        <v>33</v>
      </c>
      <c r="AI5" s="21" t="s">
        <v>34</v>
      </c>
      <c r="AK5" s="21" t="s">
        <v>35</v>
      </c>
    </row>
    <row r="6" ht="16.5" customHeight="1">
      <c r="A6" s="22" t="s">
        <v>8</v>
      </c>
      <c r="B6" s="23"/>
      <c r="C6" s="10"/>
      <c r="D6" s="23"/>
      <c r="E6" s="10"/>
      <c r="F6" s="23"/>
      <c r="G6" s="10"/>
      <c r="H6" s="23"/>
      <c r="I6" s="10"/>
      <c r="J6" s="23"/>
      <c r="K6" s="10"/>
      <c r="L6" s="23"/>
      <c r="M6" s="10"/>
      <c r="N6" s="23"/>
      <c r="O6" s="10"/>
      <c r="P6" s="23"/>
      <c r="Q6" s="10"/>
      <c r="R6" s="23"/>
      <c r="S6" s="10"/>
      <c r="T6" s="23"/>
      <c r="U6" s="10"/>
      <c r="V6" s="23"/>
      <c r="W6" s="10"/>
      <c r="X6" s="23"/>
      <c r="Y6" s="10"/>
      <c r="Z6" s="23"/>
      <c r="AA6" s="10"/>
      <c r="AB6" s="23"/>
      <c r="AC6" s="10"/>
      <c r="AD6" s="24"/>
      <c r="AE6" s="25"/>
      <c r="AF6" s="24"/>
      <c r="AG6" s="23"/>
      <c r="AH6" s="10"/>
      <c r="AI6" s="24"/>
      <c r="AJ6" s="25"/>
      <c r="AK6" s="24"/>
      <c r="AL6" s="25"/>
    </row>
    <row r="7" ht="16.5" customHeight="1">
      <c r="A7" s="26" t="s">
        <v>8</v>
      </c>
      <c r="B7" s="28">
        <v>33950.23</v>
      </c>
      <c r="C7" s="15">
        <f>IFERROR(B7/B148, "NA")</f>
        <v>1</v>
      </c>
      <c r="D7" s="28">
        <v>46708.03</v>
      </c>
      <c r="E7" s="15">
        <f>IFERROR(D7/D148, "NA")</f>
        <v>1</v>
      </c>
      <c r="F7" s="28">
        <v>40270.78</v>
      </c>
      <c r="G7" s="15">
        <f>IFERROR(F7/F148, "NA")</f>
        <v>1</v>
      </c>
      <c r="H7" s="28">
        <v>53381.3</v>
      </c>
      <c r="I7" s="15">
        <f>IFERROR(H7/H148, "NA")</f>
        <v>1</v>
      </c>
      <c r="J7" s="28">
        <v>46461.1</v>
      </c>
      <c r="K7" s="15">
        <f>IFERROR(J7/J148, "NA")</f>
        <v>1</v>
      </c>
      <c r="L7" s="28">
        <v>43840.62</v>
      </c>
      <c r="M7" s="15">
        <f>IFERROR(L7/L148, "NA")</f>
        <v>1</v>
      </c>
      <c r="N7" s="28">
        <v>52889.28</v>
      </c>
      <c r="O7" s="15">
        <f>IFERROR(N7/N148, "NA")</f>
        <v>1</v>
      </c>
      <c r="P7" s="28">
        <v>64578.92</v>
      </c>
      <c r="Q7" s="15">
        <f>IFERROR(P7/P148, "NA")</f>
        <v>1</v>
      </c>
      <c r="R7" s="28">
        <v>54778.99</v>
      </c>
      <c r="S7" s="15">
        <f>IFERROR(R7/R148, "NA")</f>
        <v>1</v>
      </c>
      <c r="T7" s="28">
        <v>48911.47</v>
      </c>
      <c r="U7" s="15">
        <f>IFERROR(T7/T148, "NA")</f>
        <v>1</v>
      </c>
      <c r="V7" s="28">
        <v>45970.48</v>
      </c>
      <c r="W7" s="15">
        <f>IFERROR(V7/V148, "NA")</f>
        <v>1</v>
      </c>
      <c r="X7" s="28">
        <v>58151.51</v>
      </c>
      <c r="Y7" s="15">
        <f>IFERROR(X7/X148, "NA")</f>
        <v>1</v>
      </c>
      <c r="Z7" s="28">
        <v>153033.46</v>
      </c>
      <c r="AA7" s="15">
        <f>IFERROR(Z7/Z148, "NA")</f>
        <v>1</v>
      </c>
      <c r="AB7" s="57">
        <f t="shared" ref="AB7:AB9" si="1">IFERROR((R7+T7+V7+X7)/4, "NA")</f>
        <v>51953.1125</v>
      </c>
      <c r="AC7" s="15">
        <f>IFERROR(AB7/AB148, "NA")</f>
        <v>1</v>
      </c>
      <c r="AD7" s="61">
        <f t="shared" ref="AD7:AD9" si="2">IFERROR(X7-AB7, "NA")</f>
        <v>6198.3975</v>
      </c>
      <c r="AE7" s="62">
        <f>IFERROR(AD7/AD148, "NA")</f>
        <v>1</v>
      </c>
      <c r="AF7" s="61">
        <f t="shared" ref="AF7:AF9" si="3">IFERROR((X7-AB7)/AB7, "NA")</f>
        <v>0.1193075295</v>
      </c>
      <c r="AG7" s="57">
        <f t="shared" ref="AG7:AG9" si="4">IFERROR((J7+L7+N7+P7+R7+T7+V7+X7)/8, "NA")</f>
        <v>51947.79625</v>
      </c>
      <c r="AH7" s="15">
        <f>IFERROR(AG7/AG148, "NA")</f>
        <v>1</v>
      </c>
      <c r="AI7" s="61">
        <f t="shared" ref="AI7:AI9" si="5">IFERROR(X7-AG7, "NA")</f>
        <v>6203.71375</v>
      </c>
      <c r="AJ7" s="62">
        <f>IFERROR(AI7/AI148, "NA")</f>
        <v>1</v>
      </c>
      <c r="AK7" s="61">
        <f t="shared" ref="AK7:AK9" si="6">IFERROR((X7-AG7)/AG7, "NA")</f>
        <v>0.1194220775</v>
      </c>
      <c r="AL7" s="62">
        <f>IFERROR(AK7/AK148, "NA")</f>
        <v>1</v>
      </c>
    </row>
    <row r="8" ht="30.75" hidden="1" customHeight="1">
      <c r="A8" s="26" t="s">
        <v>61</v>
      </c>
      <c r="B8" s="28">
        <v>0.0</v>
      </c>
      <c r="C8" s="15">
        <f>IFERROR(B8/B148, "NA")</f>
        <v>0</v>
      </c>
      <c r="D8" s="28">
        <v>0.0</v>
      </c>
      <c r="E8" s="15">
        <f>IFERROR(D8/D148, "NA")</f>
        <v>0</v>
      </c>
      <c r="F8" s="28">
        <v>0.0</v>
      </c>
      <c r="G8" s="15">
        <f>IFERROR(F8/F148, "NA")</f>
        <v>0</v>
      </c>
      <c r="H8" s="28">
        <v>0.0</v>
      </c>
      <c r="I8" s="15">
        <f>IFERROR(H8/H148, "NA")</f>
        <v>0</v>
      </c>
      <c r="J8" s="28">
        <v>0.0</v>
      </c>
      <c r="K8" s="15">
        <f>IFERROR(J8/J148, "NA")</f>
        <v>0</v>
      </c>
      <c r="L8" s="28">
        <v>0.0</v>
      </c>
      <c r="M8" s="15">
        <f>IFERROR(L8/L148, "NA")</f>
        <v>0</v>
      </c>
      <c r="N8" s="28">
        <v>0.0</v>
      </c>
      <c r="O8" s="15">
        <f>IFERROR(N8/N148, "NA")</f>
        <v>0</v>
      </c>
      <c r="P8" s="28">
        <v>0.0</v>
      </c>
      <c r="Q8" s="15">
        <f>IFERROR(P8/P148, "NA")</f>
        <v>0</v>
      </c>
      <c r="R8" s="28">
        <v>0.0</v>
      </c>
      <c r="S8" s="15">
        <f>IFERROR(R8/R148, "NA")</f>
        <v>0</v>
      </c>
      <c r="T8" s="28">
        <v>0.0</v>
      </c>
      <c r="U8" s="15">
        <f>IFERROR(T8/T148, "NA")</f>
        <v>0</v>
      </c>
      <c r="V8" s="28">
        <v>0.0</v>
      </c>
      <c r="W8" s="15">
        <f>IFERROR(V8/V148, "NA")</f>
        <v>0</v>
      </c>
      <c r="X8" s="28">
        <v>0.0</v>
      </c>
      <c r="Y8" s="15">
        <f>IFERROR(X8/X148, "NA")</f>
        <v>0</v>
      </c>
      <c r="Z8" s="28">
        <v>0.0</v>
      </c>
      <c r="AA8" s="15">
        <f>IFERROR(Z8/Z148, "NA")</f>
        <v>0</v>
      </c>
      <c r="AB8" s="57">
        <f t="shared" si="1"/>
        <v>0</v>
      </c>
      <c r="AC8" s="15">
        <f>IFERROR(AB8/AB148, "NA")</f>
        <v>0</v>
      </c>
      <c r="AD8" s="61">
        <f t="shared" si="2"/>
        <v>0</v>
      </c>
      <c r="AE8" s="62">
        <f>IFERROR(AD8/AD148, "NA")</f>
        <v>0</v>
      </c>
      <c r="AF8" s="61" t="str">
        <f t="shared" si="3"/>
        <v>NA</v>
      </c>
      <c r="AG8" s="57">
        <f t="shared" si="4"/>
        <v>0</v>
      </c>
      <c r="AH8" s="15">
        <f>IFERROR(AG8/AG148, "NA")</f>
        <v>0</v>
      </c>
      <c r="AI8" s="61">
        <f t="shared" si="5"/>
        <v>0</v>
      </c>
      <c r="AJ8" s="62">
        <f>IFERROR(AI8/AI148, "NA")</f>
        <v>0</v>
      </c>
      <c r="AK8" s="61" t="str">
        <f t="shared" si="6"/>
        <v>NA</v>
      </c>
      <c r="AL8" s="62" t="str">
        <f>IFERROR(AK8/AK148, "NA")</f>
        <v>NA</v>
      </c>
    </row>
    <row r="9" ht="16.5" customHeight="1">
      <c r="A9" s="67" t="s">
        <v>53</v>
      </c>
      <c r="B9" s="70">
        <f>IFERROR(B7+B8, "NA")</f>
        <v>33950.23</v>
      </c>
      <c r="C9" s="71">
        <f>IFERROR(B9/B148, "NA")</f>
        <v>1</v>
      </c>
      <c r="D9" s="70">
        <f>IFERROR(D7+D8, "NA")</f>
        <v>46708.03</v>
      </c>
      <c r="E9" s="71">
        <f>IFERROR(D9/D148, "NA")</f>
        <v>1</v>
      </c>
      <c r="F9" s="70">
        <f>IFERROR(F7+F8, "NA")</f>
        <v>40270.78</v>
      </c>
      <c r="G9" s="71">
        <f>IFERROR(F9/F148, "NA")</f>
        <v>1</v>
      </c>
      <c r="H9" s="70">
        <f>IFERROR(H7+H8, "NA")</f>
        <v>53381.3</v>
      </c>
      <c r="I9" s="71">
        <f>IFERROR(H9/H148, "NA")</f>
        <v>1</v>
      </c>
      <c r="J9" s="70">
        <f>IFERROR(J7+J8, "NA")</f>
        <v>46461.1</v>
      </c>
      <c r="K9" s="71">
        <f>IFERROR(J9/J148, "NA")</f>
        <v>1</v>
      </c>
      <c r="L9" s="70">
        <f>IFERROR(L7+L8, "NA")</f>
        <v>43840.62</v>
      </c>
      <c r="M9" s="71">
        <f>IFERROR(L9/L148, "NA")</f>
        <v>1</v>
      </c>
      <c r="N9" s="70">
        <f>IFERROR(N7+N8, "NA")</f>
        <v>52889.28</v>
      </c>
      <c r="O9" s="71">
        <f>IFERROR(N9/N148, "NA")</f>
        <v>1</v>
      </c>
      <c r="P9" s="70">
        <f>IFERROR(P7+P8, "NA")</f>
        <v>64578.92</v>
      </c>
      <c r="Q9" s="71">
        <f>IFERROR(P9/P148, "NA")</f>
        <v>1</v>
      </c>
      <c r="R9" s="70">
        <f>IFERROR(R7+R8, "NA")</f>
        <v>54778.99</v>
      </c>
      <c r="S9" s="71">
        <f>IFERROR(R9/R148, "NA")</f>
        <v>1</v>
      </c>
      <c r="T9" s="70">
        <f>IFERROR(T7+T8, "NA")</f>
        <v>48911.47</v>
      </c>
      <c r="U9" s="71">
        <f>IFERROR(T9/T148, "NA")</f>
        <v>1</v>
      </c>
      <c r="V9" s="70">
        <f>IFERROR(V7+V8, "NA")</f>
        <v>45970.48</v>
      </c>
      <c r="W9" s="71">
        <f>IFERROR(V9/V148, "NA")</f>
        <v>1</v>
      </c>
      <c r="X9" s="70">
        <f>IFERROR(X7+X8, "NA")</f>
        <v>58151.51</v>
      </c>
      <c r="Y9" s="71">
        <f>IFERROR(X9/X148, "NA")</f>
        <v>1</v>
      </c>
      <c r="Z9" s="70">
        <f>IFERROR(Z7+Z8, "NA")</f>
        <v>153033.46</v>
      </c>
      <c r="AA9" s="71">
        <f>IFERROR(Z9/Z148, "NA")</f>
        <v>1</v>
      </c>
      <c r="AB9" s="70">
        <f t="shared" si="1"/>
        <v>51953.1125</v>
      </c>
      <c r="AC9" s="71">
        <f>IFERROR(AB9/AB148, "NA")</f>
        <v>1</v>
      </c>
      <c r="AD9" s="75">
        <f t="shared" si="2"/>
        <v>6198.3975</v>
      </c>
      <c r="AE9" s="76">
        <f>IFERROR(AD9/AD148, "NA")</f>
        <v>1</v>
      </c>
      <c r="AF9" s="75">
        <f t="shared" si="3"/>
        <v>0.1193075295</v>
      </c>
      <c r="AG9" s="70">
        <f t="shared" si="4"/>
        <v>51947.79625</v>
      </c>
      <c r="AH9" s="71">
        <f>IFERROR(AG9/AG148, "NA")</f>
        <v>1</v>
      </c>
      <c r="AI9" s="75">
        <f t="shared" si="5"/>
        <v>6203.71375</v>
      </c>
      <c r="AJ9" s="76">
        <f>IFERROR(AI9/AI148, "NA")</f>
        <v>1</v>
      </c>
      <c r="AK9" s="75">
        <f t="shared" si="6"/>
        <v>0.1194220775</v>
      </c>
      <c r="AL9" s="76">
        <f>IFERROR(AK9/AK148, "NA")</f>
        <v>1</v>
      </c>
    </row>
    <row r="10" ht="3.75" customHeight="1">
      <c r="A10" s="79"/>
      <c r="B10" s="80"/>
      <c r="C10" s="74"/>
      <c r="D10" s="80"/>
      <c r="E10" s="74"/>
      <c r="F10" s="80"/>
      <c r="G10" s="74"/>
      <c r="H10" s="80"/>
      <c r="I10" s="74"/>
      <c r="J10" s="80"/>
      <c r="K10" s="74"/>
      <c r="L10" s="80"/>
      <c r="M10" s="74"/>
      <c r="N10" s="80"/>
      <c r="O10" s="74"/>
      <c r="P10" s="80"/>
      <c r="Q10" s="74"/>
      <c r="R10" s="80"/>
      <c r="S10" s="74"/>
      <c r="T10" s="80"/>
      <c r="U10" s="74"/>
      <c r="V10" s="80"/>
      <c r="W10" s="74"/>
      <c r="X10" s="80"/>
      <c r="Y10" s="74"/>
      <c r="Z10" s="80"/>
      <c r="AA10" s="74"/>
      <c r="AB10" s="80"/>
      <c r="AC10" s="74"/>
      <c r="AD10" s="81"/>
      <c r="AE10" s="82"/>
      <c r="AF10" s="81"/>
      <c r="AG10" s="80"/>
      <c r="AH10" s="74"/>
      <c r="AI10" s="81"/>
      <c r="AJ10" s="82"/>
      <c r="AK10" s="81"/>
      <c r="AL10" s="82"/>
    </row>
    <row r="11" ht="16.5" customHeight="1">
      <c r="A11" s="22" t="s">
        <v>65</v>
      </c>
      <c r="B11" s="23"/>
      <c r="C11" s="10"/>
      <c r="D11" s="23"/>
      <c r="E11" s="10"/>
      <c r="F11" s="23"/>
      <c r="G11" s="10"/>
      <c r="H11" s="23"/>
      <c r="I11" s="10"/>
      <c r="J11" s="23"/>
      <c r="K11" s="10"/>
      <c r="L11" s="23"/>
      <c r="M11" s="10"/>
      <c r="N11" s="23"/>
      <c r="O11" s="10"/>
      <c r="P11" s="23"/>
      <c r="Q11" s="10"/>
      <c r="R11" s="23"/>
      <c r="S11" s="10"/>
      <c r="T11" s="23"/>
      <c r="U11" s="10"/>
      <c r="V11" s="23"/>
      <c r="W11" s="10"/>
      <c r="X11" s="23"/>
      <c r="Y11" s="10"/>
      <c r="Z11" s="23"/>
      <c r="AA11" s="10"/>
      <c r="AB11" s="23"/>
      <c r="AC11" s="10"/>
      <c r="AD11" s="24"/>
      <c r="AE11" s="25"/>
      <c r="AF11" s="24"/>
      <c r="AG11" s="23"/>
      <c r="AH11" s="10"/>
      <c r="AI11" s="24"/>
      <c r="AJ11" s="25"/>
      <c r="AK11" s="24"/>
      <c r="AL11" s="25"/>
    </row>
    <row r="12" ht="16.5" customHeight="1">
      <c r="A12" s="22" t="s">
        <v>66</v>
      </c>
      <c r="B12" s="23"/>
      <c r="C12" s="10"/>
      <c r="D12" s="23"/>
      <c r="E12" s="10"/>
      <c r="F12" s="23"/>
      <c r="G12" s="10"/>
      <c r="H12" s="23"/>
      <c r="I12" s="10"/>
      <c r="J12" s="23"/>
      <c r="K12" s="10"/>
      <c r="L12" s="23"/>
      <c r="M12" s="10"/>
      <c r="N12" s="23"/>
      <c r="O12" s="10"/>
      <c r="P12" s="23"/>
      <c r="Q12" s="10"/>
      <c r="R12" s="23"/>
      <c r="S12" s="10"/>
      <c r="T12" s="23"/>
      <c r="U12" s="10"/>
      <c r="V12" s="23"/>
      <c r="W12" s="10"/>
      <c r="X12" s="23"/>
      <c r="Y12" s="10"/>
      <c r="Z12" s="23"/>
      <c r="AA12" s="10"/>
      <c r="AB12" s="23"/>
      <c r="AC12" s="10"/>
      <c r="AD12" s="24"/>
      <c r="AE12" s="25"/>
      <c r="AF12" s="24"/>
      <c r="AG12" s="23"/>
      <c r="AH12" s="10"/>
      <c r="AI12" s="24"/>
      <c r="AJ12" s="25"/>
      <c r="AK12" s="24"/>
      <c r="AL12" s="25"/>
    </row>
    <row r="13" ht="16.5" hidden="1" customHeight="1">
      <c r="A13" s="26" t="s">
        <v>67</v>
      </c>
      <c r="B13" s="28">
        <v>0.0</v>
      </c>
      <c r="C13" s="15">
        <f>IFERROR(B13/B148, "NA")</f>
        <v>0</v>
      </c>
      <c r="D13" s="28">
        <v>0.0</v>
      </c>
      <c r="E13" s="15">
        <f>IFERROR(D13/D148, "NA")</f>
        <v>0</v>
      </c>
      <c r="F13" s="28">
        <v>0.0</v>
      </c>
      <c r="G13" s="15">
        <f>IFERROR(F13/F148, "NA")</f>
        <v>0</v>
      </c>
      <c r="H13" s="28">
        <v>0.0</v>
      </c>
      <c r="I13" s="15">
        <f>IFERROR(H13/H148, "NA")</f>
        <v>0</v>
      </c>
      <c r="J13" s="28">
        <v>0.0</v>
      </c>
      <c r="K13" s="15">
        <f>IFERROR(J13/J148, "NA")</f>
        <v>0</v>
      </c>
      <c r="L13" s="28">
        <v>0.0</v>
      </c>
      <c r="M13" s="15">
        <f>IFERROR(L13/L148, "NA")</f>
        <v>0</v>
      </c>
      <c r="N13" s="28">
        <v>0.0</v>
      </c>
      <c r="O13" s="15">
        <f>IFERROR(N13/N148, "NA")</f>
        <v>0</v>
      </c>
      <c r="P13" s="28">
        <v>0.0</v>
      </c>
      <c r="Q13" s="15">
        <f>IFERROR(P13/P148, "NA")</f>
        <v>0</v>
      </c>
      <c r="R13" s="28">
        <v>0.0</v>
      </c>
      <c r="S13" s="15">
        <f>IFERROR(R13/R148, "NA")</f>
        <v>0</v>
      </c>
      <c r="T13" s="28">
        <v>0.0</v>
      </c>
      <c r="U13" s="15">
        <f>IFERROR(T13/T148, "NA")</f>
        <v>0</v>
      </c>
      <c r="V13" s="28">
        <v>0.0</v>
      </c>
      <c r="W13" s="15">
        <f>IFERROR(V13/V148, "NA")</f>
        <v>0</v>
      </c>
      <c r="X13" s="28">
        <v>0.0</v>
      </c>
      <c r="Y13" s="15">
        <f>IFERROR(X13/X148, "NA")</f>
        <v>0</v>
      </c>
      <c r="Z13" s="28">
        <v>0.0</v>
      </c>
      <c r="AA13" s="15">
        <f>IFERROR(Z13/Z148, "NA")</f>
        <v>0</v>
      </c>
      <c r="AB13" s="57">
        <f>IFERROR((R13+T13+V13+X13)/4, "NA")</f>
        <v>0</v>
      </c>
      <c r="AC13" s="15">
        <f>IFERROR(AB13/AB148, "NA")</f>
        <v>0</v>
      </c>
      <c r="AD13" s="61">
        <f>IFERROR(X13-AB13, "NA")</f>
        <v>0</v>
      </c>
      <c r="AE13" s="62">
        <f>IFERROR(AD13/AD148, "NA")</f>
        <v>0</v>
      </c>
      <c r="AF13" s="61" t="str">
        <f>IFERROR((X13-AB13)/AB13, "NA")</f>
        <v>NA</v>
      </c>
      <c r="AG13" s="57">
        <f>IFERROR((J13+L13+N13+P13+R13+T13+V13+X13)/8, "NA")</f>
        <v>0</v>
      </c>
      <c r="AH13" s="15">
        <f>IFERROR(AG13/AG148, "NA")</f>
        <v>0</v>
      </c>
      <c r="AI13" s="61">
        <f>IFERROR(X13-AG13, "NA")</f>
        <v>0</v>
      </c>
      <c r="AJ13" s="62">
        <f>IFERROR(AI13/AI148, "NA")</f>
        <v>0</v>
      </c>
      <c r="AK13" s="61" t="str">
        <f>IFERROR((X13-AG13)/AG13, "NA")</f>
        <v>NA</v>
      </c>
      <c r="AL13" s="62" t="str">
        <f>IFERROR(AK13/AK148, "NA")</f>
        <v>NA</v>
      </c>
    </row>
    <row r="14" ht="16.5" customHeight="1">
      <c r="A14" s="22" t="s">
        <v>68</v>
      </c>
      <c r="B14" s="23"/>
      <c r="C14" s="10"/>
      <c r="D14" s="23"/>
      <c r="E14" s="10"/>
      <c r="F14" s="23"/>
      <c r="G14" s="10"/>
      <c r="H14" s="23"/>
      <c r="I14" s="10"/>
      <c r="J14" s="23"/>
      <c r="K14" s="10"/>
      <c r="L14" s="23"/>
      <c r="M14" s="10"/>
      <c r="N14" s="23"/>
      <c r="O14" s="10"/>
      <c r="P14" s="23"/>
      <c r="Q14" s="10"/>
      <c r="R14" s="23"/>
      <c r="S14" s="10"/>
      <c r="T14" s="23"/>
      <c r="U14" s="10"/>
      <c r="V14" s="23"/>
      <c r="W14" s="10"/>
      <c r="X14" s="23"/>
      <c r="Y14" s="10"/>
      <c r="Z14" s="23"/>
      <c r="AA14" s="10"/>
      <c r="AB14" s="23"/>
      <c r="AC14" s="10"/>
      <c r="AD14" s="24"/>
      <c r="AE14" s="25"/>
      <c r="AF14" s="24"/>
      <c r="AG14" s="23"/>
      <c r="AH14" s="10"/>
      <c r="AI14" s="24"/>
      <c r="AJ14" s="25"/>
      <c r="AK14" s="24"/>
      <c r="AL14" s="25"/>
    </row>
    <row r="15" ht="16.5" hidden="1" customHeight="1">
      <c r="A15" s="26" t="s">
        <v>69</v>
      </c>
      <c r="B15" s="28">
        <v>0.0</v>
      </c>
      <c r="C15" s="15">
        <f>IFERROR(B15/B148, "NA")</f>
        <v>0</v>
      </c>
      <c r="D15" s="28">
        <v>0.0</v>
      </c>
      <c r="E15" s="15">
        <f>IFERROR(D15/D148, "NA")</f>
        <v>0</v>
      </c>
      <c r="F15" s="28">
        <v>0.0</v>
      </c>
      <c r="G15" s="15">
        <f>IFERROR(F15/F148, "NA")</f>
        <v>0</v>
      </c>
      <c r="H15" s="28">
        <v>0.0</v>
      </c>
      <c r="I15" s="15">
        <f>IFERROR(H15/H148, "NA")</f>
        <v>0</v>
      </c>
      <c r="J15" s="28">
        <v>0.0</v>
      </c>
      <c r="K15" s="15">
        <f>IFERROR(J15/J148, "NA")</f>
        <v>0</v>
      </c>
      <c r="L15" s="28">
        <v>0.0</v>
      </c>
      <c r="M15" s="15">
        <f>IFERROR(L15/L148, "NA")</f>
        <v>0</v>
      </c>
      <c r="N15" s="28">
        <v>0.0</v>
      </c>
      <c r="O15" s="15">
        <f>IFERROR(N15/N148, "NA")</f>
        <v>0</v>
      </c>
      <c r="P15" s="28">
        <v>0.0</v>
      </c>
      <c r="Q15" s="15">
        <f>IFERROR(P15/P148, "NA")</f>
        <v>0</v>
      </c>
      <c r="R15" s="28">
        <v>0.0</v>
      </c>
      <c r="S15" s="15">
        <f>IFERROR(R15/R148, "NA")</f>
        <v>0</v>
      </c>
      <c r="T15" s="28">
        <v>0.0</v>
      </c>
      <c r="U15" s="15">
        <f>IFERROR(T15/T148, "NA")</f>
        <v>0</v>
      </c>
      <c r="V15" s="28">
        <v>0.0</v>
      </c>
      <c r="W15" s="15">
        <f>IFERROR(V15/V148, "NA")</f>
        <v>0</v>
      </c>
      <c r="X15" s="28">
        <v>0.0</v>
      </c>
      <c r="Y15" s="15">
        <f>IFERROR(X15/X148, "NA")</f>
        <v>0</v>
      </c>
      <c r="Z15" s="28">
        <v>0.0</v>
      </c>
      <c r="AA15" s="15">
        <f>IFERROR(Z15/Z148, "NA")</f>
        <v>0</v>
      </c>
      <c r="AB15" s="57">
        <f t="shared" ref="AB15:AB27" si="7">IFERROR((R15+T15+V15+X15)/4, "NA")</f>
        <v>0</v>
      </c>
      <c r="AC15" s="15">
        <f>IFERROR(AB15/AB148, "NA")</f>
        <v>0</v>
      </c>
      <c r="AD15" s="61">
        <f t="shared" ref="AD15:AD27" si="8">IFERROR(X15-AB15, "NA")</f>
        <v>0</v>
      </c>
      <c r="AE15" s="62">
        <f>IFERROR(AD15/AD148, "NA")</f>
        <v>0</v>
      </c>
      <c r="AF15" s="61" t="str">
        <f t="shared" ref="AF15:AF27" si="9">IFERROR((X15-AB15)/AB15, "NA")</f>
        <v>NA</v>
      </c>
      <c r="AG15" s="57">
        <f t="shared" ref="AG15:AG27" si="10">IFERROR((J15+L15+N15+P15+R15+T15+V15+X15)/8, "NA")</f>
        <v>0</v>
      </c>
      <c r="AH15" s="15">
        <f>IFERROR(AG15/AG148, "NA")</f>
        <v>0</v>
      </c>
      <c r="AI15" s="61">
        <f t="shared" ref="AI15:AI27" si="11">IFERROR(X15-AG15, "NA")</f>
        <v>0</v>
      </c>
      <c r="AJ15" s="62">
        <f>IFERROR(AI15/AI148, "NA")</f>
        <v>0</v>
      </c>
      <c r="AK15" s="61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6" t="s">
        <v>70</v>
      </c>
      <c r="B16" s="28">
        <v>1221.55</v>
      </c>
      <c r="C16" s="15">
        <f>IFERROR(B16/B148, "NA")</f>
        <v>0.03598061044</v>
      </c>
      <c r="D16" s="28">
        <v>2339.0</v>
      </c>
      <c r="E16" s="15">
        <f>IFERROR(D16/D148, "NA")</f>
        <v>0.05007704243</v>
      </c>
      <c r="F16" s="28">
        <v>1802.23</v>
      </c>
      <c r="G16" s="15">
        <f>IFERROR(F16/F148, "NA")</f>
        <v>0.04475279595</v>
      </c>
      <c r="H16" s="28">
        <v>2203.46</v>
      </c>
      <c r="I16" s="15">
        <f>IFERROR(H16/H148, "NA")</f>
        <v>0.04127775082</v>
      </c>
      <c r="J16" s="28">
        <v>2194.54</v>
      </c>
      <c r="K16" s="15">
        <f>IFERROR(J16/J148, "NA")</f>
        <v>0.04723392257</v>
      </c>
      <c r="L16" s="28">
        <v>2104.22</v>
      </c>
      <c r="M16" s="15">
        <f>IFERROR(L16/L148, "NA")</f>
        <v>0.04799704019</v>
      </c>
      <c r="N16" s="28">
        <v>2876.96</v>
      </c>
      <c r="O16" s="15">
        <f>IFERROR(N16/N148, "NA")</f>
        <v>0.05439590027</v>
      </c>
      <c r="P16" s="28">
        <v>2711.53</v>
      </c>
      <c r="Q16" s="15">
        <f>IFERROR(P16/P148, "NA")</f>
        <v>0.04198784991</v>
      </c>
      <c r="R16" s="28">
        <v>2819.54</v>
      </c>
      <c r="S16" s="15">
        <f>IFERROR(R16/R148, "NA")</f>
        <v>0.05147119361</v>
      </c>
      <c r="T16" s="28">
        <v>2155.98</v>
      </c>
      <c r="U16" s="15">
        <f>IFERROR(T16/T148, "NA")</f>
        <v>0.04407923131</v>
      </c>
      <c r="V16" s="28">
        <v>2377.0</v>
      </c>
      <c r="W16" s="15">
        <f>IFERROR(V16/V148, "NA")</f>
        <v>0.05170709551</v>
      </c>
      <c r="X16" s="28">
        <v>2638.32</v>
      </c>
      <c r="Y16" s="15">
        <f>IFERROR(X16/X148, "NA")</f>
        <v>0.0453697591</v>
      </c>
      <c r="Z16" s="28">
        <v>7171.3</v>
      </c>
      <c r="AA16" s="15">
        <f>IFERROR(Z16/Z148, "NA")</f>
        <v>0.04686099367</v>
      </c>
      <c r="AB16" s="57">
        <f t="shared" si="7"/>
        <v>2497.71</v>
      </c>
      <c r="AC16" s="15">
        <f>IFERROR(AB16/AB148, "NA")</f>
        <v>0.04807623412</v>
      </c>
      <c r="AD16" s="61">
        <f t="shared" si="8"/>
        <v>140.61</v>
      </c>
      <c r="AE16" s="62">
        <f>IFERROR(AD16/AD148, "NA")</f>
        <v>0.02268489557</v>
      </c>
      <c r="AF16" s="61">
        <f t="shared" si="9"/>
        <v>0.05629556674</v>
      </c>
      <c r="AG16" s="57">
        <f t="shared" si="10"/>
        <v>2484.76125</v>
      </c>
      <c r="AH16" s="15">
        <f>IFERROR(AG16/AG148, "NA")</f>
        <v>0.0478318895</v>
      </c>
      <c r="AI16" s="61">
        <f t="shared" si="11"/>
        <v>153.55875</v>
      </c>
      <c r="AJ16" s="62">
        <f>IFERROR(AI16/AI148, "NA")</f>
        <v>0.02475271365</v>
      </c>
      <c r="AK16" s="61">
        <f t="shared" si="12"/>
        <v>0.06180020314</v>
      </c>
      <c r="AL16" s="62">
        <f>IFERROR(AK16/AK148, "NA")</f>
        <v>0.5174939545</v>
      </c>
    </row>
    <row r="17" ht="16.5" customHeight="1">
      <c r="A17" s="26" t="s">
        <v>71</v>
      </c>
      <c r="B17" s="28">
        <v>853.28</v>
      </c>
      <c r="C17" s="15">
        <f>IFERROR(B17/B148, "NA")</f>
        <v>0.02513326125</v>
      </c>
      <c r="D17" s="28">
        <v>781.93</v>
      </c>
      <c r="E17" s="15">
        <f>IFERROR(D17/D148, "NA")</f>
        <v>0.01674080453</v>
      </c>
      <c r="F17" s="28">
        <v>1122.61</v>
      </c>
      <c r="G17" s="15">
        <f>IFERROR(F17/F148, "NA")</f>
        <v>0.02787653976</v>
      </c>
      <c r="H17" s="28">
        <v>1482.48</v>
      </c>
      <c r="I17" s="15">
        <f>IFERROR(H17/H148, "NA")</f>
        <v>0.02777152299</v>
      </c>
      <c r="J17" s="28">
        <v>1025.52</v>
      </c>
      <c r="K17" s="15">
        <f>IFERROR(J17/J148, "NA")</f>
        <v>0.02207265863</v>
      </c>
      <c r="L17" s="28">
        <v>981.16</v>
      </c>
      <c r="M17" s="15">
        <f>IFERROR(L17/L148, "NA")</f>
        <v>0.02238015794</v>
      </c>
      <c r="N17" s="28">
        <v>1216.38</v>
      </c>
      <c r="O17" s="15">
        <f>IFERROR(N17/N148, "NA")</f>
        <v>0.02299861144</v>
      </c>
      <c r="P17" s="28">
        <v>1601.68</v>
      </c>
      <c r="Q17" s="15">
        <f>IFERROR(P17/P148, "NA")</f>
        <v>0.0248019013</v>
      </c>
      <c r="R17" s="28">
        <v>1638.53</v>
      </c>
      <c r="S17" s="15">
        <f>IFERROR(R17/R148, "NA")</f>
        <v>0.02991165043</v>
      </c>
      <c r="T17" s="28">
        <v>1026.88</v>
      </c>
      <c r="U17" s="15">
        <f>IFERROR(T17/T148, "NA")</f>
        <v>0.02099466649</v>
      </c>
      <c r="V17" s="28">
        <v>1426.69</v>
      </c>
      <c r="W17" s="15">
        <f>IFERROR(V17/V148, "NA")</f>
        <v>0.03103491632</v>
      </c>
      <c r="X17" s="28">
        <v>1438.69</v>
      </c>
      <c r="Y17" s="15">
        <f>IFERROR(X17/X148, "NA")</f>
        <v>0.02474037218</v>
      </c>
      <c r="Z17" s="28">
        <v>3892.26</v>
      </c>
      <c r="AA17" s="15">
        <f>IFERROR(Z17/Z148, "NA")</f>
        <v>0.0254340456</v>
      </c>
      <c r="AB17" s="57">
        <f t="shared" si="7"/>
        <v>1382.6975</v>
      </c>
      <c r="AC17" s="15">
        <f>IFERROR(AB17/AB148, "NA")</f>
        <v>0.02661433422</v>
      </c>
      <c r="AD17" s="61">
        <f t="shared" si="8"/>
        <v>55.9925</v>
      </c>
      <c r="AE17" s="62">
        <f>IFERROR(AD17/AD148, "NA")</f>
        <v>0.009033383225</v>
      </c>
      <c r="AF17" s="61">
        <f t="shared" si="9"/>
        <v>0.04049511914</v>
      </c>
      <c r="AG17" s="57">
        <f t="shared" si="10"/>
        <v>1294.44125</v>
      </c>
      <c r="AH17" s="15">
        <f>IFERROR(AG17/AG148, "NA")</f>
        <v>0.02491811671</v>
      </c>
      <c r="AI17" s="61">
        <f t="shared" si="11"/>
        <v>144.24875</v>
      </c>
      <c r="AJ17" s="62">
        <f>IFERROR(AI17/AI148, "NA")</f>
        <v>0.02325199966</v>
      </c>
      <c r="AK17" s="61">
        <f t="shared" si="12"/>
        <v>0.1114370776</v>
      </c>
      <c r="AL17" s="62">
        <f>IFERROR(AK17/AK148, "NA")</f>
        <v>0.9331363171</v>
      </c>
    </row>
    <row r="18" ht="16.5" customHeight="1">
      <c r="A18" s="26" t="s">
        <v>72</v>
      </c>
      <c r="B18" s="28">
        <v>1150.37</v>
      </c>
      <c r="C18" s="15">
        <f>IFERROR(B18/B148, "NA")</f>
        <v>0.03388401198</v>
      </c>
      <c r="D18" s="28">
        <v>1481.6</v>
      </c>
      <c r="E18" s="15">
        <f>IFERROR(D18/D148, "NA")</f>
        <v>0.03172045578</v>
      </c>
      <c r="F18" s="28">
        <v>1361.24</v>
      </c>
      <c r="G18" s="15">
        <f>IFERROR(F18/F148, "NA")</f>
        <v>0.03380217617</v>
      </c>
      <c r="H18" s="28">
        <v>1763.21</v>
      </c>
      <c r="I18" s="15">
        <f>IFERROR(H18/H148, "NA")</f>
        <v>0.03303048071</v>
      </c>
      <c r="J18" s="28">
        <v>1542.3</v>
      </c>
      <c r="K18" s="15">
        <f>IFERROR(J18/J148, "NA")</f>
        <v>0.03319551194</v>
      </c>
      <c r="L18" s="28">
        <v>1548.03</v>
      </c>
      <c r="M18" s="15">
        <f>IFERROR(L18/L148, "NA")</f>
        <v>0.03531040391</v>
      </c>
      <c r="N18" s="28">
        <v>2016.67</v>
      </c>
      <c r="O18" s="15">
        <f>IFERROR(N18/N148, "NA")</f>
        <v>0.03813003316</v>
      </c>
      <c r="P18" s="28">
        <v>2452.55</v>
      </c>
      <c r="Q18" s="15">
        <f>IFERROR(P18/P148, "NA")</f>
        <v>0.03797756296</v>
      </c>
      <c r="R18" s="28">
        <v>2074.66</v>
      </c>
      <c r="S18" s="15">
        <f>IFERROR(R18/R148, "NA")</f>
        <v>0.03787327952</v>
      </c>
      <c r="T18" s="28">
        <v>1523.44</v>
      </c>
      <c r="U18" s="15">
        <f>IFERROR(T18/T148, "NA")</f>
        <v>0.03114688641</v>
      </c>
      <c r="V18" s="28">
        <v>1866.76</v>
      </c>
      <c r="W18" s="15">
        <f>IFERROR(V18/V148, "NA")</f>
        <v>0.04060779874</v>
      </c>
      <c r="X18" s="28">
        <v>2255.4</v>
      </c>
      <c r="Y18" s="15">
        <f>IFERROR(X18/X148, "NA")</f>
        <v>0.0387848914</v>
      </c>
      <c r="Z18" s="28">
        <v>5645.6</v>
      </c>
      <c r="AA18" s="15">
        <f>IFERROR(Z18/Z148, "NA")</f>
        <v>0.03689127855</v>
      </c>
      <c r="AB18" s="57">
        <f t="shared" si="7"/>
        <v>1930.065</v>
      </c>
      <c r="AC18" s="15">
        <f>IFERROR(AB18/AB148, "NA")</f>
        <v>0.03715013225</v>
      </c>
      <c r="AD18" s="61">
        <f t="shared" si="8"/>
        <v>325.335</v>
      </c>
      <c r="AE18" s="62">
        <f>IFERROR(AD18/AD148, "NA")</f>
        <v>0.05248695328</v>
      </c>
      <c r="AF18" s="61">
        <f t="shared" si="9"/>
        <v>0.1685616806</v>
      </c>
      <c r="AG18" s="57">
        <f t="shared" si="10"/>
        <v>1909.97625</v>
      </c>
      <c r="AH18" s="15">
        <f>IFERROR(AG18/AG148, "NA")</f>
        <v>0.03676722379</v>
      </c>
      <c r="AI18" s="61">
        <f t="shared" si="11"/>
        <v>345.42375</v>
      </c>
      <c r="AJ18" s="62">
        <f>IFERROR(AI18/AI148, "NA")</f>
        <v>0.0556801561</v>
      </c>
      <c r="AK18" s="61">
        <f t="shared" si="12"/>
        <v>0.1808523797</v>
      </c>
      <c r="AL18" s="62">
        <f>IFERROR(AK18/AK148, "NA")</f>
        <v>1.514396529</v>
      </c>
    </row>
    <row r="19" ht="16.5" customHeight="1">
      <c r="A19" s="26" t="s">
        <v>74</v>
      </c>
      <c r="B19" s="28">
        <v>597.8</v>
      </c>
      <c r="C19" s="15">
        <f>IFERROR(B19/B148, "NA")</f>
        <v>0.01760812813</v>
      </c>
      <c r="D19" s="28">
        <v>741.24</v>
      </c>
      <c r="E19" s="15">
        <f>IFERROR(D19/D148, "NA")</f>
        <v>0.01586964811</v>
      </c>
      <c r="F19" s="28">
        <v>882.72</v>
      </c>
      <c r="G19" s="15">
        <f>IFERROR(F19/F148, "NA")</f>
        <v>0.02191961517</v>
      </c>
      <c r="H19" s="28">
        <v>1232.09</v>
      </c>
      <c r="I19" s="15">
        <f>IFERROR(H19/H148, "NA")</f>
        <v>0.02308092909</v>
      </c>
      <c r="J19" s="28">
        <v>943.8</v>
      </c>
      <c r="K19" s="15">
        <f>IFERROR(J19/J148, "NA")</f>
        <v>0.02031376786</v>
      </c>
      <c r="L19" s="28">
        <v>825.79</v>
      </c>
      <c r="M19" s="15">
        <f>IFERROR(L19/L148, "NA")</f>
        <v>0.01883618434</v>
      </c>
      <c r="N19" s="28">
        <v>1212.97</v>
      </c>
      <c r="O19" s="15">
        <f>IFERROR(N19/N148, "NA")</f>
        <v>0.02293413713</v>
      </c>
      <c r="P19" s="28">
        <v>1196.8</v>
      </c>
      <c r="Q19" s="15">
        <f>IFERROR(P19/P148, "NA")</f>
        <v>0.01853236319</v>
      </c>
      <c r="R19" s="28">
        <v>1238.39</v>
      </c>
      <c r="S19" s="15">
        <f>IFERROR(R19/R148, "NA")</f>
        <v>0.02260702507</v>
      </c>
      <c r="T19" s="28">
        <v>1181.0</v>
      </c>
      <c r="U19" s="15">
        <f>IFERROR(T19/T148, "NA")</f>
        <v>0.02414566563</v>
      </c>
      <c r="V19" s="28">
        <v>936.93</v>
      </c>
      <c r="W19" s="15">
        <f>IFERROR(V19/V148, "NA")</f>
        <v>0.02038112284</v>
      </c>
      <c r="X19" s="28">
        <v>1394.05</v>
      </c>
      <c r="Y19" s="15">
        <f>IFERROR(X19/X148, "NA")</f>
        <v>0.02397272229</v>
      </c>
      <c r="Z19" s="28">
        <v>3511.98</v>
      </c>
      <c r="AA19" s="15">
        <f>IFERROR(Z19/Z148, "NA")</f>
        <v>0.02294909884</v>
      </c>
      <c r="AB19" s="57">
        <f t="shared" si="7"/>
        <v>1187.5925</v>
      </c>
      <c r="AC19" s="15">
        <f>IFERROR(AB19/AB148, "NA")</f>
        <v>0.02285892881</v>
      </c>
      <c r="AD19" s="61">
        <f t="shared" si="8"/>
        <v>206.4575</v>
      </c>
      <c r="AE19" s="62">
        <f>IFERROR(AD19/AD148, "NA")</f>
        <v>0.03330820587</v>
      </c>
      <c r="AF19" s="61">
        <f t="shared" si="9"/>
        <v>0.1738454057</v>
      </c>
      <c r="AG19" s="57">
        <f t="shared" si="10"/>
        <v>1116.21625</v>
      </c>
      <c r="AH19" s="15">
        <f>IFERROR(AG19/AG148, "NA")</f>
        <v>0.02148726858</v>
      </c>
      <c r="AI19" s="61">
        <f t="shared" si="11"/>
        <v>277.83375</v>
      </c>
      <c r="AJ19" s="62">
        <f>IFERROR(AI19/AI148, "NA")</f>
        <v>0.04478506927</v>
      </c>
      <c r="AK19" s="61">
        <f t="shared" si="12"/>
        <v>0.2489067419</v>
      </c>
      <c r="AL19" s="62">
        <f>IFERROR(AK19/AK148, "NA")</f>
        <v>2.084260692</v>
      </c>
    </row>
    <row r="20" ht="16.5" customHeight="1">
      <c r="A20" s="26" t="s">
        <v>76</v>
      </c>
      <c r="B20" s="28">
        <v>311.55</v>
      </c>
      <c r="C20" s="15">
        <f>IFERROR(B20/B148, "NA")</f>
        <v>0.009176668317</v>
      </c>
      <c r="D20" s="28">
        <v>472.65</v>
      </c>
      <c r="E20" s="15">
        <f>IFERROR(D20/D148, "NA")</f>
        <v>0.01011924502</v>
      </c>
      <c r="F20" s="28">
        <v>548.25</v>
      </c>
      <c r="G20" s="15">
        <f>IFERROR(F20/F148, "NA")</f>
        <v>0.01361408942</v>
      </c>
      <c r="H20" s="28">
        <v>500.66</v>
      </c>
      <c r="I20" s="15">
        <f>IFERROR(H20/H148, "NA")</f>
        <v>0.009378939816</v>
      </c>
      <c r="J20" s="28">
        <v>423.31</v>
      </c>
      <c r="K20" s="15">
        <f>IFERROR(J20/J148, "NA")</f>
        <v>0.009111062803</v>
      </c>
      <c r="L20" s="28">
        <v>440.5</v>
      </c>
      <c r="M20" s="15">
        <f>IFERROR(L20/L148, "NA")</f>
        <v>0.01004775936</v>
      </c>
      <c r="N20" s="28">
        <v>624.12</v>
      </c>
      <c r="O20" s="15">
        <f>IFERROR(N20/N148, "NA")</f>
        <v>0.01180050097</v>
      </c>
      <c r="P20" s="28">
        <v>542.55</v>
      </c>
      <c r="Q20" s="15">
        <f>IFERROR(P20/P148, "NA")</f>
        <v>0.008401348304</v>
      </c>
      <c r="R20" s="28">
        <v>523.43</v>
      </c>
      <c r="S20" s="15">
        <f>IFERROR(R20/R148, "NA")</f>
        <v>0.009555305784</v>
      </c>
      <c r="T20" s="28">
        <v>509.0</v>
      </c>
      <c r="U20" s="15">
        <f>IFERROR(T20/T148, "NA")</f>
        <v>0.01040655699</v>
      </c>
      <c r="V20" s="28">
        <v>553.9</v>
      </c>
      <c r="W20" s="15">
        <f>IFERROR(V20/V148, "NA")</f>
        <v>0.01204903669</v>
      </c>
      <c r="X20" s="28">
        <v>428.12</v>
      </c>
      <c r="Y20" s="15">
        <f>IFERROR(X20/X148, "NA")</f>
        <v>0.007362147604</v>
      </c>
      <c r="Z20" s="28">
        <v>1491.02</v>
      </c>
      <c r="AA20" s="15">
        <f>IFERROR(Z20/Z148, "NA")</f>
        <v>0.009743098013</v>
      </c>
      <c r="AB20" s="57">
        <f t="shared" si="7"/>
        <v>503.6125</v>
      </c>
      <c r="AC20" s="15">
        <f>IFERROR(AB20/AB148, "NA")</f>
        <v>0.009693596317</v>
      </c>
      <c r="AD20" s="61">
        <f t="shared" si="8"/>
        <v>-75.4925</v>
      </c>
      <c r="AE20" s="62">
        <f>IFERROR(AD20/AD148, "NA")</f>
        <v>-0.01217935765</v>
      </c>
      <c r="AF20" s="61">
        <f t="shared" si="9"/>
        <v>-0.1499019584</v>
      </c>
      <c r="AG20" s="57">
        <f t="shared" si="10"/>
        <v>505.61625</v>
      </c>
      <c r="AH20" s="15">
        <f>IFERROR(AG20/AG148, "NA")</f>
        <v>0.009733160721</v>
      </c>
      <c r="AI20" s="61">
        <f t="shared" si="11"/>
        <v>-77.49625</v>
      </c>
      <c r="AJ20" s="62">
        <f>IFERROR(AI20/AI148, "NA")</f>
        <v>-0.01249191261</v>
      </c>
      <c r="AK20" s="61">
        <f t="shared" si="12"/>
        <v>-0.1532708848</v>
      </c>
      <c r="AL20" s="62">
        <f>IFERROR(AK20/AK148, "NA")</f>
        <v>-1.283438439</v>
      </c>
    </row>
    <row r="21" ht="16.5" customHeight="1">
      <c r="A21" s="26" t="s">
        <v>77</v>
      </c>
      <c r="B21" s="28">
        <v>365.52</v>
      </c>
      <c r="C21" s="15">
        <f>IFERROR(B21/B148, "NA")</f>
        <v>0.01076634827</v>
      </c>
      <c r="D21" s="28">
        <v>283.06</v>
      </c>
      <c r="E21" s="15">
        <f>IFERROR(D21/D148, "NA")</f>
        <v>0.006060199927</v>
      </c>
      <c r="F21" s="28">
        <v>573.83</v>
      </c>
      <c r="G21" s="15">
        <f>IFERROR(F21/F148, "NA")</f>
        <v>0.01424928944</v>
      </c>
      <c r="H21" s="28">
        <v>485.35</v>
      </c>
      <c r="I21" s="15">
        <f>IFERROR(H21/H148, "NA")</f>
        <v>0.009092135261</v>
      </c>
      <c r="J21" s="28">
        <v>532.04</v>
      </c>
      <c r="K21" s="15">
        <f>IFERROR(J21/J148, "NA")</f>
        <v>0.01145130012</v>
      </c>
      <c r="L21" s="28">
        <v>496.07</v>
      </c>
      <c r="M21" s="15">
        <f>IFERROR(L21/L148, "NA")</f>
        <v>0.0113153053</v>
      </c>
      <c r="N21" s="28">
        <v>522.03</v>
      </c>
      <c r="O21" s="15">
        <f>IFERROR(N21/N148, "NA")</f>
        <v>0.009870242136</v>
      </c>
      <c r="P21" s="28">
        <v>598.47</v>
      </c>
      <c r="Q21" s="15">
        <f>IFERROR(P21/P148, "NA")</f>
        <v>0.009267265541</v>
      </c>
      <c r="R21" s="28">
        <v>464.49</v>
      </c>
      <c r="S21" s="15">
        <f>IFERROR(R21/R148, "NA")</f>
        <v>0.008479345822</v>
      </c>
      <c r="T21" s="28">
        <v>397.33</v>
      </c>
      <c r="U21" s="15">
        <f>IFERROR(T21/T148, "NA")</f>
        <v>0.008123452434</v>
      </c>
      <c r="V21" s="28">
        <v>344.49</v>
      </c>
      <c r="W21" s="15">
        <f>IFERROR(V21/V148, "NA")</f>
        <v>0.007493722058</v>
      </c>
      <c r="X21" s="28">
        <v>801.58</v>
      </c>
      <c r="Y21" s="15">
        <f>IFERROR(X21/X148, "NA")</f>
        <v>0.01378433681</v>
      </c>
      <c r="Z21" s="28">
        <v>1543.4</v>
      </c>
      <c r="AA21" s="15">
        <f>IFERROR(Z21/Z148, "NA")</f>
        <v>0.0100853761</v>
      </c>
      <c r="AB21" s="57">
        <f t="shared" si="7"/>
        <v>501.9725</v>
      </c>
      <c r="AC21" s="15">
        <f>IFERROR(AB21/AB148, "NA")</f>
        <v>0.009662029392</v>
      </c>
      <c r="AD21" s="61">
        <f t="shared" si="8"/>
        <v>299.6075</v>
      </c>
      <c r="AE21" s="62">
        <f>IFERROR(AD21/AD148, "NA")</f>
        <v>0.04833628369</v>
      </c>
      <c r="AF21" s="61">
        <f t="shared" si="9"/>
        <v>0.5968603858</v>
      </c>
      <c r="AG21" s="57">
        <f t="shared" si="10"/>
        <v>519.5625</v>
      </c>
      <c r="AH21" s="15">
        <f>IFERROR(AG21/AG148, "NA")</f>
        <v>0.01000162735</v>
      </c>
      <c r="AI21" s="61">
        <f t="shared" si="11"/>
        <v>282.0175</v>
      </c>
      <c r="AJ21" s="62">
        <f>IFERROR(AI21/AI148, "NA")</f>
        <v>0.0454594637</v>
      </c>
      <c r="AK21" s="61">
        <f t="shared" si="12"/>
        <v>0.5427980272</v>
      </c>
      <c r="AL21" s="62">
        <f>IFERROR(AK21/AK148, "NA")</f>
        <v>4.545206703</v>
      </c>
    </row>
    <row r="22" ht="16.5" hidden="1" customHeight="1">
      <c r="A22" s="26" t="s">
        <v>78</v>
      </c>
      <c r="B22" s="28">
        <v>0.0</v>
      </c>
      <c r="C22" s="15">
        <f>IFERROR(B22/B148, "NA")</f>
        <v>0</v>
      </c>
      <c r="D22" s="28">
        <v>0.0</v>
      </c>
      <c r="E22" s="15">
        <f>IFERROR(D22/D148, "NA")</f>
        <v>0</v>
      </c>
      <c r="F22" s="28">
        <v>0.0</v>
      </c>
      <c r="G22" s="15">
        <f>IFERROR(F22/F148, "NA")</f>
        <v>0</v>
      </c>
      <c r="H22" s="28">
        <v>0.0</v>
      </c>
      <c r="I22" s="15">
        <f>IFERROR(H22/H148, "NA")</f>
        <v>0</v>
      </c>
      <c r="J22" s="28">
        <v>0.0</v>
      </c>
      <c r="K22" s="15">
        <f>IFERROR(J22/J148, "NA")</f>
        <v>0</v>
      </c>
      <c r="L22" s="28">
        <v>0.0</v>
      </c>
      <c r="M22" s="15">
        <f>IFERROR(L22/L148, "NA")</f>
        <v>0</v>
      </c>
      <c r="N22" s="28">
        <v>0.0</v>
      </c>
      <c r="O22" s="15">
        <f>IFERROR(N22/N148, "NA")</f>
        <v>0</v>
      </c>
      <c r="P22" s="28">
        <v>0.0</v>
      </c>
      <c r="Q22" s="15">
        <f>IFERROR(P22/P148, "NA")</f>
        <v>0</v>
      </c>
      <c r="R22" s="28">
        <v>0.0</v>
      </c>
      <c r="S22" s="15">
        <f>IFERROR(R22/R148, "NA")</f>
        <v>0</v>
      </c>
      <c r="T22" s="28">
        <v>0.0</v>
      </c>
      <c r="U22" s="15">
        <f>IFERROR(T22/T148, "NA")</f>
        <v>0</v>
      </c>
      <c r="V22" s="28">
        <v>0.0</v>
      </c>
      <c r="W22" s="15">
        <f>IFERROR(V22/V148, "NA")</f>
        <v>0</v>
      </c>
      <c r="X22" s="28">
        <v>0.0</v>
      </c>
      <c r="Y22" s="15">
        <f>IFERROR(X22/X148, "NA")</f>
        <v>0</v>
      </c>
      <c r="Z22" s="28">
        <v>0.0</v>
      </c>
      <c r="AA22" s="15">
        <f>IFERROR(Z22/Z148, "NA")</f>
        <v>0</v>
      </c>
      <c r="AB22" s="57">
        <f t="shared" si="7"/>
        <v>0</v>
      </c>
      <c r="AC22" s="15">
        <f>IFERROR(AB22/AB148, "NA")</f>
        <v>0</v>
      </c>
      <c r="AD22" s="61">
        <f t="shared" si="8"/>
        <v>0</v>
      </c>
      <c r="AE22" s="62">
        <f>IFERROR(AD22/AD148, "NA")</f>
        <v>0</v>
      </c>
      <c r="AF22" s="61" t="str">
        <f t="shared" si="9"/>
        <v>NA</v>
      </c>
      <c r="AG22" s="57">
        <f t="shared" si="10"/>
        <v>0</v>
      </c>
      <c r="AH22" s="15">
        <f>IFERROR(AG22/AG148, "NA")</f>
        <v>0</v>
      </c>
      <c r="AI22" s="61">
        <f t="shared" si="11"/>
        <v>0</v>
      </c>
      <c r="AJ22" s="62">
        <f>IFERROR(AI22/AI148, "NA")</f>
        <v>0</v>
      </c>
      <c r="AK22" s="61" t="str">
        <f t="shared" si="12"/>
        <v>NA</v>
      </c>
      <c r="AL22" s="62" t="str">
        <f>IFERROR(AK22/AK148, "NA")</f>
        <v>NA</v>
      </c>
    </row>
    <row r="23" ht="16.5" customHeight="1">
      <c r="A23" s="26" t="s">
        <v>79</v>
      </c>
      <c r="B23" s="28">
        <v>375.16</v>
      </c>
      <c r="C23" s="15">
        <f>IFERROR(B23/B148, "NA")</f>
        <v>0.01105029333</v>
      </c>
      <c r="D23" s="28">
        <v>66.82</v>
      </c>
      <c r="E23" s="15">
        <f>IFERROR(D23/D148, "NA")</f>
        <v>0.00143058913</v>
      </c>
      <c r="F23" s="28">
        <v>158.01</v>
      </c>
      <c r="G23" s="15">
        <f>IFERROR(F23/F148, "NA")</f>
        <v>0.00392368859</v>
      </c>
      <c r="H23" s="28">
        <v>350.0</v>
      </c>
      <c r="I23" s="15">
        <f>IFERROR(H23/H148, "NA")</f>
        <v>0.006556603155</v>
      </c>
      <c r="J23" s="28">
        <v>227.59</v>
      </c>
      <c r="K23" s="15">
        <f>IFERROR(J23/J148, "NA")</f>
        <v>0.004898506493</v>
      </c>
      <c r="L23" s="28">
        <v>80.06</v>
      </c>
      <c r="M23" s="15">
        <f>IFERROR(L23/L148, "NA")</f>
        <v>0.001826160305</v>
      </c>
      <c r="N23" s="28">
        <v>295.47</v>
      </c>
      <c r="O23" s="15">
        <f>IFERROR(N23/N148, "NA")</f>
        <v>0.005586576335</v>
      </c>
      <c r="P23" s="28">
        <v>286.19</v>
      </c>
      <c r="Q23" s="15">
        <f>IFERROR(P23/P148, "NA")</f>
        <v>0.00443163187</v>
      </c>
      <c r="R23" s="28">
        <v>105.99</v>
      </c>
      <c r="S23" s="15">
        <f>IFERROR(R23/R148, "NA")</f>
        <v>0.001934865904</v>
      </c>
      <c r="T23" s="28">
        <v>71.24</v>
      </c>
      <c r="U23" s="15">
        <f>IFERROR(T23/T148, "NA")</f>
        <v>0.001456509077</v>
      </c>
      <c r="V23" s="28">
        <v>258.98</v>
      </c>
      <c r="W23" s="15">
        <f>IFERROR(V23/V148, "NA")</f>
        <v>0.005633615311</v>
      </c>
      <c r="X23" s="28">
        <v>211.09</v>
      </c>
      <c r="Y23" s="15">
        <f>IFERROR(X23/X148, "NA")</f>
        <v>0.003630000322</v>
      </c>
      <c r="Z23" s="28">
        <v>541.31</v>
      </c>
      <c r="AA23" s="15">
        <f>IFERROR(Z23/Z148, "NA")</f>
        <v>0.003537200296</v>
      </c>
      <c r="AB23" s="57">
        <f t="shared" si="7"/>
        <v>161.825</v>
      </c>
      <c r="AC23" s="15">
        <f>IFERROR(AB23/AB148, "NA")</f>
        <v>0.003114827817</v>
      </c>
      <c r="AD23" s="61">
        <f t="shared" si="8"/>
        <v>49.265</v>
      </c>
      <c r="AE23" s="62">
        <f>IFERROR(AD23/AD148, "NA")</f>
        <v>0.007948022049</v>
      </c>
      <c r="AF23" s="61">
        <f t="shared" si="9"/>
        <v>0.3044338019</v>
      </c>
      <c r="AG23" s="57">
        <f t="shared" si="10"/>
        <v>192.07625</v>
      </c>
      <c r="AH23" s="15">
        <f>IFERROR(AG23/AG148, "NA")</f>
        <v>0.003697486012</v>
      </c>
      <c r="AI23" s="61">
        <f t="shared" si="11"/>
        <v>19.01375</v>
      </c>
      <c r="AJ23" s="62">
        <f>IFERROR(AI23/AI148, "NA")</f>
        <v>0.003064898022</v>
      </c>
      <c r="AK23" s="61">
        <f t="shared" si="12"/>
        <v>0.09899063523</v>
      </c>
      <c r="AL23" s="62">
        <f>IFERROR(AK23/AK148, "NA")</f>
        <v>0.8289140274</v>
      </c>
    </row>
    <row r="24" ht="16.5" customHeight="1">
      <c r="A24" s="26" t="s">
        <v>80</v>
      </c>
      <c r="B24" s="28">
        <v>2410.31</v>
      </c>
      <c r="C24" s="15">
        <f>IFERROR(B24/B148, "NA")</f>
        <v>0.07099539532</v>
      </c>
      <c r="D24" s="28">
        <v>2891.39</v>
      </c>
      <c r="E24" s="15">
        <f>IFERROR(D24/D148, "NA")</f>
        <v>0.06190348854</v>
      </c>
      <c r="F24" s="28">
        <v>2766.29</v>
      </c>
      <c r="G24" s="15">
        <f>IFERROR(F24/F148, "NA")</f>
        <v>0.0686922379</v>
      </c>
      <c r="H24" s="28">
        <v>3128.66</v>
      </c>
      <c r="I24" s="15">
        <f>IFERROR(H24/H148, "NA")</f>
        <v>0.05860966293</v>
      </c>
      <c r="J24" s="28">
        <v>2765.91</v>
      </c>
      <c r="K24" s="15">
        <f>IFERROR(J24/J148, "NA")</f>
        <v>0.0595317373</v>
      </c>
      <c r="L24" s="28">
        <v>2651.68</v>
      </c>
      <c r="M24" s="15">
        <f>IFERROR(L24/L148, "NA")</f>
        <v>0.06048454607</v>
      </c>
      <c r="N24" s="28">
        <v>3205.0</v>
      </c>
      <c r="O24" s="15">
        <f>IFERROR(N24/N148, "NA")</f>
        <v>0.06059829137</v>
      </c>
      <c r="P24" s="28">
        <v>3467.02</v>
      </c>
      <c r="Q24" s="15">
        <f>IFERROR(P24/P148, "NA")</f>
        <v>0.05368655902</v>
      </c>
      <c r="R24" s="28">
        <v>2990.11</v>
      </c>
      <c r="S24" s="15">
        <f>IFERROR(R24/R148, "NA")</f>
        <v>0.05458497866</v>
      </c>
      <c r="T24" s="28">
        <v>2677.12</v>
      </c>
      <c r="U24" s="15">
        <f>IFERROR(T24/T148, "NA")</f>
        <v>0.05473399184</v>
      </c>
      <c r="V24" s="28">
        <v>2907.9</v>
      </c>
      <c r="W24" s="15">
        <f>IFERROR(V24/V148, "NA")</f>
        <v>0.06325581112</v>
      </c>
      <c r="X24" s="28">
        <v>2432.22</v>
      </c>
      <c r="Y24" s="15">
        <f>IFERROR(X24/X148, "NA")</f>
        <v>0.0418255691</v>
      </c>
      <c r="Z24" s="28">
        <v>8017.24</v>
      </c>
      <c r="AA24" s="15">
        <f>IFERROR(Z24/Z148, "NA")</f>
        <v>0.05238880438</v>
      </c>
      <c r="AB24" s="57">
        <f t="shared" si="7"/>
        <v>2751.8375</v>
      </c>
      <c r="AC24" s="15">
        <f>IFERROR(AB24/AB148, "NA")</f>
        <v>0.05296771199</v>
      </c>
      <c r="AD24" s="61">
        <f t="shared" si="8"/>
        <v>-319.6175</v>
      </c>
      <c r="AE24" s="62">
        <f>IFERROR(AD24/AD148, "NA")</f>
        <v>-0.05156453745</v>
      </c>
      <c r="AF24" s="61">
        <f t="shared" si="9"/>
        <v>-0.1161469382</v>
      </c>
      <c r="AG24" s="57">
        <f t="shared" si="10"/>
        <v>2887.12</v>
      </c>
      <c r="AH24" s="15">
        <f>IFERROR(AG24/AG148, "NA")</f>
        <v>0.05557733356</v>
      </c>
      <c r="AI24" s="61">
        <f t="shared" si="11"/>
        <v>-454.9</v>
      </c>
      <c r="AJ24" s="62">
        <f>IFERROR(AI24/AI148, "NA")</f>
        <v>-0.07332704543</v>
      </c>
      <c r="AK24" s="61">
        <f t="shared" si="12"/>
        <v>-0.157561861</v>
      </c>
      <c r="AL24" s="62">
        <f>IFERROR(AK24/AK148, "NA")</f>
        <v>-1.319369619</v>
      </c>
    </row>
    <row r="25" ht="16.5" hidden="1" customHeight="1">
      <c r="A25" s="26" t="s">
        <v>81</v>
      </c>
      <c r="B25" s="28">
        <v>0.0</v>
      </c>
      <c r="C25" s="15">
        <f>IFERROR(B25/B148, "NA")</f>
        <v>0</v>
      </c>
      <c r="D25" s="28">
        <v>0.0</v>
      </c>
      <c r="E25" s="15">
        <f>IFERROR(D25/D148, "NA")</f>
        <v>0</v>
      </c>
      <c r="F25" s="28">
        <v>0.0</v>
      </c>
      <c r="G25" s="15">
        <f>IFERROR(F25/F148, "NA")</f>
        <v>0</v>
      </c>
      <c r="H25" s="28">
        <v>0.0</v>
      </c>
      <c r="I25" s="15">
        <f>IFERROR(H25/H148, "NA")</f>
        <v>0</v>
      </c>
      <c r="J25" s="28">
        <v>0.0</v>
      </c>
      <c r="K25" s="15">
        <f>IFERROR(J25/J148, "NA")</f>
        <v>0</v>
      </c>
      <c r="L25" s="28">
        <v>0.0</v>
      </c>
      <c r="M25" s="15">
        <f>IFERROR(L25/L148, "NA")</f>
        <v>0</v>
      </c>
      <c r="N25" s="28">
        <v>0.0</v>
      </c>
      <c r="O25" s="15">
        <f>IFERROR(N25/N148, "NA")</f>
        <v>0</v>
      </c>
      <c r="P25" s="28">
        <v>0.0</v>
      </c>
      <c r="Q25" s="15">
        <f>IFERROR(P25/P148, "NA")</f>
        <v>0</v>
      </c>
      <c r="R25" s="28">
        <v>0.0</v>
      </c>
      <c r="S25" s="15">
        <f>IFERROR(R25/R148, "NA")</f>
        <v>0</v>
      </c>
      <c r="T25" s="28">
        <v>0.0</v>
      </c>
      <c r="U25" s="15">
        <f>IFERROR(T25/T148, "NA")</f>
        <v>0</v>
      </c>
      <c r="V25" s="28">
        <v>0.0</v>
      </c>
      <c r="W25" s="15">
        <f>IFERROR(V25/V148, "NA")</f>
        <v>0</v>
      </c>
      <c r="X25" s="28">
        <v>0.0</v>
      </c>
      <c r="Y25" s="15">
        <f>IFERROR(X25/X148, "NA")</f>
        <v>0</v>
      </c>
      <c r="Z25" s="28">
        <v>0.0</v>
      </c>
      <c r="AA25" s="15">
        <f>IFERROR(Z25/Z148, "NA")</f>
        <v>0</v>
      </c>
      <c r="AB25" s="57">
        <f t="shared" si="7"/>
        <v>0</v>
      </c>
      <c r="AC25" s="15">
        <f>IFERROR(AB25/AB148, "NA")</f>
        <v>0</v>
      </c>
      <c r="AD25" s="61">
        <f t="shared" si="8"/>
        <v>0</v>
      </c>
      <c r="AE25" s="62">
        <f>IFERROR(AD25/AD148, "NA")</f>
        <v>0</v>
      </c>
      <c r="AF25" s="61" t="str">
        <f t="shared" si="9"/>
        <v>NA</v>
      </c>
      <c r="AG25" s="57">
        <f t="shared" si="10"/>
        <v>0</v>
      </c>
      <c r="AH25" s="15">
        <f>IFERROR(AG25/AG148, "NA")</f>
        <v>0</v>
      </c>
      <c r="AI25" s="61">
        <f t="shared" si="11"/>
        <v>0</v>
      </c>
      <c r="AJ25" s="62">
        <f>IFERROR(AI25/AI148, "NA")</f>
        <v>0</v>
      </c>
      <c r="AK25" s="61" t="str">
        <f t="shared" si="12"/>
        <v>NA</v>
      </c>
      <c r="AL25" s="62" t="str">
        <f>IFERROR(AK25/AK148, "NA")</f>
        <v>NA</v>
      </c>
    </row>
    <row r="26" ht="16.5" hidden="1" customHeight="1">
      <c r="A26" s="26" t="s">
        <v>82</v>
      </c>
      <c r="B26" s="28">
        <v>0.0</v>
      </c>
      <c r="C26" s="15">
        <f>IFERROR(B26/B148, "NA")</f>
        <v>0</v>
      </c>
      <c r="D26" s="28">
        <v>0.0</v>
      </c>
      <c r="E26" s="15">
        <f>IFERROR(D26/D148, "NA")</f>
        <v>0</v>
      </c>
      <c r="F26" s="28">
        <v>0.0</v>
      </c>
      <c r="G26" s="15">
        <f>IFERROR(F26/F148, "NA")</f>
        <v>0</v>
      </c>
      <c r="H26" s="28">
        <v>0.0</v>
      </c>
      <c r="I26" s="15">
        <f>IFERROR(H26/H148, "NA")</f>
        <v>0</v>
      </c>
      <c r="J26" s="28">
        <v>0.0</v>
      </c>
      <c r="K26" s="15">
        <f>IFERROR(J26/J148, "NA")</f>
        <v>0</v>
      </c>
      <c r="L26" s="28">
        <v>0.0</v>
      </c>
      <c r="M26" s="15">
        <f>IFERROR(L26/L148, "NA")</f>
        <v>0</v>
      </c>
      <c r="N26" s="28">
        <v>0.0</v>
      </c>
      <c r="O26" s="15">
        <f>IFERROR(N26/N148, "NA")</f>
        <v>0</v>
      </c>
      <c r="P26" s="28">
        <v>0.0</v>
      </c>
      <c r="Q26" s="15">
        <f>IFERROR(P26/P148, "NA")</f>
        <v>0</v>
      </c>
      <c r="R26" s="28">
        <v>0.0</v>
      </c>
      <c r="S26" s="15">
        <f>IFERROR(R26/R148, "NA")</f>
        <v>0</v>
      </c>
      <c r="T26" s="28">
        <v>0.0</v>
      </c>
      <c r="U26" s="15">
        <f>IFERROR(T26/T148, "NA")</f>
        <v>0</v>
      </c>
      <c r="V26" s="28">
        <v>0.0</v>
      </c>
      <c r="W26" s="15">
        <f>IFERROR(V26/V148, "NA")</f>
        <v>0</v>
      </c>
      <c r="X26" s="28">
        <v>0.0</v>
      </c>
      <c r="Y26" s="15">
        <f>IFERROR(X26/X148, "NA")</f>
        <v>0</v>
      </c>
      <c r="Z26" s="28">
        <v>0.0</v>
      </c>
      <c r="AA26" s="15">
        <f>IFERROR(Z26/Z148, "NA")</f>
        <v>0</v>
      </c>
      <c r="AB26" s="57">
        <f t="shared" si="7"/>
        <v>0</v>
      </c>
      <c r="AC26" s="15">
        <f>IFERROR(AB26/AB148, "NA")</f>
        <v>0</v>
      </c>
      <c r="AD26" s="61">
        <f t="shared" si="8"/>
        <v>0</v>
      </c>
      <c r="AE26" s="62">
        <f>IFERROR(AD26/AD148, "NA")</f>
        <v>0</v>
      </c>
      <c r="AF26" s="61" t="str">
        <f t="shared" si="9"/>
        <v>NA</v>
      </c>
      <c r="AG26" s="57">
        <f t="shared" si="10"/>
        <v>0</v>
      </c>
      <c r="AH26" s="15">
        <f>IFERROR(AG26/AG148, "NA")</f>
        <v>0</v>
      </c>
      <c r="AI26" s="61">
        <f t="shared" si="11"/>
        <v>0</v>
      </c>
      <c r="AJ26" s="62">
        <f>IFERROR(AI26/AI148, "NA")</f>
        <v>0</v>
      </c>
      <c r="AK26" s="61" t="str">
        <f t="shared" si="12"/>
        <v>NA</v>
      </c>
      <c r="AL26" s="62" t="str">
        <f>IFERROR(AK26/AK148, "NA")</f>
        <v>NA</v>
      </c>
    </row>
    <row r="27" ht="16.5" customHeight="1">
      <c r="A27" s="67" t="s">
        <v>83</v>
      </c>
      <c r="B27" s="70">
        <f>IFERROR(B15+B16+B17+B18+B19+B20+B21+B22+B23+B24+B25+B26, "NA")</f>
        <v>7285.54</v>
      </c>
      <c r="C27" s="71">
        <f>IFERROR(B27/B148, "NA")</f>
        <v>0.214594717</v>
      </c>
      <c r="D27" s="70">
        <f>IFERROR(D15+D16+D17+D18+D19+D20+D21+D22+D23+D24+D25+D26, "NA")</f>
        <v>9057.69</v>
      </c>
      <c r="E27" s="71">
        <f>IFERROR(D27/D148, "NA")</f>
        <v>0.1939214735</v>
      </c>
      <c r="F27" s="70">
        <f>IFERROR(F15+F16+F17+F18+F19+F20+F21+F22+F23+F24+F25+F26, "NA")</f>
        <v>9215.18</v>
      </c>
      <c r="G27" s="71">
        <f>IFERROR(F27/F148, "NA")</f>
        <v>0.2288304324</v>
      </c>
      <c r="H27" s="70">
        <f>IFERROR(H15+H16+H17+H18+H19+H20+H21+H22+H23+H24+H25+H26, "NA")</f>
        <v>11145.91</v>
      </c>
      <c r="I27" s="71">
        <f>IFERROR(H27/H148, "NA")</f>
        <v>0.2087980248</v>
      </c>
      <c r="J27" s="70">
        <f>IFERROR(J15+J16+J17+J18+J19+J20+J21+J22+J23+J24+J25+J26, "NA")</f>
        <v>9655.01</v>
      </c>
      <c r="K27" s="71">
        <f>IFERROR(J27/J148, "NA")</f>
        <v>0.2078084677</v>
      </c>
      <c r="L27" s="70">
        <f>IFERROR(L15+L16+L17+L18+L19+L20+L21+L22+L23+L24+L25+L26, "NA")</f>
        <v>9127.51</v>
      </c>
      <c r="M27" s="71">
        <f>IFERROR(L27/L148, "NA")</f>
        <v>0.2081975574</v>
      </c>
      <c r="N27" s="70">
        <f>IFERROR(N15+N16+N17+N18+N19+N20+N21+N22+N23+N24+N25+N26, "NA")</f>
        <v>11969.6</v>
      </c>
      <c r="O27" s="71">
        <f>IFERROR(N27/N148, "NA")</f>
        <v>0.2263142928</v>
      </c>
      <c r="P27" s="70">
        <f>IFERROR(P15+P16+P17+P18+P19+P20+P21+P22+P23+P24+P25+P26, "NA")</f>
        <v>12856.79</v>
      </c>
      <c r="Q27" s="71">
        <f>IFERROR(P27/P148, "NA")</f>
        <v>0.1990864821</v>
      </c>
      <c r="R27" s="70">
        <f>IFERROR(R15+R16+R17+R18+R19+R20+R21+R22+R23+R24+R25+R26, "NA")</f>
        <v>11855.14</v>
      </c>
      <c r="S27" s="71">
        <f>IFERROR(R27/R148, "NA")</f>
        <v>0.2164176448</v>
      </c>
      <c r="T27" s="70">
        <f>IFERROR(T15+T16+T17+T18+T19+T20+T21+T22+T23+T24+T25+T26, "NA")</f>
        <v>9541.99</v>
      </c>
      <c r="U27" s="71">
        <f>IFERROR(T27/T148, "NA")</f>
        <v>0.1950869602</v>
      </c>
      <c r="V27" s="70">
        <f>IFERROR(V15+V16+V17+V18+V19+V20+V21+V22+V23+V24+V25+V26, "NA")</f>
        <v>10672.65</v>
      </c>
      <c r="W27" s="71">
        <f>IFERROR(V27/V148, "NA")</f>
        <v>0.2321631186</v>
      </c>
      <c r="X27" s="70">
        <f>IFERROR(X15+X16+X17+X18+X19+X20+X21+X22+X23+X24+X25+X26, "NA")</f>
        <v>11599.47</v>
      </c>
      <c r="Y27" s="71">
        <f>IFERROR(X27/X148, "NA")</f>
        <v>0.1994697988</v>
      </c>
      <c r="Z27" s="70">
        <f>IFERROR(Z15+Z16+Z17+Z18+Z19+Z20+Z21+Z22+Z23+Z24+Z25+Z26, "NA")</f>
        <v>31814.11</v>
      </c>
      <c r="AA27" s="71">
        <f>IFERROR(Z27/Z148, "NA")</f>
        <v>0.2078898955</v>
      </c>
      <c r="AB27" s="70">
        <f t="shared" si="7"/>
        <v>10917.3125</v>
      </c>
      <c r="AC27" s="71">
        <f>IFERROR(AB27/AB148, "NA")</f>
        <v>0.2101377949</v>
      </c>
      <c r="AD27" s="75">
        <f t="shared" si="8"/>
        <v>682.1575</v>
      </c>
      <c r="AE27" s="76">
        <f>IFERROR(AD27/AD148, "NA")</f>
        <v>0.1100538486</v>
      </c>
      <c r="AF27" s="75">
        <f t="shared" si="9"/>
        <v>0.06248401335</v>
      </c>
      <c r="AG27" s="70">
        <f t="shared" si="10"/>
        <v>10909.77</v>
      </c>
      <c r="AH27" s="71">
        <f>IFERROR(AG27/AG148, "NA")</f>
        <v>0.2100141062</v>
      </c>
      <c r="AI27" s="75">
        <f t="shared" si="11"/>
        <v>689.7</v>
      </c>
      <c r="AJ27" s="76">
        <f>IFERROR(AI27/AI148, "NA")</f>
        <v>0.1111753424</v>
      </c>
      <c r="AK27" s="75">
        <f t="shared" si="12"/>
        <v>0.06321856464</v>
      </c>
      <c r="AL27" s="76">
        <f>IFERROR(AK27/AK148, "NA")</f>
        <v>0.529370833</v>
      </c>
    </row>
    <row r="28" ht="16.5" customHeight="1">
      <c r="A28" s="22" t="s">
        <v>84</v>
      </c>
      <c r="B28" s="23"/>
      <c r="C28" s="10"/>
      <c r="D28" s="23"/>
      <c r="E28" s="10"/>
      <c r="F28" s="23"/>
      <c r="G28" s="10"/>
      <c r="H28" s="23"/>
      <c r="I28" s="10"/>
      <c r="J28" s="23"/>
      <c r="K28" s="10"/>
      <c r="L28" s="23"/>
      <c r="M28" s="10"/>
      <c r="N28" s="23"/>
      <c r="O28" s="10"/>
      <c r="P28" s="23"/>
      <c r="Q28" s="10"/>
      <c r="R28" s="23"/>
      <c r="S28" s="10"/>
      <c r="T28" s="23"/>
      <c r="U28" s="10"/>
      <c r="V28" s="23"/>
      <c r="W28" s="10"/>
      <c r="X28" s="23"/>
      <c r="Y28" s="10"/>
      <c r="Z28" s="23"/>
      <c r="AA28" s="10"/>
      <c r="AB28" s="23"/>
      <c r="AC28" s="10"/>
      <c r="AD28" s="24"/>
      <c r="AE28" s="25"/>
      <c r="AF28" s="24"/>
      <c r="AG28" s="23"/>
      <c r="AH28" s="10"/>
      <c r="AI28" s="24"/>
      <c r="AJ28" s="25"/>
      <c r="AK28" s="24"/>
      <c r="AL28" s="25"/>
    </row>
    <row r="29" ht="16.5" hidden="1" customHeight="1">
      <c r="A29" s="26" t="s">
        <v>85</v>
      </c>
      <c r="B29" s="28">
        <v>0.0</v>
      </c>
      <c r="C29" s="15">
        <f>IFERROR(B29/B148, "NA")</f>
        <v>0</v>
      </c>
      <c r="D29" s="28">
        <v>0.0</v>
      </c>
      <c r="E29" s="15">
        <f>IFERROR(D29/D148, "NA")</f>
        <v>0</v>
      </c>
      <c r="F29" s="28">
        <v>0.0</v>
      </c>
      <c r="G29" s="15">
        <f>IFERROR(F29/F148, "NA")</f>
        <v>0</v>
      </c>
      <c r="H29" s="28">
        <v>0.0</v>
      </c>
      <c r="I29" s="15">
        <f>IFERROR(H29/H148, "NA")</f>
        <v>0</v>
      </c>
      <c r="J29" s="28">
        <v>0.0</v>
      </c>
      <c r="K29" s="15">
        <f>IFERROR(J29/J148, "NA")</f>
        <v>0</v>
      </c>
      <c r="L29" s="28">
        <v>0.0</v>
      </c>
      <c r="M29" s="15">
        <f>IFERROR(L29/L148, "NA")</f>
        <v>0</v>
      </c>
      <c r="N29" s="28">
        <v>0.0</v>
      </c>
      <c r="O29" s="15">
        <f>IFERROR(N29/N148, "NA")</f>
        <v>0</v>
      </c>
      <c r="P29" s="28">
        <v>0.0</v>
      </c>
      <c r="Q29" s="15">
        <f>IFERROR(P29/P148, "NA")</f>
        <v>0</v>
      </c>
      <c r="R29" s="28">
        <v>0.0</v>
      </c>
      <c r="S29" s="15">
        <f>IFERROR(R29/R148, "NA")</f>
        <v>0</v>
      </c>
      <c r="T29" s="28">
        <v>0.0</v>
      </c>
      <c r="U29" s="15">
        <f>IFERROR(T29/T148, "NA")</f>
        <v>0</v>
      </c>
      <c r="V29" s="28">
        <v>0.0</v>
      </c>
      <c r="W29" s="15">
        <f>IFERROR(V29/V148, "NA")</f>
        <v>0</v>
      </c>
      <c r="X29" s="28">
        <v>0.0</v>
      </c>
      <c r="Y29" s="15">
        <f>IFERROR(X29/X148, "NA")</f>
        <v>0</v>
      </c>
      <c r="Z29" s="28">
        <v>0.0</v>
      </c>
      <c r="AA29" s="15">
        <f>IFERROR(Z29/Z148, "NA")</f>
        <v>0</v>
      </c>
      <c r="AB29" s="57">
        <f t="shared" ref="AB29:AB35" si="13">IFERROR((R29+T29+V29+X29)/4, "NA")</f>
        <v>0</v>
      </c>
      <c r="AC29" s="15">
        <f>IFERROR(AB29/AB148, "NA")</f>
        <v>0</v>
      </c>
      <c r="AD29" s="61">
        <f t="shared" ref="AD29:AD35" si="14">IFERROR(X29-AB29, "NA")</f>
        <v>0</v>
      </c>
      <c r="AE29" s="62">
        <f>IFERROR(AD29/AD148, "NA")</f>
        <v>0</v>
      </c>
      <c r="AF29" s="61" t="str">
        <f t="shared" ref="AF29:AF35" si="15">IFERROR((X29-AB29)/AB29, "NA")</f>
        <v>NA</v>
      </c>
      <c r="AG29" s="57">
        <f t="shared" ref="AG29:AG35" si="16">IFERROR((J29+L29+N29+P29+R29+T29+V29+X29)/8, "NA")</f>
        <v>0</v>
      </c>
      <c r="AH29" s="15">
        <f>IFERROR(AG29/AG148, "NA")</f>
        <v>0</v>
      </c>
      <c r="AI29" s="61">
        <f t="shared" ref="AI29:AI35" si="17">IFERROR(X29-AG29, "NA")</f>
        <v>0</v>
      </c>
      <c r="AJ29" s="62">
        <f>IFERROR(AI29/AI148, "NA")</f>
        <v>0</v>
      </c>
      <c r="AK29" s="61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6" t="s">
        <v>88</v>
      </c>
      <c r="B30" s="28">
        <v>337.48</v>
      </c>
      <c r="C30" s="15">
        <f>IFERROR(B30/B148, "NA")</f>
        <v>0.009940433393</v>
      </c>
      <c r="D30" s="28">
        <v>350.71</v>
      </c>
      <c r="E30" s="15">
        <f>IFERROR(D30/D148, "NA")</f>
        <v>0.007508559021</v>
      </c>
      <c r="F30" s="28">
        <v>486.82</v>
      </c>
      <c r="G30" s="15">
        <f>IFERROR(F30/F148, "NA")</f>
        <v>0.01208866578</v>
      </c>
      <c r="H30" s="28">
        <v>401.01</v>
      </c>
      <c r="I30" s="15">
        <f>IFERROR(H30/H148, "NA")</f>
        <v>0.007512181232</v>
      </c>
      <c r="J30" s="28">
        <v>603.17</v>
      </c>
      <c r="K30" s="15">
        <f>IFERROR(J30/J148, "NA")</f>
        <v>0.01298225828</v>
      </c>
      <c r="L30" s="28">
        <v>315.57</v>
      </c>
      <c r="M30" s="15">
        <f>IFERROR(L30/L148, "NA")</f>
        <v>0.007198119005</v>
      </c>
      <c r="N30" s="28">
        <v>796.3</v>
      </c>
      <c r="O30" s="15">
        <f>IFERROR(N30/N148, "NA")</f>
        <v>0.0150559811</v>
      </c>
      <c r="P30" s="28">
        <v>490.93</v>
      </c>
      <c r="Q30" s="15">
        <f>IFERROR(P30/P148, "NA")</f>
        <v>0.007602016262</v>
      </c>
      <c r="R30" s="28">
        <v>724.13</v>
      </c>
      <c r="S30" s="15">
        <f>IFERROR(R30/R148, "NA")</f>
        <v>0.01321911923</v>
      </c>
      <c r="T30" s="28">
        <v>385.17</v>
      </c>
      <c r="U30" s="15">
        <f>IFERROR(T30/T148, "NA")</f>
        <v>0.007874839992</v>
      </c>
      <c r="V30" s="28">
        <v>502.95</v>
      </c>
      <c r="W30" s="15">
        <f>IFERROR(V30/V148, "NA")</f>
        <v>0.01094071674</v>
      </c>
      <c r="X30" s="28">
        <v>539.43</v>
      </c>
      <c r="Y30" s="15">
        <f>IFERROR(X30/X148, "NA")</f>
        <v>0.009276285345</v>
      </c>
      <c r="Z30" s="28">
        <v>1427.55</v>
      </c>
      <c r="AA30" s="15">
        <f>IFERROR(Z30/Z148, "NA")</f>
        <v>0.009328352113</v>
      </c>
      <c r="AB30" s="57">
        <f t="shared" si="13"/>
        <v>537.92</v>
      </c>
      <c r="AC30" s="15">
        <f>IFERROR(AB30/AB148, "NA")</f>
        <v>0.01035395136</v>
      </c>
      <c r="AD30" s="61">
        <f t="shared" si="14"/>
        <v>1.51</v>
      </c>
      <c r="AE30" s="62">
        <f>IFERROR(AD30/AD148, "NA")</f>
        <v>0.0002436113528</v>
      </c>
      <c r="AF30" s="61">
        <f t="shared" si="15"/>
        <v>0.002807108864</v>
      </c>
      <c r="AG30" s="57">
        <f t="shared" si="16"/>
        <v>544.70625</v>
      </c>
      <c r="AH30" s="15">
        <f>IFERROR(AG30/AG148, "NA")</f>
        <v>0.01048564692</v>
      </c>
      <c r="AI30" s="61">
        <f t="shared" si="17"/>
        <v>-5.27625</v>
      </c>
      <c r="AJ30" s="62">
        <f>IFERROR(AI30/AI148, "NA")</f>
        <v>-0.0008504986227</v>
      </c>
      <c r="AK30" s="61">
        <f t="shared" si="18"/>
        <v>-0.009686413549</v>
      </c>
      <c r="AL30" s="62">
        <f>IFERROR(AK30/AK148, "NA")</f>
        <v>-0.08111074393</v>
      </c>
    </row>
    <row r="31" ht="16.5" customHeight="1">
      <c r="A31" s="26" t="s">
        <v>89</v>
      </c>
      <c r="B31" s="28">
        <v>4.87</v>
      </c>
      <c r="C31" s="15">
        <f>IFERROR(B31/B148, "NA")</f>
        <v>0.0001434452727</v>
      </c>
      <c r="D31" s="28">
        <v>0.0</v>
      </c>
      <c r="E31" s="15">
        <f>IFERROR(D31/D148, "NA")</f>
        <v>0</v>
      </c>
      <c r="F31" s="28">
        <v>1.6</v>
      </c>
      <c r="G31" s="15">
        <f>IFERROR(F31/F148, "NA")</f>
        <v>0.00003973104072</v>
      </c>
      <c r="H31" s="28">
        <v>19.49</v>
      </c>
      <c r="I31" s="15">
        <f>IFERROR(H31/H148, "NA")</f>
        <v>0.00036510913</v>
      </c>
      <c r="J31" s="28">
        <v>4.02</v>
      </c>
      <c r="K31" s="15">
        <f>IFERROR(J31/J148, "NA")</f>
        <v>0.00008652399534</v>
      </c>
      <c r="L31" s="28">
        <v>11.27</v>
      </c>
      <c r="M31" s="15">
        <f>IFERROR(L31/L148, "NA")</f>
        <v>0.0002570675323</v>
      </c>
      <c r="N31" s="28">
        <v>14.54</v>
      </c>
      <c r="O31" s="15">
        <f>IFERROR(N31/N148, "NA")</f>
        <v>0.0002749139334</v>
      </c>
      <c r="P31" s="28">
        <v>8.07</v>
      </c>
      <c r="Q31" s="15">
        <f>IFERROR(P31/P148, "NA")</f>
        <v>0.0001249633781</v>
      </c>
      <c r="R31" s="28">
        <v>4.87</v>
      </c>
      <c r="S31" s="15">
        <f>IFERROR(R31/R148, "NA")</f>
        <v>0.00008890269791</v>
      </c>
      <c r="T31" s="28">
        <v>25.94</v>
      </c>
      <c r="U31" s="15">
        <f>IFERROR(T31/T148, "NA")</f>
        <v>0.0005303459495</v>
      </c>
      <c r="V31" s="28">
        <v>14.61</v>
      </c>
      <c r="W31" s="15">
        <f>IFERROR(V31/V148, "NA")</f>
        <v>0.0003178126485</v>
      </c>
      <c r="X31" s="28">
        <v>11.35</v>
      </c>
      <c r="Y31" s="15">
        <f>IFERROR(X31/X148, "NA")</f>
        <v>0.0001951797984</v>
      </c>
      <c r="Z31" s="28">
        <v>51.9</v>
      </c>
      <c r="AA31" s="15">
        <f>IFERROR(Z31/Z148, "NA")</f>
        <v>0.0003391415185</v>
      </c>
      <c r="AB31" s="57">
        <f t="shared" si="13"/>
        <v>14.1925</v>
      </c>
      <c r="AC31" s="15">
        <f>IFERROR(AB31/AB148, "NA")</f>
        <v>0.0002731790131</v>
      </c>
      <c r="AD31" s="61">
        <f t="shared" si="14"/>
        <v>-2.8425</v>
      </c>
      <c r="AE31" s="62">
        <f>IFERROR(AD31/AD148, "NA")</f>
        <v>-0.0004585862717</v>
      </c>
      <c r="AF31" s="61">
        <f t="shared" si="15"/>
        <v>-0.200281839</v>
      </c>
      <c r="AG31" s="57">
        <f t="shared" si="16"/>
        <v>11.83375</v>
      </c>
      <c r="AH31" s="15">
        <f>IFERROR(AG31/AG148, "NA")</f>
        <v>0.0002278008088</v>
      </c>
      <c r="AI31" s="61">
        <f t="shared" si="17"/>
        <v>-0.48375</v>
      </c>
      <c r="AJ31" s="62">
        <f>IFERROR(AI31/AI148, "NA")</f>
        <v>-0.00007797748566</v>
      </c>
      <c r="AK31" s="61">
        <f t="shared" si="18"/>
        <v>-0.04087884229</v>
      </c>
      <c r="AL31" s="62">
        <f>IFERROR(AK31/AK148, "NA")</f>
        <v>-0.3423055699</v>
      </c>
    </row>
    <row r="32" ht="16.5" customHeight="1">
      <c r="A32" s="26" t="s">
        <v>90</v>
      </c>
      <c r="B32" s="28">
        <v>1.6</v>
      </c>
      <c r="C32" s="15">
        <f>IFERROR(B32/B148, "NA")</f>
        <v>0.00004712781033</v>
      </c>
      <c r="D32" s="28">
        <v>1.59</v>
      </c>
      <c r="E32" s="15">
        <f>IFERROR(D32/D148, "NA")</f>
        <v>0.00003404125586</v>
      </c>
      <c r="F32" s="28">
        <v>0.0</v>
      </c>
      <c r="G32" s="15">
        <f>IFERROR(F32/F148, "NA")</f>
        <v>0</v>
      </c>
      <c r="H32" s="28">
        <v>1.6</v>
      </c>
      <c r="I32" s="15">
        <f>IFERROR(H32/H148, "NA")</f>
        <v>0.00002997304299</v>
      </c>
      <c r="J32" s="28">
        <v>0.8</v>
      </c>
      <c r="K32" s="15">
        <f>IFERROR(J32/J148, "NA")</f>
        <v>0.00001721870554</v>
      </c>
      <c r="L32" s="28">
        <v>-0.8</v>
      </c>
      <c r="M32" s="15">
        <f>IFERROR(L32/L148, "NA")</f>
        <v>-0.00001824791711</v>
      </c>
      <c r="N32" s="28">
        <v>0.8</v>
      </c>
      <c r="O32" s="15">
        <f>IFERROR(N32/N148, "NA")</f>
        <v>0.00001512593856</v>
      </c>
      <c r="P32" s="28">
        <v>2.4</v>
      </c>
      <c r="Q32" s="15">
        <f>IFERROR(P32/P148, "NA")</f>
        <v>0.00003716382993</v>
      </c>
      <c r="R32" s="28">
        <v>-1.6</v>
      </c>
      <c r="S32" s="15">
        <f>IFERROR(R32/R148, "NA")</f>
        <v>-0.00002920827858</v>
      </c>
      <c r="T32" s="28">
        <v>13.59</v>
      </c>
      <c r="U32" s="15">
        <f>IFERROR(T32/T148, "NA")</f>
        <v>0.0002778489381</v>
      </c>
      <c r="V32" s="28">
        <v>-7.19</v>
      </c>
      <c r="W32" s="15">
        <f>IFERROR(V32/V148, "NA")</f>
        <v>-0.0001564047189</v>
      </c>
      <c r="X32" s="28">
        <v>1.6</v>
      </c>
      <c r="Y32" s="15">
        <f>IFERROR(X32/X148, "NA")</f>
        <v>0.00002751433282</v>
      </c>
      <c r="Z32" s="28">
        <v>8.0</v>
      </c>
      <c r="AA32" s="15">
        <f>IFERROR(Z32/Z148, "NA")</f>
        <v>0.00005227614928</v>
      </c>
      <c r="AB32" s="57">
        <f t="shared" si="13"/>
        <v>1.6</v>
      </c>
      <c r="AC32" s="15">
        <f>IFERROR(AB32/AB148, "NA")</f>
        <v>0.00003079699989</v>
      </c>
      <c r="AD32" s="61">
        <f t="shared" si="14"/>
        <v>0</v>
      </c>
      <c r="AE32" s="62">
        <f>IFERROR(AD32/AD148, "NA")</f>
        <v>0</v>
      </c>
      <c r="AF32" s="61">
        <f t="shared" si="15"/>
        <v>0</v>
      </c>
      <c r="AG32" s="57">
        <f t="shared" si="16"/>
        <v>1.2</v>
      </c>
      <c r="AH32" s="15">
        <f>IFERROR(AG32/AG148, "NA")</f>
        <v>0.0000231001137</v>
      </c>
      <c r="AI32" s="61">
        <f t="shared" si="17"/>
        <v>0.4</v>
      </c>
      <c r="AJ32" s="62">
        <f>IFERROR(AI32/AI148, "NA")</f>
        <v>0.00006447750753</v>
      </c>
      <c r="AK32" s="61">
        <f t="shared" si="18"/>
        <v>0.3333333333</v>
      </c>
      <c r="AL32" s="62">
        <f>IFERROR(AK32/AK148, "NA")</f>
        <v>2.791220353</v>
      </c>
    </row>
    <row r="33" ht="16.5" customHeight="1">
      <c r="A33" s="26" t="s">
        <v>91</v>
      </c>
      <c r="B33" s="28">
        <v>0.0</v>
      </c>
      <c r="C33" s="15">
        <f>IFERROR(B33/B148, "NA")</f>
        <v>0</v>
      </c>
      <c r="D33" s="28">
        <v>0.0</v>
      </c>
      <c r="E33" s="15">
        <f>IFERROR(D33/D148, "NA")</f>
        <v>0</v>
      </c>
      <c r="F33" s="28">
        <v>3.35</v>
      </c>
      <c r="G33" s="15">
        <f>IFERROR(F33/F148, "NA")</f>
        <v>0.00008318686651</v>
      </c>
      <c r="H33" s="28">
        <v>0.0</v>
      </c>
      <c r="I33" s="15">
        <f>IFERROR(H33/H148, "NA")</f>
        <v>0</v>
      </c>
      <c r="J33" s="28">
        <v>0.0</v>
      </c>
      <c r="K33" s="15">
        <f>IFERROR(J33/J148, "NA")</f>
        <v>0</v>
      </c>
      <c r="L33" s="28">
        <v>6.67</v>
      </c>
      <c r="M33" s="15">
        <f>IFERROR(L33/L148, "NA")</f>
        <v>0.0001521420089</v>
      </c>
      <c r="N33" s="28">
        <v>0.0</v>
      </c>
      <c r="O33" s="15">
        <f>IFERROR(N33/N148, "NA")</f>
        <v>0</v>
      </c>
      <c r="P33" s="28">
        <v>4.94</v>
      </c>
      <c r="Q33" s="15">
        <f>IFERROR(P33/P148, "NA")</f>
        <v>0.00007649554994</v>
      </c>
      <c r="R33" s="28">
        <v>21.01</v>
      </c>
      <c r="S33" s="15">
        <f>IFERROR(R33/R148, "NA")</f>
        <v>0.000383541208</v>
      </c>
      <c r="T33" s="28">
        <v>11.38</v>
      </c>
      <c r="U33" s="15">
        <f>IFERROR(T33/T148, "NA")</f>
        <v>0.0002326652624</v>
      </c>
      <c r="V33" s="28">
        <v>12.1</v>
      </c>
      <c r="W33" s="15">
        <f>IFERROR(V33/V148, "NA")</f>
        <v>0.000263212392</v>
      </c>
      <c r="X33" s="28">
        <v>2.68</v>
      </c>
      <c r="Y33" s="15">
        <f>IFERROR(X33/X148, "NA")</f>
        <v>0.00004608650747</v>
      </c>
      <c r="Z33" s="28">
        <v>26.16</v>
      </c>
      <c r="AA33" s="15">
        <f>IFERROR(Z33/Z148, "NA")</f>
        <v>0.0001709430081</v>
      </c>
      <c r="AB33" s="57">
        <f t="shared" si="13"/>
        <v>11.7925</v>
      </c>
      <c r="AC33" s="15">
        <f>IFERROR(AB33/AB148, "NA")</f>
        <v>0.0002269835133</v>
      </c>
      <c r="AD33" s="61">
        <f t="shared" si="14"/>
        <v>-9.1125</v>
      </c>
      <c r="AE33" s="62">
        <f>IFERROR(AD33/AD148, "NA")</f>
        <v>-0.001470138048</v>
      </c>
      <c r="AF33" s="61">
        <f t="shared" si="15"/>
        <v>-0.7727369091</v>
      </c>
      <c r="AG33" s="57">
        <f t="shared" si="16"/>
        <v>7.3475</v>
      </c>
      <c r="AH33" s="15">
        <f>IFERROR(AG33/AG148, "NA")</f>
        <v>0.0001414400712</v>
      </c>
      <c r="AI33" s="61">
        <f t="shared" si="17"/>
        <v>-4.6675</v>
      </c>
      <c r="AJ33" s="62">
        <f>IFERROR(AI33/AI148, "NA")</f>
        <v>-0.0007523719159</v>
      </c>
      <c r="AK33" s="61">
        <f t="shared" si="18"/>
        <v>-0.6352500851</v>
      </c>
      <c r="AL33" s="62">
        <f>IFERROR(AK33/AK148, "NA")</f>
        <v>-5.3193689</v>
      </c>
    </row>
    <row r="34" ht="16.5" customHeight="1">
      <c r="A34" s="67" t="s">
        <v>92</v>
      </c>
      <c r="B34" s="70">
        <f>IFERROR(B29+B30+B31+B32+B33, "NA")</f>
        <v>343.95</v>
      </c>
      <c r="C34" s="71">
        <f>IFERROR(B34/B148, "NA")</f>
        <v>0.01013100648</v>
      </c>
      <c r="D34" s="70">
        <f>IFERROR(D29+D30+D31+D32+D33, "NA")</f>
        <v>352.3</v>
      </c>
      <c r="E34" s="71">
        <f>IFERROR(D34/D148, "NA")</f>
        <v>0.007542600277</v>
      </c>
      <c r="F34" s="70">
        <f>IFERROR(F29+F30+F31+F32+F33, "NA")</f>
        <v>491.77</v>
      </c>
      <c r="G34" s="71">
        <f>IFERROR(F34/F148, "NA")</f>
        <v>0.01221158368</v>
      </c>
      <c r="H34" s="70">
        <f>IFERROR(H29+H30+H31+H32+H33, "NA")</f>
        <v>422.1</v>
      </c>
      <c r="I34" s="71">
        <f>IFERROR(H34/H148, "NA")</f>
        <v>0.007907263405</v>
      </c>
      <c r="J34" s="70">
        <f>IFERROR(J29+J30+J31+J32+J33, "NA")</f>
        <v>607.99</v>
      </c>
      <c r="K34" s="71">
        <f>IFERROR(J34/J148, "NA")</f>
        <v>0.01308600098</v>
      </c>
      <c r="L34" s="70">
        <f>IFERROR(L29+L30+L31+L32+L33, "NA")</f>
        <v>332.71</v>
      </c>
      <c r="M34" s="71">
        <f>IFERROR(L34/L148, "NA")</f>
        <v>0.007589080629</v>
      </c>
      <c r="N34" s="70">
        <f>IFERROR(N29+N30+N31+N32+N33, "NA")</f>
        <v>811.64</v>
      </c>
      <c r="O34" s="71">
        <f>IFERROR(N34/N148, "NA")</f>
        <v>0.01534602097</v>
      </c>
      <c r="P34" s="70">
        <f>IFERROR(P29+P30+P31+P32+P33, "NA")</f>
        <v>506.34</v>
      </c>
      <c r="Q34" s="71">
        <f>IFERROR(P34/P148, "NA")</f>
        <v>0.00784063902</v>
      </c>
      <c r="R34" s="70">
        <f>IFERROR(R29+R30+R31+R32+R33, "NA")</f>
        <v>748.41</v>
      </c>
      <c r="S34" s="71">
        <f>IFERROR(R34/R148, "NA")</f>
        <v>0.01366235486</v>
      </c>
      <c r="T34" s="70">
        <f>IFERROR(T29+T30+T31+T32+T33, "NA")</f>
        <v>436.08</v>
      </c>
      <c r="U34" s="71">
        <f>IFERROR(T34/T148, "NA")</f>
        <v>0.008915700142</v>
      </c>
      <c r="V34" s="70">
        <f>IFERROR(V29+V30+V31+V32+V33, "NA")</f>
        <v>522.47</v>
      </c>
      <c r="W34" s="71">
        <f>IFERROR(V34/V148, "NA")</f>
        <v>0.01136533706</v>
      </c>
      <c r="X34" s="70">
        <f>IFERROR(X29+X30+X31+X32+X33, "NA")</f>
        <v>555.06</v>
      </c>
      <c r="Y34" s="71">
        <f>IFERROR(X34/X148, "NA")</f>
        <v>0.009545065984</v>
      </c>
      <c r="Z34" s="70">
        <f>IFERROR(Z29+Z30+Z31+Z32+Z33, "NA")</f>
        <v>1513.61</v>
      </c>
      <c r="AA34" s="71">
        <f>IFERROR(Z34/Z148, "NA")</f>
        <v>0.009890712789</v>
      </c>
      <c r="AB34" s="70">
        <f t="shared" si="13"/>
        <v>565.505</v>
      </c>
      <c r="AC34" s="71">
        <f>IFERROR(AB34/AB148, "NA")</f>
        <v>0.01088491089</v>
      </c>
      <c r="AD34" s="75">
        <f t="shared" si="14"/>
        <v>-10.445</v>
      </c>
      <c r="AE34" s="76">
        <f>IFERROR(AD34/AD148, "NA")</f>
        <v>-0.001685112967</v>
      </c>
      <c r="AF34" s="75">
        <f t="shared" si="15"/>
        <v>-0.01847021689</v>
      </c>
      <c r="AG34" s="70">
        <f t="shared" si="16"/>
        <v>565.0875</v>
      </c>
      <c r="AH34" s="71">
        <f>IFERROR(AG34/AG148, "NA")</f>
        <v>0.01087798792</v>
      </c>
      <c r="AI34" s="75">
        <f t="shared" si="17"/>
        <v>-10.0275</v>
      </c>
      <c r="AJ34" s="76">
        <f>IFERROR(AI34/AI148, "NA")</f>
        <v>-0.001616370517</v>
      </c>
      <c r="AK34" s="75">
        <f t="shared" si="18"/>
        <v>-0.01774503949</v>
      </c>
      <c r="AL34" s="76">
        <f>IFERROR(AK34/AK148, "NA")</f>
        <v>-0.1485909461</v>
      </c>
    </row>
    <row r="35" ht="16.5" customHeight="1">
      <c r="A35" s="67" t="s">
        <v>93</v>
      </c>
      <c r="B35" s="70">
        <f>IFERROR(B13+B15+B16+B17+B18+B19+B20+B21+B22+B23+B24+B25+B26+B29+B30+B31+B32+B33, "NA")</f>
        <v>7629.49</v>
      </c>
      <c r="C35" s="71">
        <f>IFERROR(B35/B148, "NA")</f>
        <v>0.2247257235</v>
      </c>
      <c r="D35" s="70">
        <f>IFERROR(D13+D15+D16+D17+D18+D19+D20+D21+D22+D23+D24+D25+D26+D29+D30+D31+D32+D33, "NA")</f>
        <v>9409.99</v>
      </c>
      <c r="E35" s="71">
        <f>IFERROR(D35/D148, "NA")</f>
        <v>0.2014640737</v>
      </c>
      <c r="F35" s="70">
        <f>IFERROR(F13+F15+F16+F17+F18+F19+F20+F21+F22+F23+F24+F25+F26+F29+F30+F31+F32+F33, "NA")</f>
        <v>9706.95</v>
      </c>
      <c r="G35" s="71">
        <f>IFERROR(F35/F148, "NA")</f>
        <v>0.2410420161</v>
      </c>
      <c r="H35" s="70">
        <f>IFERROR(H13+H15+H16+H17+H18+H19+H20+H21+H22+H23+H24+H25+H26+H29+H30+H31+H32+H33, "NA")</f>
        <v>11568.01</v>
      </c>
      <c r="I35" s="71">
        <f>IFERROR(H35/H148, "NA")</f>
        <v>0.2167052882</v>
      </c>
      <c r="J35" s="70">
        <f>IFERROR(J13+J15+J16+J17+J18+J19+J20+J21+J22+J23+J24+J25+J26+J29+J30+J31+J32+J33, "NA")</f>
        <v>10263</v>
      </c>
      <c r="K35" s="71">
        <f>IFERROR(J35/J148, "NA")</f>
        <v>0.2208944687</v>
      </c>
      <c r="L35" s="70">
        <f>IFERROR(L13+L15+L16+L17+L18+L19+L20+L21+L22+L23+L24+L25+L26+L29+L30+L31+L32+L33, "NA")</f>
        <v>9460.22</v>
      </c>
      <c r="M35" s="71">
        <f>IFERROR(L35/L148, "NA")</f>
        <v>0.2157866381</v>
      </c>
      <c r="N35" s="70">
        <f>IFERROR(N13+N15+N16+N17+N18+N19+N20+N21+N22+N23+N24+N25+N26+N29+N30+N31+N32+N33, "NA")</f>
        <v>12781.24</v>
      </c>
      <c r="O35" s="71">
        <f>IFERROR(N35/N148, "NA")</f>
        <v>0.2416603138</v>
      </c>
      <c r="P35" s="70">
        <f>IFERROR(P13+P15+P16+P17+P18+P19+P20+P21+P22+P23+P24+P25+P26+P29+P30+P31+P32+P33, "NA")</f>
        <v>13363.13</v>
      </c>
      <c r="Q35" s="71">
        <f>IFERROR(P35/P148, "NA")</f>
        <v>0.2069271211</v>
      </c>
      <c r="R35" s="70">
        <f>IFERROR(R13+R15+R16+R17+R18+R19+R20+R21+R22+R23+R24+R25+R26+R29+R30+R31+R32+R33, "NA")</f>
        <v>12603.55</v>
      </c>
      <c r="S35" s="71">
        <f>IFERROR(R35/R148, "NA")</f>
        <v>0.2300799996</v>
      </c>
      <c r="T35" s="70">
        <f>IFERROR(T13+T15+T16+T17+T18+T19+T20+T21+T22+T23+T24+T25+T26+T29+T30+T31+T32+T33, "NA")</f>
        <v>9978.07</v>
      </c>
      <c r="U35" s="71">
        <f>IFERROR(T35/T148, "NA")</f>
        <v>0.2040026603</v>
      </c>
      <c r="V35" s="70">
        <f>IFERROR(V13+V15+V16+V17+V18+V19+V20+V21+V22+V23+V24+V25+V26+V29+V30+V31+V32+V33, "NA")</f>
        <v>11195.12</v>
      </c>
      <c r="W35" s="71">
        <f>IFERROR(V35/V148, "NA")</f>
        <v>0.2435284557</v>
      </c>
      <c r="X35" s="70">
        <f>IFERROR(X13+X15+X16+X17+X18+X19+X20+X21+X22+X23+X24+X25+X26+X29+X30+X31+X32+X33, "NA")</f>
        <v>12154.53</v>
      </c>
      <c r="Y35" s="71">
        <f>IFERROR(X35/X148, "NA")</f>
        <v>0.2090148648</v>
      </c>
      <c r="Z35" s="70">
        <f>IFERROR(Z13+Z15+Z16+Z17+Z18+Z19+Z20+Z21+Z22+Z23+Z24+Z25+Z26+Z29+Z30+Z31+Z32+Z33, "NA")</f>
        <v>33327.72</v>
      </c>
      <c r="AA35" s="71">
        <f>IFERROR(Z35/Z148, "NA")</f>
        <v>0.2177806082</v>
      </c>
      <c r="AB35" s="70">
        <f t="shared" si="13"/>
        <v>11482.8175</v>
      </c>
      <c r="AC35" s="71">
        <f>IFERROR(AB35/AB148, "NA")</f>
        <v>0.2210227058</v>
      </c>
      <c r="AD35" s="75">
        <f t="shared" si="14"/>
        <v>671.7125</v>
      </c>
      <c r="AE35" s="76">
        <f>IFERROR(AD35/AD148, "NA")</f>
        <v>0.1083687356</v>
      </c>
      <c r="AF35" s="75">
        <f t="shared" si="15"/>
        <v>0.05849718503</v>
      </c>
      <c r="AG35" s="70">
        <f t="shared" si="16"/>
        <v>11474.8575</v>
      </c>
      <c r="AH35" s="71">
        <f>IFERROR(AG35/AG148, "NA")</f>
        <v>0.2208920941</v>
      </c>
      <c r="AI35" s="75">
        <f t="shared" si="17"/>
        <v>679.6725</v>
      </c>
      <c r="AJ35" s="76">
        <f>IFERROR(AI35/AI148, "NA")</f>
        <v>0.1095589718</v>
      </c>
      <c r="AK35" s="75">
        <f t="shared" si="18"/>
        <v>0.05923145451</v>
      </c>
      <c r="AL35" s="76">
        <f>IFERROR(AK35/AK148, "NA")</f>
        <v>0.4959841241</v>
      </c>
    </row>
    <row r="36" ht="16.5" customHeight="1">
      <c r="A36" s="22" t="s">
        <v>94</v>
      </c>
      <c r="B36" s="23"/>
      <c r="C36" s="10"/>
      <c r="D36" s="23"/>
      <c r="E36" s="10"/>
      <c r="F36" s="23"/>
      <c r="G36" s="10"/>
      <c r="H36" s="23"/>
      <c r="I36" s="10"/>
      <c r="J36" s="23"/>
      <c r="K36" s="10"/>
      <c r="L36" s="23"/>
      <c r="M36" s="10"/>
      <c r="N36" s="23"/>
      <c r="O36" s="10"/>
      <c r="P36" s="23"/>
      <c r="Q36" s="10"/>
      <c r="R36" s="23"/>
      <c r="S36" s="10"/>
      <c r="T36" s="23"/>
      <c r="U36" s="10"/>
      <c r="V36" s="23"/>
      <c r="W36" s="10"/>
      <c r="X36" s="23"/>
      <c r="Y36" s="10"/>
      <c r="Z36" s="23"/>
      <c r="AA36" s="10"/>
      <c r="AB36" s="23"/>
      <c r="AC36" s="10"/>
      <c r="AD36" s="24"/>
      <c r="AE36" s="25"/>
      <c r="AF36" s="24"/>
      <c r="AG36" s="23"/>
      <c r="AH36" s="10"/>
      <c r="AI36" s="24"/>
      <c r="AJ36" s="25"/>
      <c r="AK36" s="24"/>
      <c r="AL36" s="25"/>
    </row>
    <row r="37" ht="16.5" hidden="1" customHeight="1">
      <c r="A37" s="26" t="s">
        <v>95</v>
      </c>
      <c r="B37" s="28">
        <v>0.0</v>
      </c>
      <c r="C37" s="15">
        <f>IFERROR(B37/B148, "NA")</f>
        <v>0</v>
      </c>
      <c r="D37" s="28">
        <v>0.0</v>
      </c>
      <c r="E37" s="15">
        <f>IFERROR(D37/D148, "NA")</f>
        <v>0</v>
      </c>
      <c r="F37" s="28">
        <v>0.0</v>
      </c>
      <c r="G37" s="15">
        <f>IFERROR(F37/F148, "NA")</f>
        <v>0</v>
      </c>
      <c r="H37" s="28">
        <v>0.0</v>
      </c>
      <c r="I37" s="15">
        <f>IFERROR(H37/H148, "NA")</f>
        <v>0</v>
      </c>
      <c r="J37" s="28">
        <v>0.0</v>
      </c>
      <c r="K37" s="15">
        <f>IFERROR(J37/J148, "NA")</f>
        <v>0</v>
      </c>
      <c r="L37" s="28">
        <v>0.0</v>
      </c>
      <c r="M37" s="15">
        <f>IFERROR(L37/L148, "NA")</f>
        <v>0</v>
      </c>
      <c r="N37" s="28">
        <v>0.0</v>
      </c>
      <c r="O37" s="15">
        <f>IFERROR(N37/N148, "NA")</f>
        <v>0</v>
      </c>
      <c r="P37" s="28">
        <v>0.0</v>
      </c>
      <c r="Q37" s="15">
        <f>IFERROR(P37/P148, "NA")</f>
        <v>0</v>
      </c>
      <c r="R37" s="28">
        <v>0.0</v>
      </c>
      <c r="S37" s="15">
        <f>IFERROR(R37/R148, "NA")</f>
        <v>0</v>
      </c>
      <c r="T37" s="28">
        <v>0.0</v>
      </c>
      <c r="U37" s="15">
        <f>IFERROR(T37/T148, "NA")</f>
        <v>0</v>
      </c>
      <c r="V37" s="28">
        <v>0.0</v>
      </c>
      <c r="W37" s="15">
        <f>IFERROR(V37/V148, "NA")</f>
        <v>0</v>
      </c>
      <c r="X37" s="28">
        <v>0.0</v>
      </c>
      <c r="Y37" s="15">
        <f>IFERROR(X37/X148, "NA")</f>
        <v>0</v>
      </c>
      <c r="Z37" s="28">
        <v>0.0</v>
      </c>
      <c r="AA37" s="15">
        <f>IFERROR(Z37/Z148, "NA")</f>
        <v>0</v>
      </c>
      <c r="AB37" s="57">
        <f>IFERROR((R37+T37+V37+X37)/4, "NA")</f>
        <v>0</v>
      </c>
      <c r="AC37" s="15">
        <f>IFERROR(AB37/AB148, "NA")</f>
        <v>0</v>
      </c>
      <c r="AD37" s="61">
        <f>IFERROR(X37-AB37, "NA")</f>
        <v>0</v>
      </c>
      <c r="AE37" s="62">
        <f>IFERROR(AD37/AD148, "NA")</f>
        <v>0</v>
      </c>
      <c r="AF37" s="61" t="str">
        <f>IFERROR((X37-AB37)/AB37, "NA")</f>
        <v>NA</v>
      </c>
      <c r="AG37" s="57">
        <f>IFERROR((J37+L37+N37+P37+R37+T37+V37+X37)/8, "NA")</f>
        <v>0</v>
      </c>
      <c r="AH37" s="15">
        <f>IFERROR(AG37/AG148, "NA")</f>
        <v>0</v>
      </c>
      <c r="AI37" s="61">
        <f>IFERROR(X37-AG37, "NA")</f>
        <v>0</v>
      </c>
      <c r="AJ37" s="62">
        <f>IFERROR(AI37/AI148, "NA")</f>
        <v>0</v>
      </c>
      <c r="AK37" s="61" t="str">
        <f>IFERROR((X37-AG37)/AG37, "NA")</f>
        <v>NA</v>
      </c>
      <c r="AL37" s="62" t="str">
        <f>IFERROR(AK37/AK148, "NA")</f>
        <v>NA</v>
      </c>
    </row>
    <row r="38" ht="16.5" customHeight="1">
      <c r="A38" s="22" t="s">
        <v>96</v>
      </c>
      <c r="B38" s="23"/>
      <c r="C38" s="10"/>
      <c r="D38" s="23"/>
      <c r="E38" s="10"/>
      <c r="F38" s="23"/>
      <c r="G38" s="10"/>
      <c r="H38" s="23"/>
      <c r="I38" s="10"/>
      <c r="J38" s="23"/>
      <c r="K38" s="10"/>
      <c r="L38" s="23"/>
      <c r="M38" s="10"/>
      <c r="N38" s="23"/>
      <c r="O38" s="10"/>
      <c r="P38" s="23"/>
      <c r="Q38" s="10"/>
      <c r="R38" s="23"/>
      <c r="S38" s="10"/>
      <c r="T38" s="23"/>
      <c r="U38" s="10"/>
      <c r="V38" s="23"/>
      <c r="W38" s="10"/>
      <c r="X38" s="23"/>
      <c r="Y38" s="10"/>
      <c r="Z38" s="23"/>
      <c r="AA38" s="10"/>
      <c r="AB38" s="23"/>
      <c r="AC38" s="10"/>
      <c r="AD38" s="24"/>
      <c r="AE38" s="25"/>
      <c r="AF38" s="24"/>
      <c r="AG38" s="23"/>
      <c r="AH38" s="10"/>
      <c r="AI38" s="24"/>
      <c r="AJ38" s="25"/>
      <c r="AK38" s="24"/>
      <c r="AL38" s="25"/>
    </row>
    <row r="39" ht="16.5" hidden="1" customHeight="1">
      <c r="A39" s="26" t="s">
        <v>97</v>
      </c>
      <c r="B39" s="28">
        <v>0.0</v>
      </c>
      <c r="C39" s="15">
        <f>IFERROR(B39/B148, "NA")</f>
        <v>0</v>
      </c>
      <c r="D39" s="28">
        <v>0.0</v>
      </c>
      <c r="E39" s="15">
        <f>IFERROR(D39/D148, "NA")</f>
        <v>0</v>
      </c>
      <c r="F39" s="28">
        <v>0.0</v>
      </c>
      <c r="G39" s="15">
        <f>IFERROR(F39/F148, "NA")</f>
        <v>0</v>
      </c>
      <c r="H39" s="28">
        <v>0.0</v>
      </c>
      <c r="I39" s="15">
        <f>IFERROR(H39/H148, "NA")</f>
        <v>0</v>
      </c>
      <c r="J39" s="28">
        <v>0.0</v>
      </c>
      <c r="K39" s="15">
        <f>IFERROR(J39/J148, "NA")</f>
        <v>0</v>
      </c>
      <c r="L39" s="28">
        <v>0.0</v>
      </c>
      <c r="M39" s="15">
        <f>IFERROR(L39/L148, "NA")</f>
        <v>0</v>
      </c>
      <c r="N39" s="28">
        <v>0.0</v>
      </c>
      <c r="O39" s="15">
        <f>IFERROR(N39/N148, "NA")</f>
        <v>0</v>
      </c>
      <c r="P39" s="28">
        <v>0.0</v>
      </c>
      <c r="Q39" s="15">
        <f>IFERROR(P39/P148, "NA")</f>
        <v>0</v>
      </c>
      <c r="R39" s="28">
        <v>0.0</v>
      </c>
      <c r="S39" s="15">
        <f>IFERROR(R39/R148, "NA")</f>
        <v>0</v>
      </c>
      <c r="T39" s="28">
        <v>0.0</v>
      </c>
      <c r="U39" s="15">
        <f>IFERROR(T39/T148, "NA")</f>
        <v>0</v>
      </c>
      <c r="V39" s="28">
        <v>0.0</v>
      </c>
      <c r="W39" s="15">
        <f>IFERROR(V39/V148, "NA")</f>
        <v>0</v>
      </c>
      <c r="X39" s="28">
        <v>0.0</v>
      </c>
      <c r="Y39" s="15">
        <f>IFERROR(X39/X148, "NA")</f>
        <v>0</v>
      </c>
      <c r="Z39" s="28">
        <v>0.0</v>
      </c>
      <c r="AA39" s="15">
        <f>IFERROR(Z39/Z148, "NA")</f>
        <v>0</v>
      </c>
      <c r="AB39" s="57">
        <f t="shared" ref="AB39:AB44" si="19">IFERROR((R39+T39+V39+X39)/4, "NA")</f>
        <v>0</v>
      </c>
      <c r="AC39" s="15">
        <f>IFERROR(AB39/AB148, "NA")</f>
        <v>0</v>
      </c>
      <c r="AD39" s="61">
        <f t="shared" ref="AD39:AD44" si="20">IFERROR(X39-AB39, "NA")</f>
        <v>0</v>
      </c>
      <c r="AE39" s="62">
        <f>IFERROR(AD39/AD148, "NA")</f>
        <v>0</v>
      </c>
      <c r="AF39" s="61" t="str">
        <f t="shared" ref="AF39:AF44" si="21">IFERROR((X39-AB39)/AB39, "NA")</f>
        <v>NA</v>
      </c>
      <c r="AG39" s="57">
        <f t="shared" ref="AG39:AG44" si="22">IFERROR((J39+L39+N39+P39+R39+T39+V39+X39)/8, "NA")</f>
        <v>0</v>
      </c>
      <c r="AH39" s="15">
        <f>IFERROR(AG39/AG148, "NA")</f>
        <v>0</v>
      </c>
      <c r="AI39" s="61">
        <f t="shared" ref="AI39:AI44" si="23">IFERROR(X39-AG39, "NA")</f>
        <v>0</v>
      </c>
      <c r="AJ39" s="62">
        <f>IFERROR(AI39/AI148, "NA")</f>
        <v>0</v>
      </c>
      <c r="AK39" s="61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6" t="s">
        <v>100</v>
      </c>
      <c r="B40" s="28">
        <v>523.45</v>
      </c>
      <c r="C40" s="15">
        <f>IFERROR(B40/B148, "NA")</f>
        <v>0.0154181577</v>
      </c>
      <c r="D40" s="28">
        <v>881.79</v>
      </c>
      <c r="E40" s="15">
        <f>IFERROR(D40/D148, "NA")</f>
        <v>0.01887876667</v>
      </c>
      <c r="F40" s="28">
        <v>1163.78</v>
      </c>
      <c r="G40" s="15">
        <f>IFERROR(F40/F148, "NA")</f>
        <v>0.02889886911</v>
      </c>
      <c r="H40" s="28">
        <v>1401.94</v>
      </c>
      <c r="I40" s="15">
        <f>IFERROR(H40/H148, "NA")</f>
        <v>0.02626275493</v>
      </c>
      <c r="J40" s="28">
        <v>991.35</v>
      </c>
      <c r="K40" s="15">
        <f>IFERROR(J40/J148, "NA")</f>
        <v>0.02133720467</v>
      </c>
      <c r="L40" s="28">
        <v>1241.97</v>
      </c>
      <c r="M40" s="15">
        <f>IFERROR(L40/L148, "NA")</f>
        <v>0.02832920702</v>
      </c>
      <c r="N40" s="28">
        <v>1158.13</v>
      </c>
      <c r="O40" s="15">
        <f>IFERROR(N40/N148, "NA")</f>
        <v>0.02189725404</v>
      </c>
      <c r="P40" s="28">
        <v>1559.42</v>
      </c>
      <c r="Q40" s="15">
        <f>IFERROR(P40/P148, "NA")</f>
        <v>0.0241475082</v>
      </c>
      <c r="R40" s="28">
        <v>1293.04</v>
      </c>
      <c r="S40" s="15">
        <f>IFERROR(R40/R148, "NA")</f>
        <v>0.02360467033</v>
      </c>
      <c r="T40" s="28">
        <v>1557.07</v>
      </c>
      <c r="U40" s="15">
        <f>IFERROR(T40/T148, "NA")</f>
        <v>0.03183445519</v>
      </c>
      <c r="V40" s="28">
        <v>1098.85</v>
      </c>
      <c r="W40" s="15">
        <f>IFERROR(V40/V148, "NA")</f>
        <v>0.02390338321</v>
      </c>
      <c r="X40" s="28">
        <v>1124.55</v>
      </c>
      <c r="Y40" s="15">
        <f>IFERROR(X40/X148, "NA")</f>
        <v>0.01933827686</v>
      </c>
      <c r="Z40" s="28">
        <v>3780.47</v>
      </c>
      <c r="AA40" s="15">
        <f>IFERROR(Z40/Z148, "NA")</f>
        <v>0.02470355176</v>
      </c>
      <c r="AB40" s="57">
        <f t="shared" si="19"/>
        <v>1268.3775</v>
      </c>
      <c r="AC40" s="15">
        <f>IFERROR(AB40/AB148, "NA")</f>
        <v>0.02441388858</v>
      </c>
      <c r="AD40" s="61">
        <f t="shared" si="20"/>
        <v>-143.8275</v>
      </c>
      <c r="AE40" s="62">
        <f>IFERROR(AD40/AD148, "NA")</f>
        <v>-0.02320398135</v>
      </c>
      <c r="AF40" s="61">
        <f t="shared" si="21"/>
        <v>-0.1133948686</v>
      </c>
      <c r="AG40" s="57">
        <f t="shared" si="22"/>
        <v>1253.0475</v>
      </c>
      <c r="AH40" s="15">
        <f>IFERROR(AG40/AG148, "NA")</f>
        <v>0.0241212831</v>
      </c>
      <c r="AI40" s="61">
        <f t="shared" si="23"/>
        <v>-128.4975</v>
      </c>
      <c r="AJ40" s="62">
        <f>IFERROR(AI40/AI148, "NA")</f>
        <v>-0.02071299631</v>
      </c>
      <c r="AK40" s="61">
        <f t="shared" si="24"/>
        <v>-0.102547988</v>
      </c>
      <c r="AL40" s="62">
        <f>IFERROR(AK40/AK148, "NA")</f>
        <v>-0.8587020938</v>
      </c>
    </row>
    <row r="41" ht="16.5" customHeight="1">
      <c r="A41" s="26" t="s">
        <v>101</v>
      </c>
      <c r="B41" s="28">
        <v>499.95</v>
      </c>
      <c r="C41" s="15">
        <f>IFERROR(B41/B148, "NA")</f>
        <v>0.01472596798</v>
      </c>
      <c r="D41" s="28">
        <v>1093.85</v>
      </c>
      <c r="E41" s="15">
        <f>IFERROR(D41/D148, "NA")</f>
        <v>0.02341888536</v>
      </c>
      <c r="F41" s="28">
        <v>854.4</v>
      </c>
      <c r="G41" s="15">
        <f>IFERROR(F41/F148, "NA")</f>
        <v>0.02121637574</v>
      </c>
      <c r="H41" s="28">
        <v>660.11</v>
      </c>
      <c r="I41" s="15">
        <f>IFERROR(H41/H148, "NA")</f>
        <v>0.01236594088</v>
      </c>
      <c r="J41" s="28">
        <v>794.61</v>
      </c>
      <c r="K41" s="15">
        <f>IFERROR(J41/J148, "NA")</f>
        <v>0.01710269451</v>
      </c>
      <c r="L41" s="28">
        <v>664.23</v>
      </c>
      <c r="M41" s="15">
        <f>IFERROR(L41/L148, "NA")</f>
        <v>0.01515101748</v>
      </c>
      <c r="N41" s="28">
        <v>1239.29</v>
      </c>
      <c r="O41" s="15">
        <f>IFERROR(N41/N148, "NA")</f>
        <v>0.0234317805</v>
      </c>
      <c r="P41" s="28">
        <v>770.05</v>
      </c>
      <c r="Q41" s="15">
        <f>IFERROR(P41/P148, "NA")</f>
        <v>0.01192416968</v>
      </c>
      <c r="R41" s="28">
        <v>790.07</v>
      </c>
      <c r="S41" s="15">
        <f>IFERROR(R41/R148, "NA")</f>
        <v>0.01442286541</v>
      </c>
      <c r="T41" s="28">
        <v>583.69</v>
      </c>
      <c r="U41" s="15">
        <f>IFERROR(T41/T148, "NA")</f>
        <v>0.01193360167</v>
      </c>
      <c r="V41" s="28">
        <v>649.67</v>
      </c>
      <c r="W41" s="15">
        <f>IFERROR(V41/V148, "NA")</f>
        <v>0.01413233014</v>
      </c>
      <c r="X41" s="28">
        <v>972.12</v>
      </c>
      <c r="Y41" s="15">
        <f>IFERROR(X41/X148, "NA")</f>
        <v>0.01671702076</v>
      </c>
      <c r="Z41" s="28">
        <v>2205.48</v>
      </c>
      <c r="AA41" s="15">
        <f>IFERROR(Z41/Z148, "NA")</f>
        <v>0.01441175021</v>
      </c>
      <c r="AB41" s="57">
        <f t="shared" si="19"/>
        <v>748.8875</v>
      </c>
      <c r="AC41" s="15">
        <f>IFERROR(AB41/AB148, "NA")</f>
        <v>0.01441468016</v>
      </c>
      <c r="AD41" s="61">
        <f t="shared" si="20"/>
        <v>223.2325</v>
      </c>
      <c r="AE41" s="62">
        <f>IFERROR(AD41/AD148, "NA")</f>
        <v>0.03601455054</v>
      </c>
      <c r="AF41" s="61">
        <f t="shared" si="21"/>
        <v>0.2980854935</v>
      </c>
      <c r="AG41" s="57">
        <f t="shared" si="22"/>
        <v>807.96625</v>
      </c>
      <c r="AH41" s="15">
        <f>IFERROR(AG41/AG148, "NA")</f>
        <v>0.01555342687</v>
      </c>
      <c r="AI41" s="61">
        <f t="shared" si="23"/>
        <v>164.15375</v>
      </c>
      <c r="AJ41" s="62">
        <f>IFERROR(AI41/AI148, "NA")</f>
        <v>0.02646056163</v>
      </c>
      <c r="AK41" s="61">
        <f t="shared" si="24"/>
        <v>0.203169068</v>
      </c>
      <c r="AL41" s="62">
        <f>IFERROR(AK41/AK148, "NA")</f>
        <v>1.701268913</v>
      </c>
    </row>
    <row r="42" ht="16.5" customHeight="1">
      <c r="A42" s="26" t="s">
        <v>102</v>
      </c>
      <c r="B42" s="28">
        <v>28.19</v>
      </c>
      <c r="C42" s="15">
        <f>IFERROR(B42/B148, "NA")</f>
        <v>0.0008303331082</v>
      </c>
      <c r="D42" s="28">
        <v>0.0</v>
      </c>
      <c r="E42" s="15">
        <f>IFERROR(D42/D148, "NA")</f>
        <v>0</v>
      </c>
      <c r="F42" s="28">
        <v>0.0</v>
      </c>
      <c r="G42" s="15">
        <f>IFERROR(F42/F148, "NA")</f>
        <v>0</v>
      </c>
      <c r="H42" s="28">
        <v>0.0</v>
      </c>
      <c r="I42" s="15">
        <f>IFERROR(H42/H148, "NA")</f>
        <v>0</v>
      </c>
      <c r="J42" s="28">
        <v>0.0</v>
      </c>
      <c r="K42" s="15">
        <f>IFERROR(J42/J148, "NA")</f>
        <v>0</v>
      </c>
      <c r="L42" s="28">
        <v>0.0</v>
      </c>
      <c r="M42" s="15">
        <f>IFERROR(L42/L148, "NA")</f>
        <v>0</v>
      </c>
      <c r="N42" s="28">
        <v>90.5</v>
      </c>
      <c r="O42" s="15">
        <f>IFERROR(N42/N148, "NA")</f>
        <v>0.0017111218</v>
      </c>
      <c r="P42" s="28">
        <v>0.0</v>
      </c>
      <c r="Q42" s="15">
        <f>IFERROR(P42/P148, "NA")</f>
        <v>0</v>
      </c>
      <c r="R42" s="28">
        <v>0.0</v>
      </c>
      <c r="S42" s="15">
        <f>IFERROR(R42/R148, "NA")</f>
        <v>0</v>
      </c>
      <c r="T42" s="28">
        <v>0.0</v>
      </c>
      <c r="U42" s="15">
        <f>IFERROR(T42/T148, "NA")</f>
        <v>0</v>
      </c>
      <c r="V42" s="28">
        <v>0.0</v>
      </c>
      <c r="W42" s="15">
        <f>IFERROR(V42/V148, "NA")</f>
        <v>0</v>
      </c>
      <c r="X42" s="28">
        <v>0.0</v>
      </c>
      <c r="Y42" s="15">
        <f>IFERROR(X42/X148, "NA")</f>
        <v>0</v>
      </c>
      <c r="Z42" s="28">
        <v>0.0</v>
      </c>
      <c r="AA42" s="15">
        <f>IFERROR(Z42/Z148, "NA")</f>
        <v>0</v>
      </c>
      <c r="AB42" s="57">
        <f t="shared" si="19"/>
        <v>0</v>
      </c>
      <c r="AC42" s="15">
        <f>IFERROR(AB42/AB148, "NA")</f>
        <v>0</v>
      </c>
      <c r="AD42" s="61">
        <f t="shared" si="20"/>
        <v>0</v>
      </c>
      <c r="AE42" s="62">
        <f>IFERROR(AD42/AD148, "NA")</f>
        <v>0</v>
      </c>
      <c r="AF42" s="61" t="str">
        <f t="shared" si="21"/>
        <v>NA</v>
      </c>
      <c r="AG42" s="57">
        <f t="shared" si="22"/>
        <v>11.3125</v>
      </c>
      <c r="AH42" s="15">
        <f>IFERROR(AG42/AG148, "NA")</f>
        <v>0.0002177666969</v>
      </c>
      <c r="AI42" s="61">
        <f t="shared" si="23"/>
        <v>-11.3125</v>
      </c>
      <c r="AJ42" s="62">
        <f>IFERROR(AI42/AI148, "NA")</f>
        <v>-0.00182350451</v>
      </c>
      <c r="AK42" s="61">
        <f t="shared" si="24"/>
        <v>-1</v>
      </c>
      <c r="AL42" s="62">
        <f>IFERROR(AK42/AK148, "NA")</f>
        <v>-8.373661059</v>
      </c>
    </row>
    <row r="43" ht="16.5" hidden="1" customHeight="1">
      <c r="A43" s="26" t="s">
        <v>103</v>
      </c>
      <c r="B43" s="28">
        <v>0.0</v>
      </c>
      <c r="C43" s="15">
        <f>IFERROR(B43/B148, "NA")</f>
        <v>0</v>
      </c>
      <c r="D43" s="28">
        <v>0.0</v>
      </c>
      <c r="E43" s="15">
        <f>IFERROR(D43/D148, "NA")</f>
        <v>0</v>
      </c>
      <c r="F43" s="28">
        <v>0.0</v>
      </c>
      <c r="G43" s="15">
        <f>IFERROR(F43/F148, "NA")</f>
        <v>0</v>
      </c>
      <c r="H43" s="28">
        <v>0.0</v>
      </c>
      <c r="I43" s="15">
        <f>IFERROR(H43/H148, "NA")</f>
        <v>0</v>
      </c>
      <c r="J43" s="28">
        <v>0.0</v>
      </c>
      <c r="K43" s="15">
        <f>IFERROR(J43/J148, "NA")</f>
        <v>0</v>
      </c>
      <c r="L43" s="28">
        <v>0.0</v>
      </c>
      <c r="M43" s="15">
        <f>IFERROR(L43/L148, "NA")</f>
        <v>0</v>
      </c>
      <c r="N43" s="28">
        <v>0.0</v>
      </c>
      <c r="O43" s="15">
        <f>IFERROR(N43/N148, "NA")</f>
        <v>0</v>
      </c>
      <c r="P43" s="28">
        <v>0.0</v>
      </c>
      <c r="Q43" s="15">
        <f>IFERROR(P43/P148, "NA")</f>
        <v>0</v>
      </c>
      <c r="R43" s="28">
        <v>0.0</v>
      </c>
      <c r="S43" s="15">
        <f>IFERROR(R43/R148, "NA")</f>
        <v>0</v>
      </c>
      <c r="T43" s="28">
        <v>0.0</v>
      </c>
      <c r="U43" s="15">
        <f>IFERROR(T43/T148, "NA")</f>
        <v>0</v>
      </c>
      <c r="V43" s="28">
        <v>0.0</v>
      </c>
      <c r="W43" s="15">
        <f>IFERROR(V43/V148, "NA")</f>
        <v>0</v>
      </c>
      <c r="X43" s="28">
        <v>0.0</v>
      </c>
      <c r="Y43" s="15">
        <f>IFERROR(X43/X148, "NA")</f>
        <v>0</v>
      </c>
      <c r="Z43" s="28">
        <v>0.0</v>
      </c>
      <c r="AA43" s="15">
        <f>IFERROR(Z43/Z148, "NA")</f>
        <v>0</v>
      </c>
      <c r="AB43" s="57">
        <f t="shared" si="19"/>
        <v>0</v>
      </c>
      <c r="AC43" s="15">
        <f>IFERROR(AB43/AB148, "NA")</f>
        <v>0</v>
      </c>
      <c r="AD43" s="61">
        <f t="shared" si="20"/>
        <v>0</v>
      </c>
      <c r="AE43" s="62">
        <f>IFERROR(AD43/AD148, "NA")</f>
        <v>0</v>
      </c>
      <c r="AF43" s="61" t="str">
        <f t="shared" si="21"/>
        <v>NA</v>
      </c>
      <c r="AG43" s="57">
        <f t="shared" si="22"/>
        <v>0</v>
      </c>
      <c r="AH43" s="15">
        <f>IFERROR(AG43/AG148, "NA")</f>
        <v>0</v>
      </c>
      <c r="AI43" s="61">
        <f t="shared" si="23"/>
        <v>0</v>
      </c>
      <c r="AJ43" s="62">
        <f>IFERROR(AI43/AI148, "NA")</f>
        <v>0</v>
      </c>
      <c r="AK43" s="61" t="str">
        <f t="shared" si="24"/>
        <v>NA</v>
      </c>
      <c r="AL43" s="62" t="str">
        <f>IFERROR(AK43/AK148, "NA")</f>
        <v>NA</v>
      </c>
    </row>
    <row r="44" ht="16.5" customHeight="1">
      <c r="A44" s="67" t="s">
        <v>104</v>
      </c>
      <c r="B44" s="70">
        <f>IFERROR(B39+B40+B41+B42+B43, "NA")</f>
        <v>1051.59</v>
      </c>
      <c r="C44" s="71">
        <f>IFERROR(B44/B148, "NA")</f>
        <v>0.03097445879</v>
      </c>
      <c r="D44" s="70">
        <f>IFERROR(D39+D40+D41+D42+D43, "NA")</f>
        <v>1975.64</v>
      </c>
      <c r="E44" s="71">
        <f>IFERROR(D44/D148, "NA")</f>
        <v>0.04229765203</v>
      </c>
      <c r="F44" s="70">
        <f>IFERROR(F39+F40+F41+F42+F43, "NA")</f>
        <v>2018.18</v>
      </c>
      <c r="G44" s="71">
        <f>IFERROR(F44/F148, "NA")</f>
        <v>0.05011524485</v>
      </c>
      <c r="H44" s="70">
        <f>IFERROR(H39+H40+H41+H42+H43, "NA")</f>
        <v>2062.05</v>
      </c>
      <c r="I44" s="71">
        <f>IFERROR(H44/H148, "NA")</f>
        <v>0.03862869582</v>
      </c>
      <c r="J44" s="70">
        <f>IFERROR(J39+J40+J41+J42+J43, "NA")</f>
        <v>1785.96</v>
      </c>
      <c r="K44" s="71">
        <f>IFERROR(J44/J148, "NA")</f>
        <v>0.03843989918</v>
      </c>
      <c r="L44" s="70">
        <f>IFERROR(L39+L40+L41+L42+L43, "NA")</f>
        <v>1906.2</v>
      </c>
      <c r="M44" s="71">
        <f>IFERROR(L44/L148, "NA")</f>
        <v>0.0434802245</v>
      </c>
      <c r="N44" s="70">
        <f>IFERROR(N39+N40+N41+N42+N43, "NA")</f>
        <v>2487.92</v>
      </c>
      <c r="O44" s="71">
        <f>IFERROR(N44/N148, "NA")</f>
        <v>0.04704015634</v>
      </c>
      <c r="P44" s="70">
        <f>IFERROR(P39+P40+P41+P42+P43, "NA")</f>
        <v>2329.47</v>
      </c>
      <c r="Q44" s="71">
        <f>IFERROR(P44/P148, "NA")</f>
        <v>0.03607167788</v>
      </c>
      <c r="R44" s="70">
        <f>IFERROR(R39+R40+R41+R42+R43, "NA")</f>
        <v>2083.11</v>
      </c>
      <c r="S44" s="71">
        <f>IFERROR(R44/R148, "NA")</f>
        <v>0.03802753574</v>
      </c>
      <c r="T44" s="70">
        <f>IFERROR(T39+T40+T41+T42+T43, "NA")</f>
        <v>2140.76</v>
      </c>
      <c r="U44" s="71">
        <f>IFERROR(T44/T148, "NA")</f>
        <v>0.04376805686</v>
      </c>
      <c r="V44" s="70">
        <f>IFERROR(V39+V40+V41+V42+V43, "NA")</f>
        <v>1748.52</v>
      </c>
      <c r="W44" s="71">
        <f>IFERROR(V44/V148, "NA")</f>
        <v>0.03803571335</v>
      </c>
      <c r="X44" s="70">
        <f>IFERROR(X39+X40+X41+X42+X43, "NA")</f>
        <v>2096.67</v>
      </c>
      <c r="Y44" s="71">
        <f>IFERROR(X44/X148, "NA")</f>
        <v>0.03605529762</v>
      </c>
      <c r="Z44" s="70">
        <f>IFERROR(Z39+Z40+Z41+Z42+Z43, "NA")</f>
        <v>5985.95</v>
      </c>
      <c r="AA44" s="71">
        <f>IFERROR(Z44/Z148, "NA")</f>
        <v>0.03911530197</v>
      </c>
      <c r="AB44" s="70">
        <f t="shared" si="19"/>
        <v>2017.265</v>
      </c>
      <c r="AC44" s="71">
        <f>IFERROR(AB44/AB148, "NA")</f>
        <v>0.03882856874</v>
      </c>
      <c r="AD44" s="75">
        <f t="shared" si="20"/>
        <v>79.405</v>
      </c>
      <c r="AE44" s="76">
        <f>IFERROR(AD44/AD148, "NA")</f>
        <v>0.01281056918</v>
      </c>
      <c r="AF44" s="75">
        <f t="shared" si="21"/>
        <v>0.03936270148</v>
      </c>
      <c r="AG44" s="70">
        <f t="shared" si="22"/>
        <v>2072.32625</v>
      </c>
      <c r="AH44" s="71">
        <f>IFERROR(AG44/AG148, "NA")</f>
        <v>0.03989247667</v>
      </c>
      <c r="AI44" s="75">
        <f t="shared" si="23"/>
        <v>24.34375</v>
      </c>
      <c r="AJ44" s="76">
        <f>IFERROR(AI44/AI148, "NA")</f>
        <v>0.00392406081</v>
      </c>
      <c r="AK44" s="75">
        <f t="shared" si="24"/>
        <v>0.01174706444</v>
      </c>
      <c r="AL44" s="76">
        <f>IFERROR(AK44/AK148, "NA")</f>
        <v>0.09836593606</v>
      </c>
    </row>
    <row r="45" ht="16.5" customHeight="1">
      <c r="A45" s="22" t="s">
        <v>105</v>
      </c>
      <c r="B45" s="23"/>
      <c r="C45" s="10"/>
      <c r="D45" s="23"/>
      <c r="E45" s="10"/>
      <c r="F45" s="23"/>
      <c r="G45" s="10"/>
      <c r="H45" s="23"/>
      <c r="I45" s="10"/>
      <c r="J45" s="23"/>
      <c r="K45" s="10"/>
      <c r="L45" s="23"/>
      <c r="M45" s="10"/>
      <c r="N45" s="23"/>
      <c r="O45" s="10"/>
      <c r="P45" s="23"/>
      <c r="Q45" s="10"/>
      <c r="R45" s="23"/>
      <c r="S45" s="10"/>
      <c r="T45" s="23"/>
      <c r="U45" s="10"/>
      <c r="V45" s="23"/>
      <c r="W45" s="10"/>
      <c r="X45" s="23"/>
      <c r="Y45" s="10"/>
      <c r="Z45" s="23"/>
      <c r="AA45" s="10"/>
      <c r="AB45" s="23"/>
      <c r="AC45" s="10"/>
      <c r="AD45" s="24"/>
      <c r="AE45" s="25"/>
      <c r="AF45" s="24"/>
      <c r="AG45" s="23"/>
      <c r="AH45" s="10"/>
      <c r="AI45" s="24"/>
      <c r="AJ45" s="25"/>
      <c r="AK45" s="24"/>
      <c r="AL45" s="25"/>
    </row>
    <row r="46" ht="16.5" hidden="1" customHeight="1">
      <c r="A46" s="26" t="s">
        <v>106</v>
      </c>
      <c r="B46" s="28">
        <v>0.0</v>
      </c>
      <c r="C46" s="15">
        <f>IFERROR(B46/B148, "NA")</f>
        <v>0</v>
      </c>
      <c r="D46" s="28">
        <v>0.0</v>
      </c>
      <c r="E46" s="15">
        <f>IFERROR(D46/D148, "NA")</f>
        <v>0</v>
      </c>
      <c r="F46" s="28">
        <v>0.0</v>
      </c>
      <c r="G46" s="15">
        <f>IFERROR(F46/F148, "NA")</f>
        <v>0</v>
      </c>
      <c r="H46" s="28">
        <v>0.0</v>
      </c>
      <c r="I46" s="15">
        <f>IFERROR(H46/H148, "NA")</f>
        <v>0</v>
      </c>
      <c r="J46" s="28">
        <v>0.0</v>
      </c>
      <c r="K46" s="15">
        <f>IFERROR(J46/J148, "NA")</f>
        <v>0</v>
      </c>
      <c r="L46" s="28">
        <v>0.0</v>
      </c>
      <c r="M46" s="15">
        <f>IFERROR(L46/L148, "NA")</f>
        <v>0</v>
      </c>
      <c r="N46" s="28">
        <v>0.0</v>
      </c>
      <c r="O46" s="15">
        <f>IFERROR(N46/N148, "NA")</f>
        <v>0</v>
      </c>
      <c r="P46" s="28">
        <v>0.0</v>
      </c>
      <c r="Q46" s="15">
        <f>IFERROR(P46/P148, "NA")</f>
        <v>0</v>
      </c>
      <c r="R46" s="28">
        <v>0.0</v>
      </c>
      <c r="S46" s="15">
        <f>IFERROR(R46/R148, "NA")</f>
        <v>0</v>
      </c>
      <c r="T46" s="28">
        <v>0.0</v>
      </c>
      <c r="U46" s="15">
        <f>IFERROR(T46/T148, "NA")</f>
        <v>0</v>
      </c>
      <c r="V46" s="28">
        <v>0.0</v>
      </c>
      <c r="W46" s="15">
        <f>IFERROR(V46/V148, "NA")</f>
        <v>0</v>
      </c>
      <c r="X46" s="28">
        <v>0.0</v>
      </c>
      <c r="Y46" s="15">
        <f>IFERROR(X46/X148, "NA")</f>
        <v>0</v>
      </c>
      <c r="Z46" s="28">
        <v>0.0</v>
      </c>
      <c r="AA46" s="15">
        <f>IFERROR(Z46/Z148, "NA")</f>
        <v>0</v>
      </c>
      <c r="AB46" s="57">
        <f t="shared" ref="AB46:AB57" si="25">IFERROR((R46+T46+V46+X46)/4, "NA")</f>
        <v>0</v>
      </c>
      <c r="AC46" s="15">
        <f>IFERROR(AB46/AB148, "NA")</f>
        <v>0</v>
      </c>
      <c r="AD46" s="61">
        <f t="shared" ref="AD46:AD57" si="26">IFERROR(X46-AB46, "NA")</f>
        <v>0</v>
      </c>
      <c r="AE46" s="62">
        <f>IFERROR(AD46/AD148, "NA")</f>
        <v>0</v>
      </c>
      <c r="AF46" s="61" t="str">
        <f t="shared" ref="AF46:AF57" si="27">IFERROR((X46-AB46)/AB46, "NA")</f>
        <v>NA</v>
      </c>
      <c r="AG46" s="57">
        <f t="shared" ref="AG46:AG57" si="28">IFERROR((J46+L46+N46+P46+R46+T46+V46+X46)/8, "NA")</f>
        <v>0</v>
      </c>
      <c r="AH46" s="15">
        <f>IFERROR(AG46/AG148, "NA")</f>
        <v>0</v>
      </c>
      <c r="AI46" s="61">
        <f t="shared" ref="AI46:AI57" si="29">IFERROR(X46-AG46, "NA")</f>
        <v>0</v>
      </c>
      <c r="AJ46" s="62">
        <f>IFERROR(AI46/AI148, "NA")</f>
        <v>0</v>
      </c>
      <c r="AK46" s="61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6" t="s">
        <v>108</v>
      </c>
      <c r="B47" s="28">
        <v>72.96</v>
      </c>
      <c r="C47" s="15">
        <f>IFERROR(B47/B148, "NA")</f>
        <v>0.002149028151</v>
      </c>
      <c r="D47" s="28">
        <v>57.5</v>
      </c>
      <c r="E47" s="15">
        <f>IFERROR(D47/D148, "NA")</f>
        <v>0.001231051706</v>
      </c>
      <c r="F47" s="28">
        <v>60.78</v>
      </c>
      <c r="G47" s="15">
        <f>IFERROR(F47/F148, "NA")</f>
        <v>0.001509282909</v>
      </c>
      <c r="H47" s="28">
        <v>53.74</v>
      </c>
      <c r="I47" s="15">
        <f>IFERROR(H47/H148, "NA")</f>
        <v>0.001006719582</v>
      </c>
      <c r="J47" s="28">
        <v>85.92</v>
      </c>
      <c r="K47" s="15">
        <f>IFERROR(J47/J148, "NA")</f>
        <v>0.001849288975</v>
      </c>
      <c r="L47" s="28">
        <v>57.44</v>
      </c>
      <c r="M47" s="15">
        <f>IFERROR(L47/L148, "NA")</f>
        <v>0.001310200449</v>
      </c>
      <c r="N47" s="28">
        <v>80.11</v>
      </c>
      <c r="O47" s="15">
        <f>IFERROR(N47/N148, "NA")</f>
        <v>0.001514673673</v>
      </c>
      <c r="P47" s="28">
        <v>63.46</v>
      </c>
      <c r="Q47" s="15">
        <f>IFERROR(P47/P148, "NA")</f>
        <v>0.0009826736031</v>
      </c>
      <c r="R47" s="28">
        <v>25.99</v>
      </c>
      <c r="S47" s="15">
        <f>IFERROR(R47/R148, "NA")</f>
        <v>0.0004744519751</v>
      </c>
      <c r="T47" s="28">
        <v>58.0</v>
      </c>
      <c r="U47" s="15">
        <f>IFERROR(T47/T148, "NA")</f>
        <v>0.001185815924</v>
      </c>
      <c r="V47" s="28">
        <v>99.45</v>
      </c>
      <c r="W47" s="15">
        <f>IFERROR(V47/V148, "NA")</f>
        <v>0.002163344825</v>
      </c>
      <c r="X47" s="28">
        <v>94.69</v>
      </c>
      <c r="Y47" s="15">
        <f>IFERROR(X47/X148, "NA")</f>
        <v>0.001628332609</v>
      </c>
      <c r="Z47" s="28">
        <v>252.14</v>
      </c>
      <c r="AA47" s="15">
        <f>IFERROR(Z47/Z148, "NA")</f>
        <v>0.001647613535</v>
      </c>
      <c r="AB47" s="57">
        <f t="shared" si="25"/>
        <v>69.5325</v>
      </c>
      <c r="AC47" s="15">
        <f>IFERROR(AB47/AB148, "NA")</f>
        <v>0.001338370247</v>
      </c>
      <c r="AD47" s="61">
        <f t="shared" si="26"/>
        <v>25.1575</v>
      </c>
      <c r="AE47" s="62">
        <f>IFERROR(AD47/AD148, "NA")</f>
        <v>0.004058710336</v>
      </c>
      <c r="AF47" s="61">
        <f t="shared" si="27"/>
        <v>0.3618092259</v>
      </c>
      <c r="AG47" s="57">
        <f t="shared" si="28"/>
        <v>70.6325</v>
      </c>
      <c r="AH47" s="15">
        <f>IFERROR(AG47/AG148, "NA")</f>
        <v>0.001359682318</v>
      </c>
      <c r="AI47" s="61">
        <f t="shared" si="29"/>
        <v>24.0575</v>
      </c>
      <c r="AJ47" s="62">
        <f>IFERROR(AI47/AI148, "NA")</f>
        <v>0.003877919093</v>
      </c>
      <c r="AK47" s="61">
        <f t="shared" si="30"/>
        <v>0.3406009981</v>
      </c>
      <c r="AL47" s="62">
        <f>IFERROR(AK47/AK148, "NA")</f>
        <v>2.852077315</v>
      </c>
    </row>
    <row r="48" ht="16.5" hidden="1" customHeight="1">
      <c r="A48" s="26" t="s">
        <v>109</v>
      </c>
      <c r="B48" s="28">
        <v>0.0</v>
      </c>
      <c r="C48" s="15">
        <f>IFERROR(B48/B148, "NA")</f>
        <v>0</v>
      </c>
      <c r="D48" s="28">
        <v>0.0</v>
      </c>
      <c r="E48" s="15">
        <f>IFERROR(D48/D148, "NA")</f>
        <v>0</v>
      </c>
      <c r="F48" s="28">
        <v>0.0</v>
      </c>
      <c r="G48" s="15">
        <f>IFERROR(F48/F148, "NA")</f>
        <v>0</v>
      </c>
      <c r="H48" s="28">
        <v>0.0</v>
      </c>
      <c r="I48" s="15">
        <f>IFERROR(H48/H148, "NA")</f>
        <v>0</v>
      </c>
      <c r="J48" s="28">
        <v>0.0</v>
      </c>
      <c r="K48" s="15">
        <f>IFERROR(J48/J148, "NA")</f>
        <v>0</v>
      </c>
      <c r="L48" s="28">
        <v>0.0</v>
      </c>
      <c r="M48" s="15">
        <f>IFERROR(L48/L148, "NA")</f>
        <v>0</v>
      </c>
      <c r="N48" s="28">
        <v>0.0</v>
      </c>
      <c r="O48" s="15">
        <f>IFERROR(N48/N148, "NA")</f>
        <v>0</v>
      </c>
      <c r="P48" s="28">
        <v>0.0</v>
      </c>
      <c r="Q48" s="15">
        <f>IFERROR(P48/P148, "NA")</f>
        <v>0</v>
      </c>
      <c r="R48" s="28">
        <v>0.0</v>
      </c>
      <c r="S48" s="15">
        <f>IFERROR(R48/R148, "NA")</f>
        <v>0</v>
      </c>
      <c r="T48" s="28">
        <v>0.0</v>
      </c>
      <c r="U48" s="15">
        <f>IFERROR(T48/T148, "NA")</f>
        <v>0</v>
      </c>
      <c r="V48" s="28">
        <v>0.0</v>
      </c>
      <c r="W48" s="15">
        <f>IFERROR(V48/V148, "NA")</f>
        <v>0</v>
      </c>
      <c r="X48" s="28">
        <v>0.0</v>
      </c>
      <c r="Y48" s="15">
        <f>IFERROR(X48/X148, "NA")</f>
        <v>0</v>
      </c>
      <c r="Z48" s="28">
        <v>0.0</v>
      </c>
      <c r="AA48" s="15">
        <f>IFERROR(Z48/Z148, "NA")</f>
        <v>0</v>
      </c>
      <c r="AB48" s="57">
        <f t="shared" si="25"/>
        <v>0</v>
      </c>
      <c r="AC48" s="15">
        <f>IFERROR(AB48/AB148, "NA")</f>
        <v>0</v>
      </c>
      <c r="AD48" s="61">
        <f t="shared" si="26"/>
        <v>0</v>
      </c>
      <c r="AE48" s="62">
        <f>IFERROR(AD48/AD148, "NA")</f>
        <v>0</v>
      </c>
      <c r="AF48" s="61" t="str">
        <f t="shared" si="27"/>
        <v>NA</v>
      </c>
      <c r="AG48" s="57">
        <f t="shared" si="28"/>
        <v>0</v>
      </c>
      <c r="AH48" s="15">
        <f>IFERROR(AG48/AG148, "NA")</f>
        <v>0</v>
      </c>
      <c r="AI48" s="61">
        <f t="shared" si="29"/>
        <v>0</v>
      </c>
      <c r="AJ48" s="62">
        <f>IFERROR(AI48/AI148, "NA")</f>
        <v>0</v>
      </c>
      <c r="AK48" s="61" t="str">
        <f t="shared" si="30"/>
        <v>NA</v>
      </c>
      <c r="AL48" s="62" t="str">
        <f>IFERROR(AK48/AK148, "NA")</f>
        <v>NA</v>
      </c>
    </row>
    <row r="49" ht="16.5" hidden="1" customHeight="1">
      <c r="A49" s="26" t="s">
        <v>110</v>
      </c>
      <c r="B49" s="28">
        <v>0.0</v>
      </c>
      <c r="C49" s="15">
        <f>IFERROR(B49/B148, "NA")</f>
        <v>0</v>
      </c>
      <c r="D49" s="28">
        <v>0.0</v>
      </c>
      <c r="E49" s="15">
        <f>IFERROR(D49/D148, "NA")</f>
        <v>0</v>
      </c>
      <c r="F49" s="28">
        <v>0.0</v>
      </c>
      <c r="G49" s="15">
        <f>IFERROR(F49/F148, "NA")</f>
        <v>0</v>
      </c>
      <c r="H49" s="28">
        <v>0.0</v>
      </c>
      <c r="I49" s="15">
        <f>IFERROR(H49/H148, "NA")</f>
        <v>0</v>
      </c>
      <c r="J49" s="28">
        <v>0.0</v>
      </c>
      <c r="K49" s="15">
        <f>IFERROR(J49/J148, "NA")</f>
        <v>0</v>
      </c>
      <c r="L49" s="28">
        <v>0.0</v>
      </c>
      <c r="M49" s="15">
        <f>IFERROR(L49/L148, "NA")</f>
        <v>0</v>
      </c>
      <c r="N49" s="28">
        <v>0.0</v>
      </c>
      <c r="O49" s="15">
        <f>IFERROR(N49/N148, "NA")</f>
        <v>0</v>
      </c>
      <c r="P49" s="28">
        <v>0.0</v>
      </c>
      <c r="Q49" s="15">
        <f>IFERROR(P49/P148, "NA")</f>
        <v>0</v>
      </c>
      <c r="R49" s="28">
        <v>0.0</v>
      </c>
      <c r="S49" s="15">
        <f>IFERROR(R49/R148, "NA")</f>
        <v>0</v>
      </c>
      <c r="T49" s="28">
        <v>0.0</v>
      </c>
      <c r="U49" s="15">
        <f>IFERROR(T49/T148, "NA")</f>
        <v>0</v>
      </c>
      <c r="V49" s="28">
        <v>0.0</v>
      </c>
      <c r="W49" s="15">
        <f>IFERROR(V49/V148, "NA")</f>
        <v>0</v>
      </c>
      <c r="X49" s="28">
        <v>0.0</v>
      </c>
      <c r="Y49" s="15">
        <f>IFERROR(X49/X148, "NA")</f>
        <v>0</v>
      </c>
      <c r="Z49" s="28">
        <v>0.0</v>
      </c>
      <c r="AA49" s="15">
        <f>IFERROR(Z49/Z148, "NA")</f>
        <v>0</v>
      </c>
      <c r="AB49" s="57">
        <f t="shared" si="25"/>
        <v>0</v>
      </c>
      <c r="AC49" s="15">
        <f>IFERROR(AB49/AB148, "NA")</f>
        <v>0</v>
      </c>
      <c r="AD49" s="61">
        <f t="shared" si="26"/>
        <v>0</v>
      </c>
      <c r="AE49" s="62">
        <f>IFERROR(AD49/AD148, "NA")</f>
        <v>0</v>
      </c>
      <c r="AF49" s="61" t="str">
        <f t="shared" si="27"/>
        <v>NA</v>
      </c>
      <c r="AG49" s="57">
        <f t="shared" si="28"/>
        <v>0</v>
      </c>
      <c r="AH49" s="15">
        <f>IFERROR(AG49/AG148, "NA")</f>
        <v>0</v>
      </c>
      <c r="AI49" s="61">
        <f t="shared" si="29"/>
        <v>0</v>
      </c>
      <c r="AJ49" s="62">
        <f>IFERROR(AI49/AI148, "NA")</f>
        <v>0</v>
      </c>
      <c r="AK49" s="61" t="str">
        <f t="shared" si="30"/>
        <v>NA</v>
      </c>
      <c r="AL49" s="62" t="str">
        <f>IFERROR(AK49/AK148, "NA")</f>
        <v>NA</v>
      </c>
    </row>
    <row r="50" ht="16.5" hidden="1" customHeight="1">
      <c r="A50" s="26" t="s">
        <v>111</v>
      </c>
      <c r="B50" s="28">
        <v>0.0</v>
      </c>
      <c r="C50" s="15">
        <f>IFERROR(B50/B148, "NA")</f>
        <v>0</v>
      </c>
      <c r="D50" s="28">
        <v>0.0</v>
      </c>
      <c r="E50" s="15">
        <f>IFERROR(D50/D148, "NA")</f>
        <v>0</v>
      </c>
      <c r="F50" s="28">
        <v>0.0</v>
      </c>
      <c r="G50" s="15">
        <f>IFERROR(F50/F148, "NA")</f>
        <v>0</v>
      </c>
      <c r="H50" s="28">
        <v>0.0</v>
      </c>
      <c r="I50" s="15">
        <f>IFERROR(H50/H148, "NA")</f>
        <v>0</v>
      </c>
      <c r="J50" s="28">
        <v>0.0</v>
      </c>
      <c r="K50" s="15">
        <f>IFERROR(J50/J148, "NA")</f>
        <v>0</v>
      </c>
      <c r="L50" s="28">
        <v>0.0</v>
      </c>
      <c r="M50" s="15">
        <f>IFERROR(L50/L148, "NA")</f>
        <v>0</v>
      </c>
      <c r="N50" s="28">
        <v>0.0</v>
      </c>
      <c r="O50" s="15">
        <f>IFERROR(N50/N148, "NA")</f>
        <v>0</v>
      </c>
      <c r="P50" s="28">
        <v>0.0</v>
      </c>
      <c r="Q50" s="15">
        <f>IFERROR(P50/P148, "NA")</f>
        <v>0</v>
      </c>
      <c r="R50" s="28">
        <v>0.0</v>
      </c>
      <c r="S50" s="15">
        <f>IFERROR(R50/R148, "NA")</f>
        <v>0</v>
      </c>
      <c r="T50" s="28">
        <v>0.0</v>
      </c>
      <c r="U50" s="15">
        <f>IFERROR(T50/T148, "NA")</f>
        <v>0</v>
      </c>
      <c r="V50" s="28">
        <v>0.0</v>
      </c>
      <c r="W50" s="15">
        <f>IFERROR(V50/V148, "NA")</f>
        <v>0</v>
      </c>
      <c r="X50" s="28">
        <v>0.0</v>
      </c>
      <c r="Y50" s="15">
        <f>IFERROR(X50/X148, "NA")</f>
        <v>0</v>
      </c>
      <c r="Z50" s="28">
        <v>0.0</v>
      </c>
      <c r="AA50" s="15">
        <f>IFERROR(Z50/Z148, "NA")</f>
        <v>0</v>
      </c>
      <c r="AB50" s="57">
        <f t="shared" si="25"/>
        <v>0</v>
      </c>
      <c r="AC50" s="15">
        <f>IFERROR(AB50/AB148, "NA")</f>
        <v>0</v>
      </c>
      <c r="AD50" s="61">
        <f t="shared" si="26"/>
        <v>0</v>
      </c>
      <c r="AE50" s="62">
        <f>IFERROR(AD50/AD148, "NA")</f>
        <v>0</v>
      </c>
      <c r="AF50" s="61" t="str">
        <f t="shared" si="27"/>
        <v>NA</v>
      </c>
      <c r="AG50" s="57">
        <f t="shared" si="28"/>
        <v>0</v>
      </c>
      <c r="AH50" s="15">
        <f>IFERROR(AG50/AG148, "NA")</f>
        <v>0</v>
      </c>
      <c r="AI50" s="61">
        <f t="shared" si="29"/>
        <v>0</v>
      </c>
      <c r="AJ50" s="62">
        <f>IFERROR(AI50/AI148, "NA")</f>
        <v>0</v>
      </c>
      <c r="AK50" s="61" t="str">
        <f t="shared" si="30"/>
        <v>NA</v>
      </c>
      <c r="AL50" s="62" t="str">
        <f>IFERROR(AK50/AK148, "NA")</f>
        <v>NA</v>
      </c>
    </row>
    <row r="51" ht="16.5" hidden="1" customHeight="1">
      <c r="A51" s="26" t="s">
        <v>112</v>
      </c>
      <c r="B51" s="28">
        <v>0.0</v>
      </c>
      <c r="C51" s="15">
        <f>IFERROR(B51/B148, "NA")</f>
        <v>0</v>
      </c>
      <c r="D51" s="28">
        <v>0.0</v>
      </c>
      <c r="E51" s="15">
        <f>IFERROR(D51/D148, "NA")</f>
        <v>0</v>
      </c>
      <c r="F51" s="28">
        <v>0.0</v>
      </c>
      <c r="G51" s="15">
        <f>IFERROR(F51/F148, "NA")</f>
        <v>0</v>
      </c>
      <c r="H51" s="28">
        <v>0.0</v>
      </c>
      <c r="I51" s="15">
        <f>IFERROR(H51/H148, "NA")</f>
        <v>0</v>
      </c>
      <c r="J51" s="28">
        <v>0.0</v>
      </c>
      <c r="K51" s="15">
        <f>IFERROR(J51/J148, "NA")</f>
        <v>0</v>
      </c>
      <c r="L51" s="28">
        <v>0.0</v>
      </c>
      <c r="M51" s="15">
        <f>IFERROR(L51/L148, "NA")</f>
        <v>0</v>
      </c>
      <c r="N51" s="28">
        <v>0.0</v>
      </c>
      <c r="O51" s="15">
        <f>IFERROR(N51/N148, "NA")</f>
        <v>0</v>
      </c>
      <c r="P51" s="28">
        <v>0.0</v>
      </c>
      <c r="Q51" s="15">
        <f>IFERROR(P51/P148, "NA")</f>
        <v>0</v>
      </c>
      <c r="R51" s="28">
        <v>0.0</v>
      </c>
      <c r="S51" s="15">
        <f>IFERROR(R51/R148, "NA")</f>
        <v>0</v>
      </c>
      <c r="T51" s="28">
        <v>0.0</v>
      </c>
      <c r="U51" s="15">
        <f>IFERROR(T51/T148, "NA")</f>
        <v>0</v>
      </c>
      <c r="V51" s="28">
        <v>0.0</v>
      </c>
      <c r="W51" s="15">
        <f>IFERROR(V51/V148, "NA")</f>
        <v>0</v>
      </c>
      <c r="X51" s="28">
        <v>0.0</v>
      </c>
      <c r="Y51" s="15">
        <f>IFERROR(X51/X148, "NA")</f>
        <v>0</v>
      </c>
      <c r="Z51" s="28">
        <v>0.0</v>
      </c>
      <c r="AA51" s="15">
        <f>IFERROR(Z51/Z148, "NA")</f>
        <v>0</v>
      </c>
      <c r="AB51" s="57">
        <f t="shared" si="25"/>
        <v>0</v>
      </c>
      <c r="AC51" s="15">
        <f>IFERROR(AB51/AB148, "NA")</f>
        <v>0</v>
      </c>
      <c r="AD51" s="61">
        <f t="shared" si="26"/>
        <v>0</v>
      </c>
      <c r="AE51" s="62">
        <f>IFERROR(AD51/AD148, "NA")</f>
        <v>0</v>
      </c>
      <c r="AF51" s="61" t="str">
        <f t="shared" si="27"/>
        <v>NA</v>
      </c>
      <c r="AG51" s="57">
        <f t="shared" si="28"/>
        <v>0</v>
      </c>
      <c r="AH51" s="15">
        <f>IFERROR(AG51/AG148, "NA")</f>
        <v>0</v>
      </c>
      <c r="AI51" s="61">
        <f t="shared" si="29"/>
        <v>0</v>
      </c>
      <c r="AJ51" s="62">
        <f>IFERROR(AI51/AI148, "NA")</f>
        <v>0</v>
      </c>
      <c r="AK51" s="61" t="str">
        <f t="shared" si="30"/>
        <v>NA</v>
      </c>
      <c r="AL51" s="62" t="str">
        <f>IFERROR(AK51/AK148, "NA")</f>
        <v>NA</v>
      </c>
    </row>
    <row r="52" ht="16.5" customHeight="1">
      <c r="A52" s="67" t="s">
        <v>113</v>
      </c>
      <c r="B52" s="70">
        <f>IFERROR(B46+B47+B48+B49+B50+B51, "NA")</f>
        <v>72.96</v>
      </c>
      <c r="C52" s="71">
        <f>IFERROR(B52/B148, "NA")</f>
        <v>0.002149028151</v>
      </c>
      <c r="D52" s="70">
        <f>IFERROR(D46+D47+D48+D49+D50+D51, "NA")</f>
        <v>57.5</v>
      </c>
      <c r="E52" s="71">
        <f>IFERROR(D52/D148, "NA")</f>
        <v>0.001231051706</v>
      </c>
      <c r="F52" s="70">
        <f>IFERROR(F46+F47+F48+F49+F50+F51, "NA")</f>
        <v>60.78</v>
      </c>
      <c r="G52" s="71">
        <f>IFERROR(F52/F148, "NA")</f>
        <v>0.001509282909</v>
      </c>
      <c r="H52" s="70">
        <f>IFERROR(H46+H47+H48+H49+H50+H51, "NA")</f>
        <v>53.74</v>
      </c>
      <c r="I52" s="71">
        <f>IFERROR(H52/H148, "NA")</f>
        <v>0.001006719582</v>
      </c>
      <c r="J52" s="70">
        <f>IFERROR(J46+J47+J48+J49+J50+J51, "NA")</f>
        <v>85.92</v>
      </c>
      <c r="K52" s="71">
        <f>IFERROR(J52/J148, "NA")</f>
        <v>0.001849288975</v>
      </c>
      <c r="L52" s="70">
        <f>IFERROR(L46+L47+L48+L49+L50+L51, "NA")</f>
        <v>57.44</v>
      </c>
      <c r="M52" s="71">
        <f>IFERROR(L52/L148, "NA")</f>
        <v>0.001310200449</v>
      </c>
      <c r="N52" s="70">
        <f>IFERROR(N46+N47+N48+N49+N50+N51, "NA")</f>
        <v>80.11</v>
      </c>
      <c r="O52" s="71">
        <f>IFERROR(N52/N148, "NA")</f>
        <v>0.001514673673</v>
      </c>
      <c r="P52" s="70">
        <f>IFERROR(P46+P47+P48+P49+P50+P51, "NA")</f>
        <v>63.46</v>
      </c>
      <c r="Q52" s="71">
        <f>IFERROR(P52/P148, "NA")</f>
        <v>0.0009826736031</v>
      </c>
      <c r="R52" s="70">
        <f>IFERROR(R46+R47+R48+R49+R50+R51, "NA")</f>
        <v>25.99</v>
      </c>
      <c r="S52" s="71">
        <f>IFERROR(R52/R148, "NA")</f>
        <v>0.0004744519751</v>
      </c>
      <c r="T52" s="70">
        <f>IFERROR(T46+T47+T48+T49+T50+T51, "NA")</f>
        <v>58</v>
      </c>
      <c r="U52" s="71">
        <f>IFERROR(T52/T148, "NA")</f>
        <v>0.001185815924</v>
      </c>
      <c r="V52" s="70">
        <f>IFERROR(V46+V47+V48+V49+V50+V51, "NA")</f>
        <v>99.45</v>
      </c>
      <c r="W52" s="71">
        <f>IFERROR(V52/V148, "NA")</f>
        <v>0.002163344825</v>
      </c>
      <c r="X52" s="70">
        <f>IFERROR(X46+X47+X48+X49+X50+X51, "NA")</f>
        <v>94.69</v>
      </c>
      <c r="Y52" s="71">
        <f>IFERROR(X52/X148, "NA")</f>
        <v>0.001628332609</v>
      </c>
      <c r="Z52" s="70">
        <f>IFERROR(Z46+Z47+Z48+Z49+Z50+Z51, "NA")</f>
        <v>252.14</v>
      </c>
      <c r="AA52" s="71">
        <f>IFERROR(Z52/Z148, "NA")</f>
        <v>0.001647613535</v>
      </c>
      <c r="AB52" s="70">
        <f t="shared" si="25"/>
        <v>69.5325</v>
      </c>
      <c r="AC52" s="71">
        <f>IFERROR(AB52/AB148, "NA")</f>
        <v>0.001338370247</v>
      </c>
      <c r="AD52" s="75">
        <f t="shared" si="26"/>
        <v>25.1575</v>
      </c>
      <c r="AE52" s="76">
        <f>IFERROR(AD52/AD148, "NA")</f>
        <v>0.004058710336</v>
      </c>
      <c r="AF52" s="75">
        <f t="shared" si="27"/>
        <v>0.3618092259</v>
      </c>
      <c r="AG52" s="70">
        <f t="shared" si="28"/>
        <v>70.6325</v>
      </c>
      <c r="AH52" s="71">
        <f>IFERROR(AG52/AG148, "NA")</f>
        <v>0.001359682318</v>
      </c>
      <c r="AI52" s="75">
        <f t="shared" si="29"/>
        <v>24.0575</v>
      </c>
      <c r="AJ52" s="76">
        <f>IFERROR(AI52/AI148, "NA")</f>
        <v>0.003877919093</v>
      </c>
      <c r="AK52" s="75">
        <f t="shared" si="30"/>
        <v>0.3406009981</v>
      </c>
      <c r="AL52" s="76">
        <f>IFERROR(AK52/AK148, "NA")</f>
        <v>2.852077315</v>
      </c>
    </row>
    <row r="53" ht="16.5" customHeight="1">
      <c r="A53" s="26" t="s">
        <v>114</v>
      </c>
      <c r="B53" s="28">
        <v>30.57</v>
      </c>
      <c r="C53" s="15">
        <f>IFERROR(B53/B148, "NA")</f>
        <v>0.0009004357261</v>
      </c>
      <c r="D53" s="28">
        <v>55.51</v>
      </c>
      <c r="E53" s="15">
        <f>IFERROR(D53/D148, "NA")</f>
        <v>0.001188446612</v>
      </c>
      <c r="F53" s="28">
        <v>69.23</v>
      </c>
      <c r="G53" s="15">
        <f>IFERROR(F53/F148, "NA")</f>
        <v>0.001719112468</v>
      </c>
      <c r="H53" s="28">
        <v>43.17</v>
      </c>
      <c r="I53" s="15">
        <f>IFERROR(H53/H148, "NA")</f>
        <v>0.0008087101663</v>
      </c>
      <c r="J53" s="28">
        <v>32.69</v>
      </c>
      <c r="K53" s="15">
        <f>IFERROR(J53/J148, "NA")</f>
        <v>0.0007035993552</v>
      </c>
      <c r="L53" s="28">
        <v>50.67</v>
      </c>
      <c r="M53" s="15">
        <f>IFERROR(L53/L148, "NA")</f>
        <v>0.00115577745</v>
      </c>
      <c r="N53" s="28">
        <v>61.6</v>
      </c>
      <c r="O53" s="15">
        <f>IFERROR(N53/N148, "NA")</f>
        <v>0.001164697269</v>
      </c>
      <c r="P53" s="28">
        <v>62.44</v>
      </c>
      <c r="Q53" s="15">
        <f>IFERROR(P53/P148, "NA")</f>
        <v>0.0009668789754</v>
      </c>
      <c r="R53" s="28">
        <v>33.7</v>
      </c>
      <c r="S53" s="15">
        <f>IFERROR(R53/R148, "NA")</f>
        <v>0.0006151993675</v>
      </c>
      <c r="T53" s="28">
        <v>51.61</v>
      </c>
      <c r="U53" s="15">
        <f>IFERROR(T53/T148, "NA")</f>
        <v>0.001055171721</v>
      </c>
      <c r="V53" s="28">
        <v>55.42</v>
      </c>
      <c r="W53" s="15">
        <f>IFERROR(V53/V148, "NA")</f>
        <v>0.001205556261</v>
      </c>
      <c r="X53" s="28">
        <v>37.77</v>
      </c>
      <c r="Y53" s="15">
        <f>IFERROR(X53/X148, "NA")</f>
        <v>0.0006495102191</v>
      </c>
      <c r="Z53" s="28">
        <v>144.8</v>
      </c>
      <c r="AA53" s="15">
        <f>IFERROR(Z53/Z148, "NA")</f>
        <v>0.000946198302</v>
      </c>
      <c r="AB53" s="57">
        <f t="shared" si="25"/>
        <v>44.625</v>
      </c>
      <c r="AC53" s="15">
        <f>IFERROR(AB53/AB148, "NA")</f>
        <v>0.0008589475751</v>
      </c>
      <c r="AD53" s="61">
        <f t="shared" si="26"/>
        <v>-6.855</v>
      </c>
      <c r="AE53" s="62">
        <f>IFERROR(AD53/AD148, "NA")</f>
        <v>-0.001105931009</v>
      </c>
      <c r="AF53" s="61">
        <f t="shared" si="27"/>
        <v>-0.1536134454</v>
      </c>
      <c r="AG53" s="57">
        <f t="shared" si="28"/>
        <v>48.2375</v>
      </c>
      <c r="AH53" s="15">
        <f>IFERROR(AG53/AG148, "NA")</f>
        <v>0.0009285764456</v>
      </c>
      <c r="AI53" s="61">
        <f t="shared" si="29"/>
        <v>-10.4675</v>
      </c>
      <c r="AJ53" s="62">
        <f>IFERROR(AI53/AI148, "NA")</f>
        <v>-0.001687295775</v>
      </c>
      <c r="AK53" s="61">
        <f t="shared" si="30"/>
        <v>-0.2169992226</v>
      </c>
      <c r="AL53" s="62">
        <f>IFERROR(AK53/AK148, "NA")</f>
        <v>-1.81707794</v>
      </c>
    </row>
    <row r="54" ht="16.5" customHeight="1">
      <c r="A54" s="26" t="s">
        <v>115</v>
      </c>
      <c r="B54" s="28">
        <v>9.31</v>
      </c>
      <c r="C54" s="15">
        <f>IFERROR(B54/B148, "NA")</f>
        <v>0.0002742249463</v>
      </c>
      <c r="D54" s="28">
        <v>12.0</v>
      </c>
      <c r="E54" s="15">
        <f>IFERROR(D54/D148, "NA")</f>
        <v>0.0002569151386</v>
      </c>
      <c r="F54" s="28">
        <v>12.31</v>
      </c>
      <c r="G54" s="15">
        <f>IFERROR(F54/F148, "NA")</f>
        <v>0.0003056806945</v>
      </c>
      <c r="H54" s="28">
        <v>18.31</v>
      </c>
      <c r="I54" s="15">
        <f>IFERROR(H54/H148, "NA")</f>
        <v>0.0003430040108</v>
      </c>
      <c r="J54" s="28">
        <v>15.31</v>
      </c>
      <c r="K54" s="15">
        <f>IFERROR(J54/J148, "NA")</f>
        <v>0.0003295229773</v>
      </c>
      <c r="L54" s="28">
        <v>15.0</v>
      </c>
      <c r="M54" s="15">
        <f>IFERROR(L54/L148, "NA")</f>
        <v>0.0003421484459</v>
      </c>
      <c r="N54" s="28">
        <v>18.31</v>
      </c>
      <c r="O54" s="15">
        <f>IFERROR(N54/N148, "NA")</f>
        <v>0.0003461949189</v>
      </c>
      <c r="P54" s="28">
        <v>43.0</v>
      </c>
      <c r="Q54" s="15">
        <f>IFERROR(P54/P148, "NA")</f>
        <v>0.0006658519529</v>
      </c>
      <c r="R54" s="28">
        <v>143.27</v>
      </c>
      <c r="S54" s="15">
        <f>IFERROR(R54/R148, "NA")</f>
        <v>0.002615418795</v>
      </c>
      <c r="T54" s="28">
        <v>33.31</v>
      </c>
      <c r="U54" s="15">
        <f>IFERROR(T54/T148, "NA")</f>
        <v>0.0006810263523</v>
      </c>
      <c r="V54" s="28">
        <v>40.31</v>
      </c>
      <c r="W54" s="15">
        <f>IFERROR(V54/V148, "NA")</f>
        <v>0.0008768670677</v>
      </c>
      <c r="X54" s="28">
        <v>49.56</v>
      </c>
      <c r="Y54" s="15">
        <f>IFERROR(X54/X148, "NA")</f>
        <v>0.000852256459</v>
      </c>
      <c r="Z54" s="28">
        <v>123.18</v>
      </c>
      <c r="AA54" s="15">
        <f>IFERROR(Z54/Z148, "NA")</f>
        <v>0.0008049220086</v>
      </c>
      <c r="AB54" s="57">
        <f t="shared" si="25"/>
        <v>66.6125</v>
      </c>
      <c r="AC54" s="15">
        <f>IFERROR(AB54/AB148, "NA")</f>
        <v>0.001282165722</v>
      </c>
      <c r="AD54" s="61">
        <f t="shared" si="26"/>
        <v>-17.0525</v>
      </c>
      <c r="AE54" s="62">
        <f>IFERROR(AD54/AD148, "NA")</f>
        <v>-0.0027511143</v>
      </c>
      <c r="AF54" s="61">
        <f t="shared" si="27"/>
        <v>-0.2559954963</v>
      </c>
      <c r="AG54" s="57">
        <f t="shared" si="28"/>
        <v>44.75875</v>
      </c>
      <c r="AH54" s="15">
        <f>IFERROR(AG54/AG148, "NA")</f>
        <v>0.0008616101785</v>
      </c>
      <c r="AI54" s="61">
        <f t="shared" si="29"/>
        <v>4.80125</v>
      </c>
      <c r="AJ54" s="62">
        <f>IFERROR(AI54/AI148, "NA")</f>
        <v>0.0007739315825</v>
      </c>
      <c r="AK54" s="61">
        <f t="shared" si="30"/>
        <v>0.1072695283</v>
      </c>
      <c r="AL54" s="62">
        <f>IFERROR(AK54/AK148, "NA")</f>
        <v>0.898238672</v>
      </c>
    </row>
    <row r="55" ht="16.5" customHeight="1">
      <c r="A55" s="26" t="s">
        <v>116</v>
      </c>
      <c r="B55" s="28">
        <v>-246.37</v>
      </c>
      <c r="C55" s="15">
        <f>IFERROR(B55/B148, "NA")</f>
        <v>-0.007256799144</v>
      </c>
      <c r="D55" s="28">
        <v>-280.22</v>
      </c>
      <c r="E55" s="15">
        <f>IFERROR(D55/D148, "NA")</f>
        <v>-0.005999396678</v>
      </c>
      <c r="F55" s="28">
        <v>-287.58</v>
      </c>
      <c r="G55" s="15">
        <f>IFERROR(F55/F148, "NA")</f>
        <v>-0.007141157931</v>
      </c>
      <c r="H55" s="28">
        <v>-496.16</v>
      </c>
      <c r="I55" s="15">
        <f>IFERROR(H55/H148, "NA")</f>
        <v>-0.009294640633</v>
      </c>
      <c r="J55" s="28">
        <v>-396.53</v>
      </c>
      <c r="K55" s="15">
        <f>IFERROR(J55/J148, "NA")</f>
        <v>-0.008534666635</v>
      </c>
      <c r="L55" s="28">
        <v>-302.73</v>
      </c>
      <c r="M55" s="15">
        <f>IFERROR(L55/L148, "NA")</f>
        <v>-0.006905239935</v>
      </c>
      <c r="N55" s="28">
        <v>-502.81</v>
      </c>
      <c r="O55" s="15">
        <f>IFERROR(N55/N148, "NA")</f>
        <v>-0.009506841462</v>
      </c>
      <c r="P55" s="28">
        <v>-368.47</v>
      </c>
      <c r="Q55" s="15">
        <f>IFERROR(P55/P148, "NA")</f>
        <v>-0.005705731839</v>
      </c>
      <c r="R55" s="28">
        <v>-390.48</v>
      </c>
      <c r="S55" s="15">
        <f>IFERROR(R55/R148, "NA")</f>
        <v>-0.007128280386</v>
      </c>
      <c r="T55" s="28">
        <v>-283.6</v>
      </c>
      <c r="U55" s="15">
        <f>IFERROR(T55/T148, "NA")</f>
        <v>-0.005798230967</v>
      </c>
      <c r="V55" s="28">
        <v>-420.71</v>
      </c>
      <c r="W55" s="15">
        <f>IFERROR(V55/V148, "NA")</f>
        <v>-0.009151742597</v>
      </c>
      <c r="X55" s="28">
        <v>-413.28</v>
      </c>
      <c r="Y55" s="15">
        <f>IFERROR(X55/X148, "NA")</f>
        <v>-0.007106952167</v>
      </c>
      <c r="Z55" s="28">
        <v>-1117.59</v>
      </c>
      <c r="AA55" s="15">
        <f>IFERROR(Z55/Z148, "NA")</f>
        <v>-0.007302912709</v>
      </c>
      <c r="AB55" s="57">
        <f t="shared" si="25"/>
        <v>-377.0175</v>
      </c>
      <c r="AC55" s="15">
        <f>IFERROR(AB55/AB148, "NA")</f>
        <v>-0.007256879942</v>
      </c>
      <c r="AD55" s="61">
        <f t="shared" si="26"/>
        <v>-36.2625</v>
      </c>
      <c r="AE55" s="62">
        <f>IFERROR(AD55/AD148, "NA")</f>
        <v>-0.005850302437</v>
      </c>
      <c r="AF55" s="61">
        <f t="shared" si="27"/>
        <v>0.09618253795</v>
      </c>
      <c r="AG55" s="57">
        <f t="shared" si="28"/>
        <v>-384.82625</v>
      </c>
      <c r="AH55" s="15">
        <f>IFERROR(AG55/AG148, "NA")</f>
        <v>-0.007407941776</v>
      </c>
      <c r="AI55" s="61">
        <f t="shared" si="29"/>
        <v>-28.45375</v>
      </c>
      <c r="AJ55" s="62">
        <f>IFERROR(AI55/AI148, "NA")</f>
        <v>-0.004586567199</v>
      </c>
      <c r="AK55" s="61">
        <f t="shared" si="30"/>
        <v>0.07393921283</v>
      </c>
      <c r="AL55" s="62">
        <f>IFERROR(AK55/AK148, "NA")</f>
        <v>0.6191419072</v>
      </c>
    </row>
    <row r="56" ht="16.5" customHeight="1">
      <c r="A56" s="67" t="s">
        <v>117</v>
      </c>
      <c r="B56" s="70">
        <f>IFERROR(B37+B39+B40+B41+B42+B43+B46+B47+B48+B49+B50+B51+B53+B54+B55, "NA")</f>
        <v>918.06</v>
      </c>
      <c r="C56" s="71">
        <f>IFERROR(B56/B148, "NA")</f>
        <v>0.02704134847</v>
      </c>
      <c r="D56" s="70">
        <f>IFERROR(D37+D39+D40+D41+D42+D43+D46+D47+D48+D49+D50+D51+D53+D54+D55, "NA")</f>
        <v>1820.43</v>
      </c>
      <c r="E56" s="71">
        <f>IFERROR(D56/D148, "NA")</f>
        <v>0.03897466881</v>
      </c>
      <c r="F56" s="70">
        <f>IFERROR(F37+F39+F40+F41+F42+F43+F46+F47+F48+F49+F50+F51+F53+F54+F55, "NA")</f>
        <v>1872.92</v>
      </c>
      <c r="G56" s="71">
        <f>IFERROR(F56/F148, "NA")</f>
        <v>0.04650816299</v>
      </c>
      <c r="H56" s="70">
        <f>IFERROR(H37+H39+H40+H41+H42+H43+H46+H47+H48+H49+H50+H51+H53+H54+H55, "NA")</f>
        <v>1681.11</v>
      </c>
      <c r="I56" s="71">
        <f>IFERROR(H56/H148, "NA")</f>
        <v>0.03149248894</v>
      </c>
      <c r="J56" s="70">
        <f>IFERROR(J37+J39+J40+J41+J42+J43+J46+J47+J48+J49+J50+J51+J53+J54+J55, "NA")</f>
        <v>1523.35</v>
      </c>
      <c r="K56" s="71">
        <f>IFERROR(J56/J148, "NA")</f>
        <v>0.03278764386</v>
      </c>
      <c r="L56" s="70">
        <f>IFERROR(L37+L39+L40+L41+L42+L43+L46+L47+L48+L49+L50+L51+L53+L54+L55, "NA")</f>
        <v>1726.58</v>
      </c>
      <c r="M56" s="71">
        <f>IFERROR(L56/L148, "NA")</f>
        <v>0.03938311091</v>
      </c>
      <c r="N56" s="70">
        <f>IFERROR(N37+N39+N40+N41+N42+N43+N46+N47+N48+N49+N50+N51+N53+N54+N55, "NA")</f>
        <v>2145.13</v>
      </c>
      <c r="O56" s="71">
        <f>IFERROR(N56/N148, "NA")</f>
        <v>0.04055888074</v>
      </c>
      <c r="P56" s="70">
        <f>IFERROR(P37+P39+P40+P41+P42+P43+P46+P47+P48+P49+P50+P51+P53+P54+P55, "NA")</f>
        <v>2129.9</v>
      </c>
      <c r="Q56" s="71">
        <f>IFERROR(P56/P148, "NA")</f>
        <v>0.03298135057</v>
      </c>
      <c r="R56" s="70">
        <f>IFERROR(R37+R39+R40+R41+R42+R43+R46+R47+R48+R49+R50+R51+R53+R54+R55, "NA")</f>
        <v>1895.59</v>
      </c>
      <c r="S56" s="71">
        <f>IFERROR(R56/R148, "NA")</f>
        <v>0.03460432549</v>
      </c>
      <c r="T56" s="70">
        <f>IFERROR(T37+T39+T40+T41+T42+T43+T46+T47+T48+T49+T50+T51+T53+T54+T55, "NA")</f>
        <v>2000.08</v>
      </c>
      <c r="U56" s="71">
        <f>IFERROR(T56/T148, "NA")</f>
        <v>0.04089183989</v>
      </c>
      <c r="V56" s="70">
        <f>IFERROR(V37+V39+V40+V41+V42+V43+V46+V47+V48+V49+V50+V51+V53+V54+V55, "NA")</f>
        <v>1522.99</v>
      </c>
      <c r="W56" s="71">
        <f>IFERROR(V56/V148, "NA")</f>
        <v>0.03312973891</v>
      </c>
      <c r="X56" s="70">
        <f>IFERROR(X37+X39+X40+X41+X42+X43+X46+X47+X48+X49+X50+X51+X53+X54+X55, "NA")</f>
        <v>1865.41</v>
      </c>
      <c r="Y56" s="71">
        <f>IFERROR(X56/X148, "NA")</f>
        <v>0.03207844474</v>
      </c>
      <c r="Z56" s="70">
        <f>IFERROR(Z37+Z39+Z40+Z41+Z42+Z43+Z46+Z47+Z48+Z49+Z50+Z51+Z53+Z54+Z55, "NA")</f>
        <v>5388.48</v>
      </c>
      <c r="AA56" s="71">
        <f>IFERROR(Z56/Z148, "NA")</f>
        <v>0.03521112311</v>
      </c>
      <c r="AB56" s="70">
        <f t="shared" si="25"/>
        <v>1821.0175</v>
      </c>
      <c r="AC56" s="71">
        <f>IFERROR(AB56/AB148, "NA")</f>
        <v>0.03505117234</v>
      </c>
      <c r="AD56" s="75">
        <f t="shared" si="26"/>
        <v>44.3925</v>
      </c>
      <c r="AE56" s="76">
        <f>IFERROR(AD56/AD148, "NA")</f>
        <v>0.007161931773</v>
      </c>
      <c r="AF56" s="75">
        <f t="shared" si="27"/>
        <v>0.02437785469</v>
      </c>
      <c r="AG56" s="70">
        <f t="shared" si="28"/>
        <v>1851.12875</v>
      </c>
      <c r="AH56" s="71">
        <f>IFERROR(AG56/AG148, "NA")</f>
        <v>0.03563440384</v>
      </c>
      <c r="AI56" s="75">
        <f t="shared" si="29"/>
        <v>14.28125</v>
      </c>
      <c r="AJ56" s="76">
        <f>IFERROR(AI56/AI148, "NA")</f>
        <v>0.002302048511</v>
      </c>
      <c r="AK56" s="75">
        <f t="shared" si="30"/>
        <v>0.007714887471</v>
      </c>
      <c r="AL56" s="76">
        <f>IFERROR(AK56/AK148, "NA")</f>
        <v>0.06460185279</v>
      </c>
    </row>
    <row r="57" ht="16.5" customHeight="1">
      <c r="A57" s="67" t="s">
        <v>54</v>
      </c>
      <c r="B57" s="118">
        <f>IFERROR(B13+B15+B16+B17+B18+B19+B20+B21+B22+B23+B24+B25+B26+B29+B30+B31+B32+B33+B37+B39+B40+B41+B42+B43+B46+B47+B48+B49+B50+B51+B53+B54+B55, "NA")</f>
        <v>8547.55</v>
      </c>
      <c r="C57" s="94">
        <f>IFERROR(B57/B148, "NA")</f>
        <v>0.251767072</v>
      </c>
      <c r="D57" s="118">
        <f>IFERROR(D13+D15+D16+D17+D18+D19+D20+D21+D22+D23+D24+D25+D26+D29+D30+D31+D32+D33+D37+D39+D40+D41+D42+D43+D46+D47+D48+D49+D50+D51+D53+D54+D55, "NA")</f>
        <v>11230.42</v>
      </c>
      <c r="E57" s="94">
        <f>IFERROR(D57/D148, "NA")</f>
        <v>0.2404387425</v>
      </c>
      <c r="F57" s="118">
        <f>IFERROR(F13+F15+F16+F17+F18+F19+F20+F21+F22+F23+F24+F25+F26+F29+F30+F31+F32+F33+F37+F39+F40+F41+F42+F43+F46+F47+F48+F49+F50+F51+F53+F54+F55, "NA")</f>
        <v>11579.87</v>
      </c>
      <c r="G57" s="94">
        <f>IFERROR(F57/F148, "NA")</f>
        <v>0.2875501791</v>
      </c>
      <c r="H57" s="118">
        <f>IFERROR(H13+H15+H16+H17+H18+H19+H20+H21+H22+H23+H24+H25+H26+H29+H30+H31+H32+H33+H37+H39+H40+H41+H42+H43+H46+H47+H48+H49+H50+H51+H53+H54+H55, "NA")</f>
        <v>13249.12</v>
      </c>
      <c r="I57" s="94">
        <f>IFERROR(H57/H148, "NA")</f>
        <v>0.2481977771</v>
      </c>
      <c r="J57" s="118">
        <f>IFERROR(J13+J15+J16+J17+J18+J19+J20+J21+J22+J23+J24+J25+J26+J29+J30+J31+J32+J33+J37+J39+J40+J41+J42+J43+J46+J47+J48+J49+J50+J51+J53+J54+J55, "NA")</f>
        <v>11786.35</v>
      </c>
      <c r="K57" s="94">
        <f>IFERROR(J57/J148, "NA")</f>
        <v>0.2536821126</v>
      </c>
      <c r="L57" s="118">
        <f>IFERROR(L13+L15+L16+L17+L18+L19+L20+L21+L22+L23+L24+L25+L26+L29+L30+L31+L32+L33+L37+L39+L40+L41+L42+L43+L46+L47+L48+L49+L50+L51+L53+L54+L55, "NA")</f>
        <v>11186.8</v>
      </c>
      <c r="M57" s="94">
        <f>IFERROR(L57/L148, "NA")</f>
        <v>0.255169749</v>
      </c>
      <c r="N57" s="118">
        <f>IFERROR(N13+N15+N16+N17+N18+N19+N20+N21+N22+N23+N24+N25+N26+N29+N30+N31+N32+N33+N37+N39+N40+N41+N42+N43+N46+N47+N48+N49+N50+N51+N53+N54+N55, "NA")</f>
        <v>14926.37</v>
      </c>
      <c r="O57" s="94">
        <f>IFERROR(N57/N148, "NA")</f>
        <v>0.2822191945</v>
      </c>
      <c r="P57" s="118">
        <f>IFERROR(P13+P15+P16+P17+P18+P19+P20+P21+P22+P23+P24+P25+P26+P29+P30+P31+P32+P33+P37+P39+P40+P41+P42+P43+P46+P47+P48+P49+P50+P51+P53+P54+P55, "NA")</f>
        <v>15493.03</v>
      </c>
      <c r="Q57" s="94">
        <f>IFERROR(P57/P148, "NA")</f>
        <v>0.2399084717</v>
      </c>
      <c r="R57" s="118">
        <f>IFERROR(R13+R15+R16+R17+R18+R19+R20+R21+R22+R23+R24+R25+R26+R29+R30+R31+R32+R33+R37+R39+R40+R41+R42+R43+R46+R47+R48+R49+R50+R51+R53+R54+R55, "NA")</f>
        <v>14499.14</v>
      </c>
      <c r="S57" s="94">
        <f>IFERROR(R57/R148, "NA")</f>
        <v>0.2646843251</v>
      </c>
      <c r="T57" s="118">
        <f>IFERROR(T13+T15+T16+T17+T18+T19+T20+T21+T22+T23+T24+T25+T26+T29+T30+T31+T32+T33+T37+T39+T40+T41+T42+T43+T46+T47+T48+T49+T50+T51+T53+T54+T55, "NA")</f>
        <v>11978.15</v>
      </c>
      <c r="U57" s="94">
        <f>IFERROR(T57/T148, "NA")</f>
        <v>0.2448945002</v>
      </c>
      <c r="V57" s="118">
        <f>IFERROR(V13+V15+V16+V17+V18+V19+V20+V21+V22+V23+V24+V25+V26+V29+V30+V31+V32+V33+V37+V39+V40+V41+V42+V43+V46+V47+V48+V49+V50+V51+V53+V54+V55, "NA")</f>
        <v>12718.11</v>
      </c>
      <c r="W57" s="94">
        <f>IFERROR(V57/V148, "NA")</f>
        <v>0.2766581946</v>
      </c>
      <c r="X57" s="118">
        <f>IFERROR(X13+X15+X16+X17+X18+X19+X20+X21+X22+X23+X24+X25+X26+X29+X30+X31+X32+X33+X37+X39+X40+X41+X42+X43+X46+X47+X48+X49+X50+X51+X53+X54+X55, "NA")</f>
        <v>14019.94</v>
      </c>
      <c r="Y57" s="94">
        <f>IFERROR(X57/X148, "NA")</f>
        <v>0.2410933095</v>
      </c>
      <c r="Z57" s="118">
        <f>IFERROR(Z13+Z15+Z16+Z17+Z18+Z19+Z20+Z21+Z22+Z23+Z24+Z25+Z26+Z29+Z30+Z31+Z32+Z33+Z37+Z39+Z40+Z41+Z42+Z43+Z46+Z47+Z48+Z49+Z50+Z51+Z53+Z54+Z55, "NA")</f>
        <v>38716.2</v>
      </c>
      <c r="AA57" s="94">
        <f>IFERROR(Z57/Z148, "NA")</f>
        <v>0.2529917314</v>
      </c>
      <c r="AB57" s="118">
        <f t="shared" si="25"/>
        <v>13303.835</v>
      </c>
      <c r="AC57" s="94">
        <f>IFERROR(AB57/AB148, "NA")</f>
        <v>0.2560738782</v>
      </c>
      <c r="AD57" s="119">
        <f t="shared" si="26"/>
        <v>716.105</v>
      </c>
      <c r="AE57" s="120">
        <f>IFERROR(AD57/AD148, "NA")</f>
        <v>0.1155306674</v>
      </c>
      <c r="AF57" s="119">
        <f t="shared" si="27"/>
        <v>0.05382696042</v>
      </c>
      <c r="AG57" s="118">
        <f t="shared" si="28"/>
        <v>13325.98625</v>
      </c>
      <c r="AH57" s="94">
        <f>IFERROR(AG57/AG148, "NA")</f>
        <v>0.256526498</v>
      </c>
      <c r="AI57" s="119">
        <f t="shared" si="29"/>
        <v>693.95375</v>
      </c>
      <c r="AJ57" s="120">
        <f>IFERROR(AI57/AI148, "NA")</f>
        <v>0.1118610203</v>
      </c>
      <c r="AK57" s="119">
        <f t="shared" si="30"/>
        <v>0.05207522633</v>
      </c>
      <c r="AL57" s="120">
        <f>IFERROR(AK57/AK148, "NA")</f>
        <v>0.4360602948</v>
      </c>
    </row>
    <row r="58" ht="3.75" customHeight="1">
      <c r="A58" s="79"/>
      <c r="B58" s="80"/>
      <c r="C58" s="74"/>
      <c r="D58" s="80"/>
      <c r="E58" s="74"/>
      <c r="F58" s="80"/>
      <c r="G58" s="74"/>
      <c r="H58" s="80"/>
      <c r="I58" s="74"/>
      <c r="J58" s="80"/>
      <c r="K58" s="74"/>
      <c r="L58" s="80"/>
      <c r="M58" s="74"/>
      <c r="N58" s="80"/>
      <c r="O58" s="74"/>
      <c r="P58" s="80"/>
      <c r="Q58" s="74"/>
      <c r="R58" s="80"/>
      <c r="S58" s="74"/>
      <c r="T58" s="80"/>
      <c r="U58" s="74"/>
      <c r="V58" s="80"/>
      <c r="W58" s="74"/>
      <c r="X58" s="80"/>
      <c r="Y58" s="74"/>
      <c r="Z58" s="80"/>
      <c r="AA58" s="74"/>
      <c r="AB58" s="80"/>
      <c r="AC58" s="74"/>
      <c r="AD58" s="81"/>
      <c r="AE58" s="82"/>
      <c r="AF58" s="81"/>
      <c r="AG58" s="80"/>
      <c r="AH58" s="74"/>
      <c r="AI58" s="81"/>
      <c r="AJ58" s="82"/>
      <c r="AK58" s="81"/>
      <c r="AL58" s="82"/>
    </row>
    <row r="59" ht="16.5" customHeight="1">
      <c r="A59" s="121" t="s">
        <v>120</v>
      </c>
      <c r="B59" s="122">
        <f>IFERROR(B9-B57, "NA")</f>
        <v>25402.68</v>
      </c>
      <c r="C59" s="98">
        <f>IFERROR(B59/B148, "NA")</f>
        <v>0.748232928</v>
      </c>
      <c r="D59" s="122">
        <f>IFERROR(D9-D57, "NA")</f>
        <v>35477.61</v>
      </c>
      <c r="E59" s="98">
        <f>IFERROR(D59/D148, "NA")</f>
        <v>0.7595612575</v>
      </c>
      <c r="F59" s="122">
        <f>IFERROR(F9-F57, "NA")</f>
        <v>28690.91</v>
      </c>
      <c r="G59" s="98">
        <f>IFERROR(F59/F148, "NA")</f>
        <v>0.7124498209</v>
      </c>
      <c r="H59" s="122">
        <f>IFERROR(H9-H57, "NA")</f>
        <v>40132.18</v>
      </c>
      <c r="I59" s="98">
        <f>IFERROR(H59/H148, "NA")</f>
        <v>0.7518022229</v>
      </c>
      <c r="J59" s="122">
        <f>IFERROR(J9-J57, "NA")</f>
        <v>34674.75</v>
      </c>
      <c r="K59" s="98">
        <f>IFERROR(J59/J148, "NA")</f>
        <v>0.7463178874</v>
      </c>
      <c r="L59" s="122">
        <f>IFERROR(L9-L57, "NA")</f>
        <v>32653.82</v>
      </c>
      <c r="M59" s="98">
        <f>IFERROR(L59/L148, "NA")</f>
        <v>0.744830251</v>
      </c>
      <c r="N59" s="122">
        <f>IFERROR(N9-N57, "NA")</f>
        <v>37962.91</v>
      </c>
      <c r="O59" s="98">
        <f>IFERROR(N59/N148, "NA")</f>
        <v>0.7177808055</v>
      </c>
      <c r="P59" s="122">
        <f>IFERROR(P9-P57, "NA")</f>
        <v>49085.89</v>
      </c>
      <c r="Q59" s="98">
        <f>IFERROR(P59/P148, "NA")</f>
        <v>0.7600915283</v>
      </c>
      <c r="R59" s="122">
        <f>IFERROR(R9-R57, "NA")</f>
        <v>40279.85</v>
      </c>
      <c r="S59" s="98">
        <f>IFERROR(R59/R148, "NA")</f>
        <v>0.7353156749</v>
      </c>
      <c r="T59" s="122">
        <f>IFERROR(T9-T57, "NA")</f>
        <v>36933.32</v>
      </c>
      <c r="U59" s="98">
        <f>IFERROR(T59/T148, "NA")</f>
        <v>0.7551054998</v>
      </c>
      <c r="V59" s="122">
        <f>IFERROR(V9-V57, "NA")</f>
        <v>33252.37</v>
      </c>
      <c r="W59" s="98">
        <f>IFERROR(V59/V148, "NA")</f>
        <v>0.7233418054</v>
      </c>
      <c r="X59" s="122">
        <f>IFERROR(X9-X57, "NA")</f>
        <v>44131.57</v>
      </c>
      <c r="Y59" s="98">
        <f>IFERROR(X59/X148, "NA")</f>
        <v>0.7589066905</v>
      </c>
      <c r="Z59" s="122">
        <f>IFERROR(Z9-Z57, "NA")</f>
        <v>114317.26</v>
      </c>
      <c r="AA59" s="98">
        <f>IFERROR(Z59/Z148, "NA")</f>
        <v>0.7470082686</v>
      </c>
      <c r="AB59" s="122">
        <f>IFERROR((R59+T59+V59+X59)/4, "NA")</f>
        <v>38649.2775</v>
      </c>
      <c r="AC59" s="98">
        <f>IFERROR(AB59/AB148, "NA")</f>
        <v>0.7439261218</v>
      </c>
      <c r="AD59" s="75">
        <f>IFERROR(X59-AB59, "NA")</f>
        <v>5482.2925</v>
      </c>
      <c r="AE59" s="76">
        <f>IFERROR(AD59/AD148, "NA")</f>
        <v>0.8844693326</v>
      </c>
      <c r="AF59" s="75">
        <f>IFERROR((X59-AB59)/AB59, "NA")</f>
        <v>0.1418472182</v>
      </c>
      <c r="AG59" s="122">
        <f>IFERROR((J59+L59+N59+P59+R59+T59+V59+X59)/8, "NA")</f>
        <v>38621.81</v>
      </c>
      <c r="AH59" s="98">
        <f>IFERROR(AG59/AG148, "NA")</f>
        <v>0.743473502</v>
      </c>
      <c r="AI59" s="75">
        <f>IFERROR(X59-AG59, "NA")</f>
        <v>5509.76</v>
      </c>
      <c r="AJ59" s="76">
        <f>IFERROR(AI59/AI148, "NA")</f>
        <v>0.8881389797</v>
      </c>
      <c r="AK59" s="75">
        <f>IFERROR((X59-AG59)/AG59, "NA")</f>
        <v>0.1426592902</v>
      </c>
      <c r="AL59" s="76">
        <f>IFERROR(AK59/AK148, "NA")</f>
        <v>1.194580543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2"/>
      <c r="AF60" s="125"/>
      <c r="AG60" s="124"/>
      <c r="AH60" s="74"/>
      <c r="AI60" s="125"/>
      <c r="AJ60" s="82"/>
      <c r="AK60" s="125"/>
      <c r="AL60" s="82"/>
    </row>
    <row r="61" ht="16.5" customHeight="1">
      <c r="A61" s="22" t="s">
        <v>121</v>
      </c>
      <c r="B61" s="23"/>
      <c r="C61" s="10"/>
      <c r="D61" s="23"/>
      <c r="E61" s="10"/>
      <c r="F61" s="23"/>
      <c r="G61" s="10"/>
      <c r="H61" s="23"/>
      <c r="I61" s="10"/>
      <c r="J61" s="23"/>
      <c r="K61" s="10"/>
      <c r="L61" s="23"/>
      <c r="M61" s="10"/>
      <c r="N61" s="23"/>
      <c r="O61" s="10"/>
      <c r="P61" s="23"/>
      <c r="Q61" s="10"/>
      <c r="R61" s="23"/>
      <c r="S61" s="10"/>
      <c r="T61" s="23"/>
      <c r="U61" s="10"/>
      <c r="V61" s="23"/>
      <c r="W61" s="10"/>
      <c r="X61" s="23"/>
      <c r="Y61" s="10"/>
      <c r="Z61" s="23"/>
      <c r="AA61" s="10"/>
      <c r="AB61" s="23"/>
      <c r="AC61" s="10"/>
      <c r="AD61" s="24"/>
      <c r="AE61" s="25"/>
      <c r="AF61" s="24"/>
      <c r="AG61" s="23"/>
      <c r="AH61" s="10"/>
      <c r="AI61" s="24"/>
      <c r="AJ61" s="25"/>
      <c r="AK61" s="24"/>
      <c r="AL61" s="25"/>
    </row>
    <row r="62" ht="16.5" customHeight="1">
      <c r="A62" s="22" t="s">
        <v>121</v>
      </c>
      <c r="B62" s="23"/>
      <c r="C62" s="10"/>
      <c r="D62" s="23"/>
      <c r="E62" s="10"/>
      <c r="F62" s="23"/>
      <c r="G62" s="10"/>
      <c r="H62" s="23"/>
      <c r="I62" s="10"/>
      <c r="J62" s="23"/>
      <c r="K62" s="10"/>
      <c r="L62" s="23"/>
      <c r="M62" s="10"/>
      <c r="N62" s="23"/>
      <c r="O62" s="10"/>
      <c r="P62" s="23"/>
      <c r="Q62" s="10"/>
      <c r="R62" s="23"/>
      <c r="S62" s="10"/>
      <c r="T62" s="23"/>
      <c r="U62" s="10"/>
      <c r="V62" s="23"/>
      <c r="W62" s="10"/>
      <c r="X62" s="23"/>
      <c r="Y62" s="10"/>
      <c r="Z62" s="23"/>
      <c r="AA62" s="10"/>
      <c r="AB62" s="23"/>
      <c r="AC62" s="10"/>
      <c r="AD62" s="24"/>
      <c r="AE62" s="25"/>
      <c r="AF62" s="24"/>
      <c r="AG62" s="23"/>
      <c r="AH62" s="10"/>
      <c r="AI62" s="24"/>
      <c r="AJ62" s="25"/>
      <c r="AK62" s="24"/>
      <c r="AL62" s="25"/>
    </row>
    <row r="63" ht="16.5" hidden="1" customHeight="1">
      <c r="A63" s="26" t="s">
        <v>122</v>
      </c>
      <c r="B63" s="28">
        <v>0.0</v>
      </c>
      <c r="C63" s="15">
        <f>IFERROR(B63/B148, "NA")</f>
        <v>0</v>
      </c>
      <c r="D63" s="28">
        <v>0.0</v>
      </c>
      <c r="E63" s="15">
        <f>IFERROR(D63/D148, "NA")</f>
        <v>0</v>
      </c>
      <c r="F63" s="28">
        <v>0.0</v>
      </c>
      <c r="G63" s="15">
        <f>IFERROR(F63/F148, "NA")</f>
        <v>0</v>
      </c>
      <c r="H63" s="28">
        <v>0.0</v>
      </c>
      <c r="I63" s="15">
        <f>IFERROR(H63/H148, "NA")</f>
        <v>0</v>
      </c>
      <c r="J63" s="28">
        <v>0.0</v>
      </c>
      <c r="K63" s="15">
        <f>IFERROR(J63/J148, "NA")</f>
        <v>0</v>
      </c>
      <c r="L63" s="28">
        <v>0.0</v>
      </c>
      <c r="M63" s="15">
        <f>IFERROR(L63/L148, "NA")</f>
        <v>0</v>
      </c>
      <c r="N63" s="28">
        <v>0.0</v>
      </c>
      <c r="O63" s="15">
        <f>IFERROR(N63/N148, "NA")</f>
        <v>0</v>
      </c>
      <c r="P63" s="28">
        <v>0.0</v>
      </c>
      <c r="Q63" s="15">
        <f>IFERROR(P63/P148, "NA")</f>
        <v>0</v>
      </c>
      <c r="R63" s="28">
        <v>0.0</v>
      </c>
      <c r="S63" s="15">
        <f>IFERROR(R63/R148, "NA")</f>
        <v>0</v>
      </c>
      <c r="T63" s="28">
        <v>0.0</v>
      </c>
      <c r="U63" s="15">
        <f>IFERROR(T63/T148, "NA")</f>
        <v>0</v>
      </c>
      <c r="V63" s="28">
        <v>0.0</v>
      </c>
      <c r="W63" s="15">
        <f>IFERROR(V63/V148, "NA")</f>
        <v>0</v>
      </c>
      <c r="X63" s="28">
        <v>0.0</v>
      </c>
      <c r="Y63" s="15">
        <f>IFERROR(X63/X148, "NA")</f>
        <v>0</v>
      </c>
      <c r="Z63" s="28">
        <v>0.0</v>
      </c>
      <c r="AA63" s="15">
        <f>IFERROR(Z63/Z148, "NA")</f>
        <v>0</v>
      </c>
      <c r="AB63" s="57">
        <f>IFERROR((R63+T63+V63+X63)/4, "NA")</f>
        <v>0</v>
      </c>
      <c r="AC63" s="15">
        <f>IFERROR(AB63/AB148, "NA")</f>
        <v>0</v>
      </c>
      <c r="AD63" s="61">
        <f>IFERROR(X63-AB63, "NA")</f>
        <v>0</v>
      </c>
      <c r="AE63" s="62">
        <f>IFERROR(AD63/AD148, "NA")</f>
        <v>0</v>
      </c>
      <c r="AF63" s="61" t="str">
        <f>IFERROR((X63-AB63)/AB63, "NA")</f>
        <v>NA</v>
      </c>
      <c r="AG63" s="57">
        <f>IFERROR((J63+L63+N63+P63+R63+T63+V63+X63)/8, "NA")</f>
        <v>0</v>
      </c>
      <c r="AH63" s="15">
        <f>IFERROR(AG63/AG148, "NA")</f>
        <v>0</v>
      </c>
      <c r="AI63" s="61">
        <f>IFERROR(X63-AG63, "NA")</f>
        <v>0</v>
      </c>
      <c r="AJ63" s="62">
        <f>IFERROR(AI63/AI148, "NA")</f>
        <v>0</v>
      </c>
      <c r="AK63" s="61" t="str">
        <f>IFERROR((X63-AG63)/AG63, "NA")</f>
        <v>NA</v>
      </c>
      <c r="AL63" s="62" t="str">
        <f>IFERROR(AK63/AK148, "NA")</f>
        <v>NA</v>
      </c>
    </row>
    <row r="64" ht="16.5" customHeight="1">
      <c r="A64" s="22" t="s">
        <v>123</v>
      </c>
      <c r="B64" s="23"/>
      <c r="C64" s="10"/>
      <c r="D64" s="23"/>
      <c r="E64" s="10"/>
      <c r="F64" s="23"/>
      <c r="G64" s="10"/>
      <c r="H64" s="23"/>
      <c r="I64" s="10"/>
      <c r="J64" s="23"/>
      <c r="K64" s="10"/>
      <c r="L64" s="23"/>
      <c r="M64" s="10"/>
      <c r="N64" s="23"/>
      <c r="O64" s="10"/>
      <c r="P64" s="23"/>
      <c r="Q64" s="10"/>
      <c r="R64" s="23"/>
      <c r="S64" s="10"/>
      <c r="T64" s="23"/>
      <c r="U64" s="10"/>
      <c r="V64" s="23"/>
      <c r="W64" s="10"/>
      <c r="X64" s="23"/>
      <c r="Y64" s="10"/>
      <c r="Z64" s="23"/>
      <c r="AA64" s="10"/>
      <c r="AB64" s="23"/>
      <c r="AC64" s="10"/>
      <c r="AD64" s="24"/>
      <c r="AE64" s="25"/>
      <c r="AF64" s="24"/>
      <c r="AG64" s="23"/>
      <c r="AH64" s="10"/>
      <c r="AI64" s="24"/>
      <c r="AJ64" s="25"/>
      <c r="AK64" s="24"/>
      <c r="AL64" s="25"/>
    </row>
    <row r="65" ht="16.5" hidden="1" customHeight="1">
      <c r="A65" s="26" t="s">
        <v>124</v>
      </c>
      <c r="B65" s="28">
        <v>0.0</v>
      </c>
      <c r="C65" s="15">
        <f>IFERROR(B65/B148, "NA")</f>
        <v>0</v>
      </c>
      <c r="D65" s="28">
        <v>0.0</v>
      </c>
      <c r="E65" s="15">
        <f>IFERROR(D65/D148, "NA")</f>
        <v>0</v>
      </c>
      <c r="F65" s="28">
        <v>0.0</v>
      </c>
      <c r="G65" s="15">
        <f>IFERROR(F65/F148, "NA")</f>
        <v>0</v>
      </c>
      <c r="H65" s="28">
        <v>0.0</v>
      </c>
      <c r="I65" s="15">
        <f>IFERROR(H65/H148, "NA")</f>
        <v>0</v>
      </c>
      <c r="J65" s="28">
        <v>0.0</v>
      </c>
      <c r="K65" s="15">
        <f>IFERROR(J65/J148, "NA")</f>
        <v>0</v>
      </c>
      <c r="L65" s="28">
        <v>0.0</v>
      </c>
      <c r="M65" s="15">
        <f>IFERROR(L65/L148, "NA")</f>
        <v>0</v>
      </c>
      <c r="N65" s="28">
        <v>0.0</v>
      </c>
      <c r="O65" s="15">
        <f>IFERROR(N65/N148, "NA")</f>
        <v>0</v>
      </c>
      <c r="P65" s="28">
        <v>0.0</v>
      </c>
      <c r="Q65" s="15">
        <f>IFERROR(P65/P148, "NA")</f>
        <v>0</v>
      </c>
      <c r="R65" s="28">
        <v>0.0</v>
      </c>
      <c r="S65" s="15">
        <f>IFERROR(R65/R148, "NA")</f>
        <v>0</v>
      </c>
      <c r="T65" s="28">
        <v>0.0</v>
      </c>
      <c r="U65" s="15">
        <f>IFERROR(T65/T148, "NA")</f>
        <v>0</v>
      </c>
      <c r="V65" s="28">
        <v>0.0</v>
      </c>
      <c r="W65" s="15">
        <f>IFERROR(V65/V148, "NA")</f>
        <v>0</v>
      </c>
      <c r="X65" s="28">
        <v>0.0</v>
      </c>
      <c r="Y65" s="15">
        <f>IFERROR(X65/X148, "NA")</f>
        <v>0</v>
      </c>
      <c r="Z65" s="28">
        <v>0.0</v>
      </c>
      <c r="AA65" s="15">
        <f>IFERROR(Z65/Z148, "NA")</f>
        <v>0</v>
      </c>
      <c r="AB65" s="57">
        <f t="shared" ref="AB65:AB72" si="31">IFERROR((R65+T65+V65+X65)/4, "NA")</f>
        <v>0</v>
      </c>
      <c r="AC65" s="15">
        <f>IFERROR(AB65/AB148, "NA")</f>
        <v>0</v>
      </c>
      <c r="AD65" s="61">
        <f t="shared" ref="AD65:AD72" si="32">IFERROR(X65-AB65, "NA")</f>
        <v>0</v>
      </c>
      <c r="AE65" s="62">
        <f>IFERROR(AD65/AD148, "NA")</f>
        <v>0</v>
      </c>
      <c r="AF65" s="61" t="str">
        <f t="shared" ref="AF65:AF72" si="33">IFERROR((X65-AB65)/AB65, "NA")</f>
        <v>NA</v>
      </c>
      <c r="AG65" s="57">
        <f t="shared" ref="AG65:AG72" si="34">IFERROR((J65+L65+N65+P65+R65+T65+V65+X65)/8, "NA")</f>
        <v>0</v>
      </c>
      <c r="AH65" s="15">
        <f>IFERROR(AG65/AG148, "NA")</f>
        <v>0</v>
      </c>
      <c r="AI65" s="61">
        <f t="shared" ref="AI65:AI72" si="35">IFERROR(X65-AG65, "NA")</f>
        <v>0</v>
      </c>
      <c r="AJ65" s="62">
        <f>IFERROR(AI65/AI148, "NA")</f>
        <v>0</v>
      </c>
      <c r="AK65" s="61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6" t="s">
        <v>125</v>
      </c>
      <c r="B66" s="28">
        <v>2519.23</v>
      </c>
      <c r="C66" s="15">
        <f>IFERROR(B66/B148, "NA")</f>
        <v>0.07420362101</v>
      </c>
      <c r="D66" s="28">
        <v>2519.23</v>
      </c>
      <c r="E66" s="15">
        <f>IFERROR(D66/D148, "NA")</f>
        <v>0.05393569371</v>
      </c>
      <c r="F66" s="28">
        <v>2519.23</v>
      </c>
      <c r="G66" s="15">
        <f>IFERROR(F66/F148, "NA")</f>
        <v>0.06255726857</v>
      </c>
      <c r="H66" s="28">
        <v>2519.23</v>
      </c>
      <c r="I66" s="15">
        <f>IFERROR(H66/H148, "NA")</f>
        <v>0.04719311819</v>
      </c>
      <c r="J66" s="28">
        <v>2519.23</v>
      </c>
      <c r="K66" s="15">
        <f>IFERROR(J66/J148, "NA")</f>
        <v>0.05422234945</v>
      </c>
      <c r="L66" s="28">
        <v>2519.23</v>
      </c>
      <c r="M66" s="15">
        <f>IFERROR(L66/L148, "NA")</f>
        <v>0.05746337529</v>
      </c>
      <c r="N66" s="28">
        <v>2519.23</v>
      </c>
      <c r="O66" s="15">
        <f>IFERROR(N66/N148, "NA")</f>
        <v>0.04763214776</v>
      </c>
      <c r="P66" s="28">
        <v>2519.23</v>
      </c>
      <c r="Q66" s="15">
        <f>IFERROR(P66/P148, "NA")</f>
        <v>0.03901009803</v>
      </c>
      <c r="R66" s="28">
        <v>2519.23</v>
      </c>
      <c r="S66" s="15">
        <f>IFERROR(R66/R148, "NA")</f>
        <v>0.04598898227</v>
      </c>
      <c r="T66" s="28">
        <v>2519.23</v>
      </c>
      <c r="U66" s="15">
        <f>IFERROR(T66/T148, "NA")</f>
        <v>0.05150591467</v>
      </c>
      <c r="V66" s="28">
        <v>2519.23</v>
      </c>
      <c r="W66" s="15">
        <f>IFERROR(V66/V148, "NA")</f>
        <v>0.05480103754</v>
      </c>
      <c r="X66" s="28">
        <v>2519.23</v>
      </c>
      <c r="Y66" s="15">
        <f>IFERROR(X66/X148, "NA")</f>
        <v>0.04332183292</v>
      </c>
      <c r="Z66" s="28">
        <v>7557.69</v>
      </c>
      <c r="AA66" s="15">
        <f>IFERROR(Z66/Z148, "NA")</f>
        <v>0.04938586633</v>
      </c>
      <c r="AB66" s="57">
        <f t="shared" si="31"/>
        <v>2519.23</v>
      </c>
      <c r="AC66" s="15">
        <f>IFERROR(AB66/AB148, "NA")</f>
        <v>0.04849045377</v>
      </c>
      <c r="AD66" s="61">
        <f t="shared" si="32"/>
        <v>0</v>
      </c>
      <c r="AE66" s="62">
        <f>IFERROR(AD66/AD148, "NA")</f>
        <v>0</v>
      </c>
      <c r="AF66" s="61">
        <f t="shared" si="33"/>
        <v>0</v>
      </c>
      <c r="AG66" s="57">
        <f t="shared" si="34"/>
        <v>2519.23</v>
      </c>
      <c r="AH66" s="15">
        <f>IFERROR(AG66/AG148, "NA")</f>
        <v>0.0484954162</v>
      </c>
      <c r="AI66" s="61">
        <f t="shared" si="35"/>
        <v>0</v>
      </c>
      <c r="AJ66" s="62">
        <f>IFERROR(AI66/AI148, "NA")</f>
        <v>0</v>
      </c>
      <c r="AK66" s="61">
        <f t="shared" si="36"/>
        <v>0</v>
      </c>
      <c r="AL66" s="62">
        <f>IFERROR(AK66/AK148, "NA")</f>
        <v>0</v>
      </c>
    </row>
    <row r="67" ht="16.5" hidden="1" customHeight="1">
      <c r="A67" s="26" t="s">
        <v>128</v>
      </c>
      <c r="B67" s="28">
        <v>0.0</v>
      </c>
      <c r="C67" s="15">
        <f>IFERROR(B67/B148, "NA")</f>
        <v>0</v>
      </c>
      <c r="D67" s="28">
        <v>0.0</v>
      </c>
      <c r="E67" s="15">
        <f>IFERROR(D67/D148, "NA")</f>
        <v>0</v>
      </c>
      <c r="F67" s="28">
        <v>0.0</v>
      </c>
      <c r="G67" s="15">
        <f>IFERROR(F67/F148, "NA")</f>
        <v>0</v>
      </c>
      <c r="H67" s="28">
        <v>0.0</v>
      </c>
      <c r="I67" s="15">
        <f>IFERROR(H67/H148, "NA")</f>
        <v>0</v>
      </c>
      <c r="J67" s="28">
        <v>0.0</v>
      </c>
      <c r="K67" s="15">
        <f>IFERROR(J67/J148, "NA")</f>
        <v>0</v>
      </c>
      <c r="L67" s="28">
        <v>0.0</v>
      </c>
      <c r="M67" s="15">
        <f>IFERROR(L67/L148, "NA")</f>
        <v>0</v>
      </c>
      <c r="N67" s="28">
        <v>0.0</v>
      </c>
      <c r="O67" s="15">
        <f>IFERROR(N67/N148, "NA")</f>
        <v>0</v>
      </c>
      <c r="P67" s="28">
        <v>0.0</v>
      </c>
      <c r="Q67" s="15">
        <f>IFERROR(P67/P148, "NA")</f>
        <v>0</v>
      </c>
      <c r="R67" s="28">
        <v>0.0</v>
      </c>
      <c r="S67" s="15">
        <f>IFERROR(R67/R148, "NA")</f>
        <v>0</v>
      </c>
      <c r="T67" s="28">
        <v>0.0</v>
      </c>
      <c r="U67" s="15">
        <f>IFERROR(T67/T148, "NA")</f>
        <v>0</v>
      </c>
      <c r="V67" s="28">
        <v>0.0</v>
      </c>
      <c r="W67" s="15">
        <f>IFERROR(V67/V148, "NA")</f>
        <v>0</v>
      </c>
      <c r="X67" s="28">
        <v>0.0</v>
      </c>
      <c r="Y67" s="15">
        <f>IFERROR(X67/X148, "NA")</f>
        <v>0</v>
      </c>
      <c r="Z67" s="28">
        <v>0.0</v>
      </c>
      <c r="AA67" s="15">
        <f>IFERROR(Z67/Z148, "NA")</f>
        <v>0</v>
      </c>
      <c r="AB67" s="57">
        <f t="shared" si="31"/>
        <v>0</v>
      </c>
      <c r="AC67" s="15">
        <f>IFERROR(AB67/AB148, "NA")</f>
        <v>0</v>
      </c>
      <c r="AD67" s="61">
        <f t="shared" si="32"/>
        <v>0</v>
      </c>
      <c r="AE67" s="62">
        <f>IFERROR(AD67/AD148, "NA")</f>
        <v>0</v>
      </c>
      <c r="AF67" s="61" t="str">
        <f t="shared" si="33"/>
        <v>NA</v>
      </c>
      <c r="AG67" s="57">
        <f t="shared" si="34"/>
        <v>0</v>
      </c>
      <c r="AH67" s="15">
        <f>IFERROR(AG67/AG148, "NA")</f>
        <v>0</v>
      </c>
      <c r="AI67" s="61">
        <f t="shared" si="35"/>
        <v>0</v>
      </c>
      <c r="AJ67" s="62">
        <f>IFERROR(AI67/AI148, "NA")</f>
        <v>0</v>
      </c>
      <c r="AK67" s="61" t="str">
        <f t="shared" si="36"/>
        <v>NA</v>
      </c>
      <c r="AL67" s="62" t="str">
        <f>IFERROR(AK67/AK148, "NA")</f>
        <v>NA</v>
      </c>
    </row>
    <row r="68" ht="16.5" customHeight="1">
      <c r="A68" s="26" t="s">
        <v>131</v>
      </c>
      <c r="B68" s="28">
        <v>6376.42</v>
      </c>
      <c r="C68" s="15">
        <f>IFERROR(B68/B148, "NA")</f>
        <v>0.1878166952</v>
      </c>
      <c r="D68" s="28">
        <v>6524.95</v>
      </c>
      <c r="E68" s="15">
        <f>IFERROR(D68/D148, "NA")</f>
        <v>0.1396965361</v>
      </c>
      <c r="F68" s="28">
        <v>6479.69</v>
      </c>
      <c r="G68" s="15">
        <f>IFERROR(F68/F148, "NA")</f>
        <v>0.160903017</v>
      </c>
      <c r="H68" s="28">
        <v>7444.94</v>
      </c>
      <c r="I68" s="15">
        <f>IFERROR(H68/H148, "NA")</f>
        <v>0.1394671917</v>
      </c>
      <c r="J68" s="28">
        <v>7294.97</v>
      </c>
      <c r="K68" s="15">
        <f>IFERROR(J68/J148, "NA")</f>
        <v>0.1570124254</v>
      </c>
      <c r="L68" s="28">
        <v>6647.37</v>
      </c>
      <c r="M68" s="15">
        <f>IFERROR(L68/L148, "NA")</f>
        <v>0.151625821</v>
      </c>
      <c r="N68" s="28">
        <v>7784.81</v>
      </c>
      <c r="O68" s="15">
        <f>IFERROR(N68/N148, "NA")</f>
        <v>0.1471906972</v>
      </c>
      <c r="P68" s="28">
        <v>8160.79</v>
      </c>
      <c r="Q68" s="15">
        <f>IFERROR(P68/P148, "NA")</f>
        <v>0.1263692549</v>
      </c>
      <c r="R68" s="28">
        <v>7544.7</v>
      </c>
      <c r="S68" s="15">
        <f>IFERROR(R68/R148, "NA")</f>
        <v>0.1377298121</v>
      </c>
      <c r="T68" s="28">
        <v>7025.93</v>
      </c>
      <c r="U68" s="15">
        <f>IFERROR(T68/T148, "NA")</f>
        <v>0.1436458565</v>
      </c>
      <c r="V68" s="28">
        <v>6545.12</v>
      </c>
      <c r="W68" s="15">
        <f>IFERROR(V68/V148, "NA")</f>
        <v>0.142376586</v>
      </c>
      <c r="X68" s="28">
        <v>7446.23</v>
      </c>
      <c r="Y68" s="15">
        <f>IFERROR(X68/X148, "NA")</f>
        <v>0.1280487815</v>
      </c>
      <c r="Z68" s="28">
        <v>21017.28</v>
      </c>
      <c r="AA68" s="15">
        <f>IFERROR(Z68/Z148, "NA")</f>
        <v>0.1373378083</v>
      </c>
      <c r="AB68" s="57">
        <f t="shared" si="31"/>
        <v>7140.495</v>
      </c>
      <c r="AC68" s="15">
        <f>IFERROR(AB68/AB148, "NA")</f>
        <v>0.1374411398</v>
      </c>
      <c r="AD68" s="61">
        <f t="shared" si="32"/>
        <v>305.735</v>
      </c>
      <c r="AE68" s="62">
        <f>IFERROR(AD68/AD148, "NA")</f>
        <v>0.04932484566</v>
      </c>
      <c r="AF68" s="61">
        <f t="shared" si="33"/>
        <v>0.0428170596</v>
      </c>
      <c r="AG68" s="57">
        <f t="shared" si="34"/>
        <v>7306.24</v>
      </c>
      <c r="AH68" s="15">
        <f>IFERROR(AG68/AG148, "NA")</f>
        <v>0.1406458123</v>
      </c>
      <c r="AI68" s="61">
        <f t="shared" si="35"/>
        <v>139.99</v>
      </c>
      <c r="AJ68" s="62">
        <f>IFERROR(AI68/AI148, "NA")</f>
        <v>0.0225655157</v>
      </c>
      <c r="AK68" s="61">
        <f t="shared" si="36"/>
        <v>0.01916033418</v>
      </c>
      <c r="AL68" s="62">
        <f>IFERROR(AK68/AK148, "NA")</f>
        <v>0.1604421442</v>
      </c>
    </row>
    <row r="69" ht="16.5" customHeight="1">
      <c r="A69" s="26" t="s">
        <v>134</v>
      </c>
      <c r="B69" s="28">
        <v>0.0</v>
      </c>
      <c r="C69" s="15">
        <f>IFERROR(B69/B148, "NA")</f>
        <v>0</v>
      </c>
      <c r="D69" s="28">
        <v>0.0</v>
      </c>
      <c r="E69" s="15">
        <f>IFERROR(D69/D148, "NA")</f>
        <v>0</v>
      </c>
      <c r="F69" s="28">
        <v>0.0</v>
      </c>
      <c r="G69" s="15">
        <f>IFERROR(F69/F148, "NA")</f>
        <v>0</v>
      </c>
      <c r="H69" s="28">
        <v>83.37</v>
      </c>
      <c r="I69" s="15">
        <f>IFERROR(H69/H148, "NA")</f>
        <v>0.001561782872</v>
      </c>
      <c r="J69" s="28">
        <v>54.46</v>
      </c>
      <c r="K69" s="15">
        <f>IFERROR(J69/J148, "NA")</f>
        <v>0.00117216338</v>
      </c>
      <c r="L69" s="28">
        <v>19.44</v>
      </c>
      <c r="M69" s="15">
        <f>IFERROR(L69/L148, "NA")</f>
        <v>0.0004434243859</v>
      </c>
      <c r="N69" s="28">
        <v>65.63</v>
      </c>
      <c r="O69" s="15">
        <f>IFERROR(N69/N148, "NA")</f>
        <v>0.001240894185</v>
      </c>
      <c r="P69" s="28">
        <v>873.93</v>
      </c>
      <c r="Q69" s="15">
        <f>IFERROR(P69/P148, "NA")</f>
        <v>0.01353274412</v>
      </c>
      <c r="R69" s="28">
        <v>326.2</v>
      </c>
      <c r="S69" s="15">
        <f>IFERROR(R69/R148, "NA")</f>
        <v>0.005954837795</v>
      </c>
      <c r="T69" s="28">
        <v>0.0</v>
      </c>
      <c r="U69" s="15">
        <f>IFERROR(T69/T148, "NA")</f>
        <v>0</v>
      </c>
      <c r="V69" s="28">
        <v>508.84</v>
      </c>
      <c r="W69" s="15">
        <f>IFERROR(V69/V148, "NA")</f>
        <v>0.01106884244</v>
      </c>
      <c r="X69" s="28">
        <v>462.13</v>
      </c>
      <c r="Y69" s="15">
        <f>IFERROR(X69/X148, "NA")</f>
        <v>0.007946999141</v>
      </c>
      <c r="Z69" s="28">
        <v>970.97</v>
      </c>
      <c r="AA69" s="15">
        <f>IFERROR(Z69/Z148, "NA")</f>
        <v>0.006344821583</v>
      </c>
      <c r="AB69" s="57">
        <f t="shared" si="31"/>
        <v>324.2925</v>
      </c>
      <c r="AC69" s="15">
        <f>IFERROR(AB69/AB148, "NA")</f>
        <v>0.006242022554</v>
      </c>
      <c r="AD69" s="61">
        <f t="shared" si="32"/>
        <v>137.8375</v>
      </c>
      <c r="AE69" s="62">
        <f>IFERROR(AD69/AD148, "NA")</f>
        <v>0.02223760254</v>
      </c>
      <c r="AF69" s="61">
        <f t="shared" si="33"/>
        <v>0.4250406654</v>
      </c>
      <c r="AG69" s="57">
        <f t="shared" si="34"/>
        <v>288.82875</v>
      </c>
      <c r="AH69" s="15">
        <f>IFERROR(AG69/AG148, "NA")</f>
        <v>0.005559980805</v>
      </c>
      <c r="AI69" s="61">
        <f t="shared" si="35"/>
        <v>173.30125</v>
      </c>
      <c r="AJ69" s="62">
        <f>IFERROR(AI69/AI148, "NA")</f>
        <v>0.02793508163</v>
      </c>
      <c r="AK69" s="61">
        <f t="shared" si="36"/>
        <v>0.600013849</v>
      </c>
      <c r="AL69" s="62">
        <f>IFERROR(AK69/AK148, "NA")</f>
        <v>5.024312603</v>
      </c>
    </row>
    <row r="70" ht="16.5" customHeight="1">
      <c r="A70" s="67" t="s">
        <v>138</v>
      </c>
      <c r="B70" s="70">
        <f>IFERROR(B65+B66+B67+B68+B69, "NA")</f>
        <v>8895.65</v>
      </c>
      <c r="C70" s="71">
        <f>IFERROR(B70/B148, "NA")</f>
        <v>0.2620203162</v>
      </c>
      <c r="D70" s="70">
        <f>IFERROR(D65+D66+D67+D68+D69, "NA")</f>
        <v>9044.18</v>
      </c>
      <c r="E70" s="71">
        <f>IFERROR(D70/D148, "NA")</f>
        <v>0.1936322298</v>
      </c>
      <c r="F70" s="70">
        <f>IFERROR(F65+F66+F67+F68+F69, "NA")</f>
        <v>8998.92</v>
      </c>
      <c r="G70" s="71">
        <f>IFERROR(F70/F148, "NA")</f>
        <v>0.2234602856</v>
      </c>
      <c r="H70" s="70">
        <f>IFERROR(H65+H66+H67+H68+H69, "NA")</f>
        <v>10047.54</v>
      </c>
      <c r="I70" s="71">
        <f>IFERROR(H70/H148, "NA")</f>
        <v>0.1882220928</v>
      </c>
      <c r="J70" s="70">
        <f>IFERROR(J65+J66+J67+J68+J69, "NA")</f>
        <v>9868.66</v>
      </c>
      <c r="K70" s="71">
        <f>IFERROR(J70/J148, "NA")</f>
        <v>0.2124069383</v>
      </c>
      <c r="L70" s="70">
        <f>IFERROR(L65+L66+L67+L68+L69, "NA")</f>
        <v>9186.04</v>
      </c>
      <c r="M70" s="71">
        <f>IFERROR(L70/L148, "NA")</f>
        <v>0.2095326207</v>
      </c>
      <c r="N70" s="70">
        <f>IFERROR(N65+N66+N67+N68+N69, "NA")</f>
        <v>10369.67</v>
      </c>
      <c r="O70" s="71">
        <f>IFERROR(N70/N148, "NA")</f>
        <v>0.1960637392</v>
      </c>
      <c r="P70" s="70">
        <f>IFERROR(P65+P66+P67+P68+P69, "NA")</f>
        <v>11553.95</v>
      </c>
      <c r="Q70" s="71">
        <f>IFERROR(P70/P148, "NA")</f>
        <v>0.178912097</v>
      </c>
      <c r="R70" s="70">
        <f>IFERROR(R65+R66+R67+R68+R69, "NA")</f>
        <v>10390.13</v>
      </c>
      <c r="S70" s="71">
        <f>IFERROR(R70/R148, "NA")</f>
        <v>0.1896736322</v>
      </c>
      <c r="T70" s="70">
        <f>IFERROR(T65+T66+T67+T68+T69, "NA")</f>
        <v>9545.16</v>
      </c>
      <c r="U70" s="71">
        <f>IFERROR(T70/T148, "NA")</f>
        <v>0.1951517711</v>
      </c>
      <c r="V70" s="70">
        <f>IFERROR(V65+V66+V67+V68+V69, "NA")</f>
        <v>9573.19</v>
      </c>
      <c r="W70" s="71">
        <f>IFERROR(V70/V148, "NA")</f>
        <v>0.208246466</v>
      </c>
      <c r="X70" s="70">
        <f>IFERROR(X65+X66+X67+X68+X69, "NA")</f>
        <v>10427.59</v>
      </c>
      <c r="Y70" s="71">
        <f>IFERROR(X70/X148, "NA")</f>
        <v>0.1793176136</v>
      </c>
      <c r="Z70" s="70">
        <f>IFERROR(Z65+Z66+Z67+Z68+Z69, "NA")</f>
        <v>29545.94</v>
      </c>
      <c r="AA70" s="71">
        <f>IFERROR(Z70/Z148, "NA")</f>
        <v>0.1930684963</v>
      </c>
      <c r="AB70" s="70">
        <f t="shared" si="31"/>
        <v>9984.0175</v>
      </c>
      <c r="AC70" s="71">
        <f>IFERROR(AB70/AB148, "NA")</f>
        <v>0.1921736162</v>
      </c>
      <c r="AD70" s="75">
        <f t="shared" si="32"/>
        <v>443.5725</v>
      </c>
      <c r="AE70" s="76">
        <f>IFERROR(AD70/AD148, "NA")</f>
        <v>0.0715624482</v>
      </c>
      <c r="AF70" s="75">
        <f t="shared" si="33"/>
        <v>0.04442825746</v>
      </c>
      <c r="AG70" s="70">
        <f t="shared" si="34"/>
        <v>10114.29875</v>
      </c>
      <c r="AH70" s="71">
        <f>IFERROR(AG70/AG148, "NA")</f>
        <v>0.1947012093</v>
      </c>
      <c r="AI70" s="75">
        <f t="shared" si="35"/>
        <v>313.29125</v>
      </c>
      <c r="AJ70" s="76">
        <f>IFERROR(AI70/AI148, "NA")</f>
        <v>0.05050059732</v>
      </c>
      <c r="AK70" s="75">
        <f t="shared" si="36"/>
        <v>0.03097508367</v>
      </c>
      <c r="AL70" s="76">
        <f>IFERROR(AK70/AK148, "NA")</f>
        <v>0.2593748519</v>
      </c>
    </row>
    <row r="71" ht="16.5" hidden="1" customHeight="1">
      <c r="A71" s="26" t="s">
        <v>143</v>
      </c>
      <c r="B71" s="28">
        <v>0.0</v>
      </c>
      <c r="C71" s="15">
        <f>IFERROR(B71/B148, "NA")</f>
        <v>0</v>
      </c>
      <c r="D71" s="28">
        <v>0.0</v>
      </c>
      <c r="E71" s="15">
        <f>IFERROR(D71/D148, "NA")</f>
        <v>0</v>
      </c>
      <c r="F71" s="28">
        <v>0.0</v>
      </c>
      <c r="G71" s="15">
        <f>IFERROR(F71/F148, "NA")</f>
        <v>0</v>
      </c>
      <c r="H71" s="28">
        <v>0.0</v>
      </c>
      <c r="I71" s="15">
        <f>IFERROR(H71/H148, "NA")</f>
        <v>0</v>
      </c>
      <c r="J71" s="28">
        <v>0.0</v>
      </c>
      <c r="K71" s="15">
        <f>IFERROR(J71/J148, "NA")</f>
        <v>0</v>
      </c>
      <c r="L71" s="28">
        <v>0.0</v>
      </c>
      <c r="M71" s="15">
        <f>IFERROR(L71/L148, "NA")</f>
        <v>0</v>
      </c>
      <c r="N71" s="28">
        <v>0.0</v>
      </c>
      <c r="O71" s="15">
        <f>IFERROR(N71/N148, "NA")</f>
        <v>0</v>
      </c>
      <c r="P71" s="28">
        <v>0.0</v>
      </c>
      <c r="Q71" s="15">
        <f>IFERROR(P71/P148, "NA")</f>
        <v>0</v>
      </c>
      <c r="R71" s="28">
        <v>0.0</v>
      </c>
      <c r="S71" s="15">
        <f>IFERROR(R71/R148, "NA")</f>
        <v>0</v>
      </c>
      <c r="T71" s="28">
        <v>0.0</v>
      </c>
      <c r="U71" s="15">
        <f>IFERROR(T71/T148, "NA")</f>
        <v>0</v>
      </c>
      <c r="V71" s="28">
        <v>0.0</v>
      </c>
      <c r="W71" s="15">
        <f>IFERROR(V71/V148, "NA")</f>
        <v>0</v>
      </c>
      <c r="X71" s="28">
        <v>0.0</v>
      </c>
      <c r="Y71" s="15">
        <f>IFERROR(X71/X148, "NA")</f>
        <v>0</v>
      </c>
      <c r="Z71" s="28">
        <v>0.0</v>
      </c>
      <c r="AA71" s="15">
        <f>IFERROR(Z71/Z148, "NA")</f>
        <v>0</v>
      </c>
      <c r="AB71" s="57">
        <f t="shared" si="31"/>
        <v>0</v>
      </c>
      <c r="AC71" s="15">
        <f>IFERROR(AB71/AB148, "NA")</f>
        <v>0</v>
      </c>
      <c r="AD71" s="61">
        <f t="shared" si="32"/>
        <v>0</v>
      </c>
      <c r="AE71" s="62">
        <f>IFERROR(AD71/AD148, "NA")</f>
        <v>0</v>
      </c>
      <c r="AF71" s="61" t="str">
        <f t="shared" si="33"/>
        <v>NA</v>
      </c>
      <c r="AG71" s="57">
        <f t="shared" si="34"/>
        <v>0</v>
      </c>
      <c r="AH71" s="15">
        <f>IFERROR(AG71/AG148, "NA")</f>
        <v>0</v>
      </c>
      <c r="AI71" s="61">
        <f t="shared" si="35"/>
        <v>0</v>
      </c>
      <c r="AJ71" s="62">
        <f>IFERROR(AI71/AI148, "NA")</f>
        <v>0</v>
      </c>
      <c r="AK71" s="61" t="str">
        <f t="shared" si="36"/>
        <v>NA</v>
      </c>
      <c r="AL71" s="62" t="str">
        <f>IFERROR(AK71/AK148, "NA")</f>
        <v>NA</v>
      </c>
    </row>
    <row r="72" ht="16.5" customHeight="1">
      <c r="A72" s="26" t="s">
        <v>146</v>
      </c>
      <c r="B72" s="28">
        <v>0.0</v>
      </c>
      <c r="C72" s="15">
        <f>IFERROR(B72/B148, "NA")</f>
        <v>0</v>
      </c>
      <c r="D72" s="28">
        <v>0.0</v>
      </c>
      <c r="E72" s="15">
        <f>IFERROR(D72/D148, "NA")</f>
        <v>0</v>
      </c>
      <c r="F72" s="28">
        <v>0.0</v>
      </c>
      <c r="G72" s="15">
        <f>IFERROR(F72/F148, "NA")</f>
        <v>0</v>
      </c>
      <c r="H72" s="28">
        <v>863.0</v>
      </c>
      <c r="I72" s="15">
        <f>IFERROR(H72/H148, "NA")</f>
        <v>0.01616671007</v>
      </c>
      <c r="J72" s="28">
        <v>0.0</v>
      </c>
      <c r="K72" s="15">
        <f>IFERROR(J72/J148, "NA")</f>
        <v>0</v>
      </c>
      <c r="L72" s="28">
        <v>0.0</v>
      </c>
      <c r="M72" s="15">
        <f>IFERROR(L72/L148, "NA")</f>
        <v>0</v>
      </c>
      <c r="N72" s="28">
        <v>0.0</v>
      </c>
      <c r="O72" s="15">
        <f>IFERROR(N72/N148, "NA")</f>
        <v>0</v>
      </c>
      <c r="P72" s="28">
        <v>0.0</v>
      </c>
      <c r="Q72" s="15">
        <f>IFERROR(P72/P148, "NA")</f>
        <v>0</v>
      </c>
      <c r="R72" s="28">
        <v>-1637.0</v>
      </c>
      <c r="S72" s="15">
        <f>IFERROR(R72/R148, "NA")</f>
        <v>-0.02988372002</v>
      </c>
      <c r="T72" s="28">
        <v>0.0</v>
      </c>
      <c r="U72" s="15">
        <f>IFERROR(T72/T148, "NA")</f>
        <v>0</v>
      </c>
      <c r="V72" s="28">
        <v>0.0</v>
      </c>
      <c r="W72" s="15">
        <f>IFERROR(V72/V148, "NA")</f>
        <v>0</v>
      </c>
      <c r="X72" s="28">
        <v>0.0</v>
      </c>
      <c r="Y72" s="15">
        <f>IFERROR(X72/X148, "NA")</f>
        <v>0</v>
      </c>
      <c r="Z72" s="28">
        <v>0.0</v>
      </c>
      <c r="AA72" s="15">
        <f>IFERROR(Z72/Z148, "NA")</f>
        <v>0</v>
      </c>
      <c r="AB72" s="57">
        <f t="shared" si="31"/>
        <v>-409.25</v>
      </c>
      <c r="AC72" s="15">
        <f>IFERROR(AB72/AB148, "NA")</f>
        <v>-0.007877295128</v>
      </c>
      <c r="AD72" s="61">
        <f t="shared" si="32"/>
        <v>409.25</v>
      </c>
      <c r="AE72" s="62">
        <f>IFERROR(AD72/AD148, "NA")</f>
        <v>0.06602512988</v>
      </c>
      <c r="AF72" s="61">
        <f t="shared" si="33"/>
        <v>-1</v>
      </c>
      <c r="AG72" s="57">
        <f t="shared" si="34"/>
        <v>-204.625</v>
      </c>
      <c r="AH72" s="15">
        <f>IFERROR(AG72/AG148, "NA")</f>
        <v>-0.003939050639</v>
      </c>
      <c r="AI72" s="61">
        <f t="shared" si="35"/>
        <v>204.625</v>
      </c>
      <c r="AJ72" s="62">
        <f>IFERROR(AI72/AI148, "NA")</f>
        <v>0.03298427494</v>
      </c>
      <c r="AK72" s="61">
        <f t="shared" si="36"/>
        <v>-1</v>
      </c>
      <c r="AL72" s="62">
        <f>IFERROR(AK72/AK148, "NA")</f>
        <v>-8.373661059</v>
      </c>
    </row>
    <row r="73" ht="16.5" customHeight="1">
      <c r="A73" s="22" t="s">
        <v>151</v>
      </c>
      <c r="B73" s="23"/>
      <c r="C73" s="10"/>
      <c r="D73" s="23"/>
      <c r="E73" s="10"/>
      <c r="F73" s="23"/>
      <c r="G73" s="10"/>
      <c r="H73" s="23"/>
      <c r="I73" s="10"/>
      <c r="J73" s="23"/>
      <c r="K73" s="10"/>
      <c r="L73" s="23"/>
      <c r="M73" s="10"/>
      <c r="N73" s="23"/>
      <c r="O73" s="10"/>
      <c r="P73" s="23"/>
      <c r="Q73" s="10"/>
      <c r="R73" s="23"/>
      <c r="S73" s="10"/>
      <c r="T73" s="23"/>
      <c r="U73" s="10"/>
      <c r="V73" s="23"/>
      <c r="W73" s="10"/>
      <c r="X73" s="23"/>
      <c r="Y73" s="10"/>
      <c r="Z73" s="23"/>
      <c r="AA73" s="10"/>
      <c r="AB73" s="23"/>
      <c r="AC73" s="10"/>
      <c r="AD73" s="24"/>
      <c r="AE73" s="25"/>
      <c r="AF73" s="24"/>
      <c r="AG73" s="23"/>
      <c r="AH73" s="10"/>
      <c r="AI73" s="24"/>
      <c r="AJ73" s="25"/>
      <c r="AK73" s="24"/>
      <c r="AL73" s="25"/>
    </row>
    <row r="74" ht="16.5" customHeight="1">
      <c r="A74" s="26" t="s">
        <v>153</v>
      </c>
      <c r="B74" s="28">
        <v>1076.26</v>
      </c>
      <c r="C74" s="15">
        <f>IFERROR(B74/B148, "NA")</f>
        <v>0.03170111071</v>
      </c>
      <c r="D74" s="28">
        <v>1050.84</v>
      </c>
      <c r="E74" s="15">
        <f>IFERROR(D74/D148, "NA")</f>
        <v>0.02249805868</v>
      </c>
      <c r="F74" s="28">
        <v>1048.41</v>
      </c>
      <c r="G74" s="15">
        <f>IFERROR(F74/F148, "NA")</f>
        <v>0.02603401275</v>
      </c>
      <c r="H74" s="28">
        <v>1261.29</v>
      </c>
      <c r="I74" s="15">
        <f>IFERROR(H74/H148, "NA")</f>
        <v>0.02362793712</v>
      </c>
      <c r="J74" s="28">
        <v>1197.34</v>
      </c>
      <c r="K74" s="15">
        <f>IFERROR(J74/J148, "NA")</f>
        <v>0.02577080612</v>
      </c>
      <c r="L74" s="28">
        <v>1012.62</v>
      </c>
      <c r="M74" s="15">
        <f>IFERROR(L74/L148, "NA")</f>
        <v>0.02309775729</v>
      </c>
      <c r="N74" s="28">
        <v>1140.91</v>
      </c>
      <c r="O74" s="15">
        <f>IFERROR(N74/N148, "NA")</f>
        <v>0.02157166821</v>
      </c>
      <c r="P74" s="28">
        <v>1342.01</v>
      </c>
      <c r="Q74" s="15">
        <f>IFERROR(P74/P148, "NA")</f>
        <v>0.02078092975</v>
      </c>
      <c r="R74" s="28">
        <v>1126.35</v>
      </c>
      <c r="S74" s="15">
        <f>IFERROR(R74/R148, "NA")</f>
        <v>0.02056171536</v>
      </c>
      <c r="T74" s="28">
        <v>942.96</v>
      </c>
      <c r="U74" s="15">
        <f>IFERROR(T74/T148, "NA")</f>
        <v>0.01927891351</v>
      </c>
      <c r="V74" s="28">
        <v>897.04</v>
      </c>
      <c r="W74" s="15">
        <f>IFERROR(V74/V148, "NA")</f>
        <v>0.01951339207</v>
      </c>
      <c r="X74" s="28">
        <v>1005.18</v>
      </c>
      <c r="Y74" s="15">
        <f>IFERROR(X74/X148, "NA")</f>
        <v>0.01728553566</v>
      </c>
      <c r="Z74" s="28">
        <v>2845.18</v>
      </c>
      <c r="AA74" s="15">
        <f>IFERROR(Z74/Z148, "NA")</f>
        <v>0.0185918818</v>
      </c>
      <c r="AB74" s="57">
        <f t="shared" ref="AB74:AB85" si="37">IFERROR((R74+T74+V74+X74)/4, "NA")</f>
        <v>992.8825</v>
      </c>
      <c r="AC74" s="15">
        <f>IFERROR(AB74/AB148, "NA")</f>
        <v>0.0191111264</v>
      </c>
      <c r="AD74" s="61">
        <f t="shared" ref="AD74:AD85" si="38">IFERROR(X74-AB74, "NA")</f>
        <v>12.2975</v>
      </c>
      <c r="AE74" s="62">
        <f>IFERROR(AD74/AD148, "NA")</f>
        <v>0.001983980537</v>
      </c>
      <c r="AF74" s="61">
        <f t="shared" ref="AF74:AF85" si="39">IFERROR((X74-AB74)/AB74, "NA")</f>
        <v>0.0123856549</v>
      </c>
      <c r="AG74" s="57">
        <f t="shared" ref="AG74:AG85" si="40">IFERROR((J74+L74+N74+P74+R74+T74+V74+X74)/8, "NA")</f>
        <v>1083.05125</v>
      </c>
      <c r="AH74" s="15">
        <f>IFERROR(AG74/AG148, "NA")</f>
        <v>0.02084883918</v>
      </c>
      <c r="AI74" s="61">
        <f t="shared" ref="AI74:AI85" si="41">IFERROR(X74-AG74, "NA")</f>
        <v>-77.87125</v>
      </c>
      <c r="AJ74" s="62">
        <f>IFERROR(AI74/AI148, "NA")</f>
        <v>-0.01255236027</v>
      </c>
      <c r="AK74" s="61">
        <f t="shared" ref="AK74:AK85" si="42">IFERROR((X74-AG74)/AG74, "NA")</f>
        <v>-0.07189987547</v>
      </c>
      <c r="AL74" s="62">
        <f>IFERROR(AK74/AK148, "NA")</f>
        <v>-0.6020651874</v>
      </c>
    </row>
    <row r="75" ht="16.5" hidden="1" customHeight="1">
      <c r="A75" s="26" t="s">
        <v>158</v>
      </c>
      <c r="B75" s="28">
        <v>0.0</v>
      </c>
      <c r="C75" s="15">
        <f>IFERROR(B75/B148, "NA")</f>
        <v>0</v>
      </c>
      <c r="D75" s="28">
        <v>0.0</v>
      </c>
      <c r="E75" s="15">
        <f>IFERROR(D75/D148, "NA")</f>
        <v>0</v>
      </c>
      <c r="F75" s="28">
        <v>0.0</v>
      </c>
      <c r="G75" s="15">
        <f>IFERROR(F75/F148, "NA")</f>
        <v>0</v>
      </c>
      <c r="H75" s="28">
        <v>0.0</v>
      </c>
      <c r="I75" s="15">
        <f>IFERROR(H75/H148, "NA")</f>
        <v>0</v>
      </c>
      <c r="J75" s="28">
        <v>0.0</v>
      </c>
      <c r="K75" s="15">
        <f>IFERROR(J75/J148, "NA")</f>
        <v>0</v>
      </c>
      <c r="L75" s="28">
        <v>0.0</v>
      </c>
      <c r="M75" s="15">
        <f>IFERROR(L75/L148, "NA")</f>
        <v>0</v>
      </c>
      <c r="N75" s="28">
        <v>0.0</v>
      </c>
      <c r="O75" s="15">
        <f>IFERROR(N75/N148, "NA")</f>
        <v>0</v>
      </c>
      <c r="P75" s="28">
        <v>0.0</v>
      </c>
      <c r="Q75" s="15">
        <f>IFERROR(P75/P148, "NA")</f>
        <v>0</v>
      </c>
      <c r="R75" s="28">
        <v>0.0</v>
      </c>
      <c r="S75" s="15">
        <f>IFERROR(R75/R148, "NA")</f>
        <v>0</v>
      </c>
      <c r="T75" s="28">
        <v>0.0</v>
      </c>
      <c r="U75" s="15">
        <f>IFERROR(T75/T148, "NA")</f>
        <v>0</v>
      </c>
      <c r="V75" s="28">
        <v>0.0</v>
      </c>
      <c r="W75" s="15">
        <f>IFERROR(V75/V148, "NA")</f>
        <v>0</v>
      </c>
      <c r="X75" s="28">
        <v>0.0</v>
      </c>
      <c r="Y75" s="15">
        <f>IFERROR(X75/X148, "NA")</f>
        <v>0</v>
      </c>
      <c r="Z75" s="28">
        <v>0.0</v>
      </c>
      <c r="AA75" s="15">
        <f>IFERROR(Z75/Z148, "NA")</f>
        <v>0</v>
      </c>
      <c r="AB75" s="57">
        <f t="shared" si="37"/>
        <v>0</v>
      </c>
      <c r="AC75" s="15">
        <f>IFERROR(AB75/AB148, "NA")</f>
        <v>0</v>
      </c>
      <c r="AD75" s="61">
        <f t="shared" si="38"/>
        <v>0</v>
      </c>
      <c r="AE75" s="62">
        <f>IFERROR(AD75/AD148, "NA")</f>
        <v>0</v>
      </c>
      <c r="AF75" s="61" t="str">
        <f t="shared" si="39"/>
        <v>NA</v>
      </c>
      <c r="AG75" s="57">
        <f t="shared" si="40"/>
        <v>0</v>
      </c>
      <c r="AH75" s="15">
        <f>IFERROR(AG75/AG148, "NA")</f>
        <v>0</v>
      </c>
      <c r="AI75" s="61">
        <f t="shared" si="41"/>
        <v>0</v>
      </c>
      <c r="AJ75" s="62">
        <f>IFERROR(AI75/AI148, "NA")</f>
        <v>0</v>
      </c>
      <c r="AK75" s="61" t="str">
        <f t="shared" si="42"/>
        <v>NA</v>
      </c>
      <c r="AL75" s="62" t="str">
        <f>IFERROR(AK75/AK148, "NA")</f>
        <v>NA</v>
      </c>
    </row>
    <row r="76" ht="16.5" hidden="1" customHeight="1">
      <c r="A76" s="26" t="s">
        <v>160</v>
      </c>
      <c r="B76" s="28">
        <v>0.0</v>
      </c>
      <c r="C76" s="15">
        <f>IFERROR(B76/B148, "NA")</f>
        <v>0</v>
      </c>
      <c r="D76" s="28">
        <v>0.0</v>
      </c>
      <c r="E76" s="15">
        <f>IFERROR(D76/D148, "NA")</f>
        <v>0</v>
      </c>
      <c r="F76" s="28">
        <v>0.0</v>
      </c>
      <c r="G76" s="15">
        <f>IFERROR(F76/F148, "NA")</f>
        <v>0</v>
      </c>
      <c r="H76" s="28">
        <v>0.0</v>
      </c>
      <c r="I76" s="15">
        <f>IFERROR(H76/H148, "NA")</f>
        <v>0</v>
      </c>
      <c r="J76" s="28">
        <v>0.0</v>
      </c>
      <c r="K76" s="15">
        <f>IFERROR(J76/J148, "NA")</f>
        <v>0</v>
      </c>
      <c r="L76" s="28">
        <v>0.0</v>
      </c>
      <c r="M76" s="15">
        <f>IFERROR(L76/L148, "NA")</f>
        <v>0</v>
      </c>
      <c r="N76" s="28">
        <v>0.0</v>
      </c>
      <c r="O76" s="15">
        <f>IFERROR(N76/N148, "NA")</f>
        <v>0</v>
      </c>
      <c r="P76" s="28">
        <v>0.0</v>
      </c>
      <c r="Q76" s="15">
        <f>IFERROR(P76/P148, "NA")</f>
        <v>0</v>
      </c>
      <c r="R76" s="28">
        <v>0.0</v>
      </c>
      <c r="S76" s="15">
        <f>IFERROR(R76/R148, "NA")</f>
        <v>0</v>
      </c>
      <c r="T76" s="28">
        <v>0.0</v>
      </c>
      <c r="U76" s="15">
        <f>IFERROR(T76/T148, "NA")</f>
        <v>0</v>
      </c>
      <c r="V76" s="28">
        <v>0.0</v>
      </c>
      <c r="W76" s="15">
        <f>IFERROR(V76/V148, "NA")</f>
        <v>0</v>
      </c>
      <c r="X76" s="28">
        <v>0.0</v>
      </c>
      <c r="Y76" s="15">
        <f>IFERROR(X76/X148, "NA")</f>
        <v>0</v>
      </c>
      <c r="Z76" s="28">
        <v>0.0</v>
      </c>
      <c r="AA76" s="15">
        <f>IFERROR(Z76/Z148, "NA")</f>
        <v>0</v>
      </c>
      <c r="AB76" s="57">
        <f t="shared" si="37"/>
        <v>0</v>
      </c>
      <c r="AC76" s="15">
        <f>IFERROR(AB76/AB148, "NA")</f>
        <v>0</v>
      </c>
      <c r="AD76" s="61">
        <f t="shared" si="38"/>
        <v>0</v>
      </c>
      <c r="AE76" s="62">
        <f>IFERROR(AD76/AD148, "NA")</f>
        <v>0</v>
      </c>
      <c r="AF76" s="61" t="str">
        <f t="shared" si="39"/>
        <v>NA</v>
      </c>
      <c r="AG76" s="57">
        <f t="shared" si="40"/>
        <v>0</v>
      </c>
      <c r="AH76" s="15">
        <f>IFERROR(AG76/AG148, "NA")</f>
        <v>0</v>
      </c>
      <c r="AI76" s="61">
        <f t="shared" si="41"/>
        <v>0</v>
      </c>
      <c r="AJ76" s="62">
        <f>IFERROR(AI76/AI148, "NA")</f>
        <v>0</v>
      </c>
      <c r="AK76" s="61" t="str">
        <f t="shared" si="42"/>
        <v>NA</v>
      </c>
      <c r="AL76" s="62" t="str">
        <f>IFERROR(AK76/AK148, "NA")</f>
        <v>NA</v>
      </c>
    </row>
    <row r="77" ht="16.5" hidden="1" customHeight="1">
      <c r="A77" s="26" t="s">
        <v>163</v>
      </c>
      <c r="B77" s="28">
        <v>0.0</v>
      </c>
      <c r="C77" s="15">
        <f>IFERROR(B77/B148, "NA")</f>
        <v>0</v>
      </c>
      <c r="D77" s="28">
        <v>0.0</v>
      </c>
      <c r="E77" s="15">
        <f>IFERROR(D77/D148, "NA")</f>
        <v>0</v>
      </c>
      <c r="F77" s="28">
        <v>0.0</v>
      </c>
      <c r="G77" s="15">
        <f>IFERROR(F77/F148, "NA")</f>
        <v>0</v>
      </c>
      <c r="H77" s="28">
        <v>0.0</v>
      </c>
      <c r="I77" s="15">
        <f>IFERROR(H77/H148, "NA")</f>
        <v>0</v>
      </c>
      <c r="J77" s="28">
        <v>0.0</v>
      </c>
      <c r="K77" s="15">
        <f>IFERROR(J77/J148, "NA")</f>
        <v>0</v>
      </c>
      <c r="L77" s="28">
        <v>0.0</v>
      </c>
      <c r="M77" s="15">
        <f>IFERROR(L77/L148, "NA")</f>
        <v>0</v>
      </c>
      <c r="N77" s="28">
        <v>0.0</v>
      </c>
      <c r="O77" s="15">
        <f>IFERROR(N77/N148, "NA")</f>
        <v>0</v>
      </c>
      <c r="P77" s="28">
        <v>0.0</v>
      </c>
      <c r="Q77" s="15">
        <f>IFERROR(P77/P148, "NA")</f>
        <v>0</v>
      </c>
      <c r="R77" s="28">
        <v>0.0</v>
      </c>
      <c r="S77" s="15">
        <f>IFERROR(R77/R148, "NA")</f>
        <v>0</v>
      </c>
      <c r="T77" s="28">
        <v>0.0</v>
      </c>
      <c r="U77" s="15">
        <f>IFERROR(T77/T148, "NA")</f>
        <v>0</v>
      </c>
      <c r="V77" s="28">
        <v>0.0</v>
      </c>
      <c r="W77" s="15">
        <f>IFERROR(V77/V148, "NA")</f>
        <v>0</v>
      </c>
      <c r="X77" s="28">
        <v>0.0</v>
      </c>
      <c r="Y77" s="15">
        <f>IFERROR(X77/X148, "NA")</f>
        <v>0</v>
      </c>
      <c r="Z77" s="28">
        <v>0.0</v>
      </c>
      <c r="AA77" s="15">
        <f>IFERROR(Z77/Z148, "NA")</f>
        <v>0</v>
      </c>
      <c r="AB77" s="57">
        <f t="shared" si="37"/>
        <v>0</v>
      </c>
      <c r="AC77" s="15">
        <f>IFERROR(AB77/AB148, "NA")</f>
        <v>0</v>
      </c>
      <c r="AD77" s="61">
        <f t="shared" si="38"/>
        <v>0</v>
      </c>
      <c r="AE77" s="62">
        <f>IFERROR(AD77/AD148, "NA")</f>
        <v>0</v>
      </c>
      <c r="AF77" s="61" t="str">
        <f t="shared" si="39"/>
        <v>NA</v>
      </c>
      <c r="AG77" s="57">
        <f t="shared" si="40"/>
        <v>0</v>
      </c>
      <c r="AH77" s="15">
        <f>IFERROR(AG77/AG148, "NA")</f>
        <v>0</v>
      </c>
      <c r="AI77" s="61">
        <f t="shared" si="41"/>
        <v>0</v>
      </c>
      <c r="AJ77" s="62">
        <f>IFERROR(AI77/AI148, "NA")</f>
        <v>0</v>
      </c>
      <c r="AK77" s="61" t="str">
        <f t="shared" si="42"/>
        <v>NA</v>
      </c>
      <c r="AL77" s="62" t="str">
        <f>IFERROR(AK77/AK148, "NA")</f>
        <v>NA</v>
      </c>
    </row>
    <row r="78" ht="16.5" hidden="1" customHeight="1">
      <c r="A78" s="26" t="s">
        <v>167</v>
      </c>
      <c r="B78" s="28">
        <v>0.0</v>
      </c>
      <c r="C78" s="15">
        <f>IFERROR(B78/B148, "NA")</f>
        <v>0</v>
      </c>
      <c r="D78" s="28">
        <v>0.0</v>
      </c>
      <c r="E78" s="15">
        <f>IFERROR(D78/D148, "NA")</f>
        <v>0</v>
      </c>
      <c r="F78" s="28">
        <v>0.0</v>
      </c>
      <c r="G78" s="15">
        <f>IFERROR(F78/F148, "NA")</f>
        <v>0</v>
      </c>
      <c r="H78" s="28">
        <v>0.0</v>
      </c>
      <c r="I78" s="15">
        <f>IFERROR(H78/H148, "NA")</f>
        <v>0</v>
      </c>
      <c r="J78" s="28">
        <v>0.0</v>
      </c>
      <c r="K78" s="15">
        <f>IFERROR(J78/J148, "NA")</f>
        <v>0</v>
      </c>
      <c r="L78" s="28">
        <v>0.0</v>
      </c>
      <c r="M78" s="15">
        <f>IFERROR(L78/L148, "NA")</f>
        <v>0</v>
      </c>
      <c r="N78" s="28">
        <v>0.0</v>
      </c>
      <c r="O78" s="15">
        <f>IFERROR(N78/N148, "NA")</f>
        <v>0</v>
      </c>
      <c r="P78" s="28">
        <v>0.0</v>
      </c>
      <c r="Q78" s="15">
        <f>IFERROR(P78/P148, "NA")</f>
        <v>0</v>
      </c>
      <c r="R78" s="28">
        <v>0.0</v>
      </c>
      <c r="S78" s="15">
        <f>IFERROR(R78/R148, "NA")</f>
        <v>0</v>
      </c>
      <c r="T78" s="28">
        <v>0.0</v>
      </c>
      <c r="U78" s="15">
        <f>IFERROR(T78/T148, "NA")</f>
        <v>0</v>
      </c>
      <c r="V78" s="28">
        <v>0.0</v>
      </c>
      <c r="W78" s="15">
        <f>IFERROR(V78/V148, "NA")</f>
        <v>0</v>
      </c>
      <c r="X78" s="28">
        <v>0.0</v>
      </c>
      <c r="Y78" s="15">
        <f>IFERROR(X78/X148, "NA")</f>
        <v>0</v>
      </c>
      <c r="Z78" s="28">
        <v>0.0</v>
      </c>
      <c r="AA78" s="15">
        <f>IFERROR(Z78/Z148, "NA")</f>
        <v>0</v>
      </c>
      <c r="AB78" s="57">
        <f t="shared" si="37"/>
        <v>0</v>
      </c>
      <c r="AC78" s="15">
        <f>IFERROR(AB78/AB148, "NA")</f>
        <v>0</v>
      </c>
      <c r="AD78" s="61">
        <f t="shared" si="38"/>
        <v>0</v>
      </c>
      <c r="AE78" s="62">
        <f>IFERROR(AD78/AD148, "NA")</f>
        <v>0</v>
      </c>
      <c r="AF78" s="61" t="str">
        <f t="shared" si="39"/>
        <v>NA</v>
      </c>
      <c r="AG78" s="57">
        <f t="shared" si="40"/>
        <v>0</v>
      </c>
      <c r="AH78" s="15">
        <f>IFERROR(AG78/AG148, "NA")</f>
        <v>0</v>
      </c>
      <c r="AI78" s="61">
        <f t="shared" si="41"/>
        <v>0</v>
      </c>
      <c r="AJ78" s="62">
        <f>IFERROR(AI78/AI148, "NA")</f>
        <v>0</v>
      </c>
      <c r="AK78" s="61" t="str">
        <f t="shared" si="42"/>
        <v>NA</v>
      </c>
      <c r="AL78" s="62" t="str">
        <f>IFERROR(AK78/AK148, "NA")</f>
        <v>NA</v>
      </c>
    </row>
    <row r="79" ht="16.5" hidden="1" customHeight="1">
      <c r="A79" s="26" t="s">
        <v>169</v>
      </c>
      <c r="B79" s="28">
        <v>0.0</v>
      </c>
      <c r="C79" s="15">
        <f>IFERROR(B79/B148, "NA")</f>
        <v>0</v>
      </c>
      <c r="D79" s="28">
        <v>0.0</v>
      </c>
      <c r="E79" s="15">
        <f>IFERROR(D79/D148, "NA")</f>
        <v>0</v>
      </c>
      <c r="F79" s="28">
        <v>0.0</v>
      </c>
      <c r="G79" s="15">
        <f>IFERROR(F79/F148, "NA")</f>
        <v>0</v>
      </c>
      <c r="H79" s="28">
        <v>0.0</v>
      </c>
      <c r="I79" s="15">
        <f>IFERROR(H79/H148, "NA")</f>
        <v>0</v>
      </c>
      <c r="J79" s="28">
        <v>0.0</v>
      </c>
      <c r="K79" s="15">
        <f>IFERROR(J79/J148, "NA")</f>
        <v>0</v>
      </c>
      <c r="L79" s="28">
        <v>0.0</v>
      </c>
      <c r="M79" s="15">
        <f>IFERROR(L79/L148, "NA")</f>
        <v>0</v>
      </c>
      <c r="N79" s="28">
        <v>0.0</v>
      </c>
      <c r="O79" s="15">
        <f>IFERROR(N79/N148, "NA")</f>
        <v>0</v>
      </c>
      <c r="P79" s="28">
        <v>0.0</v>
      </c>
      <c r="Q79" s="15">
        <f>IFERROR(P79/P148, "NA")</f>
        <v>0</v>
      </c>
      <c r="R79" s="28">
        <v>0.0</v>
      </c>
      <c r="S79" s="15">
        <f>IFERROR(R79/R148, "NA")</f>
        <v>0</v>
      </c>
      <c r="T79" s="28">
        <v>0.0</v>
      </c>
      <c r="U79" s="15">
        <f>IFERROR(T79/T148, "NA")</f>
        <v>0</v>
      </c>
      <c r="V79" s="28">
        <v>0.0</v>
      </c>
      <c r="W79" s="15">
        <f>IFERROR(V79/V148, "NA")</f>
        <v>0</v>
      </c>
      <c r="X79" s="28">
        <v>0.0</v>
      </c>
      <c r="Y79" s="15">
        <f>IFERROR(X79/X148, "NA")</f>
        <v>0</v>
      </c>
      <c r="Z79" s="28">
        <v>0.0</v>
      </c>
      <c r="AA79" s="15">
        <f>IFERROR(Z79/Z148, "NA")</f>
        <v>0</v>
      </c>
      <c r="AB79" s="57">
        <f t="shared" si="37"/>
        <v>0</v>
      </c>
      <c r="AC79" s="15">
        <f>IFERROR(AB79/AB148, "NA")</f>
        <v>0</v>
      </c>
      <c r="AD79" s="61">
        <f t="shared" si="38"/>
        <v>0</v>
      </c>
      <c r="AE79" s="62">
        <f>IFERROR(AD79/AD148, "NA")</f>
        <v>0</v>
      </c>
      <c r="AF79" s="61" t="str">
        <f t="shared" si="39"/>
        <v>NA</v>
      </c>
      <c r="AG79" s="57">
        <f t="shared" si="40"/>
        <v>0</v>
      </c>
      <c r="AH79" s="15">
        <f>IFERROR(AG79/AG148, "NA")</f>
        <v>0</v>
      </c>
      <c r="AI79" s="61">
        <f t="shared" si="41"/>
        <v>0</v>
      </c>
      <c r="AJ79" s="62">
        <f>IFERROR(AI79/AI148, "NA")</f>
        <v>0</v>
      </c>
      <c r="AK79" s="61" t="str">
        <f t="shared" si="42"/>
        <v>NA</v>
      </c>
      <c r="AL79" s="62" t="str">
        <f>IFERROR(AK79/AK148, "NA")</f>
        <v>NA</v>
      </c>
    </row>
    <row r="80" ht="16.5" hidden="1" customHeight="1">
      <c r="A80" s="26" t="s">
        <v>172</v>
      </c>
      <c r="B80" s="28">
        <v>0.0</v>
      </c>
      <c r="C80" s="15">
        <f>IFERROR(B80/B148, "NA")</f>
        <v>0</v>
      </c>
      <c r="D80" s="28">
        <v>0.0</v>
      </c>
      <c r="E80" s="15">
        <f>IFERROR(D80/D148, "NA")</f>
        <v>0</v>
      </c>
      <c r="F80" s="28">
        <v>0.0</v>
      </c>
      <c r="G80" s="15">
        <f>IFERROR(F80/F148, "NA")</f>
        <v>0</v>
      </c>
      <c r="H80" s="28">
        <v>0.0</v>
      </c>
      <c r="I80" s="15">
        <f>IFERROR(H80/H148, "NA")</f>
        <v>0</v>
      </c>
      <c r="J80" s="28">
        <v>0.0</v>
      </c>
      <c r="K80" s="15">
        <f>IFERROR(J80/J148, "NA")</f>
        <v>0</v>
      </c>
      <c r="L80" s="28">
        <v>0.0</v>
      </c>
      <c r="M80" s="15">
        <f>IFERROR(L80/L148, "NA")</f>
        <v>0</v>
      </c>
      <c r="N80" s="28">
        <v>0.0</v>
      </c>
      <c r="O80" s="15">
        <f>IFERROR(N80/N148, "NA")</f>
        <v>0</v>
      </c>
      <c r="P80" s="28">
        <v>0.0</v>
      </c>
      <c r="Q80" s="15">
        <f>IFERROR(P80/P148, "NA")</f>
        <v>0</v>
      </c>
      <c r="R80" s="28">
        <v>0.0</v>
      </c>
      <c r="S80" s="15">
        <f>IFERROR(R80/R148, "NA")</f>
        <v>0</v>
      </c>
      <c r="T80" s="28">
        <v>0.0</v>
      </c>
      <c r="U80" s="15">
        <f>IFERROR(T80/T148, "NA")</f>
        <v>0</v>
      </c>
      <c r="V80" s="28">
        <v>0.0</v>
      </c>
      <c r="W80" s="15">
        <f>IFERROR(V80/V148, "NA")</f>
        <v>0</v>
      </c>
      <c r="X80" s="28">
        <v>0.0</v>
      </c>
      <c r="Y80" s="15">
        <f>IFERROR(X80/X148, "NA")</f>
        <v>0</v>
      </c>
      <c r="Z80" s="28">
        <v>0.0</v>
      </c>
      <c r="AA80" s="15">
        <f>IFERROR(Z80/Z148, "NA")</f>
        <v>0</v>
      </c>
      <c r="AB80" s="57">
        <f t="shared" si="37"/>
        <v>0</v>
      </c>
      <c r="AC80" s="15">
        <f>IFERROR(AB80/AB148, "NA")</f>
        <v>0</v>
      </c>
      <c r="AD80" s="61">
        <f t="shared" si="38"/>
        <v>0</v>
      </c>
      <c r="AE80" s="62">
        <f>IFERROR(AD80/AD148, "NA")</f>
        <v>0</v>
      </c>
      <c r="AF80" s="61" t="str">
        <f t="shared" si="39"/>
        <v>NA</v>
      </c>
      <c r="AG80" s="57">
        <f t="shared" si="40"/>
        <v>0</v>
      </c>
      <c r="AH80" s="15">
        <f>IFERROR(AG80/AG148, "NA")</f>
        <v>0</v>
      </c>
      <c r="AI80" s="61">
        <f t="shared" si="41"/>
        <v>0</v>
      </c>
      <c r="AJ80" s="62">
        <f>IFERROR(AI80/AI148, "NA")</f>
        <v>0</v>
      </c>
      <c r="AK80" s="61" t="str">
        <f t="shared" si="42"/>
        <v>NA</v>
      </c>
      <c r="AL80" s="62" t="str">
        <f>IFERROR(AK80/AK148, "NA")</f>
        <v>NA</v>
      </c>
    </row>
    <row r="81" ht="16.5" customHeight="1">
      <c r="A81" s="67" t="s">
        <v>176</v>
      </c>
      <c r="B81" s="70">
        <f>IFERROR(B74+B75+B76+B77+B78+B79+B80, "NA")</f>
        <v>1076.26</v>
      </c>
      <c r="C81" s="71">
        <f>IFERROR(B81/B148, "NA")</f>
        <v>0.03170111071</v>
      </c>
      <c r="D81" s="70">
        <f>IFERROR(D74+D75+D76+D77+D78+D79+D80, "NA")</f>
        <v>1050.84</v>
      </c>
      <c r="E81" s="71">
        <f>IFERROR(D81/D148, "NA")</f>
        <v>0.02249805868</v>
      </c>
      <c r="F81" s="70">
        <f>IFERROR(F74+F75+F76+F77+F78+F79+F80, "NA")</f>
        <v>1048.41</v>
      </c>
      <c r="G81" s="71">
        <f>IFERROR(F81/F148, "NA")</f>
        <v>0.02603401275</v>
      </c>
      <c r="H81" s="70">
        <f>IFERROR(H74+H75+H76+H77+H78+H79+H80, "NA")</f>
        <v>1261.29</v>
      </c>
      <c r="I81" s="71">
        <f>IFERROR(H81/H148, "NA")</f>
        <v>0.02362793712</v>
      </c>
      <c r="J81" s="70">
        <f>IFERROR(J74+J75+J76+J77+J78+J79+J80, "NA")</f>
        <v>1197.34</v>
      </c>
      <c r="K81" s="71">
        <f>IFERROR(J81/J148, "NA")</f>
        <v>0.02577080612</v>
      </c>
      <c r="L81" s="70">
        <f>IFERROR(L74+L75+L76+L77+L78+L79+L80, "NA")</f>
        <v>1012.62</v>
      </c>
      <c r="M81" s="71">
        <f>IFERROR(L81/L148, "NA")</f>
        <v>0.02309775729</v>
      </c>
      <c r="N81" s="70">
        <f>IFERROR(N74+N75+N76+N77+N78+N79+N80, "NA")</f>
        <v>1140.91</v>
      </c>
      <c r="O81" s="71">
        <f>IFERROR(N81/N148, "NA")</f>
        <v>0.02157166821</v>
      </c>
      <c r="P81" s="70">
        <f>IFERROR(P74+P75+P76+P77+P78+P79+P80, "NA")</f>
        <v>1342.01</v>
      </c>
      <c r="Q81" s="71">
        <f>IFERROR(P81/P148, "NA")</f>
        <v>0.02078092975</v>
      </c>
      <c r="R81" s="70">
        <f>IFERROR(R74+R75+R76+R77+R78+R79+R80, "NA")</f>
        <v>1126.35</v>
      </c>
      <c r="S81" s="71">
        <f>IFERROR(R81/R148, "NA")</f>
        <v>0.02056171536</v>
      </c>
      <c r="T81" s="70">
        <f>IFERROR(T74+T75+T76+T77+T78+T79+T80, "NA")</f>
        <v>942.96</v>
      </c>
      <c r="U81" s="71">
        <f>IFERROR(T81/T148, "NA")</f>
        <v>0.01927891351</v>
      </c>
      <c r="V81" s="70">
        <f>IFERROR(V74+V75+V76+V77+V78+V79+V80, "NA")</f>
        <v>897.04</v>
      </c>
      <c r="W81" s="71">
        <f>IFERROR(V81/V148, "NA")</f>
        <v>0.01951339207</v>
      </c>
      <c r="X81" s="70">
        <f>IFERROR(X74+X75+X76+X77+X78+X79+X80, "NA")</f>
        <v>1005.18</v>
      </c>
      <c r="Y81" s="71">
        <f>IFERROR(X81/X148, "NA")</f>
        <v>0.01728553566</v>
      </c>
      <c r="Z81" s="70">
        <f>IFERROR(Z74+Z75+Z76+Z77+Z78+Z79+Z80, "NA")</f>
        <v>2845.18</v>
      </c>
      <c r="AA81" s="71">
        <f>IFERROR(Z81/Z148, "NA")</f>
        <v>0.0185918818</v>
      </c>
      <c r="AB81" s="70">
        <f t="shared" si="37"/>
        <v>992.8825</v>
      </c>
      <c r="AC81" s="71">
        <f>IFERROR(AB81/AB148, "NA")</f>
        <v>0.0191111264</v>
      </c>
      <c r="AD81" s="75">
        <f t="shared" si="38"/>
        <v>12.2975</v>
      </c>
      <c r="AE81" s="76">
        <f>IFERROR(AD81/AD148, "NA")</f>
        <v>0.001983980537</v>
      </c>
      <c r="AF81" s="75">
        <f t="shared" si="39"/>
        <v>0.0123856549</v>
      </c>
      <c r="AG81" s="70">
        <f t="shared" si="40"/>
        <v>1083.05125</v>
      </c>
      <c r="AH81" s="71">
        <f>IFERROR(AG81/AG148, "NA")</f>
        <v>0.02084883918</v>
      </c>
      <c r="AI81" s="75">
        <f t="shared" si="41"/>
        <v>-77.87125</v>
      </c>
      <c r="AJ81" s="76">
        <f>IFERROR(AI81/AI148, "NA")</f>
        <v>-0.01255236027</v>
      </c>
      <c r="AK81" s="75">
        <f t="shared" si="42"/>
        <v>-0.07189987547</v>
      </c>
      <c r="AL81" s="76">
        <f>IFERROR(AK81/AK148, "NA")</f>
        <v>-0.6020651874</v>
      </c>
    </row>
    <row r="82" ht="16.5" customHeight="1">
      <c r="A82" s="26" t="s">
        <v>179</v>
      </c>
      <c r="B82" s="28">
        <v>345.56</v>
      </c>
      <c r="C82" s="15">
        <f>IFERROR(B82/B148, "NA")</f>
        <v>0.01017842884</v>
      </c>
      <c r="D82" s="28">
        <v>0.0</v>
      </c>
      <c r="E82" s="15">
        <f>IFERROR(D82/D148, "NA")</f>
        <v>0</v>
      </c>
      <c r="F82" s="28">
        <v>0.0</v>
      </c>
      <c r="G82" s="15">
        <f>IFERROR(F82/F148, "NA")</f>
        <v>0</v>
      </c>
      <c r="H82" s="28">
        <v>0.0</v>
      </c>
      <c r="I82" s="15">
        <f>IFERROR(H82/H148, "NA")</f>
        <v>0</v>
      </c>
      <c r="J82" s="28">
        <v>250.72</v>
      </c>
      <c r="K82" s="15">
        <f>IFERROR(J82/J148, "NA")</f>
        <v>0.005396342316</v>
      </c>
      <c r="L82" s="28">
        <v>0.0</v>
      </c>
      <c r="M82" s="15">
        <f>IFERROR(L82/L148, "NA")</f>
        <v>0</v>
      </c>
      <c r="N82" s="28">
        <v>0.0</v>
      </c>
      <c r="O82" s="15">
        <f>IFERROR(N82/N148, "NA")</f>
        <v>0</v>
      </c>
      <c r="P82" s="28">
        <v>0.0</v>
      </c>
      <c r="Q82" s="15">
        <f>IFERROR(P82/P148, "NA")</f>
        <v>0</v>
      </c>
      <c r="R82" s="28">
        <v>0.0</v>
      </c>
      <c r="S82" s="15">
        <f>IFERROR(R82/R148, "NA")</f>
        <v>0</v>
      </c>
      <c r="T82" s="28">
        <v>229.57</v>
      </c>
      <c r="U82" s="15">
        <f>IFERROR(T82/T148, "NA")</f>
        <v>0.004693582098</v>
      </c>
      <c r="V82" s="28">
        <v>0.0</v>
      </c>
      <c r="W82" s="15">
        <f>IFERROR(V82/V148, "NA")</f>
        <v>0</v>
      </c>
      <c r="X82" s="28">
        <v>0.0</v>
      </c>
      <c r="Y82" s="15">
        <f>IFERROR(X82/X148, "NA")</f>
        <v>0</v>
      </c>
      <c r="Z82" s="28">
        <v>229.57</v>
      </c>
      <c r="AA82" s="15">
        <f>IFERROR(Z82/Z148, "NA")</f>
        <v>0.001500129449</v>
      </c>
      <c r="AB82" s="57">
        <f t="shared" si="37"/>
        <v>57.3925</v>
      </c>
      <c r="AC82" s="15">
        <f>IFERROR(AB82/AB148, "NA")</f>
        <v>0.00110469801</v>
      </c>
      <c r="AD82" s="61">
        <f t="shared" si="38"/>
        <v>-57.3925</v>
      </c>
      <c r="AE82" s="62">
        <f>IFERROR(AD82/AD148, "NA")</f>
        <v>-0.009259248056</v>
      </c>
      <c r="AF82" s="61">
        <f t="shared" si="39"/>
        <v>-1</v>
      </c>
      <c r="AG82" s="57">
        <f t="shared" si="40"/>
        <v>60.03625</v>
      </c>
      <c r="AH82" s="15">
        <f>IFERROR(AG82/AG148, "NA")</f>
        <v>0.001155703501</v>
      </c>
      <c r="AI82" s="61">
        <f t="shared" si="41"/>
        <v>-60.03625</v>
      </c>
      <c r="AJ82" s="62">
        <f>IFERROR(AI82/AI148, "NA")</f>
        <v>-0.009677469403</v>
      </c>
      <c r="AK82" s="61">
        <f t="shared" si="42"/>
        <v>-1</v>
      </c>
      <c r="AL82" s="62">
        <f>IFERROR(AK82/AK148, "NA")</f>
        <v>-8.373661059</v>
      </c>
    </row>
    <row r="83" ht="16.5" customHeight="1">
      <c r="A83" s="26" t="s">
        <v>181</v>
      </c>
      <c r="B83" s="28">
        <v>-61.25</v>
      </c>
      <c r="C83" s="15">
        <f>IFERROR(B83/B148, "NA")</f>
        <v>-0.001804111489</v>
      </c>
      <c r="D83" s="28">
        <v>-61.25</v>
      </c>
      <c r="E83" s="15">
        <f>IFERROR(D83/D148, "NA")</f>
        <v>-0.001311337686</v>
      </c>
      <c r="F83" s="28">
        <v>423.12</v>
      </c>
      <c r="G83" s="15">
        <f>IFERROR(F83/F148, "NA")</f>
        <v>0.01050687372</v>
      </c>
      <c r="H83" s="28">
        <v>-61.25</v>
      </c>
      <c r="I83" s="15">
        <f>IFERROR(H83/H148, "NA")</f>
        <v>-0.001147405552</v>
      </c>
      <c r="J83" s="28">
        <v>-61.25</v>
      </c>
      <c r="K83" s="15">
        <f>IFERROR(J83/J148, "NA")</f>
        <v>-0.001318307143</v>
      </c>
      <c r="L83" s="28">
        <v>-61.25</v>
      </c>
      <c r="M83" s="15">
        <f>IFERROR(L83/L148, "NA")</f>
        <v>-0.001397106154</v>
      </c>
      <c r="N83" s="28">
        <v>423.12</v>
      </c>
      <c r="O83" s="15">
        <f>IFERROR(N83/N148, "NA")</f>
        <v>0.008000108907</v>
      </c>
      <c r="P83" s="28">
        <v>-61.25</v>
      </c>
      <c r="Q83" s="15">
        <f>IFERROR(P83/P148, "NA")</f>
        <v>-0.0009484519097</v>
      </c>
      <c r="R83" s="28">
        <v>-61.25</v>
      </c>
      <c r="S83" s="15">
        <f>IFERROR(R83/R148, "NA")</f>
        <v>-0.001118129414</v>
      </c>
      <c r="T83" s="28">
        <v>376.67</v>
      </c>
      <c r="U83" s="15">
        <f>IFERROR(T83/T148, "NA")</f>
        <v>0.007701056623</v>
      </c>
      <c r="V83" s="28">
        <v>-61.25</v>
      </c>
      <c r="W83" s="15">
        <f>IFERROR(V83/V148, "NA")</f>
        <v>-0.001332376777</v>
      </c>
      <c r="X83" s="28">
        <v>-14.8</v>
      </c>
      <c r="Y83" s="15">
        <f>IFERROR(X83/X148, "NA")</f>
        <v>-0.0002545075786</v>
      </c>
      <c r="Z83" s="28">
        <v>300.62</v>
      </c>
      <c r="AA83" s="15">
        <f>IFERROR(Z83/Z148, "NA")</f>
        <v>0.001964407</v>
      </c>
      <c r="AB83" s="57">
        <f t="shared" si="37"/>
        <v>59.8425</v>
      </c>
      <c r="AC83" s="15">
        <f>IFERROR(AB83/AB148, "NA")</f>
        <v>0.001151855916</v>
      </c>
      <c r="AD83" s="61">
        <f t="shared" si="38"/>
        <v>-74.6425</v>
      </c>
      <c r="AE83" s="62">
        <f>IFERROR(AD83/AD148, "NA")</f>
        <v>-0.01204222543</v>
      </c>
      <c r="AF83" s="61">
        <f t="shared" si="39"/>
        <v>-1.247315871</v>
      </c>
      <c r="AG83" s="57">
        <f t="shared" si="40"/>
        <v>59.8425</v>
      </c>
      <c r="AH83" s="15">
        <f>IFERROR(AG83/AG148, "NA")</f>
        <v>0.001151973795</v>
      </c>
      <c r="AI83" s="61">
        <f t="shared" si="41"/>
        <v>-74.6425</v>
      </c>
      <c r="AJ83" s="62">
        <f>IFERROR(AI83/AI148, "NA")</f>
        <v>-0.01203190589</v>
      </c>
      <c r="AK83" s="61">
        <f t="shared" si="42"/>
        <v>-1.247315871</v>
      </c>
      <c r="AL83" s="62">
        <f>IFERROR(AK83/AK148, "NA")</f>
        <v>-10.44460034</v>
      </c>
    </row>
    <row r="84" ht="16.5" customHeight="1">
      <c r="A84" s="67" t="s">
        <v>55</v>
      </c>
      <c r="B84" s="70">
        <f>IFERROR(B63+B65+B66+B67+B68+B69+B71+B72+B74+B75+B76+B77+B78+B79+B80+B82+B83, "NA")</f>
        <v>10256.22</v>
      </c>
      <c r="C84" s="71">
        <f>IFERROR(B84/B148, "NA")</f>
        <v>0.3020957443</v>
      </c>
      <c r="D84" s="70">
        <f>IFERROR(D63+D65+D66+D67+D68+D69+D71+D72+D74+D75+D76+D77+D78+D79+D80+D82+D83, "NA")</f>
        <v>10033.77</v>
      </c>
      <c r="E84" s="71">
        <f>IFERROR(D84/D148, "NA")</f>
        <v>0.2148189508</v>
      </c>
      <c r="F84" s="70">
        <f>IFERROR(F63+F65+F66+F67+F68+F69+F71+F72+F74+F75+F76+F77+F78+F79+F80+F82+F83, "NA")</f>
        <v>10470.45</v>
      </c>
      <c r="G84" s="71">
        <f>IFERROR(F84/F148, "NA")</f>
        <v>0.2600011721</v>
      </c>
      <c r="H84" s="70">
        <f>IFERROR(H63+H65+H66+H67+H68+H69+H71+H72+H74+H75+H76+H77+H78+H79+H80+H82+H83, "NA")</f>
        <v>12110.58</v>
      </c>
      <c r="I84" s="71">
        <f>IFERROR(H84/H148, "NA")</f>
        <v>0.2268693344</v>
      </c>
      <c r="J84" s="70">
        <f>IFERROR(J63+J65+J66+J67+J68+J69+J71+J72+J74+J75+J76+J77+J78+J79+J80+J82+J83, "NA")</f>
        <v>11255.47</v>
      </c>
      <c r="K84" s="71">
        <f>IFERROR(J84/J148, "NA")</f>
        <v>0.2422557796</v>
      </c>
      <c r="L84" s="70">
        <f>IFERROR(L63+L65+L66+L67+L68+L69+L71+L72+L74+L75+L76+L77+L78+L79+L80+L82+L83, "NA")</f>
        <v>10137.41</v>
      </c>
      <c r="M84" s="71">
        <f>IFERROR(L84/L148, "NA")</f>
        <v>0.2312332718</v>
      </c>
      <c r="N84" s="70">
        <f>IFERROR(N63+N65+N66+N67+N68+N69+N71+N72+N74+N75+N76+N77+N78+N79+N80+N82+N83, "NA")</f>
        <v>11933.7</v>
      </c>
      <c r="O84" s="71">
        <f>IFERROR(N84/N148, "NA")</f>
        <v>0.2256355163</v>
      </c>
      <c r="P84" s="70">
        <f>IFERROR(P63+P65+P66+P67+P68+P69+P71+P72+P74+P75+P76+P77+P78+P79+P80+P82+P83, "NA")</f>
        <v>12834.71</v>
      </c>
      <c r="Q84" s="71">
        <f>IFERROR(P84/P148, "NA")</f>
        <v>0.1987445749</v>
      </c>
      <c r="R84" s="70">
        <f>IFERROR(R63+R65+R66+R67+R68+R69+R71+R72+R74+R75+R76+R77+R78+R79+R80+R82+R83, "NA")</f>
        <v>9818.23</v>
      </c>
      <c r="S84" s="71">
        <f>IFERROR(R84/R148, "NA")</f>
        <v>0.1792334981</v>
      </c>
      <c r="T84" s="70">
        <f>IFERROR(T63+T65+T66+T67+T68+T69+T71+T72+T74+T75+T76+T77+T78+T79+T80+T82+T83, "NA")</f>
        <v>11094.36</v>
      </c>
      <c r="U84" s="71">
        <f>IFERROR(T84/T148, "NA")</f>
        <v>0.2268253234</v>
      </c>
      <c r="V84" s="70">
        <f>IFERROR(V63+V65+V66+V67+V68+V69+V71+V72+V74+V75+V76+V77+V78+V79+V80+V82+V83, "NA")</f>
        <v>10408.98</v>
      </c>
      <c r="W84" s="71">
        <f>IFERROR(V84/V148, "NA")</f>
        <v>0.2264274813</v>
      </c>
      <c r="X84" s="70">
        <f>IFERROR(X63+X65+X66+X67+X68+X69+X71+X72+X74+X75+X76+X77+X78+X79+X80+X82+X83, "NA")</f>
        <v>11417.97</v>
      </c>
      <c r="Y84" s="71">
        <f>IFERROR(X84/X148, "NA")</f>
        <v>0.1963486417</v>
      </c>
      <c r="Z84" s="70">
        <f>IFERROR(Z63+Z65+Z66+Z67+Z68+Z69+Z71+Z72+Z74+Z75+Z76+Z77+Z78+Z79+Z80+Z82+Z83, "NA")</f>
        <v>32921.31</v>
      </c>
      <c r="AA84" s="71">
        <f>IFERROR(Z84/Z148, "NA")</f>
        <v>0.2151249145</v>
      </c>
      <c r="AB84" s="70">
        <f t="shared" si="37"/>
        <v>10684.885</v>
      </c>
      <c r="AC84" s="71">
        <f>IFERROR(AB84/AB148, "NA")</f>
        <v>0.2056640014</v>
      </c>
      <c r="AD84" s="75">
        <f t="shared" si="38"/>
        <v>733.085</v>
      </c>
      <c r="AE84" s="76">
        <f>IFERROR(AD84/AD148, "NA")</f>
        <v>0.1182700851</v>
      </c>
      <c r="AF84" s="75">
        <f t="shared" si="39"/>
        <v>0.06860953581</v>
      </c>
      <c r="AG84" s="70">
        <f t="shared" si="40"/>
        <v>11112.60375</v>
      </c>
      <c r="AH84" s="71">
        <f>IFERROR(AG84/AG148, "NA")</f>
        <v>0.2139186751</v>
      </c>
      <c r="AI84" s="75">
        <f t="shared" si="41"/>
        <v>305.36625</v>
      </c>
      <c r="AJ84" s="76">
        <f>IFERROR(AI84/AI148, "NA")</f>
        <v>0.04922313671</v>
      </c>
      <c r="AK84" s="75">
        <f t="shared" si="42"/>
        <v>0.027479271</v>
      </c>
      <c r="AL84" s="76">
        <f>IFERROR(AK84/AK148, "NA")</f>
        <v>0.2301021015</v>
      </c>
    </row>
    <row r="85" ht="16.5" customHeight="1">
      <c r="A85" s="67" t="s">
        <v>55</v>
      </c>
      <c r="B85" s="118">
        <f>IFERROR(B63+B65+B66+B67+B68+B69+B71+B72+B74+B75+B76+B77+B78+B79+B80+B82+B83, "NA")</f>
        <v>10256.22</v>
      </c>
      <c r="C85" s="94">
        <f>IFERROR(B85/B148, "NA")</f>
        <v>0.3020957443</v>
      </c>
      <c r="D85" s="118">
        <f>IFERROR(D63+D65+D66+D67+D68+D69+D71+D72+D74+D75+D76+D77+D78+D79+D80+D82+D83, "NA")</f>
        <v>10033.77</v>
      </c>
      <c r="E85" s="94">
        <f>IFERROR(D85/D148, "NA")</f>
        <v>0.2148189508</v>
      </c>
      <c r="F85" s="118">
        <f>IFERROR(F63+F65+F66+F67+F68+F69+F71+F72+F74+F75+F76+F77+F78+F79+F80+F82+F83, "NA")</f>
        <v>10470.45</v>
      </c>
      <c r="G85" s="94">
        <f>IFERROR(F85/F148, "NA")</f>
        <v>0.2600011721</v>
      </c>
      <c r="H85" s="118">
        <f>IFERROR(H63+H65+H66+H67+H68+H69+H71+H72+H74+H75+H76+H77+H78+H79+H80+H82+H83, "NA")</f>
        <v>12110.58</v>
      </c>
      <c r="I85" s="94">
        <f>IFERROR(H85/H148, "NA")</f>
        <v>0.2268693344</v>
      </c>
      <c r="J85" s="118">
        <f>IFERROR(J63+J65+J66+J67+J68+J69+J71+J72+J74+J75+J76+J77+J78+J79+J80+J82+J83, "NA")</f>
        <v>11255.47</v>
      </c>
      <c r="K85" s="94">
        <f>IFERROR(J85/J148, "NA")</f>
        <v>0.2422557796</v>
      </c>
      <c r="L85" s="118">
        <f>IFERROR(L63+L65+L66+L67+L68+L69+L71+L72+L74+L75+L76+L77+L78+L79+L80+L82+L83, "NA")</f>
        <v>10137.41</v>
      </c>
      <c r="M85" s="94">
        <f>IFERROR(L85/L148, "NA")</f>
        <v>0.2312332718</v>
      </c>
      <c r="N85" s="118">
        <f>IFERROR(N63+N65+N66+N67+N68+N69+N71+N72+N74+N75+N76+N77+N78+N79+N80+N82+N83, "NA")</f>
        <v>11933.7</v>
      </c>
      <c r="O85" s="94">
        <f>IFERROR(N85/N148, "NA")</f>
        <v>0.2256355163</v>
      </c>
      <c r="P85" s="118">
        <f>IFERROR(P63+P65+P66+P67+P68+P69+P71+P72+P74+P75+P76+P77+P78+P79+P80+P82+P83, "NA")</f>
        <v>12834.71</v>
      </c>
      <c r="Q85" s="94">
        <f>IFERROR(P85/P148, "NA")</f>
        <v>0.1987445749</v>
      </c>
      <c r="R85" s="118">
        <f>IFERROR(R63+R65+R66+R67+R68+R69+R71+R72+R74+R75+R76+R77+R78+R79+R80+R82+R83, "NA")</f>
        <v>9818.23</v>
      </c>
      <c r="S85" s="94">
        <f>IFERROR(R85/R148, "NA")</f>
        <v>0.1792334981</v>
      </c>
      <c r="T85" s="118">
        <f>IFERROR(T63+T65+T66+T67+T68+T69+T71+T72+T74+T75+T76+T77+T78+T79+T80+T82+T83, "NA")</f>
        <v>11094.36</v>
      </c>
      <c r="U85" s="94">
        <f>IFERROR(T85/T148, "NA")</f>
        <v>0.2268253234</v>
      </c>
      <c r="V85" s="118">
        <f>IFERROR(V63+V65+V66+V67+V68+V69+V71+V72+V74+V75+V76+V77+V78+V79+V80+V82+V83, "NA")</f>
        <v>10408.98</v>
      </c>
      <c r="W85" s="94">
        <f>IFERROR(V85/V148, "NA")</f>
        <v>0.2264274813</v>
      </c>
      <c r="X85" s="118">
        <f>IFERROR(X63+X65+X66+X67+X68+X69+X71+X72+X74+X75+X76+X77+X78+X79+X80+X82+X83, "NA")</f>
        <v>11417.97</v>
      </c>
      <c r="Y85" s="94">
        <f>IFERROR(X85/X148, "NA")</f>
        <v>0.1963486417</v>
      </c>
      <c r="Z85" s="118">
        <f>IFERROR(Z63+Z65+Z66+Z67+Z68+Z69+Z71+Z72+Z74+Z75+Z76+Z77+Z78+Z79+Z80+Z82+Z83, "NA")</f>
        <v>32921.31</v>
      </c>
      <c r="AA85" s="94">
        <f>IFERROR(Z85/Z148, "NA")</f>
        <v>0.2151249145</v>
      </c>
      <c r="AB85" s="118">
        <f t="shared" si="37"/>
        <v>10684.885</v>
      </c>
      <c r="AC85" s="94">
        <f>IFERROR(AB85/AB148, "NA")</f>
        <v>0.2056640014</v>
      </c>
      <c r="AD85" s="119">
        <f t="shared" si="38"/>
        <v>733.085</v>
      </c>
      <c r="AE85" s="120">
        <f>IFERROR(AD85/AD148, "NA")</f>
        <v>0.1182700851</v>
      </c>
      <c r="AF85" s="119">
        <f t="shared" si="39"/>
        <v>0.06860953581</v>
      </c>
      <c r="AG85" s="118">
        <f t="shared" si="40"/>
        <v>11112.60375</v>
      </c>
      <c r="AH85" s="94">
        <f>IFERROR(AG85/AG148, "NA")</f>
        <v>0.2139186751</v>
      </c>
      <c r="AI85" s="119">
        <f t="shared" si="41"/>
        <v>305.36625</v>
      </c>
      <c r="AJ85" s="120">
        <f>IFERROR(AI85/AI148, "NA")</f>
        <v>0.04922313671</v>
      </c>
      <c r="AK85" s="119">
        <f t="shared" si="42"/>
        <v>0.027479271</v>
      </c>
      <c r="AL85" s="120">
        <f>IFERROR(AK85/AK148, "NA")</f>
        <v>0.2301021015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2"/>
      <c r="AF86" s="125"/>
      <c r="AG86" s="124"/>
      <c r="AH86" s="74"/>
      <c r="AI86" s="125"/>
      <c r="AJ86" s="82"/>
      <c r="AK86" s="125"/>
      <c r="AL86" s="82"/>
    </row>
    <row r="87" ht="16.5" customHeight="1">
      <c r="A87" s="121" t="s">
        <v>56</v>
      </c>
      <c r="B87" s="122">
        <f>IFERROR(B59-B85, "NA")</f>
        <v>15146.46</v>
      </c>
      <c r="C87" s="98">
        <f>IFERROR(B87/B148, "NA")</f>
        <v>0.4461371838</v>
      </c>
      <c r="D87" s="122">
        <f>IFERROR(D59-D85, "NA")</f>
        <v>25443.84</v>
      </c>
      <c r="E87" s="98">
        <f>IFERROR(D87/D148, "NA")</f>
        <v>0.5447423066</v>
      </c>
      <c r="F87" s="122">
        <f>IFERROR(F59-F85, "NA")</f>
        <v>18220.46</v>
      </c>
      <c r="G87" s="98">
        <f>IFERROR(F87/F148, "NA")</f>
        <v>0.4524486489</v>
      </c>
      <c r="H87" s="122">
        <f>IFERROR(H59-H85, "NA")</f>
        <v>28021.6</v>
      </c>
      <c r="I87" s="98">
        <f>IFERROR(H87/H148, "NA")</f>
        <v>0.5249328885</v>
      </c>
      <c r="J87" s="122">
        <f>IFERROR(J59-J85, "NA")</f>
        <v>23419.28</v>
      </c>
      <c r="K87" s="98">
        <f>IFERROR(J87/J148, "NA")</f>
        <v>0.5040621079</v>
      </c>
      <c r="L87" s="122">
        <f>IFERROR(L59-L85, "NA")</f>
        <v>22516.41</v>
      </c>
      <c r="M87" s="98">
        <f>IFERROR(L87/L148, "NA")</f>
        <v>0.5135969792</v>
      </c>
      <c r="N87" s="122">
        <f>IFERROR(N59-N85, "NA")</f>
        <v>26029.21</v>
      </c>
      <c r="O87" s="98">
        <f>IFERROR(N87/N148, "NA")</f>
        <v>0.4921452892</v>
      </c>
      <c r="P87" s="122">
        <f>IFERROR(P59-P85, "NA")</f>
        <v>36251.18</v>
      </c>
      <c r="Q87" s="98">
        <f>IFERROR(P87/P148, "NA")</f>
        <v>0.5613469535</v>
      </c>
      <c r="R87" s="122">
        <f>IFERROR(R59-R85, "NA")</f>
        <v>30461.62</v>
      </c>
      <c r="S87" s="98">
        <f>IFERROR(R87/R148, "NA")</f>
        <v>0.5560821768</v>
      </c>
      <c r="T87" s="122">
        <f>IFERROR(T59-T85, "NA")</f>
        <v>25838.96</v>
      </c>
      <c r="U87" s="98">
        <f>IFERROR(T87/T148, "NA")</f>
        <v>0.5282801764</v>
      </c>
      <c r="V87" s="122">
        <f>IFERROR(V59-V85, "NA")</f>
        <v>22843.39</v>
      </c>
      <c r="W87" s="98">
        <f>IFERROR(V87/V148, "NA")</f>
        <v>0.4969143241</v>
      </c>
      <c r="X87" s="122">
        <f>IFERROR(X59-X85, "NA")</f>
        <v>32713.6</v>
      </c>
      <c r="Y87" s="98">
        <f>IFERROR(X87/X148, "NA")</f>
        <v>0.5625580488</v>
      </c>
      <c r="Z87" s="122">
        <f>IFERROR(Z59-Z85, "NA")</f>
        <v>81395.95</v>
      </c>
      <c r="AA87" s="98">
        <f>IFERROR(Z87/Z148, "NA")</f>
        <v>0.5318833541</v>
      </c>
      <c r="AB87" s="122">
        <f>IFERROR((R87+T87+V87+X87)/4, "NA")</f>
        <v>27964.3925</v>
      </c>
      <c r="AC87" s="98">
        <f>IFERROR(AB87/AB148, "NA")</f>
        <v>0.5382621205</v>
      </c>
      <c r="AD87" s="75">
        <f>IFERROR(X87-AB87, "NA")</f>
        <v>4749.2075</v>
      </c>
      <c r="AE87" s="76">
        <f>IFERROR(AD87/AD148, "NA")</f>
        <v>0.7661992475</v>
      </c>
      <c r="AF87" s="75">
        <f>IFERROR((X87-AB87)/AB87, "NA")</f>
        <v>0.1698305264</v>
      </c>
      <c r="AG87" s="122">
        <f>IFERROR((J87+L87+N87+P87+R87+T87+V87+X87)/8, "NA")</f>
        <v>27509.20625</v>
      </c>
      <c r="AH87" s="98">
        <f>IFERROR(AG87/AG148, "NA")</f>
        <v>0.5295548269</v>
      </c>
      <c r="AI87" s="75">
        <f>IFERROR(X87-AG87, "NA")</f>
        <v>5204.39375</v>
      </c>
      <c r="AJ87" s="76">
        <f>IFERROR(AI87/AI148, "NA")</f>
        <v>0.8389158429</v>
      </c>
      <c r="AK87" s="75">
        <f>IFERROR((X87-AG87)/AG87, "NA")</f>
        <v>0.1891873471</v>
      </c>
      <c r="AL87" s="76">
        <f>IFERROR(AK87/AK148, "NA")</f>
        <v>1.584190721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2"/>
      <c r="AF88" s="125"/>
      <c r="AG88" s="124"/>
      <c r="AH88" s="74"/>
      <c r="AI88" s="125"/>
      <c r="AJ88" s="82"/>
      <c r="AK88" s="125"/>
      <c r="AL88" s="82"/>
    </row>
    <row r="89" ht="16.5" hidden="1" customHeight="1">
      <c r="A89" s="22" t="s">
        <v>206</v>
      </c>
      <c r="B89" s="23"/>
      <c r="C89" s="10"/>
      <c r="D89" s="23"/>
      <c r="E89" s="10"/>
      <c r="F89" s="23"/>
      <c r="G89" s="10"/>
      <c r="H89" s="23"/>
      <c r="I89" s="10"/>
      <c r="J89" s="23"/>
      <c r="K89" s="10"/>
      <c r="L89" s="23"/>
      <c r="M89" s="10"/>
      <c r="N89" s="23"/>
      <c r="O89" s="10"/>
      <c r="P89" s="23"/>
      <c r="Q89" s="10"/>
      <c r="R89" s="23"/>
      <c r="S89" s="10"/>
      <c r="T89" s="23"/>
      <c r="U89" s="10"/>
      <c r="V89" s="23"/>
      <c r="W89" s="10"/>
      <c r="X89" s="23"/>
      <c r="Y89" s="10"/>
      <c r="Z89" s="23"/>
      <c r="AA89" s="10"/>
      <c r="AB89" s="23"/>
      <c r="AC89" s="10"/>
      <c r="AD89" s="24"/>
      <c r="AE89" s="25"/>
      <c r="AF89" s="24"/>
      <c r="AG89" s="23"/>
      <c r="AH89" s="10"/>
      <c r="AI89" s="24"/>
      <c r="AJ89" s="25"/>
      <c r="AK89" s="24"/>
      <c r="AL89" s="25"/>
    </row>
    <row r="90" ht="16.5" hidden="1" customHeight="1">
      <c r="A90" s="26" t="s">
        <v>207</v>
      </c>
      <c r="B90" s="28">
        <v>828.83</v>
      </c>
      <c r="C90" s="15">
        <f>IFERROR(B90/B148, "NA")</f>
        <v>0.0244130894</v>
      </c>
      <c r="D90" s="28">
        <v>865.68</v>
      </c>
      <c r="E90" s="15">
        <f>IFERROR(D90/D148, "NA")</f>
        <v>0.0185338581</v>
      </c>
      <c r="F90" s="28">
        <v>886.42</v>
      </c>
      <c r="G90" s="15">
        <f>IFERROR(F90/F148, "NA")</f>
        <v>0.0220114932</v>
      </c>
      <c r="H90" s="28">
        <v>1052.76</v>
      </c>
      <c r="I90" s="15">
        <f>IFERROR(H90/H148, "NA")</f>
        <v>0.01972151296</v>
      </c>
      <c r="J90" s="28">
        <v>1013.91</v>
      </c>
      <c r="K90" s="15">
        <f>IFERROR(J90/J148, "NA")</f>
        <v>0.02182277217</v>
      </c>
      <c r="L90" s="28">
        <v>1607.01</v>
      </c>
      <c r="M90" s="15">
        <f>IFERROR(L90/L148, "NA")</f>
        <v>0.0366557316</v>
      </c>
      <c r="N90" s="28">
        <v>1357.21</v>
      </c>
      <c r="O90" s="15">
        <f>IFERROR(N90/N148, "NA")</f>
        <v>0.02566134385</v>
      </c>
      <c r="P90" s="28">
        <v>1156.99</v>
      </c>
      <c r="Q90" s="15">
        <f>IFERROR(P90/P148, "NA")</f>
        <v>0.01791590816</v>
      </c>
      <c r="R90" s="28">
        <v>833.25</v>
      </c>
      <c r="S90" s="15">
        <f>IFERROR(R90/R148, "NA")</f>
        <v>0.01521112383</v>
      </c>
      <c r="T90" s="28">
        <v>1699.75</v>
      </c>
      <c r="U90" s="15">
        <f>IFERROR(T90/T148, "NA")</f>
        <v>0.03475156236</v>
      </c>
      <c r="V90" s="28">
        <v>841.55</v>
      </c>
      <c r="W90" s="15">
        <f>IFERROR(V90/V148, "NA")</f>
        <v>0.01830631309</v>
      </c>
      <c r="X90" s="28">
        <v>573.14</v>
      </c>
      <c r="Y90" s="15">
        <f>IFERROR(X90/X148, "NA")</f>
        <v>0.009855977945</v>
      </c>
      <c r="Z90" s="28">
        <v>3114.44</v>
      </c>
      <c r="AA90" s="15">
        <f>IFERROR(Z90/Z148, "NA")</f>
        <v>0.0203513663</v>
      </c>
      <c r="AB90" s="57">
        <f t="shared" ref="AB90:AB99" si="43">IFERROR((R90+T90+V90+X90)/4, "NA")</f>
        <v>986.9225</v>
      </c>
      <c r="AC90" s="15">
        <f>IFERROR(AB90/AB148, "NA")</f>
        <v>0.01899640758</v>
      </c>
      <c r="AD90" s="61">
        <f t="shared" ref="AD90:AD99" si="44">IFERROR(X90-AB90, "NA")</f>
        <v>-413.7825</v>
      </c>
      <c r="AE90" s="62">
        <f>IFERROR(AD90/AD148, "NA")</f>
        <v>-0.06675636727</v>
      </c>
      <c r="AF90" s="61">
        <f t="shared" ref="AF90:AF99" si="45">IFERROR((X90-AB90)/AB90, "NA")</f>
        <v>-0.4192654438</v>
      </c>
      <c r="AG90" s="57">
        <f t="shared" ref="AG90:AG99" si="46">IFERROR((J90+L90+N90+P90+R90+T90+V90+X90)/8, "NA")</f>
        <v>1135.35125</v>
      </c>
      <c r="AH90" s="15">
        <f>IFERROR(AG90/AG148, "NA")</f>
        <v>0.02185561914</v>
      </c>
      <c r="AI90" s="61">
        <f t="shared" ref="AI90:AI99" si="47">IFERROR(X90-AG90, "NA")</f>
        <v>-562.21125</v>
      </c>
      <c r="AJ90" s="62">
        <f>IFERROR(AI90/AI148, "NA")</f>
        <v>-0.09062495026</v>
      </c>
      <c r="AK90" s="61">
        <f t="shared" ref="AK90:AK99" si="48">IFERROR((X90-AG90)/AG90, "NA")</f>
        <v>-0.4951870622</v>
      </c>
      <c r="AL90" s="62">
        <f>IFERROR(AK90/AK148, "NA")</f>
        <v>-4.146528619</v>
      </c>
    </row>
    <row r="91" ht="16.5" hidden="1" customHeight="1">
      <c r="A91" s="26" t="s">
        <v>208</v>
      </c>
      <c r="B91" s="28">
        <v>1501.62</v>
      </c>
      <c r="C91" s="15">
        <f>IFERROR(B91/B148, "NA")</f>
        <v>0.04423003909</v>
      </c>
      <c r="D91" s="28">
        <v>2730.74</v>
      </c>
      <c r="E91" s="15">
        <f>IFERROR(D91/D148, "NA")</f>
        <v>0.05846403713</v>
      </c>
      <c r="F91" s="28">
        <v>2449.29</v>
      </c>
      <c r="G91" s="15">
        <f>IFERROR(F91/F148, "NA")</f>
        <v>0.06082052545</v>
      </c>
      <c r="H91" s="28">
        <v>3133.0</v>
      </c>
      <c r="I91" s="15">
        <f>IFERROR(H91/H148, "NA")</f>
        <v>0.05869096481</v>
      </c>
      <c r="J91" s="28">
        <v>3844.86</v>
      </c>
      <c r="K91" s="15">
        <f>IFERROR(J91/J148, "NA")</f>
        <v>0.08275439023</v>
      </c>
      <c r="L91" s="28">
        <v>3046.66</v>
      </c>
      <c r="M91" s="15">
        <f>IFERROR(L91/L148, "NA")</f>
        <v>0.06949399894</v>
      </c>
      <c r="N91" s="28">
        <v>3123.1</v>
      </c>
      <c r="O91" s="15">
        <f>IFERROR(N91/N148, "NA")</f>
        <v>0.05904977341</v>
      </c>
      <c r="P91" s="28">
        <v>3250.1</v>
      </c>
      <c r="Q91" s="15">
        <f>IFERROR(P91/P148, "NA")</f>
        <v>0.05032756819</v>
      </c>
      <c r="R91" s="28">
        <v>4005.41</v>
      </c>
      <c r="S91" s="15">
        <f>IFERROR(R91/R148, "NA")</f>
        <v>0.07311945693</v>
      </c>
      <c r="T91" s="28">
        <v>4271.16</v>
      </c>
      <c r="U91" s="15">
        <f>IFERROR(T91/T148, "NA")</f>
        <v>0.08732430246</v>
      </c>
      <c r="V91" s="28">
        <v>2499.95</v>
      </c>
      <c r="W91" s="15">
        <f>IFERROR(V91/V148, "NA")</f>
        <v>0.05438163796</v>
      </c>
      <c r="X91" s="28">
        <v>1574.82</v>
      </c>
      <c r="Y91" s="15">
        <f>IFERROR(X91/X148, "NA")</f>
        <v>0.02708132601</v>
      </c>
      <c r="Z91" s="28">
        <v>8345.93</v>
      </c>
      <c r="AA91" s="15">
        <f>IFERROR(Z91/Z148, "NA")</f>
        <v>0.05453663532</v>
      </c>
      <c r="AB91" s="57">
        <f t="shared" si="43"/>
        <v>3087.835</v>
      </c>
      <c r="AC91" s="15">
        <f>IFERROR(AB91/AB148, "NA")</f>
        <v>0.05943503385</v>
      </c>
      <c r="AD91" s="61">
        <f t="shared" si="44"/>
        <v>-1513.015</v>
      </c>
      <c r="AE91" s="62">
        <f>IFERROR(AD91/AD148, "NA")</f>
        <v>-0.2440977688</v>
      </c>
      <c r="AF91" s="61">
        <f t="shared" si="45"/>
        <v>-0.489992179</v>
      </c>
      <c r="AG91" s="57">
        <f t="shared" si="46"/>
        <v>3202.0075</v>
      </c>
      <c r="AH91" s="15">
        <f>IFERROR(AG91/AG148, "NA")</f>
        <v>0.06163894777</v>
      </c>
      <c r="AI91" s="61">
        <f t="shared" si="47"/>
        <v>-1627.1875</v>
      </c>
      <c r="AJ91" s="62">
        <f>IFERROR(AI91/AI148, "NA")</f>
        <v>-0.2622924857</v>
      </c>
      <c r="AK91" s="61">
        <f t="shared" si="48"/>
        <v>-0.5081772919</v>
      </c>
      <c r="AL91" s="62">
        <f>IFERROR(AK91/AK148, "NA")</f>
        <v>-4.2553044</v>
      </c>
    </row>
    <row r="92" ht="16.5" hidden="1" customHeight="1">
      <c r="A92" s="26" t="s">
        <v>209</v>
      </c>
      <c r="B92" s="28">
        <v>697.94</v>
      </c>
      <c r="C92" s="15">
        <f>IFERROR(B92/B148, "NA")</f>
        <v>0.02055773996</v>
      </c>
      <c r="D92" s="28">
        <v>1245.1</v>
      </c>
      <c r="E92" s="15">
        <f>IFERROR(D92/D148, "NA")</f>
        <v>0.02665708659</v>
      </c>
      <c r="F92" s="28">
        <v>1083.9</v>
      </c>
      <c r="G92" s="15">
        <f>IFERROR(F92/F148, "NA")</f>
        <v>0.0269152969</v>
      </c>
      <c r="H92" s="28">
        <v>941.19</v>
      </c>
      <c r="I92" s="15">
        <f>IFERROR(H92/H148, "NA")</f>
        <v>0.01763145521</v>
      </c>
      <c r="J92" s="28">
        <v>1387.93</v>
      </c>
      <c r="K92" s="15">
        <f>IFERROR(J92/J148, "NA")</f>
        <v>0.02987294748</v>
      </c>
      <c r="L92" s="28">
        <v>1218.98</v>
      </c>
      <c r="M92" s="15">
        <f>IFERROR(L92/L148, "NA")</f>
        <v>0.02780480751</v>
      </c>
      <c r="N92" s="28">
        <v>1319.6</v>
      </c>
      <c r="O92" s="15">
        <f>IFERROR(N92/N148, "NA")</f>
        <v>0.02495023566</v>
      </c>
      <c r="P92" s="28">
        <v>1411.13</v>
      </c>
      <c r="Q92" s="15">
        <f>IFERROR(P92/P148, "NA")</f>
        <v>0.02185124805</v>
      </c>
      <c r="R92" s="28">
        <v>981.14</v>
      </c>
      <c r="S92" s="15">
        <f>IFERROR(R92/R148, "NA")</f>
        <v>0.01791088153</v>
      </c>
      <c r="T92" s="28">
        <v>1008.05</v>
      </c>
      <c r="U92" s="15">
        <f>IFERROR(T92/T148, "NA")</f>
        <v>0.02060968521</v>
      </c>
      <c r="V92" s="28">
        <v>937.15</v>
      </c>
      <c r="W92" s="15">
        <f>IFERROR(V92/V148, "NA")</f>
        <v>0.02038590852</v>
      </c>
      <c r="X92" s="28">
        <v>35.6</v>
      </c>
      <c r="Y92" s="15">
        <f>IFERROR(X92/X148, "NA")</f>
        <v>0.0006121939052</v>
      </c>
      <c r="Z92" s="28">
        <v>1980.8</v>
      </c>
      <c r="AA92" s="15">
        <f>IFERROR(Z92/Z148, "NA")</f>
        <v>0.01294357456</v>
      </c>
      <c r="AB92" s="57">
        <f t="shared" si="43"/>
        <v>740.485</v>
      </c>
      <c r="AC92" s="15">
        <f>IFERROR(AB92/AB148, "NA")</f>
        <v>0.01425294779</v>
      </c>
      <c r="AD92" s="61">
        <f t="shared" si="44"/>
        <v>-704.885</v>
      </c>
      <c r="AE92" s="62">
        <f>IFERROR(AD92/AD148, "NA")</f>
        <v>-0.1137205221</v>
      </c>
      <c r="AF92" s="61">
        <f t="shared" si="45"/>
        <v>-0.9519234016</v>
      </c>
      <c r="AG92" s="57">
        <f t="shared" si="46"/>
        <v>1037.4475</v>
      </c>
      <c r="AH92" s="15">
        <f>IFERROR(AG92/AG148, "NA")</f>
        <v>0.01997096268</v>
      </c>
      <c r="AI92" s="61">
        <f t="shared" si="47"/>
        <v>-1001.8475</v>
      </c>
      <c r="AJ92" s="62">
        <f>IFERROR(AI92/AI148, "NA")</f>
        <v>-0.1614915743</v>
      </c>
      <c r="AK92" s="61">
        <f t="shared" si="48"/>
        <v>-0.9656850106</v>
      </c>
      <c r="AL92" s="62">
        <f>IFERROR(AK92/AK148, "NA")</f>
        <v>-8.086318968</v>
      </c>
    </row>
    <row r="93" ht="16.5" hidden="1" customHeight="1">
      <c r="A93" s="26" t="s">
        <v>210</v>
      </c>
      <c r="B93" s="28">
        <v>2817.15</v>
      </c>
      <c r="C93" s="15">
        <f>IFERROR(B93/B148, "NA")</f>
        <v>0.08297881929</v>
      </c>
      <c r="D93" s="28">
        <v>5409.88</v>
      </c>
      <c r="E93" s="15">
        <f>IFERROR(D93/D148, "NA")</f>
        <v>0.1158233392</v>
      </c>
      <c r="F93" s="28">
        <v>4110.49</v>
      </c>
      <c r="G93" s="15">
        <f>IFERROR(F93/F148, "NA")</f>
        <v>0.1020712785</v>
      </c>
      <c r="H93" s="28">
        <v>5973.19</v>
      </c>
      <c r="I93" s="15">
        <f>IFERROR(H93/H148, "NA")</f>
        <v>0.1118966754</v>
      </c>
      <c r="J93" s="28">
        <v>4098.97</v>
      </c>
      <c r="K93" s="15">
        <f>IFERROR(J93/J148, "NA")</f>
        <v>0.08822369681</v>
      </c>
      <c r="L93" s="28">
        <v>5612.11</v>
      </c>
      <c r="M93" s="15">
        <f>IFERROR(L93/L148, "NA")</f>
        <v>0.1280116476</v>
      </c>
      <c r="N93" s="28">
        <v>4559.79</v>
      </c>
      <c r="O93" s="15">
        <f>IFERROR(N93/N148, "NA")</f>
        <v>0.08621387926</v>
      </c>
      <c r="P93" s="28">
        <v>7042.81</v>
      </c>
      <c r="Q93" s="15">
        <f>IFERROR(P93/P148, "NA")</f>
        <v>0.1090574138</v>
      </c>
      <c r="R93" s="28">
        <v>5479.46</v>
      </c>
      <c r="S93" s="15">
        <f>IFERROR(R93/R148, "NA")</f>
        <v>0.1000284963</v>
      </c>
      <c r="T93" s="28">
        <v>4540.83</v>
      </c>
      <c r="U93" s="15">
        <f>IFERROR(T93/T148, "NA")</f>
        <v>0.09283773315</v>
      </c>
      <c r="V93" s="28">
        <v>4919.99</v>
      </c>
      <c r="W93" s="15">
        <f>IFERROR(V93/V148, "NA")</f>
        <v>0.1070249865</v>
      </c>
      <c r="X93" s="28">
        <v>6787.38</v>
      </c>
      <c r="Y93" s="15">
        <f>IFERROR(X93/X148, "NA")</f>
        <v>0.1167188952</v>
      </c>
      <c r="Z93" s="28">
        <v>16248.2</v>
      </c>
      <c r="AA93" s="15">
        <f>IFERROR(Z93/Z148, "NA")</f>
        <v>0.1061741661</v>
      </c>
      <c r="AB93" s="57">
        <f t="shared" si="43"/>
        <v>5431.915</v>
      </c>
      <c r="AC93" s="15">
        <f>IFERROR(AB93/AB148, "NA")</f>
        <v>0.1045541785</v>
      </c>
      <c r="AD93" s="61">
        <f t="shared" si="44"/>
        <v>1355.465</v>
      </c>
      <c r="AE93" s="62">
        <f>IFERROR(AD93/AD148, "NA")</f>
        <v>0.2186799088</v>
      </c>
      <c r="AF93" s="61">
        <f t="shared" si="45"/>
        <v>0.2495372258</v>
      </c>
      <c r="AG93" s="57">
        <f t="shared" si="46"/>
        <v>5380.1675</v>
      </c>
      <c r="AH93" s="15">
        <f>IFERROR(AG93/AG148, "NA")</f>
        <v>0.1035687342</v>
      </c>
      <c r="AI93" s="61">
        <f t="shared" si="47"/>
        <v>1407.2125</v>
      </c>
      <c r="AJ93" s="62">
        <f>IFERROR(AI93/AI148, "NA")</f>
        <v>0.2268338864</v>
      </c>
      <c r="AK93" s="61">
        <f t="shared" si="48"/>
        <v>0.2615555185</v>
      </c>
      <c r="AL93" s="62">
        <f>IFERROR(AK93/AK148, "NA")</f>
        <v>2.19017726</v>
      </c>
    </row>
    <row r="94" ht="16.5" hidden="1" customHeight="1">
      <c r="A94" s="26" t="s">
        <v>211</v>
      </c>
      <c r="B94" s="28">
        <v>760.46</v>
      </c>
      <c r="C94" s="15">
        <f>IFERROR(B94/B148, "NA")</f>
        <v>0.02239925915</v>
      </c>
      <c r="D94" s="28">
        <v>1326.9</v>
      </c>
      <c r="E94" s="15">
        <f>IFERROR(D94/D148, "NA")</f>
        <v>0.02840839145</v>
      </c>
      <c r="F94" s="28">
        <v>1073.25</v>
      </c>
      <c r="G94" s="15">
        <f>IFERROR(F94/F148, "NA")</f>
        <v>0.02665083716</v>
      </c>
      <c r="H94" s="28">
        <v>1390.63</v>
      </c>
      <c r="I94" s="15">
        <f>IFERROR(H94/H148, "NA")</f>
        <v>0.02605088299</v>
      </c>
      <c r="J94" s="28">
        <v>1108.41</v>
      </c>
      <c r="K94" s="15">
        <f>IFERROR(J94/J148, "NA")</f>
        <v>0.02385673176</v>
      </c>
      <c r="L94" s="28">
        <v>1292.32</v>
      </c>
      <c r="M94" s="15">
        <f>IFERROR(L94/L148, "NA")</f>
        <v>0.02947768531</v>
      </c>
      <c r="N94" s="28">
        <v>1315.63</v>
      </c>
      <c r="O94" s="15">
        <f>IFERROR(N94/N148, "NA")</f>
        <v>0.02487517319</v>
      </c>
      <c r="P94" s="28">
        <v>1929.5</v>
      </c>
      <c r="Q94" s="15">
        <f>IFERROR(P94/P148, "NA")</f>
        <v>0.02987817077</v>
      </c>
      <c r="R94" s="28">
        <v>1470.56</v>
      </c>
      <c r="S94" s="15">
        <f>IFERROR(R94/R148, "NA")</f>
        <v>0.02684532884</v>
      </c>
      <c r="T94" s="28">
        <v>1309.16</v>
      </c>
      <c r="U94" s="15">
        <f>IFERROR(T94/T148, "NA")</f>
        <v>0.02676590992</v>
      </c>
      <c r="V94" s="28">
        <v>1289.93</v>
      </c>
      <c r="W94" s="15">
        <f>IFERROR(V94/V148, "NA")</f>
        <v>0.0280599637</v>
      </c>
      <c r="X94" s="28">
        <v>1580.76</v>
      </c>
      <c r="Y94" s="15">
        <f>IFERROR(X94/X148, "NA")</f>
        <v>0.02718347297</v>
      </c>
      <c r="Z94" s="28">
        <v>4179.85</v>
      </c>
      <c r="AA94" s="15">
        <f>IFERROR(Z94/Z148, "NA")</f>
        <v>0.02731330782</v>
      </c>
      <c r="AB94" s="57">
        <f t="shared" si="43"/>
        <v>1412.6025</v>
      </c>
      <c r="AC94" s="15">
        <f>IFERROR(AB94/AB148, "NA")</f>
        <v>0.0271899494</v>
      </c>
      <c r="AD94" s="61">
        <f t="shared" si="44"/>
        <v>168.1575</v>
      </c>
      <c r="AE94" s="62">
        <f>IFERROR(AD94/AD148, "NA")</f>
        <v>0.02712918944</v>
      </c>
      <c r="AF94" s="61">
        <f t="shared" si="45"/>
        <v>0.1190409192</v>
      </c>
      <c r="AG94" s="57">
        <f t="shared" si="46"/>
        <v>1412.03375</v>
      </c>
      <c r="AH94" s="15">
        <f>IFERROR(AG94/AG148, "NA")</f>
        <v>0.02718178348</v>
      </c>
      <c r="AI94" s="61">
        <f t="shared" si="47"/>
        <v>168.72625</v>
      </c>
      <c r="AJ94" s="62">
        <f>IFERROR(AI94/AI148, "NA")</f>
        <v>0.02719762014</v>
      </c>
      <c r="AK94" s="61">
        <f t="shared" si="48"/>
        <v>0.1194916552</v>
      </c>
      <c r="AL94" s="62">
        <f>IFERROR(AK94/AK148, "NA")</f>
        <v>1.00058262</v>
      </c>
    </row>
    <row r="95" ht="16.5" hidden="1" customHeight="1">
      <c r="A95" s="26" t="s">
        <v>212</v>
      </c>
      <c r="B95" s="28">
        <v>0.0</v>
      </c>
      <c r="C95" s="15">
        <f>IFERROR(B95/B148, "NA")</f>
        <v>0</v>
      </c>
      <c r="D95" s="28">
        <v>0.0</v>
      </c>
      <c r="E95" s="15">
        <f>IFERROR(D95/D148, "NA")</f>
        <v>0</v>
      </c>
      <c r="F95" s="28">
        <v>0.0</v>
      </c>
      <c r="G95" s="15">
        <f>IFERROR(F95/F148, "NA")</f>
        <v>0</v>
      </c>
      <c r="H95" s="28">
        <v>1309.8</v>
      </c>
      <c r="I95" s="15">
        <f>IFERROR(H95/H148, "NA")</f>
        <v>0.02453668232</v>
      </c>
      <c r="J95" s="28">
        <v>0.0</v>
      </c>
      <c r="K95" s="15">
        <f>IFERROR(J95/J148, "NA")</f>
        <v>0</v>
      </c>
      <c r="L95" s="28">
        <v>0.0</v>
      </c>
      <c r="M95" s="15">
        <f>IFERROR(L95/L148, "NA")</f>
        <v>0</v>
      </c>
      <c r="N95" s="28">
        <v>0.0</v>
      </c>
      <c r="O95" s="15">
        <f>IFERROR(N95/N148, "NA")</f>
        <v>0</v>
      </c>
      <c r="P95" s="28">
        <v>0.0</v>
      </c>
      <c r="Q95" s="15">
        <f>IFERROR(P95/P148, "NA")</f>
        <v>0</v>
      </c>
      <c r="R95" s="28">
        <v>1309.8</v>
      </c>
      <c r="S95" s="15">
        <f>IFERROR(R95/R148, "NA")</f>
        <v>0.02391062705</v>
      </c>
      <c r="T95" s="28">
        <v>0.0</v>
      </c>
      <c r="U95" s="15">
        <f>IFERROR(T95/T148, "NA")</f>
        <v>0</v>
      </c>
      <c r="V95" s="28">
        <v>0.0</v>
      </c>
      <c r="W95" s="15">
        <f>IFERROR(V95/V148, "NA")</f>
        <v>0</v>
      </c>
      <c r="X95" s="28">
        <v>0.0</v>
      </c>
      <c r="Y95" s="15">
        <f>IFERROR(X95/X148, "NA")</f>
        <v>0</v>
      </c>
      <c r="Z95" s="28">
        <v>0.0</v>
      </c>
      <c r="AA95" s="15">
        <f>IFERROR(Z95/Z148, "NA")</f>
        <v>0</v>
      </c>
      <c r="AB95" s="57">
        <f t="shared" si="43"/>
        <v>327.45</v>
      </c>
      <c r="AC95" s="15">
        <f>IFERROR(AB95/AB148, "NA")</f>
        <v>0.006302798509</v>
      </c>
      <c r="AD95" s="61">
        <f t="shared" si="44"/>
        <v>-327.45</v>
      </c>
      <c r="AE95" s="62">
        <f>IFERROR(AD95/AD148, "NA")</f>
        <v>-0.05282817051</v>
      </c>
      <c r="AF95" s="61">
        <f t="shared" si="45"/>
        <v>-1</v>
      </c>
      <c r="AG95" s="57">
        <f t="shared" si="46"/>
        <v>163.725</v>
      </c>
      <c r="AH95" s="15">
        <f>IFERROR(AG95/AG148, "NA")</f>
        <v>0.003151721763</v>
      </c>
      <c r="AI95" s="61">
        <f t="shared" si="47"/>
        <v>-163.725</v>
      </c>
      <c r="AJ95" s="62">
        <f>IFERROR(AI95/AI148, "NA")</f>
        <v>-0.0263914498</v>
      </c>
      <c r="AK95" s="61">
        <f t="shared" si="48"/>
        <v>-1</v>
      </c>
      <c r="AL95" s="62">
        <f>IFERROR(AK95/AK148, "NA")</f>
        <v>-8.373661059</v>
      </c>
    </row>
    <row r="96" ht="16.5" hidden="1" customHeight="1">
      <c r="A96" s="26" t="s">
        <v>213</v>
      </c>
      <c r="B96" s="28">
        <v>0.0</v>
      </c>
      <c r="C96" s="15">
        <f>IFERROR(B96/B148, "NA")</f>
        <v>0</v>
      </c>
      <c r="D96" s="28">
        <v>0.0</v>
      </c>
      <c r="E96" s="15">
        <f>IFERROR(D96/D148, "NA")</f>
        <v>0</v>
      </c>
      <c r="F96" s="28">
        <v>0.0</v>
      </c>
      <c r="G96" s="15">
        <f>IFERROR(F96/F148, "NA")</f>
        <v>0</v>
      </c>
      <c r="H96" s="28">
        <v>0.0</v>
      </c>
      <c r="I96" s="15">
        <f>IFERROR(H96/H148, "NA")</f>
        <v>0</v>
      </c>
      <c r="J96" s="28">
        <v>0.0</v>
      </c>
      <c r="K96" s="15">
        <f>IFERROR(J96/J148, "NA")</f>
        <v>0</v>
      </c>
      <c r="L96" s="28">
        <v>0.0</v>
      </c>
      <c r="M96" s="15">
        <f>IFERROR(L96/L148, "NA")</f>
        <v>0</v>
      </c>
      <c r="N96" s="28">
        <v>0.0</v>
      </c>
      <c r="O96" s="15">
        <f>IFERROR(N96/N148, "NA")</f>
        <v>0</v>
      </c>
      <c r="P96" s="28">
        <v>0.0</v>
      </c>
      <c r="Q96" s="15">
        <f>IFERROR(P96/P148, "NA")</f>
        <v>0</v>
      </c>
      <c r="R96" s="28">
        <v>0.0</v>
      </c>
      <c r="S96" s="15">
        <f>IFERROR(R96/R148, "NA")</f>
        <v>0</v>
      </c>
      <c r="T96" s="28">
        <v>0.0</v>
      </c>
      <c r="U96" s="15">
        <f>IFERROR(T96/T148, "NA")</f>
        <v>0</v>
      </c>
      <c r="V96" s="28">
        <v>0.0</v>
      </c>
      <c r="W96" s="15">
        <f>IFERROR(V96/V148, "NA")</f>
        <v>0</v>
      </c>
      <c r="X96" s="28">
        <v>0.0</v>
      </c>
      <c r="Y96" s="15">
        <f>IFERROR(X96/X148, "NA")</f>
        <v>0</v>
      </c>
      <c r="Z96" s="28">
        <v>0.0</v>
      </c>
      <c r="AA96" s="15">
        <f>IFERROR(Z96/Z148, "NA")</f>
        <v>0</v>
      </c>
      <c r="AB96" s="57">
        <f t="shared" si="43"/>
        <v>0</v>
      </c>
      <c r="AC96" s="15">
        <f>IFERROR(AB96/AB148, "NA")</f>
        <v>0</v>
      </c>
      <c r="AD96" s="61">
        <f t="shared" si="44"/>
        <v>0</v>
      </c>
      <c r="AE96" s="62">
        <f>IFERROR(AD96/AD148, "NA")</f>
        <v>0</v>
      </c>
      <c r="AF96" s="61" t="str">
        <f t="shared" si="45"/>
        <v>NA</v>
      </c>
      <c r="AG96" s="57">
        <f t="shared" si="46"/>
        <v>0</v>
      </c>
      <c r="AH96" s="15">
        <f>IFERROR(AG96/AG148, "NA")</f>
        <v>0</v>
      </c>
      <c r="AI96" s="61">
        <f t="shared" si="47"/>
        <v>0</v>
      </c>
      <c r="AJ96" s="62">
        <f>IFERROR(AI96/AI148, "NA")</f>
        <v>0</v>
      </c>
      <c r="AK96" s="61" t="str">
        <f t="shared" si="48"/>
        <v>NA</v>
      </c>
      <c r="AL96" s="62" t="str">
        <f>IFERROR(AK96/AK148, "NA")</f>
        <v>NA</v>
      </c>
    </row>
    <row r="97" ht="16.5" hidden="1" customHeight="1">
      <c r="A97" s="26" t="s">
        <v>214</v>
      </c>
      <c r="B97" s="28">
        <v>0.0</v>
      </c>
      <c r="C97" s="15">
        <f>IFERROR(B97/B148, "NA")</f>
        <v>0</v>
      </c>
      <c r="D97" s="28">
        <v>799.95</v>
      </c>
      <c r="E97" s="15">
        <f>IFERROR(D97/D148, "NA")</f>
        <v>0.01712660543</v>
      </c>
      <c r="F97" s="28">
        <v>262.14</v>
      </c>
      <c r="G97" s="15">
        <f>IFERROR(F97/F148, "NA")</f>
        <v>0.006509434384</v>
      </c>
      <c r="H97" s="28">
        <v>1410.59</v>
      </c>
      <c r="I97" s="15">
        <f>IFERROR(H97/H148, "NA")</f>
        <v>0.0264247967</v>
      </c>
      <c r="J97" s="28">
        <v>0.0</v>
      </c>
      <c r="K97" s="15">
        <f>IFERROR(J97/J148, "NA")</f>
        <v>0</v>
      </c>
      <c r="L97" s="28">
        <v>0.0</v>
      </c>
      <c r="M97" s="15">
        <f>IFERROR(L97/L148, "NA")</f>
        <v>0</v>
      </c>
      <c r="N97" s="28">
        <v>262.14</v>
      </c>
      <c r="O97" s="15">
        <f>IFERROR(N97/N148, "NA")</f>
        <v>0.004956391919</v>
      </c>
      <c r="P97" s="28">
        <v>0.0</v>
      </c>
      <c r="Q97" s="15">
        <f>IFERROR(P97/P148, "NA")</f>
        <v>0</v>
      </c>
      <c r="R97" s="28">
        <v>919.65</v>
      </c>
      <c r="S97" s="15">
        <f>IFERROR(R97/R148, "NA")</f>
        <v>0.01678837087</v>
      </c>
      <c r="T97" s="28">
        <v>1510.86</v>
      </c>
      <c r="U97" s="15">
        <f>IFERROR(T97/T148, "NA")</f>
        <v>0.03088968702</v>
      </c>
      <c r="V97" s="28">
        <v>554.81</v>
      </c>
      <c r="W97" s="15">
        <f>IFERROR(V97/V148, "NA")</f>
        <v>0.012068832</v>
      </c>
      <c r="X97" s="28">
        <v>1743.66</v>
      </c>
      <c r="Y97" s="15">
        <f>IFERROR(X97/X148, "NA")</f>
        <v>0.02998477598</v>
      </c>
      <c r="Z97" s="28">
        <v>3809.33</v>
      </c>
      <c r="AA97" s="15">
        <f>IFERROR(Z97/Z148, "NA")</f>
        <v>0.02489213797</v>
      </c>
      <c r="AB97" s="57">
        <f t="shared" si="43"/>
        <v>1182.245</v>
      </c>
      <c r="AC97" s="15">
        <f>IFERROR(AB97/AB148, "NA")</f>
        <v>0.02275599946</v>
      </c>
      <c r="AD97" s="61">
        <f t="shared" si="44"/>
        <v>561.415</v>
      </c>
      <c r="AE97" s="62">
        <f>IFERROR(AD97/AD148, "NA")</f>
        <v>0.09057421696</v>
      </c>
      <c r="AF97" s="61">
        <f t="shared" si="45"/>
        <v>0.4748719597</v>
      </c>
      <c r="AG97" s="57">
        <f t="shared" si="46"/>
        <v>623.89</v>
      </c>
      <c r="AH97" s="15">
        <f>IFERROR(AG97/AG148, "NA")</f>
        <v>0.01200994162</v>
      </c>
      <c r="AI97" s="61">
        <f t="shared" si="47"/>
        <v>1119.77</v>
      </c>
      <c r="AJ97" s="62">
        <f>IFERROR(AI97/AI148, "NA")</f>
        <v>0.1804999465</v>
      </c>
      <c r="AK97" s="61">
        <f t="shared" si="48"/>
        <v>1.7948196</v>
      </c>
      <c r="AL97" s="62">
        <f>IFERROR(AK97/AK148, "NA")</f>
        <v>15.02921099</v>
      </c>
    </row>
    <row r="98" ht="16.5" hidden="1" customHeight="1">
      <c r="A98" s="26" t="s">
        <v>215</v>
      </c>
      <c r="B98" s="28">
        <v>663.27</v>
      </c>
      <c r="C98" s="15">
        <f>IFERROR(B98/B148, "NA")</f>
        <v>0.01953653922</v>
      </c>
      <c r="D98" s="28">
        <v>320.22</v>
      </c>
      <c r="E98" s="15">
        <f>IFERROR(D98/D148, "NA")</f>
        <v>0.006855780473</v>
      </c>
      <c r="F98" s="28">
        <v>2967.84</v>
      </c>
      <c r="G98" s="15">
        <f>IFERROR(F98/F148, "NA")</f>
        <v>0.07369710743</v>
      </c>
      <c r="H98" s="28">
        <v>887.59</v>
      </c>
      <c r="I98" s="15">
        <f>IFERROR(H98/H148, "NA")</f>
        <v>0.01662735827</v>
      </c>
      <c r="J98" s="28">
        <v>491.27</v>
      </c>
      <c r="K98" s="15">
        <f>IFERROR(J98/J148, "NA")</f>
        <v>0.01057379184</v>
      </c>
      <c r="L98" s="28">
        <v>405.4</v>
      </c>
      <c r="M98" s="15">
        <f>IFERROR(L98/L148, "NA")</f>
        <v>0.009247131998</v>
      </c>
      <c r="N98" s="28">
        <v>2797.65</v>
      </c>
      <c r="O98" s="15">
        <f>IFERROR(N98/N148, "NA")</f>
        <v>0.05289635253</v>
      </c>
      <c r="P98" s="28">
        <v>1341.81</v>
      </c>
      <c r="Q98" s="15">
        <f>IFERROR(P98/P148, "NA")</f>
        <v>0.02077783277</v>
      </c>
      <c r="R98" s="28">
        <v>1833.8</v>
      </c>
      <c r="S98" s="15">
        <f>IFERROR(R98/R148, "NA")</f>
        <v>0.03347633828</v>
      </c>
      <c r="T98" s="28">
        <v>381.76</v>
      </c>
      <c r="U98" s="15">
        <f>IFERROR(T98/T148, "NA")</f>
        <v>0.007805122193</v>
      </c>
      <c r="V98" s="28">
        <v>890.85</v>
      </c>
      <c r="W98" s="15">
        <f>IFERROR(V98/V148, "NA")</f>
        <v>0.01937874044</v>
      </c>
      <c r="X98" s="28">
        <v>2888.73</v>
      </c>
      <c r="Y98" s="15">
        <f>IFERROR(X98/X148, "NA")</f>
        <v>0.04967592415</v>
      </c>
      <c r="Z98" s="28">
        <v>4161.34</v>
      </c>
      <c r="AA98" s="15">
        <f>IFERROR(Z98/Z148, "NA")</f>
        <v>0.02719235388</v>
      </c>
      <c r="AB98" s="57">
        <f t="shared" si="43"/>
        <v>1498.785</v>
      </c>
      <c r="AC98" s="15">
        <f>IFERROR(AB98/AB148, "NA")</f>
        <v>0.02884880093</v>
      </c>
      <c r="AD98" s="61">
        <f t="shared" si="44"/>
        <v>1389.945</v>
      </c>
      <c r="AE98" s="62">
        <f>IFERROR(AD98/AD148, "NA")</f>
        <v>0.2242426369</v>
      </c>
      <c r="AF98" s="61">
        <f t="shared" si="45"/>
        <v>0.9273811788</v>
      </c>
      <c r="AG98" s="57">
        <f t="shared" si="46"/>
        <v>1378.90875</v>
      </c>
      <c r="AH98" s="15">
        <f>IFERROR(AG98/AG148, "NA")</f>
        <v>0.02654412409</v>
      </c>
      <c r="AI98" s="61">
        <f t="shared" si="47"/>
        <v>1509.82125</v>
      </c>
      <c r="AJ98" s="62">
        <f>IFERROR(AI98/AI148, "NA")</f>
        <v>0.2433737775</v>
      </c>
      <c r="AK98" s="61">
        <f t="shared" si="48"/>
        <v>1.094939205</v>
      </c>
      <c r="AL98" s="62">
        <f>IFERROR(AK98/AK148, "NA")</f>
        <v>9.16864978</v>
      </c>
    </row>
    <row r="99" ht="16.5" hidden="1" customHeight="1">
      <c r="A99" s="67" t="s">
        <v>216</v>
      </c>
      <c r="B99" s="70">
        <f>IFERROR(B90+B91+B92+B93+B94+B95+B96+B97+B98, "NA")</f>
        <v>7269.27</v>
      </c>
      <c r="C99" s="71">
        <f>IFERROR(B99/B148, "NA")</f>
        <v>0.2141154861</v>
      </c>
      <c r="D99" s="70">
        <f>IFERROR(D90+D91+D92+D93+D94+D95+D96+D97+D98, "NA")</f>
        <v>12698.47</v>
      </c>
      <c r="E99" s="71">
        <f>IFERROR(D99/D148, "NA")</f>
        <v>0.2718690983</v>
      </c>
      <c r="F99" s="70">
        <f>IFERROR(F90+F91+F92+F93+F94+F95+F96+F97+F98, "NA")</f>
        <v>12833.33</v>
      </c>
      <c r="G99" s="71">
        <f>IFERROR(F99/F148, "NA")</f>
        <v>0.318675973</v>
      </c>
      <c r="H99" s="70">
        <f>IFERROR(H90+H91+H92+H93+H94+H95+H96+H97+H98, "NA")</f>
        <v>16098.75</v>
      </c>
      <c r="I99" s="71">
        <f>IFERROR(H99/H148, "NA")</f>
        <v>0.3015803287</v>
      </c>
      <c r="J99" s="70">
        <f>IFERROR(J90+J91+J92+J93+J94+J95+J96+J97+J98, "NA")</f>
        <v>11945.35</v>
      </c>
      <c r="K99" s="71">
        <f>IFERROR(J99/J148, "NA")</f>
        <v>0.2571043303</v>
      </c>
      <c r="L99" s="70">
        <f>IFERROR(L90+L91+L92+L93+L94+L95+L96+L97+L98, "NA")</f>
        <v>13182.48</v>
      </c>
      <c r="M99" s="71">
        <f>IFERROR(L99/L148, "NA")</f>
        <v>0.300691003</v>
      </c>
      <c r="N99" s="70">
        <f>IFERROR(N90+N91+N92+N93+N94+N95+N96+N97+N98, "NA")</f>
        <v>14735.12</v>
      </c>
      <c r="O99" s="71">
        <f>IFERROR(N99/N148, "NA")</f>
        <v>0.2786031498</v>
      </c>
      <c r="P99" s="70">
        <f>IFERROR(P90+P91+P92+P93+P94+P95+P96+P97+P98, "NA")</f>
        <v>16132.34</v>
      </c>
      <c r="Q99" s="71">
        <f>IFERROR(P99/P148, "NA")</f>
        <v>0.2498081417</v>
      </c>
      <c r="R99" s="70">
        <f>IFERROR(R90+R91+R92+R93+R94+R95+R96+R97+R98, "NA")</f>
        <v>16833.07</v>
      </c>
      <c r="S99" s="71">
        <f>IFERROR(R99/R148, "NA")</f>
        <v>0.3072906236</v>
      </c>
      <c r="T99" s="70">
        <f>IFERROR(T90+T91+T92+T93+T94+T95+T96+T97+T98, "NA")</f>
        <v>14721.57</v>
      </c>
      <c r="U99" s="71">
        <f>IFERROR(T99/T148, "NA")</f>
        <v>0.3009840023</v>
      </c>
      <c r="V99" s="70">
        <f>IFERROR(V90+V91+V92+V93+V94+V95+V96+V97+V98, "NA")</f>
        <v>11934.23</v>
      </c>
      <c r="W99" s="71">
        <f>IFERROR(V99/V148, "NA")</f>
        <v>0.2596063822</v>
      </c>
      <c r="X99" s="70">
        <f>IFERROR(X90+X91+X92+X93+X94+X95+X96+X97+X98, "NA")</f>
        <v>15184.09</v>
      </c>
      <c r="Y99" s="71">
        <f>IFERROR(X99/X148, "NA")</f>
        <v>0.2611125661</v>
      </c>
      <c r="Z99" s="70">
        <f>IFERROR(Z90+Z91+Z92+Z93+Z94+Z95+Z96+Z97+Z98, "NA")</f>
        <v>41839.89</v>
      </c>
      <c r="AA99" s="71">
        <f>IFERROR(Z99/Z148, "NA")</f>
        <v>0.2734035419</v>
      </c>
      <c r="AB99" s="70">
        <f t="shared" si="43"/>
        <v>14668.24</v>
      </c>
      <c r="AC99" s="71">
        <f>IFERROR(AB99/AB148, "NA")</f>
        <v>0.2823361161</v>
      </c>
      <c r="AD99" s="75">
        <f t="shared" si="44"/>
        <v>515.85</v>
      </c>
      <c r="AE99" s="76">
        <f>IFERROR(AD99/AD148, "NA")</f>
        <v>0.0832231234</v>
      </c>
      <c r="AF99" s="75">
        <f t="shared" si="45"/>
        <v>0.03516781836</v>
      </c>
      <c r="AG99" s="70">
        <f t="shared" si="46"/>
        <v>14333.53125</v>
      </c>
      <c r="AH99" s="71">
        <f>IFERROR(AG99/AG148, "NA")</f>
        <v>0.2759218347</v>
      </c>
      <c r="AI99" s="75">
        <f t="shared" si="47"/>
        <v>850.55875</v>
      </c>
      <c r="AJ99" s="76">
        <f>IFERROR(AI99/AI148, "NA")</f>
        <v>0.1371047705</v>
      </c>
      <c r="AK99" s="75">
        <f t="shared" si="48"/>
        <v>0.05934048876</v>
      </c>
      <c r="AL99" s="76">
        <f>IFERROR(AK99/AK148, "NA")</f>
        <v>0.4968971399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2"/>
      <c r="AF100" s="125"/>
      <c r="AG100" s="124"/>
      <c r="AH100" s="74"/>
      <c r="AI100" s="125"/>
      <c r="AJ100" s="82"/>
      <c r="AK100" s="125"/>
      <c r="AL100" s="82"/>
    </row>
    <row r="101" ht="16.5" hidden="1" customHeight="1">
      <c r="A101" s="121" t="s">
        <v>217</v>
      </c>
      <c r="B101" s="122">
        <f>IFERROR(B87-B99, "NA")</f>
        <v>7877.19</v>
      </c>
      <c r="C101" s="98">
        <f>IFERROR(B101/B148, "NA")</f>
        <v>0.2320216976</v>
      </c>
      <c r="D101" s="122">
        <f>IFERROR(D87-D99, "NA")</f>
        <v>12745.37</v>
      </c>
      <c r="E101" s="98">
        <f>IFERROR(D101/D148, "NA")</f>
        <v>0.2728732083</v>
      </c>
      <c r="F101" s="122">
        <f>IFERROR(F87-F99, "NA")</f>
        <v>5387.13</v>
      </c>
      <c r="G101" s="98">
        <f>IFERROR(F101/F148, "NA")</f>
        <v>0.1337726759</v>
      </c>
      <c r="H101" s="122">
        <f>IFERROR(H87-H99, "NA")</f>
        <v>11922.85</v>
      </c>
      <c r="I101" s="98">
        <f>IFERROR(H101/H148, "NA")</f>
        <v>0.2233525598</v>
      </c>
      <c r="J101" s="122">
        <f>IFERROR(J87-J99, "NA")</f>
        <v>11473.93</v>
      </c>
      <c r="K101" s="98">
        <f>IFERROR(J101/J148, "NA")</f>
        <v>0.2469577776</v>
      </c>
      <c r="L101" s="122">
        <f>IFERROR(L87-L99, "NA")</f>
        <v>9333.93</v>
      </c>
      <c r="M101" s="98">
        <f>IFERROR(L101/L148, "NA")</f>
        <v>0.2129059762</v>
      </c>
      <c r="N101" s="122">
        <f>IFERROR(N87-N99, "NA")</f>
        <v>11294.09</v>
      </c>
      <c r="O101" s="98">
        <f>IFERROR(N101/N148, "NA")</f>
        <v>0.2135421394</v>
      </c>
      <c r="P101" s="122">
        <f>IFERROR(P87-P99, "NA")</f>
        <v>20118.84</v>
      </c>
      <c r="Q101" s="98">
        <f>IFERROR(P101/P148, "NA")</f>
        <v>0.3115388117</v>
      </c>
      <c r="R101" s="122">
        <f>IFERROR(R87-R99, "NA")</f>
        <v>13628.55</v>
      </c>
      <c r="S101" s="98">
        <f>IFERROR(R101/R148, "NA")</f>
        <v>0.2487915531</v>
      </c>
      <c r="T101" s="122">
        <f>IFERROR(T87-T99, "NA")</f>
        <v>11117.39</v>
      </c>
      <c r="U101" s="98">
        <f>IFERROR(T101/T148, "NA")</f>
        <v>0.2272961741</v>
      </c>
      <c r="V101" s="122">
        <f>IFERROR(V87-V99, "NA")</f>
        <v>10909.16</v>
      </c>
      <c r="W101" s="98">
        <f>IFERROR(V101/V148, "NA")</f>
        <v>0.237307942</v>
      </c>
      <c r="X101" s="122">
        <f>IFERROR(X87-X99, "NA")</f>
        <v>17529.51</v>
      </c>
      <c r="Y101" s="98">
        <f>IFERROR(X101/X148, "NA")</f>
        <v>0.3014454827</v>
      </c>
      <c r="Z101" s="122">
        <f>IFERROR(Z87-Z99, "NA")</f>
        <v>39556.06</v>
      </c>
      <c r="AA101" s="98">
        <f>IFERROR(Z101/Z148, "NA")</f>
        <v>0.2584798122</v>
      </c>
      <c r="AB101" s="122">
        <f>IFERROR((R101+T101+V101+X101)/4, "NA")</f>
        <v>13296.1525</v>
      </c>
      <c r="AC101" s="98">
        <f>IFERROR(AB101/AB148, "NA")</f>
        <v>0.2559260044</v>
      </c>
      <c r="AD101" s="75">
        <f>IFERROR(X101-AB101, "NA")</f>
        <v>4233.3575</v>
      </c>
      <c r="AE101" s="76">
        <f>IFERROR(AD101/AD148, "NA")</f>
        <v>0.6829761241</v>
      </c>
      <c r="AF101" s="75">
        <f>IFERROR((X101-AB101)/AB101, "NA")</f>
        <v>0.318389662</v>
      </c>
      <c r="AG101" s="122">
        <f>IFERROR((J101+L101+N101+P101+R101+T101+V101+X101)/8, "NA")</f>
        <v>13175.675</v>
      </c>
      <c r="AH101" s="98">
        <f>IFERROR(AG101/AG148, "NA")</f>
        <v>0.2536329922</v>
      </c>
      <c r="AI101" s="75">
        <f>IFERROR(X101-AG101, "NA")</f>
        <v>4353.835</v>
      </c>
      <c r="AJ101" s="76">
        <f>IFERROR(AI101/AI148, "NA")</f>
        <v>0.7018110724</v>
      </c>
      <c r="AK101" s="75">
        <f>IFERROR((X101-AG101)/AG101, "NA")</f>
        <v>0.3304449298</v>
      </c>
      <c r="AL101" s="76">
        <f>IFERROR(AK101/AK148, "NA")</f>
        <v>2.767033841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2"/>
      <c r="AF102" s="125"/>
      <c r="AG102" s="124"/>
      <c r="AH102" s="74"/>
      <c r="AI102" s="125"/>
      <c r="AJ102" s="82"/>
      <c r="AK102" s="125"/>
      <c r="AL102" s="82"/>
    </row>
    <row r="103" ht="16.5" hidden="1" customHeight="1">
      <c r="A103" s="22" t="s">
        <v>218</v>
      </c>
      <c r="B103" s="23"/>
      <c r="C103" s="10"/>
      <c r="D103" s="23"/>
      <c r="E103" s="10"/>
      <c r="F103" s="23"/>
      <c r="G103" s="10"/>
      <c r="H103" s="23"/>
      <c r="I103" s="10"/>
      <c r="J103" s="23"/>
      <c r="K103" s="10"/>
      <c r="L103" s="23"/>
      <c r="M103" s="10"/>
      <c r="N103" s="23"/>
      <c r="O103" s="10"/>
      <c r="P103" s="23"/>
      <c r="Q103" s="10"/>
      <c r="R103" s="23"/>
      <c r="S103" s="10"/>
      <c r="T103" s="23"/>
      <c r="U103" s="10"/>
      <c r="V103" s="23"/>
      <c r="W103" s="10"/>
      <c r="X103" s="23"/>
      <c r="Y103" s="10"/>
      <c r="Z103" s="23"/>
      <c r="AA103" s="10"/>
      <c r="AB103" s="23"/>
      <c r="AC103" s="10"/>
      <c r="AD103" s="24"/>
      <c r="AE103" s="25"/>
      <c r="AF103" s="24"/>
      <c r="AG103" s="23"/>
      <c r="AH103" s="10"/>
      <c r="AI103" s="24"/>
      <c r="AJ103" s="25"/>
      <c r="AK103" s="24"/>
      <c r="AL103" s="25"/>
    </row>
    <row r="104" ht="16.5" hidden="1" customHeight="1">
      <c r="A104" s="126" t="s">
        <v>219</v>
      </c>
      <c r="B104" s="127">
        <v>-1535.0</v>
      </c>
      <c r="C104" s="98">
        <f>IFERROR(B104/B148, "NA")</f>
        <v>-0.04521324303</v>
      </c>
      <c r="D104" s="127">
        <v>0.0</v>
      </c>
      <c r="E104" s="98">
        <f>IFERROR(D104/D148, "NA")</f>
        <v>0</v>
      </c>
      <c r="F104" s="127">
        <v>5665.84</v>
      </c>
      <c r="G104" s="98">
        <f>IFERROR(F104/F148, "NA")</f>
        <v>0.1406935748</v>
      </c>
      <c r="H104" s="127">
        <v>12371.52</v>
      </c>
      <c r="I104" s="98">
        <f>IFERROR(H104/H148, "NA")</f>
        <v>0.231757563</v>
      </c>
      <c r="J104" s="127">
        <v>-1027.0</v>
      </c>
      <c r="K104" s="98">
        <f>IFERROR(J104/J148, "NA")</f>
        <v>-0.02210451324</v>
      </c>
      <c r="L104" s="127">
        <v>0.0</v>
      </c>
      <c r="M104" s="98">
        <f>IFERROR(L104/L148, "NA")</f>
        <v>0</v>
      </c>
      <c r="N104" s="127">
        <v>5050.79</v>
      </c>
      <c r="O104" s="98">
        <f>IFERROR(N104/N148, "NA")</f>
        <v>0.09549742405</v>
      </c>
      <c r="P104" s="127">
        <v>0.0</v>
      </c>
      <c r="Q104" s="98">
        <f>IFERROR(P104/P148, "NA")</f>
        <v>0</v>
      </c>
      <c r="R104" s="127">
        <v>14796.47</v>
      </c>
      <c r="S104" s="98">
        <f>IFERROR(R104/R148, "NA")</f>
        <v>0.2701121361</v>
      </c>
      <c r="T104" s="127">
        <v>0.0</v>
      </c>
      <c r="U104" s="98">
        <f>IFERROR(T104/T148, "NA")</f>
        <v>0</v>
      </c>
      <c r="V104" s="127">
        <v>0.0</v>
      </c>
      <c r="W104" s="98">
        <f>IFERROR(V104/V148, "NA")</f>
        <v>0</v>
      </c>
      <c r="X104" s="127">
        <v>4771.86</v>
      </c>
      <c r="Y104" s="98">
        <f>IFERROR(X104/X148, "NA")</f>
        <v>0.08205909013</v>
      </c>
      <c r="Z104" s="127">
        <v>4771.86</v>
      </c>
      <c r="AA104" s="98">
        <f>IFERROR(Z104/Z148, "NA")</f>
        <v>0.03118180821</v>
      </c>
      <c r="AB104" s="122">
        <f t="shared" ref="AB104:AB105" si="49">IFERROR((R104+T104+V104+X104)/4, "NA")</f>
        <v>4892.0825</v>
      </c>
      <c r="AC104" s="98">
        <f>IFERROR(AB104/AB148, "NA")</f>
        <v>0.09416341514</v>
      </c>
      <c r="AD104" s="75">
        <f t="shared" ref="AD104:AD105" si="50">IFERROR(X104-AB104, "NA")</f>
        <v>-120.2225</v>
      </c>
      <c r="AE104" s="76">
        <f>IFERROR(AD104/AD148, "NA")</f>
        <v>-0.01939573898</v>
      </c>
      <c r="AF104" s="75">
        <f t="shared" ref="AF104:AF105" si="51">IFERROR((X104-AB104)/AB104, "NA")</f>
        <v>-0.02457491263</v>
      </c>
      <c r="AG104" s="122">
        <f t="shared" ref="AG104:AG105" si="52">IFERROR((J104+L104+N104+P104+R104+T104+V104+X104)/8, "NA")</f>
        <v>2949.015</v>
      </c>
      <c r="AH104" s="98">
        <f>IFERROR(AG104/AG148, "NA")</f>
        <v>0.05676881818</v>
      </c>
      <c r="AI104" s="75">
        <f t="shared" ref="AI104:AI105" si="53">IFERROR(X104-AG104, "NA")</f>
        <v>1822.845</v>
      </c>
      <c r="AJ104" s="76">
        <f>IFERROR(AI104/AI148, "NA")</f>
        <v>0.2938312555</v>
      </c>
      <c r="AK104" s="75">
        <f t="shared" ref="AK104:AK105" si="54">IFERROR((X104-AG104)/AG104, "NA")</f>
        <v>0.6181199485</v>
      </c>
      <c r="AL104" s="76">
        <f>IFERROR(AK104/AK148, "NA")</f>
        <v>5.175926943</v>
      </c>
    </row>
    <row r="105" ht="16.5" hidden="1" customHeight="1">
      <c r="A105" s="67" t="s">
        <v>220</v>
      </c>
      <c r="B105" s="70">
        <f>IFERROR(B104, "NA")</f>
        <v>-1535</v>
      </c>
      <c r="C105" s="71">
        <f>IFERROR(B105/B148, "NA")</f>
        <v>-0.04521324303</v>
      </c>
      <c r="D105" s="70">
        <f>IFERROR(D104, "NA")</f>
        <v>0</v>
      </c>
      <c r="E105" s="71">
        <f>IFERROR(D105/D148, "NA")</f>
        <v>0</v>
      </c>
      <c r="F105" s="70">
        <f>IFERROR(F104, "NA")</f>
        <v>5665.84</v>
      </c>
      <c r="G105" s="71">
        <f>IFERROR(F105/F148, "NA")</f>
        <v>0.1406935748</v>
      </c>
      <c r="H105" s="70">
        <f>IFERROR(H104, "NA")</f>
        <v>12371.52</v>
      </c>
      <c r="I105" s="71">
        <f>IFERROR(H105/H148, "NA")</f>
        <v>0.231757563</v>
      </c>
      <c r="J105" s="70">
        <f>IFERROR(J104, "NA")</f>
        <v>-1027</v>
      </c>
      <c r="K105" s="71">
        <f>IFERROR(J105/J148, "NA")</f>
        <v>-0.02210451324</v>
      </c>
      <c r="L105" s="70">
        <f>IFERROR(L104, "NA")</f>
        <v>0</v>
      </c>
      <c r="M105" s="71">
        <f>IFERROR(L105/L148, "NA")</f>
        <v>0</v>
      </c>
      <c r="N105" s="70">
        <f>IFERROR(N104, "NA")</f>
        <v>5050.79</v>
      </c>
      <c r="O105" s="71">
        <f>IFERROR(N105/N148, "NA")</f>
        <v>0.09549742405</v>
      </c>
      <c r="P105" s="70">
        <f>IFERROR(P104, "NA")</f>
        <v>0</v>
      </c>
      <c r="Q105" s="71">
        <f>IFERROR(P105/P148, "NA")</f>
        <v>0</v>
      </c>
      <c r="R105" s="70">
        <f>IFERROR(R104, "NA")</f>
        <v>14796.47</v>
      </c>
      <c r="S105" s="71">
        <f>IFERROR(R105/R148, "NA")</f>
        <v>0.2701121361</v>
      </c>
      <c r="T105" s="70">
        <f>IFERROR(T104, "NA")</f>
        <v>0</v>
      </c>
      <c r="U105" s="71">
        <f>IFERROR(T105/T148, "NA")</f>
        <v>0</v>
      </c>
      <c r="V105" s="70">
        <f>IFERROR(V104, "NA")</f>
        <v>0</v>
      </c>
      <c r="W105" s="71">
        <f>IFERROR(V105/V148, "NA")</f>
        <v>0</v>
      </c>
      <c r="X105" s="70">
        <f>IFERROR(X104, "NA")</f>
        <v>4771.86</v>
      </c>
      <c r="Y105" s="71">
        <f>IFERROR(X105/X148, "NA")</f>
        <v>0.08205909013</v>
      </c>
      <c r="Z105" s="70">
        <f>IFERROR(Z104, "NA")</f>
        <v>4771.86</v>
      </c>
      <c r="AA105" s="71">
        <f>IFERROR(Z105/Z148, "NA")</f>
        <v>0.03118180821</v>
      </c>
      <c r="AB105" s="70">
        <f t="shared" si="49"/>
        <v>4892.0825</v>
      </c>
      <c r="AC105" s="71">
        <f>IFERROR(AB105/AB148, "NA")</f>
        <v>0.09416341514</v>
      </c>
      <c r="AD105" s="75">
        <f t="shared" si="50"/>
        <v>-120.2225</v>
      </c>
      <c r="AE105" s="76">
        <f>IFERROR(AD105/AD148, "NA")</f>
        <v>-0.01939573898</v>
      </c>
      <c r="AF105" s="75">
        <f t="shared" si="51"/>
        <v>-0.02457491263</v>
      </c>
      <c r="AG105" s="70">
        <f t="shared" si="52"/>
        <v>2949.015</v>
      </c>
      <c r="AH105" s="71">
        <f>IFERROR(AG105/AG148, "NA")</f>
        <v>0.05676881818</v>
      </c>
      <c r="AI105" s="75">
        <f t="shared" si="53"/>
        <v>1822.845</v>
      </c>
      <c r="AJ105" s="76">
        <f>IFERROR(AI105/AI148, "NA")</f>
        <v>0.2938312555</v>
      </c>
      <c r="AK105" s="75">
        <f t="shared" si="54"/>
        <v>0.6181199485</v>
      </c>
      <c r="AL105" s="76">
        <f>IFERROR(AK105/AK148, "NA")</f>
        <v>5.175926943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2"/>
      <c r="AF106" s="125"/>
      <c r="AG106" s="124"/>
      <c r="AH106" s="74"/>
      <c r="AI106" s="125"/>
      <c r="AJ106" s="82"/>
      <c r="AK106" s="125"/>
      <c r="AL106" s="82"/>
    </row>
    <row r="107" ht="16.5" hidden="1" customHeight="1">
      <c r="A107" s="121" t="s">
        <v>221</v>
      </c>
      <c r="B107" s="122">
        <f>IFERROR(B87-B99-B105, "NA")</f>
        <v>9412.19</v>
      </c>
      <c r="C107" s="98">
        <f>IFERROR(B107/B148, "NA")</f>
        <v>0.2772349407</v>
      </c>
      <c r="D107" s="122">
        <f>IFERROR(D87-D99-D105, "NA")</f>
        <v>12745.37</v>
      </c>
      <c r="E107" s="98">
        <f>IFERROR(D107/D148, "NA")</f>
        <v>0.2728732083</v>
      </c>
      <c r="F107" s="122">
        <f>IFERROR(F87-F99-F105, "NA")</f>
        <v>-278.71</v>
      </c>
      <c r="G107" s="98">
        <f>IFERROR(F107/F148, "NA")</f>
        <v>-0.006920898974</v>
      </c>
      <c r="H107" s="122">
        <f>IFERROR(H87-H99-H105, "NA")</f>
        <v>-448.67</v>
      </c>
      <c r="I107" s="98">
        <f>IFERROR(H107/H148, "NA")</f>
        <v>-0.00840500325</v>
      </c>
      <c r="J107" s="122">
        <f>IFERROR(J87-J99-J105, "NA")</f>
        <v>12500.93</v>
      </c>
      <c r="K107" s="98">
        <f>IFERROR(J107/J148, "NA")</f>
        <v>0.2690622908</v>
      </c>
      <c r="L107" s="122">
        <f>IFERROR(L87-L99-L105, "NA")</f>
        <v>9333.93</v>
      </c>
      <c r="M107" s="98">
        <f>IFERROR(L107/L148, "NA")</f>
        <v>0.2129059762</v>
      </c>
      <c r="N107" s="122">
        <f>IFERROR(N87-N99-N105, "NA")</f>
        <v>6243.3</v>
      </c>
      <c r="O107" s="98">
        <f>IFERROR(N107/N148, "NA")</f>
        <v>0.1180447153</v>
      </c>
      <c r="P107" s="122">
        <f>IFERROR(P87-P99-P105, "NA")</f>
        <v>20118.84</v>
      </c>
      <c r="Q107" s="98">
        <f>IFERROR(P107/P148, "NA")</f>
        <v>0.3115388117</v>
      </c>
      <c r="R107" s="122">
        <f>IFERROR(R87-R99-R105, "NA")</f>
        <v>-1167.92</v>
      </c>
      <c r="S107" s="98">
        <f>IFERROR(R107/R148, "NA")</f>
        <v>-0.02132058295</v>
      </c>
      <c r="T107" s="122">
        <f>IFERROR(T87-T99-T105, "NA")</f>
        <v>11117.39</v>
      </c>
      <c r="U107" s="98">
        <f>IFERROR(T107/T148, "NA")</f>
        <v>0.2272961741</v>
      </c>
      <c r="V107" s="122">
        <f>IFERROR(V87-V99-V105, "NA")</f>
        <v>10909.16</v>
      </c>
      <c r="W107" s="98">
        <f>IFERROR(V107/V148, "NA")</f>
        <v>0.237307942</v>
      </c>
      <c r="X107" s="122">
        <f>IFERROR(X87-X99-X105, "NA")</f>
        <v>12757.65</v>
      </c>
      <c r="Y107" s="98">
        <f>IFERROR(X107/X148, "NA")</f>
        <v>0.2193863925</v>
      </c>
      <c r="Z107" s="122">
        <f>IFERROR(Z87-Z99-Z105, "NA")</f>
        <v>34784.2</v>
      </c>
      <c r="AA107" s="98">
        <f>IFERROR(Z107/Z148, "NA")</f>
        <v>0.227298004</v>
      </c>
      <c r="AB107" s="122">
        <f>IFERROR((R107+T107+V107+X107)/4, "NA")</f>
        <v>8404.07</v>
      </c>
      <c r="AC107" s="98">
        <f>IFERROR(AB107/AB148, "NA")</f>
        <v>0.1617625893</v>
      </c>
      <c r="AD107" s="75">
        <f>IFERROR(X107-AB107, "NA")</f>
        <v>4353.58</v>
      </c>
      <c r="AE107" s="76">
        <f>IFERROR(AD107/AD148, "NA")</f>
        <v>0.7023718631</v>
      </c>
      <c r="AF107" s="75">
        <f>IFERROR((X107-AB107)/AB107, "NA")</f>
        <v>0.5180323343</v>
      </c>
      <c r="AG107" s="122">
        <f>IFERROR((J107+L107+N107+P107+R107+T107+V107+X107)/8, "NA")</f>
        <v>10226.66</v>
      </c>
      <c r="AH107" s="98">
        <f>IFERROR(AG107/AG148, "NA")</f>
        <v>0.196864174</v>
      </c>
      <c r="AI107" s="75">
        <f>IFERROR(X107-AG107, "NA")</f>
        <v>2530.99</v>
      </c>
      <c r="AJ107" s="76">
        <f>IFERROR(AI107/AI148, "NA")</f>
        <v>0.4079798169</v>
      </c>
      <c r="AK107" s="75">
        <f>IFERROR((X107-AG107)/AG107, "NA")</f>
        <v>0.2474894051</v>
      </c>
      <c r="AL107" s="76">
        <f>IFERROR(AK107/AK148, "NA")</f>
        <v>2.072392394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2"/>
      <c r="AF108" s="125"/>
      <c r="AG108" s="124"/>
      <c r="AH108" s="74"/>
      <c r="AI108" s="125"/>
      <c r="AJ108" s="82"/>
      <c r="AK108" s="125"/>
      <c r="AL108" s="82"/>
    </row>
    <row r="109" ht="16.5" hidden="1" customHeight="1">
      <c r="A109" s="22" t="s">
        <v>222</v>
      </c>
      <c r="B109" s="23"/>
      <c r="C109" s="10"/>
      <c r="D109" s="23"/>
      <c r="E109" s="10"/>
      <c r="F109" s="23"/>
      <c r="G109" s="10"/>
      <c r="H109" s="23"/>
      <c r="I109" s="10"/>
      <c r="J109" s="23"/>
      <c r="K109" s="10"/>
      <c r="L109" s="23"/>
      <c r="M109" s="10"/>
      <c r="N109" s="23"/>
      <c r="O109" s="10"/>
      <c r="P109" s="23"/>
      <c r="Q109" s="10"/>
      <c r="R109" s="23"/>
      <c r="S109" s="10"/>
      <c r="T109" s="23"/>
      <c r="U109" s="10"/>
      <c r="V109" s="23"/>
      <c r="W109" s="10"/>
      <c r="X109" s="23"/>
      <c r="Y109" s="10"/>
      <c r="Z109" s="23"/>
      <c r="AA109" s="10"/>
      <c r="AB109" s="23"/>
      <c r="AC109" s="10"/>
      <c r="AD109" s="24"/>
      <c r="AE109" s="25"/>
      <c r="AF109" s="24"/>
      <c r="AG109" s="23"/>
      <c r="AH109" s="10"/>
      <c r="AI109" s="24"/>
      <c r="AJ109" s="25"/>
      <c r="AK109" s="24"/>
      <c r="AL109" s="25"/>
    </row>
    <row r="110" ht="16.5" hidden="1" customHeight="1">
      <c r="A110" s="26" t="s">
        <v>223</v>
      </c>
      <c r="B110" s="28">
        <v>0.0</v>
      </c>
      <c r="C110" s="15">
        <f>IFERROR(B110/B148, "NA")</f>
        <v>0</v>
      </c>
      <c r="D110" s="28">
        <v>0.0</v>
      </c>
      <c r="E110" s="15">
        <f>IFERROR(D110/D148, "NA")</f>
        <v>0</v>
      </c>
      <c r="F110" s="28">
        <v>0.0</v>
      </c>
      <c r="G110" s="15">
        <f>IFERROR(F110/F148, "NA")</f>
        <v>0</v>
      </c>
      <c r="H110" s="28">
        <v>0.0</v>
      </c>
      <c r="I110" s="15">
        <f>IFERROR(H110/H148, "NA")</f>
        <v>0</v>
      </c>
      <c r="J110" s="28">
        <v>0.0</v>
      </c>
      <c r="K110" s="15">
        <f>IFERROR(J110/J148, "NA")</f>
        <v>0</v>
      </c>
      <c r="L110" s="28">
        <v>0.0</v>
      </c>
      <c r="M110" s="15">
        <f>IFERROR(L110/L148, "NA")</f>
        <v>0</v>
      </c>
      <c r="N110" s="28">
        <v>0.0</v>
      </c>
      <c r="O110" s="15">
        <f>IFERROR(N110/N148, "NA")</f>
        <v>0</v>
      </c>
      <c r="P110" s="28">
        <v>0.0</v>
      </c>
      <c r="Q110" s="15">
        <f>IFERROR(P110/P148, "NA")</f>
        <v>0</v>
      </c>
      <c r="R110" s="28">
        <v>0.0</v>
      </c>
      <c r="S110" s="15">
        <f>IFERROR(R110/R148, "NA")</f>
        <v>0</v>
      </c>
      <c r="T110" s="28">
        <v>0.0</v>
      </c>
      <c r="U110" s="15">
        <f>IFERROR(T110/T148, "NA")</f>
        <v>0</v>
      </c>
      <c r="V110" s="28">
        <v>0.0</v>
      </c>
      <c r="W110" s="15">
        <f>IFERROR(V110/V148, "NA")</f>
        <v>0</v>
      </c>
      <c r="X110" s="28">
        <v>0.0</v>
      </c>
      <c r="Y110" s="15">
        <f>IFERROR(X110/X148, "NA")</f>
        <v>0</v>
      </c>
      <c r="Z110" s="28">
        <v>0.0</v>
      </c>
      <c r="AA110" s="15">
        <f>IFERROR(Z110/Z148, "NA")</f>
        <v>0</v>
      </c>
      <c r="AB110" s="57">
        <f t="shared" ref="AB110:AB135" si="55">IFERROR((R110+T110+V110+X110)/4, "NA")</f>
        <v>0</v>
      </c>
      <c r="AC110" s="15">
        <f>IFERROR(AB110/AB148, "NA")</f>
        <v>0</v>
      </c>
      <c r="AD110" s="61">
        <f t="shared" ref="AD110:AD135" si="56">IFERROR(X110-AB110, "NA")</f>
        <v>0</v>
      </c>
      <c r="AE110" s="62">
        <f>IFERROR(AD110/AD148, "NA")</f>
        <v>0</v>
      </c>
      <c r="AF110" s="61" t="str">
        <f t="shared" ref="AF110:AF135" si="57">IFERROR((X110-AB110)/AB110, "NA")</f>
        <v>NA</v>
      </c>
      <c r="AG110" s="57">
        <f t="shared" ref="AG110:AG135" si="58">IFERROR((J110+L110+N110+P110+R110+T110+V110+X110)/8, "NA")</f>
        <v>0</v>
      </c>
      <c r="AH110" s="15">
        <f>IFERROR(AG110/AG148, "NA")</f>
        <v>0</v>
      </c>
      <c r="AI110" s="61">
        <f t="shared" ref="AI110:AI135" si="59">IFERROR(X110-AG110, "NA")</f>
        <v>0</v>
      </c>
      <c r="AJ110" s="62">
        <f>IFERROR(AI110/AI148, "NA")</f>
        <v>0</v>
      </c>
      <c r="AK110" s="61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6" t="s">
        <v>224</v>
      </c>
      <c r="B111" s="28">
        <v>0.0</v>
      </c>
      <c r="C111" s="15">
        <f>IFERROR(B111/B148, "NA")</f>
        <v>0</v>
      </c>
      <c r="D111" s="28">
        <v>0.0</v>
      </c>
      <c r="E111" s="15">
        <f>IFERROR(D111/D148, "NA")</f>
        <v>0</v>
      </c>
      <c r="F111" s="28">
        <v>0.0</v>
      </c>
      <c r="G111" s="15">
        <f>IFERROR(F111/F148, "NA")</f>
        <v>0</v>
      </c>
      <c r="H111" s="28">
        <v>0.0</v>
      </c>
      <c r="I111" s="15">
        <f>IFERROR(H111/H148, "NA")</f>
        <v>0</v>
      </c>
      <c r="J111" s="28">
        <v>0.0</v>
      </c>
      <c r="K111" s="15">
        <f>IFERROR(J111/J148, "NA")</f>
        <v>0</v>
      </c>
      <c r="L111" s="28">
        <v>0.0</v>
      </c>
      <c r="M111" s="15">
        <f>IFERROR(L111/L148, "NA")</f>
        <v>0</v>
      </c>
      <c r="N111" s="28">
        <v>0.0</v>
      </c>
      <c r="O111" s="15">
        <f>IFERROR(N111/N148, "NA")</f>
        <v>0</v>
      </c>
      <c r="P111" s="28">
        <v>0.0</v>
      </c>
      <c r="Q111" s="15">
        <f>IFERROR(P111/P148, "NA")</f>
        <v>0</v>
      </c>
      <c r="R111" s="28">
        <v>0.0</v>
      </c>
      <c r="S111" s="15">
        <f>IFERROR(R111/R148, "NA")</f>
        <v>0</v>
      </c>
      <c r="T111" s="28">
        <v>0.0</v>
      </c>
      <c r="U111" s="15">
        <f>IFERROR(T111/T148, "NA")</f>
        <v>0</v>
      </c>
      <c r="V111" s="28">
        <v>0.0</v>
      </c>
      <c r="W111" s="15">
        <f>IFERROR(V111/V148, "NA")</f>
        <v>0</v>
      </c>
      <c r="X111" s="28">
        <v>0.0</v>
      </c>
      <c r="Y111" s="15">
        <f>IFERROR(X111/X148, "NA")</f>
        <v>0</v>
      </c>
      <c r="Z111" s="28">
        <v>0.0</v>
      </c>
      <c r="AA111" s="15">
        <f>IFERROR(Z111/Z148, "NA")</f>
        <v>0</v>
      </c>
      <c r="AB111" s="57">
        <f t="shared" si="55"/>
        <v>0</v>
      </c>
      <c r="AC111" s="15">
        <f>IFERROR(AB111/AB148, "NA")</f>
        <v>0</v>
      </c>
      <c r="AD111" s="61">
        <f t="shared" si="56"/>
        <v>0</v>
      </c>
      <c r="AE111" s="62">
        <f>IFERROR(AD111/AD148, "NA")</f>
        <v>0</v>
      </c>
      <c r="AF111" s="61" t="str">
        <f t="shared" si="57"/>
        <v>NA</v>
      </c>
      <c r="AG111" s="57">
        <f t="shared" si="58"/>
        <v>0</v>
      </c>
      <c r="AH111" s="15">
        <f>IFERROR(AG111/AG148, "NA")</f>
        <v>0</v>
      </c>
      <c r="AI111" s="61">
        <f t="shared" si="59"/>
        <v>0</v>
      </c>
      <c r="AJ111" s="62">
        <f>IFERROR(AI111/AI148, "NA")</f>
        <v>0</v>
      </c>
      <c r="AK111" s="61" t="str">
        <f t="shared" si="60"/>
        <v>NA</v>
      </c>
      <c r="AL111" s="62" t="str">
        <f>IFERROR(AK111/AK148, "NA")</f>
        <v>NA</v>
      </c>
    </row>
    <row r="112" ht="16.5" hidden="1" customHeight="1">
      <c r="A112" s="26" t="s">
        <v>225</v>
      </c>
      <c r="B112" s="28">
        <v>0.0</v>
      </c>
      <c r="C112" s="15">
        <f>IFERROR(B112/B148, "NA")</f>
        <v>0</v>
      </c>
      <c r="D112" s="28">
        <v>0.0</v>
      </c>
      <c r="E112" s="15">
        <f>IFERROR(D112/D148, "NA")</f>
        <v>0</v>
      </c>
      <c r="F112" s="28">
        <v>0.0</v>
      </c>
      <c r="G112" s="15">
        <f>IFERROR(F112/F148, "NA")</f>
        <v>0</v>
      </c>
      <c r="H112" s="28">
        <v>0.0</v>
      </c>
      <c r="I112" s="15">
        <f>IFERROR(H112/H148, "NA")</f>
        <v>0</v>
      </c>
      <c r="J112" s="28">
        <v>0.0</v>
      </c>
      <c r="K112" s="15">
        <f>IFERROR(J112/J148, "NA")</f>
        <v>0</v>
      </c>
      <c r="L112" s="28">
        <v>0.0</v>
      </c>
      <c r="M112" s="15">
        <f>IFERROR(L112/L148, "NA")</f>
        <v>0</v>
      </c>
      <c r="N112" s="28">
        <v>0.0</v>
      </c>
      <c r="O112" s="15">
        <f>IFERROR(N112/N148, "NA")</f>
        <v>0</v>
      </c>
      <c r="P112" s="28">
        <v>0.0</v>
      </c>
      <c r="Q112" s="15">
        <f>IFERROR(P112/P148, "NA")</f>
        <v>0</v>
      </c>
      <c r="R112" s="28">
        <v>0.0</v>
      </c>
      <c r="S112" s="15">
        <f>IFERROR(R112/R148, "NA")</f>
        <v>0</v>
      </c>
      <c r="T112" s="28">
        <v>0.0</v>
      </c>
      <c r="U112" s="15">
        <f>IFERROR(T112/T148, "NA")</f>
        <v>0</v>
      </c>
      <c r="V112" s="28">
        <v>0.0</v>
      </c>
      <c r="W112" s="15">
        <f>IFERROR(V112/V148, "NA")</f>
        <v>0</v>
      </c>
      <c r="X112" s="28">
        <v>0.0</v>
      </c>
      <c r="Y112" s="15">
        <f>IFERROR(X112/X148, "NA")</f>
        <v>0</v>
      </c>
      <c r="Z112" s="28">
        <v>0.0</v>
      </c>
      <c r="AA112" s="15">
        <f>IFERROR(Z112/Z148, "NA")</f>
        <v>0</v>
      </c>
      <c r="AB112" s="57">
        <f t="shared" si="55"/>
        <v>0</v>
      </c>
      <c r="AC112" s="15">
        <f>IFERROR(AB112/AB148, "NA")</f>
        <v>0</v>
      </c>
      <c r="AD112" s="61">
        <f t="shared" si="56"/>
        <v>0</v>
      </c>
      <c r="AE112" s="62">
        <f>IFERROR(AD112/AD148, "NA")</f>
        <v>0</v>
      </c>
      <c r="AF112" s="61" t="str">
        <f t="shared" si="57"/>
        <v>NA</v>
      </c>
      <c r="AG112" s="57">
        <f t="shared" si="58"/>
        <v>0</v>
      </c>
      <c r="AH112" s="15">
        <f>IFERROR(AG112/AG148, "NA")</f>
        <v>0</v>
      </c>
      <c r="AI112" s="61">
        <f t="shared" si="59"/>
        <v>0</v>
      </c>
      <c r="AJ112" s="62">
        <f>IFERROR(AI112/AI148, "NA")</f>
        <v>0</v>
      </c>
      <c r="AK112" s="61" t="str">
        <f t="shared" si="60"/>
        <v>NA</v>
      </c>
      <c r="AL112" s="62" t="str">
        <f>IFERROR(AK112/AK148, "NA")</f>
        <v>NA</v>
      </c>
    </row>
    <row r="113" ht="16.5" hidden="1" customHeight="1">
      <c r="A113" s="26" t="s">
        <v>226</v>
      </c>
      <c r="B113" s="28">
        <v>0.0</v>
      </c>
      <c r="C113" s="15">
        <f>IFERROR(B113/B148, "NA")</f>
        <v>0</v>
      </c>
      <c r="D113" s="28">
        <v>0.0</v>
      </c>
      <c r="E113" s="15">
        <f>IFERROR(D113/D148, "NA")</f>
        <v>0</v>
      </c>
      <c r="F113" s="28">
        <v>0.0</v>
      </c>
      <c r="G113" s="15">
        <f>IFERROR(F113/F148, "NA")</f>
        <v>0</v>
      </c>
      <c r="H113" s="28">
        <v>0.0</v>
      </c>
      <c r="I113" s="15">
        <f>IFERROR(H113/H148, "NA")</f>
        <v>0</v>
      </c>
      <c r="J113" s="28">
        <v>0.0</v>
      </c>
      <c r="K113" s="15">
        <f>IFERROR(J113/J148, "NA")</f>
        <v>0</v>
      </c>
      <c r="L113" s="28">
        <v>0.0</v>
      </c>
      <c r="M113" s="15">
        <f>IFERROR(L113/L148, "NA")</f>
        <v>0</v>
      </c>
      <c r="N113" s="28">
        <v>0.0</v>
      </c>
      <c r="O113" s="15">
        <f>IFERROR(N113/N148, "NA")</f>
        <v>0</v>
      </c>
      <c r="P113" s="28">
        <v>0.0</v>
      </c>
      <c r="Q113" s="15">
        <f>IFERROR(P113/P148, "NA")</f>
        <v>0</v>
      </c>
      <c r="R113" s="28">
        <v>0.0</v>
      </c>
      <c r="S113" s="15">
        <f>IFERROR(R113/R148, "NA")</f>
        <v>0</v>
      </c>
      <c r="T113" s="28">
        <v>0.0</v>
      </c>
      <c r="U113" s="15">
        <f>IFERROR(T113/T148, "NA")</f>
        <v>0</v>
      </c>
      <c r="V113" s="28">
        <v>0.0</v>
      </c>
      <c r="W113" s="15">
        <f>IFERROR(V113/V148, "NA")</f>
        <v>0</v>
      </c>
      <c r="X113" s="28">
        <v>0.0</v>
      </c>
      <c r="Y113" s="15">
        <f>IFERROR(X113/X148, "NA")</f>
        <v>0</v>
      </c>
      <c r="Z113" s="28">
        <v>0.0</v>
      </c>
      <c r="AA113" s="15">
        <f>IFERROR(Z113/Z148, "NA")</f>
        <v>0</v>
      </c>
      <c r="AB113" s="57">
        <f t="shared" si="55"/>
        <v>0</v>
      </c>
      <c r="AC113" s="15">
        <f>IFERROR(AB113/AB148, "NA")</f>
        <v>0</v>
      </c>
      <c r="AD113" s="61">
        <f t="shared" si="56"/>
        <v>0</v>
      </c>
      <c r="AE113" s="62">
        <f>IFERROR(AD113/AD148, "NA")</f>
        <v>0</v>
      </c>
      <c r="AF113" s="61" t="str">
        <f t="shared" si="57"/>
        <v>NA</v>
      </c>
      <c r="AG113" s="57">
        <f t="shared" si="58"/>
        <v>0</v>
      </c>
      <c r="AH113" s="15">
        <f>IFERROR(AG113/AG148, "NA")</f>
        <v>0</v>
      </c>
      <c r="AI113" s="61">
        <f t="shared" si="59"/>
        <v>0</v>
      </c>
      <c r="AJ113" s="62">
        <f>IFERROR(AI113/AI148, "NA")</f>
        <v>0</v>
      </c>
      <c r="AK113" s="61" t="str">
        <f t="shared" si="60"/>
        <v>NA</v>
      </c>
      <c r="AL113" s="62" t="str">
        <f>IFERROR(AK113/AK148, "NA")</f>
        <v>NA</v>
      </c>
    </row>
    <row r="114" ht="16.5" hidden="1" customHeight="1">
      <c r="A114" s="26" t="s">
        <v>227</v>
      </c>
      <c r="B114" s="28">
        <v>0.0</v>
      </c>
      <c r="C114" s="15">
        <f>IFERROR(B114/B148, "NA")</f>
        <v>0</v>
      </c>
      <c r="D114" s="28">
        <v>0.0</v>
      </c>
      <c r="E114" s="15">
        <f>IFERROR(D114/D148, "NA")</f>
        <v>0</v>
      </c>
      <c r="F114" s="28">
        <v>0.0</v>
      </c>
      <c r="G114" s="15">
        <f>IFERROR(F114/F148, "NA")</f>
        <v>0</v>
      </c>
      <c r="H114" s="28">
        <v>0.0</v>
      </c>
      <c r="I114" s="15">
        <f>IFERROR(H114/H148, "NA")</f>
        <v>0</v>
      </c>
      <c r="J114" s="28">
        <v>0.0</v>
      </c>
      <c r="K114" s="15">
        <f>IFERROR(J114/J148, "NA")</f>
        <v>0</v>
      </c>
      <c r="L114" s="28">
        <v>0.0</v>
      </c>
      <c r="M114" s="15">
        <f>IFERROR(L114/L148, "NA")</f>
        <v>0</v>
      </c>
      <c r="N114" s="28">
        <v>0.0</v>
      </c>
      <c r="O114" s="15">
        <f>IFERROR(N114/N148, "NA")</f>
        <v>0</v>
      </c>
      <c r="P114" s="28">
        <v>0.0</v>
      </c>
      <c r="Q114" s="15">
        <f>IFERROR(P114/P148, "NA")</f>
        <v>0</v>
      </c>
      <c r="R114" s="28">
        <v>0.0</v>
      </c>
      <c r="S114" s="15">
        <f>IFERROR(R114/R148, "NA")</f>
        <v>0</v>
      </c>
      <c r="T114" s="28">
        <v>0.0</v>
      </c>
      <c r="U114" s="15">
        <f>IFERROR(T114/T148, "NA")</f>
        <v>0</v>
      </c>
      <c r="V114" s="28">
        <v>0.0</v>
      </c>
      <c r="W114" s="15">
        <f>IFERROR(V114/V148, "NA")</f>
        <v>0</v>
      </c>
      <c r="X114" s="28">
        <v>0.0</v>
      </c>
      <c r="Y114" s="15">
        <f>IFERROR(X114/X148, "NA")</f>
        <v>0</v>
      </c>
      <c r="Z114" s="28">
        <v>0.0</v>
      </c>
      <c r="AA114" s="15">
        <f>IFERROR(Z114/Z148, "NA")</f>
        <v>0</v>
      </c>
      <c r="AB114" s="57">
        <f t="shared" si="55"/>
        <v>0</v>
      </c>
      <c r="AC114" s="15">
        <f>IFERROR(AB114/AB148, "NA")</f>
        <v>0</v>
      </c>
      <c r="AD114" s="61">
        <f t="shared" si="56"/>
        <v>0</v>
      </c>
      <c r="AE114" s="62">
        <f>IFERROR(AD114/AD148, "NA")</f>
        <v>0</v>
      </c>
      <c r="AF114" s="61" t="str">
        <f t="shared" si="57"/>
        <v>NA</v>
      </c>
      <c r="AG114" s="57">
        <f t="shared" si="58"/>
        <v>0</v>
      </c>
      <c r="AH114" s="15">
        <f>IFERROR(AG114/AG148, "NA")</f>
        <v>0</v>
      </c>
      <c r="AI114" s="61">
        <f t="shared" si="59"/>
        <v>0</v>
      </c>
      <c r="AJ114" s="62">
        <f>IFERROR(AI114/AI148, "NA")</f>
        <v>0</v>
      </c>
      <c r="AK114" s="61" t="str">
        <f t="shared" si="60"/>
        <v>NA</v>
      </c>
      <c r="AL114" s="62" t="str">
        <f>IFERROR(AK114/AK148, "NA")</f>
        <v>NA</v>
      </c>
    </row>
    <row r="115" ht="16.5" hidden="1" customHeight="1">
      <c r="A115" s="26" t="s">
        <v>228</v>
      </c>
      <c r="B115" s="28">
        <v>0.0</v>
      </c>
      <c r="C115" s="15">
        <f>IFERROR(B115/B148, "NA")</f>
        <v>0</v>
      </c>
      <c r="D115" s="28">
        <v>0.0</v>
      </c>
      <c r="E115" s="15">
        <f>IFERROR(D115/D148, "NA")</f>
        <v>0</v>
      </c>
      <c r="F115" s="28">
        <v>0.0</v>
      </c>
      <c r="G115" s="15">
        <f>IFERROR(F115/F148, "NA")</f>
        <v>0</v>
      </c>
      <c r="H115" s="28">
        <v>0.0</v>
      </c>
      <c r="I115" s="15">
        <f>IFERROR(H115/H148, "NA")</f>
        <v>0</v>
      </c>
      <c r="J115" s="28">
        <v>0.0</v>
      </c>
      <c r="K115" s="15">
        <f>IFERROR(J115/J148, "NA")</f>
        <v>0</v>
      </c>
      <c r="L115" s="28">
        <v>0.0</v>
      </c>
      <c r="M115" s="15">
        <f>IFERROR(L115/L148, "NA")</f>
        <v>0</v>
      </c>
      <c r="N115" s="28">
        <v>0.0</v>
      </c>
      <c r="O115" s="15">
        <f>IFERROR(N115/N148, "NA")</f>
        <v>0</v>
      </c>
      <c r="P115" s="28">
        <v>0.0</v>
      </c>
      <c r="Q115" s="15">
        <f>IFERROR(P115/P148, "NA")</f>
        <v>0</v>
      </c>
      <c r="R115" s="28">
        <v>0.0</v>
      </c>
      <c r="S115" s="15">
        <f>IFERROR(R115/R148, "NA")</f>
        <v>0</v>
      </c>
      <c r="T115" s="28">
        <v>0.0</v>
      </c>
      <c r="U115" s="15">
        <f>IFERROR(T115/T148, "NA")</f>
        <v>0</v>
      </c>
      <c r="V115" s="28">
        <v>0.0</v>
      </c>
      <c r="W115" s="15">
        <f>IFERROR(V115/V148, "NA")</f>
        <v>0</v>
      </c>
      <c r="X115" s="28">
        <v>0.0</v>
      </c>
      <c r="Y115" s="15">
        <f>IFERROR(X115/X148, "NA")</f>
        <v>0</v>
      </c>
      <c r="Z115" s="28">
        <v>0.0</v>
      </c>
      <c r="AA115" s="15">
        <f>IFERROR(Z115/Z148, "NA")</f>
        <v>0</v>
      </c>
      <c r="AB115" s="57">
        <f t="shared" si="55"/>
        <v>0</v>
      </c>
      <c r="AC115" s="15">
        <f>IFERROR(AB115/AB148, "NA")</f>
        <v>0</v>
      </c>
      <c r="AD115" s="61">
        <f t="shared" si="56"/>
        <v>0</v>
      </c>
      <c r="AE115" s="62">
        <f>IFERROR(AD115/AD148, "NA")</f>
        <v>0</v>
      </c>
      <c r="AF115" s="61" t="str">
        <f t="shared" si="57"/>
        <v>NA</v>
      </c>
      <c r="AG115" s="57">
        <f t="shared" si="58"/>
        <v>0</v>
      </c>
      <c r="AH115" s="15">
        <f>IFERROR(AG115/AG148, "NA")</f>
        <v>0</v>
      </c>
      <c r="AI115" s="61">
        <f t="shared" si="59"/>
        <v>0</v>
      </c>
      <c r="AJ115" s="62">
        <f>IFERROR(AI115/AI148, "NA")</f>
        <v>0</v>
      </c>
      <c r="AK115" s="61" t="str">
        <f t="shared" si="60"/>
        <v>NA</v>
      </c>
      <c r="AL115" s="62" t="str">
        <f>IFERROR(AK115/AK148, "NA")</f>
        <v>NA</v>
      </c>
    </row>
    <row r="116" ht="16.5" hidden="1" customHeight="1">
      <c r="A116" s="26" t="s">
        <v>229</v>
      </c>
      <c r="B116" s="28">
        <v>0.0</v>
      </c>
      <c r="C116" s="15">
        <f>IFERROR(B116/B148, "NA")</f>
        <v>0</v>
      </c>
      <c r="D116" s="28">
        <v>0.0</v>
      </c>
      <c r="E116" s="15">
        <f>IFERROR(D116/D148, "NA")</f>
        <v>0</v>
      </c>
      <c r="F116" s="28">
        <v>0.0</v>
      </c>
      <c r="G116" s="15">
        <f>IFERROR(F116/F148, "NA")</f>
        <v>0</v>
      </c>
      <c r="H116" s="28">
        <v>0.0</v>
      </c>
      <c r="I116" s="15">
        <f>IFERROR(H116/H148, "NA")</f>
        <v>0</v>
      </c>
      <c r="J116" s="28">
        <v>0.0</v>
      </c>
      <c r="K116" s="15">
        <f>IFERROR(J116/J148, "NA")</f>
        <v>0</v>
      </c>
      <c r="L116" s="28">
        <v>0.0</v>
      </c>
      <c r="M116" s="15">
        <f>IFERROR(L116/L148, "NA")</f>
        <v>0</v>
      </c>
      <c r="N116" s="28">
        <v>0.0</v>
      </c>
      <c r="O116" s="15">
        <f>IFERROR(N116/N148, "NA")</f>
        <v>0</v>
      </c>
      <c r="P116" s="28">
        <v>0.0</v>
      </c>
      <c r="Q116" s="15">
        <f>IFERROR(P116/P148, "NA")</f>
        <v>0</v>
      </c>
      <c r="R116" s="28">
        <v>0.0</v>
      </c>
      <c r="S116" s="15">
        <f>IFERROR(R116/R148, "NA")</f>
        <v>0</v>
      </c>
      <c r="T116" s="28">
        <v>0.0</v>
      </c>
      <c r="U116" s="15">
        <f>IFERROR(T116/T148, "NA")</f>
        <v>0</v>
      </c>
      <c r="V116" s="28">
        <v>0.0</v>
      </c>
      <c r="W116" s="15">
        <f>IFERROR(V116/V148, "NA")</f>
        <v>0</v>
      </c>
      <c r="X116" s="28">
        <v>0.0</v>
      </c>
      <c r="Y116" s="15">
        <f>IFERROR(X116/X148, "NA")</f>
        <v>0</v>
      </c>
      <c r="Z116" s="28">
        <v>0.0</v>
      </c>
      <c r="AA116" s="15">
        <f>IFERROR(Z116/Z148, "NA")</f>
        <v>0</v>
      </c>
      <c r="AB116" s="57">
        <f t="shared" si="55"/>
        <v>0</v>
      </c>
      <c r="AC116" s="15">
        <f>IFERROR(AB116/AB148, "NA")</f>
        <v>0</v>
      </c>
      <c r="AD116" s="61">
        <f t="shared" si="56"/>
        <v>0</v>
      </c>
      <c r="AE116" s="62">
        <f>IFERROR(AD116/AD148, "NA")</f>
        <v>0</v>
      </c>
      <c r="AF116" s="61" t="str">
        <f t="shared" si="57"/>
        <v>NA</v>
      </c>
      <c r="AG116" s="57">
        <f t="shared" si="58"/>
        <v>0</v>
      </c>
      <c r="AH116" s="15">
        <f>IFERROR(AG116/AG148, "NA")</f>
        <v>0</v>
      </c>
      <c r="AI116" s="61">
        <f t="shared" si="59"/>
        <v>0</v>
      </c>
      <c r="AJ116" s="62">
        <f>IFERROR(AI116/AI148, "NA")</f>
        <v>0</v>
      </c>
      <c r="AK116" s="61" t="str">
        <f t="shared" si="60"/>
        <v>NA</v>
      </c>
      <c r="AL116" s="62" t="str">
        <f>IFERROR(AK116/AK148, "NA")</f>
        <v>NA</v>
      </c>
    </row>
    <row r="117" ht="16.5" hidden="1" customHeight="1">
      <c r="A117" s="26" t="s">
        <v>230</v>
      </c>
      <c r="B117" s="28">
        <v>0.0</v>
      </c>
      <c r="C117" s="15">
        <f>IFERROR(B117/B148, "NA")</f>
        <v>0</v>
      </c>
      <c r="D117" s="28">
        <v>0.0</v>
      </c>
      <c r="E117" s="15">
        <f>IFERROR(D117/D148, "NA")</f>
        <v>0</v>
      </c>
      <c r="F117" s="28">
        <v>0.0</v>
      </c>
      <c r="G117" s="15">
        <f>IFERROR(F117/F148, "NA")</f>
        <v>0</v>
      </c>
      <c r="H117" s="28">
        <v>0.0</v>
      </c>
      <c r="I117" s="15">
        <f>IFERROR(H117/H148, "NA")</f>
        <v>0</v>
      </c>
      <c r="J117" s="28">
        <v>0.0</v>
      </c>
      <c r="K117" s="15">
        <f>IFERROR(J117/J148, "NA")</f>
        <v>0</v>
      </c>
      <c r="L117" s="28">
        <v>0.0</v>
      </c>
      <c r="M117" s="15">
        <f>IFERROR(L117/L148, "NA")</f>
        <v>0</v>
      </c>
      <c r="N117" s="28">
        <v>0.0</v>
      </c>
      <c r="O117" s="15">
        <f>IFERROR(N117/N148, "NA")</f>
        <v>0</v>
      </c>
      <c r="P117" s="28">
        <v>0.0</v>
      </c>
      <c r="Q117" s="15">
        <f>IFERROR(P117/P148, "NA")</f>
        <v>0</v>
      </c>
      <c r="R117" s="28">
        <v>0.0</v>
      </c>
      <c r="S117" s="15">
        <f>IFERROR(R117/R148, "NA")</f>
        <v>0</v>
      </c>
      <c r="T117" s="28">
        <v>0.0</v>
      </c>
      <c r="U117" s="15">
        <f>IFERROR(T117/T148, "NA")</f>
        <v>0</v>
      </c>
      <c r="V117" s="28">
        <v>0.0</v>
      </c>
      <c r="W117" s="15">
        <f>IFERROR(V117/V148, "NA")</f>
        <v>0</v>
      </c>
      <c r="X117" s="28">
        <v>0.0</v>
      </c>
      <c r="Y117" s="15">
        <f>IFERROR(X117/X148, "NA")</f>
        <v>0</v>
      </c>
      <c r="Z117" s="28">
        <v>0.0</v>
      </c>
      <c r="AA117" s="15">
        <f>IFERROR(Z117/Z148, "NA")</f>
        <v>0</v>
      </c>
      <c r="AB117" s="57">
        <f t="shared" si="55"/>
        <v>0</v>
      </c>
      <c r="AC117" s="15">
        <f>IFERROR(AB117/AB148, "NA")</f>
        <v>0</v>
      </c>
      <c r="AD117" s="61">
        <f t="shared" si="56"/>
        <v>0</v>
      </c>
      <c r="AE117" s="62">
        <f>IFERROR(AD117/AD148, "NA")</f>
        <v>0</v>
      </c>
      <c r="AF117" s="61" t="str">
        <f t="shared" si="57"/>
        <v>NA</v>
      </c>
      <c r="AG117" s="57">
        <f t="shared" si="58"/>
        <v>0</v>
      </c>
      <c r="AH117" s="15">
        <f>IFERROR(AG117/AG148, "NA")</f>
        <v>0</v>
      </c>
      <c r="AI117" s="61">
        <f t="shared" si="59"/>
        <v>0</v>
      </c>
      <c r="AJ117" s="62">
        <f>IFERROR(AI117/AI148, "NA")</f>
        <v>0</v>
      </c>
      <c r="AK117" s="61" t="str">
        <f t="shared" si="60"/>
        <v>NA</v>
      </c>
      <c r="AL117" s="62" t="str">
        <f>IFERROR(AK117/AK148, "NA")</f>
        <v>NA</v>
      </c>
    </row>
    <row r="118" ht="16.5" hidden="1" customHeight="1">
      <c r="A118" s="26" t="s">
        <v>231</v>
      </c>
      <c r="B118" s="28">
        <v>0.0</v>
      </c>
      <c r="C118" s="15">
        <f>IFERROR(B118/B148, "NA")</f>
        <v>0</v>
      </c>
      <c r="D118" s="28">
        <v>0.0</v>
      </c>
      <c r="E118" s="15">
        <f>IFERROR(D118/D148, "NA")</f>
        <v>0</v>
      </c>
      <c r="F118" s="28">
        <v>0.0</v>
      </c>
      <c r="G118" s="15">
        <f>IFERROR(F118/F148, "NA")</f>
        <v>0</v>
      </c>
      <c r="H118" s="28">
        <v>0.0</v>
      </c>
      <c r="I118" s="15">
        <f>IFERROR(H118/H148, "NA")</f>
        <v>0</v>
      </c>
      <c r="J118" s="28">
        <v>0.0</v>
      </c>
      <c r="K118" s="15">
        <f>IFERROR(J118/J148, "NA")</f>
        <v>0</v>
      </c>
      <c r="L118" s="28">
        <v>0.0</v>
      </c>
      <c r="M118" s="15">
        <f>IFERROR(L118/L148, "NA")</f>
        <v>0</v>
      </c>
      <c r="N118" s="28">
        <v>0.0</v>
      </c>
      <c r="O118" s="15">
        <f>IFERROR(N118/N148, "NA")</f>
        <v>0</v>
      </c>
      <c r="P118" s="28">
        <v>0.0</v>
      </c>
      <c r="Q118" s="15">
        <f>IFERROR(P118/P148, "NA")</f>
        <v>0</v>
      </c>
      <c r="R118" s="28">
        <v>0.0</v>
      </c>
      <c r="S118" s="15">
        <f>IFERROR(R118/R148, "NA")</f>
        <v>0</v>
      </c>
      <c r="T118" s="28">
        <v>0.0</v>
      </c>
      <c r="U118" s="15">
        <f>IFERROR(T118/T148, "NA")</f>
        <v>0</v>
      </c>
      <c r="V118" s="28">
        <v>0.0</v>
      </c>
      <c r="W118" s="15">
        <f>IFERROR(V118/V148, "NA")</f>
        <v>0</v>
      </c>
      <c r="X118" s="28">
        <v>0.0</v>
      </c>
      <c r="Y118" s="15">
        <f>IFERROR(X118/X148, "NA")</f>
        <v>0</v>
      </c>
      <c r="Z118" s="28">
        <v>0.0</v>
      </c>
      <c r="AA118" s="15">
        <f>IFERROR(Z118/Z148, "NA")</f>
        <v>0</v>
      </c>
      <c r="AB118" s="57">
        <f t="shared" si="55"/>
        <v>0</v>
      </c>
      <c r="AC118" s="15">
        <f>IFERROR(AB118/AB148, "NA")</f>
        <v>0</v>
      </c>
      <c r="AD118" s="61">
        <f t="shared" si="56"/>
        <v>0</v>
      </c>
      <c r="AE118" s="62">
        <f>IFERROR(AD118/AD148, "NA")</f>
        <v>0</v>
      </c>
      <c r="AF118" s="61" t="str">
        <f t="shared" si="57"/>
        <v>NA</v>
      </c>
      <c r="AG118" s="57">
        <f t="shared" si="58"/>
        <v>0</v>
      </c>
      <c r="AH118" s="15">
        <f>IFERROR(AG118/AG148, "NA")</f>
        <v>0</v>
      </c>
      <c r="AI118" s="61">
        <f t="shared" si="59"/>
        <v>0</v>
      </c>
      <c r="AJ118" s="62">
        <f>IFERROR(AI118/AI148, "NA")</f>
        <v>0</v>
      </c>
      <c r="AK118" s="61" t="str">
        <f t="shared" si="60"/>
        <v>NA</v>
      </c>
      <c r="AL118" s="62" t="str">
        <f>IFERROR(AK118/AK148, "NA")</f>
        <v>NA</v>
      </c>
    </row>
    <row r="119" ht="16.5" hidden="1" customHeight="1">
      <c r="A119" s="26" t="s">
        <v>232</v>
      </c>
      <c r="B119" s="28">
        <v>0.0</v>
      </c>
      <c r="C119" s="15">
        <f>IFERROR(B119/B148, "NA")</f>
        <v>0</v>
      </c>
      <c r="D119" s="28">
        <v>0.0</v>
      </c>
      <c r="E119" s="15">
        <f>IFERROR(D119/D148, "NA")</f>
        <v>0</v>
      </c>
      <c r="F119" s="28">
        <v>0.0</v>
      </c>
      <c r="G119" s="15">
        <f>IFERROR(F119/F148, "NA")</f>
        <v>0</v>
      </c>
      <c r="H119" s="28">
        <v>0.0</v>
      </c>
      <c r="I119" s="15">
        <f>IFERROR(H119/H148, "NA")</f>
        <v>0</v>
      </c>
      <c r="J119" s="28">
        <v>0.0</v>
      </c>
      <c r="K119" s="15">
        <f>IFERROR(J119/J148, "NA")</f>
        <v>0</v>
      </c>
      <c r="L119" s="28">
        <v>0.0</v>
      </c>
      <c r="M119" s="15">
        <f>IFERROR(L119/L148, "NA")</f>
        <v>0</v>
      </c>
      <c r="N119" s="28">
        <v>0.0</v>
      </c>
      <c r="O119" s="15">
        <f>IFERROR(N119/N148, "NA")</f>
        <v>0</v>
      </c>
      <c r="P119" s="28">
        <v>0.0</v>
      </c>
      <c r="Q119" s="15">
        <f>IFERROR(P119/P148, "NA")</f>
        <v>0</v>
      </c>
      <c r="R119" s="28">
        <v>0.0</v>
      </c>
      <c r="S119" s="15">
        <f>IFERROR(R119/R148, "NA")</f>
        <v>0</v>
      </c>
      <c r="T119" s="28">
        <v>0.0</v>
      </c>
      <c r="U119" s="15">
        <f>IFERROR(T119/T148, "NA")</f>
        <v>0</v>
      </c>
      <c r="V119" s="28">
        <v>0.0</v>
      </c>
      <c r="W119" s="15">
        <f>IFERROR(V119/V148, "NA")</f>
        <v>0</v>
      </c>
      <c r="X119" s="28">
        <v>0.0</v>
      </c>
      <c r="Y119" s="15">
        <f>IFERROR(X119/X148, "NA")</f>
        <v>0</v>
      </c>
      <c r="Z119" s="28">
        <v>0.0</v>
      </c>
      <c r="AA119" s="15">
        <f>IFERROR(Z119/Z148, "NA")</f>
        <v>0</v>
      </c>
      <c r="AB119" s="57">
        <f t="shared" si="55"/>
        <v>0</v>
      </c>
      <c r="AC119" s="15">
        <f>IFERROR(AB119/AB148, "NA")</f>
        <v>0</v>
      </c>
      <c r="AD119" s="61">
        <f t="shared" si="56"/>
        <v>0</v>
      </c>
      <c r="AE119" s="62">
        <f>IFERROR(AD119/AD148, "NA")</f>
        <v>0</v>
      </c>
      <c r="AF119" s="61" t="str">
        <f t="shared" si="57"/>
        <v>NA</v>
      </c>
      <c r="AG119" s="57">
        <f t="shared" si="58"/>
        <v>0</v>
      </c>
      <c r="AH119" s="15">
        <f>IFERROR(AG119/AG148, "NA")</f>
        <v>0</v>
      </c>
      <c r="AI119" s="61">
        <f t="shared" si="59"/>
        <v>0</v>
      </c>
      <c r="AJ119" s="62">
        <f>IFERROR(AI119/AI148, "NA")</f>
        <v>0</v>
      </c>
      <c r="AK119" s="61" t="str">
        <f t="shared" si="60"/>
        <v>NA</v>
      </c>
      <c r="AL119" s="62" t="str">
        <f>IFERROR(AK119/AK148, "NA")</f>
        <v>NA</v>
      </c>
    </row>
    <row r="120" ht="16.5" hidden="1" customHeight="1">
      <c r="A120" s="26" t="s">
        <v>233</v>
      </c>
      <c r="B120" s="28">
        <v>0.0</v>
      </c>
      <c r="C120" s="15">
        <f>IFERROR(B120/B148, "NA")</f>
        <v>0</v>
      </c>
      <c r="D120" s="28">
        <v>0.0</v>
      </c>
      <c r="E120" s="15">
        <f>IFERROR(D120/D148, "NA")</f>
        <v>0</v>
      </c>
      <c r="F120" s="28">
        <v>0.0</v>
      </c>
      <c r="G120" s="15">
        <f>IFERROR(F120/F148, "NA")</f>
        <v>0</v>
      </c>
      <c r="H120" s="28">
        <v>0.0</v>
      </c>
      <c r="I120" s="15">
        <f>IFERROR(H120/H148, "NA")</f>
        <v>0</v>
      </c>
      <c r="J120" s="28">
        <v>0.0</v>
      </c>
      <c r="K120" s="15">
        <f>IFERROR(J120/J148, "NA")</f>
        <v>0</v>
      </c>
      <c r="L120" s="28">
        <v>0.0</v>
      </c>
      <c r="M120" s="15">
        <f>IFERROR(L120/L148, "NA")</f>
        <v>0</v>
      </c>
      <c r="N120" s="28">
        <v>0.0</v>
      </c>
      <c r="O120" s="15">
        <f>IFERROR(N120/N148, "NA")</f>
        <v>0</v>
      </c>
      <c r="P120" s="28">
        <v>0.0</v>
      </c>
      <c r="Q120" s="15">
        <f>IFERROR(P120/P148, "NA")</f>
        <v>0</v>
      </c>
      <c r="R120" s="28">
        <v>0.0</v>
      </c>
      <c r="S120" s="15">
        <f>IFERROR(R120/R148, "NA")</f>
        <v>0</v>
      </c>
      <c r="T120" s="28">
        <v>0.0</v>
      </c>
      <c r="U120" s="15">
        <f>IFERROR(T120/T148, "NA")</f>
        <v>0</v>
      </c>
      <c r="V120" s="28">
        <v>0.0</v>
      </c>
      <c r="W120" s="15">
        <f>IFERROR(V120/V148, "NA")</f>
        <v>0</v>
      </c>
      <c r="X120" s="28">
        <v>0.0</v>
      </c>
      <c r="Y120" s="15">
        <f>IFERROR(X120/X148, "NA")</f>
        <v>0</v>
      </c>
      <c r="Z120" s="28">
        <v>0.0</v>
      </c>
      <c r="AA120" s="15">
        <f>IFERROR(Z120/Z148, "NA")</f>
        <v>0</v>
      </c>
      <c r="AB120" s="57">
        <f t="shared" si="55"/>
        <v>0</v>
      </c>
      <c r="AC120" s="15">
        <f>IFERROR(AB120/AB148, "NA")</f>
        <v>0</v>
      </c>
      <c r="AD120" s="61">
        <f t="shared" si="56"/>
        <v>0</v>
      </c>
      <c r="AE120" s="62">
        <f>IFERROR(AD120/AD148, "NA")</f>
        <v>0</v>
      </c>
      <c r="AF120" s="61" t="str">
        <f t="shared" si="57"/>
        <v>NA</v>
      </c>
      <c r="AG120" s="57">
        <f t="shared" si="58"/>
        <v>0</v>
      </c>
      <c r="AH120" s="15">
        <f>IFERROR(AG120/AG148, "NA")</f>
        <v>0</v>
      </c>
      <c r="AI120" s="61">
        <f t="shared" si="59"/>
        <v>0</v>
      </c>
      <c r="AJ120" s="62">
        <f>IFERROR(AI120/AI148, "NA")</f>
        <v>0</v>
      </c>
      <c r="AK120" s="61" t="str">
        <f t="shared" si="60"/>
        <v>NA</v>
      </c>
      <c r="AL120" s="62" t="str">
        <f>IFERROR(AK120/AK148, "NA")</f>
        <v>NA</v>
      </c>
    </row>
    <row r="121" ht="16.5" hidden="1" customHeight="1">
      <c r="A121" s="26" t="s">
        <v>234</v>
      </c>
      <c r="B121" s="28">
        <v>0.0</v>
      </c>
      <c r="C121" s="15">
        <f>IFERROR(B121/B148, "NA")</f>
        <v>0</v>
      </c>
      <c r="D121" s="28">
        <v>0.0</v>
      </c>
      <c r="E121" s="15">
        <f>IFERROR(D121/D148, "NA")</f>
        <v>0</v>
      </c>
      <c r="F121" s="28">
        <v>0.0</v>
      </c>
      <c r="G121" s="15">
        <f>IFERROR(F121/F148, "NA")</f>
        <v>0</v>
      </c>
      <c r="H121" s="28">
        <v>0.0</v>
      </c>
      <c r="I121" s="15">
        <f>IFERROR(H121/H148, "NA")</f>
        <v>0</v>
      </c>
      <c r="J121" s="28">
        <v>0.0</v>
      </c>
      <c r="K121" s="15">
        <f>IFERROR(J121/J148, "NA")</f>
        <v>0</v>
      </c>
      <c r="L121" s="28">
        <v>0.0</v>
      </c>
      <c r="M121" s="15">
        <f>IFERROR(L121/L148, "NA")</f>
        <v>0</v>
      </c>
      <c r="N121" s="28">
        <v>0.0</v>
      </c>
      <c r="O121" s="15">
        <f>IFERROR(N121/N148, "NA")</f>
        <v>0</v>
      </c>
      <c r="P121" s="28">
        <v>0.0</v>
      </c>
      <c r="Q121" s="15">
        <f>IFERROR(P121/P148, "NA")</f>
        <v>0</v>
      </c>
      <c r="R121" s="28">
        <v>0.0</v>
      </c>
      <c r="S121" s="15">
        <f>IFERROR(R121/R148, "NA")</f>
        <v>0</v>
      </c>
      <c r="T121" s="28">
        <v>0.0</v>
      </c>
      <c r="U121" s="15">
        <f>IFERROR(T121/T148, "NA")</f>
        <v>0</v>
      </c>
      <c r="V121" s="28">
        <v>0.0</v>
      </c>
      <c r="W121" s="15">
        <f>IFERROR(V121/V148, "NA")</f>
        <v>0</v>
      </c>
      <c r="X121" s="28">
        <v>0.0</v>
      </c>
      <c r="Y121" s="15">
        <f>IFERROR(X121/X148, "NA")</f>
        <v>0</v>
      </c>
      <c r="Z121" s="28">
        <v>0.0</v>
      </c>
      <c r="AA121" s="15">
        <f>IFERROR(Z121/Z148, "NA")</f>
        <v>0</v>
      </c>
      <c r="AB121" s="57">
        <f t="shared" si="55"/>
        <v>0</v>
      </c>
      <c r="AC121" s="15">
        <f>IFERROR(AB121/AB148, "NA")</f>
        <v>0</v>
      </c>
      <c r="AD121" s="61">
        <f t="shared" si="56"/>
        <v>0</v>
      </c>
      <c r="AE121" s="62">
        <f>IFERROR(AD121/AD148, "NA")</f>
        <v>0</v>
      </c>
      <c r="AF121" s="61" t="str">
        <f t="shared" si="57"/>
        <v>NA</v>
      </c>
      <c r="AG121" s="57">
        <f t="shared" si="58"/>
        <v>0</v>
      </c>
      <c r="AH121" s="15">
        <f>IFERROR(AG121/AG148, "NA")</f>
        <v>0</v>
      </c>
      <c r="AI121" s="61">
        <f t="shared" si="59"/>
        <v>0</v>
      </c>
      <c r="AJ121" s="62">
        <f>IFERROR(AI121/AI148, "NA")</f>
        <v>0</v>
      </c>
      <c r="AK121" s="61" t="str">
        <f t="shared" si="60"/>
        <v>NA</v>
      </c>
      <c r="AL121" s="62" t="str">
        <f>IFERROR(AK121/AK148, "NA")</f>
        <v>NA</v>
      </c>
    </row>
    <row r="122" ht="16.5" hidden="1" customHeight="1">
      <c r="A122" s="26" t="s">
        <v>235</v>
      </c>
      <c r="B122" s="28">
        <v>0.0</v>
      </c>
      <c r="C122" s="15">
        <f>IFERROR(B122/B148, "NA")</f>
        <v>0</v>
      </c>
      <c r="D122" s="28">
        <v>0.0</v>
      </c>
      <c r="E122" s="15">
        <f>IFERROR(D122/D148, "NA")</f>
        <v>0</v>
      </c>
      <c r="F122" s="28">
        <v>0.0</v>
      </c>
      <c r="G122" s="15">
        <f>IFERROR(F122/F148, "NA")</f>
        <v>0</v>
      </c>
      <c r="H122" s="28">
        <v>0.0</v>
      </c>
      <c r="I122" s="15">
        <f>IFERROR(H122/H148, "NA")</f>
        <v>0</v>
      </c>
      <c r="J122" s="28">
        <v>0.0</v>
      </c>
      <c r="K122" s="15">
        <f>IFERROR(J122/J148, "NA")</f>
        <v>0</v>
      </c>
      <c r="L122" s="28">
        <v>0.0</v>
      </c>
      <c r="M122" s="15">
        <f>IFERROR(L122/L148, "NA")</f>
        <v>0</v>
      </c>
      <c r="N122" s="28">
        <v>0.0</v>
      </c>
      <c r="O122" s="15">
        <f>IFERROR(N122/N148, "NA")</f>
        <v>0</v>
      </c>
      <c r="P122" s="28">
        <v>0.0</v>
      </c>
      <c r="Q122" s="15">
        <f>IFERROR(P122/P148, "NA")</f>
        <v>0</v>
      </c>
      <c r="R122" s="28">
        <v>0.0</v>
      </c>
      <c r="S122" s="15">
        <f>IFERROR(R122/R148, "NA")</f>
        <v>0</v>
      </c>
      <c r="T122" s="28">
        <v>0.0</v>
      </c>
      <c r="U122" s="15">
        <f>IFERROR(T122/T148, "NA")</f>
        <v>0</v>
      </c>
      <c r="V122" s="28">
        <v>0.0</v>
      </c>
      <c r="W122" s="15">
        <f>IFERROR(V122/V148, "NA")</f>
        <v>0</v>
      </c>
      <c r="X122" s="28">
        <v>0.0</v>
      </c>
      <c r="Y122" s="15">
        <f>IFERROR(X122/X148, "NA")</f>
        <v>0</v>
      </c>
      <c r="Z122" s="28">
        <v>0.0</v>
      </c>
      <c r="AA122" s="15">
        <f>IFERROR(Z122/Z148, "NA")</f>
        <v>0</v>
      </c>
      <c r="AB122" s="57">
        <f t="shared" si="55"/>
        <v>0</v>
      </c>
      <c r="AC122" s="15">
        <f>IFERROR(AB122/AB148, "NA")</f>
        <v>0</v>
      </c>
      <c r="AD122" s="61">
        <f t="shared" si="56"/>
        <v>0</v>
      </c>
      <c r="AE122" s="62">
        <f>IFERROR(AD122/AD148, "NA")</f>
        <v>0</v>
      </c>
      <c r="AF122" s="61" t="str">
        <f t="shared" si="57"/>
        <v>NA</v>
      </c>
      <c r="AG122" s="57">
        <f t="shared" si="58"/>
        <v>0</v>
      </c>
      <c r="AH122" s="15">
        <f>IFERROR(AG122/AG148, "NA")</f>
        <v>0</v>
      </c>
      <c r="AI122" s="61">
        <f t="shared" si="59"/>
        <v>0</v>
      </c>
      <c r="AJ122" s="62">
        <f>IFERROR(AI122/AI148, "NA")</f>
        <v>0</v>
      </c>
      <c r="AK122" s="61" t="str">
        <f t="shared" si="60"/>
        <v>NA</v>
      </c>
      <c r="AL122" s="62" t="str">
        <f>IFERROR(AK122/AK148, "NA")</f>
        <v>NA</v>
      </c>
    </row>
    <row r="123" ht="16.5" hidden="1" customHeight="1">
      <c r="A123" s="26" t="s">
        <v>236</v>
      </c>
      <c r="B123" s="28">
        <v>0.0</v>
      </c>
      <c r="C123" s="15">
        <f>IFERROR(B123/B148, "NA")</f>
        <v>0</v>
      </c>
      <c r="D123" s="28">
        <v>0.0</v>
      </c>
      <c r="E123" s="15">
        <f>IFERROR(D123/D148, "NA")</f>
        <v>0</v>
      </c>
      <c r="F123" s="28">
        <v>0.0</v>
      </c>
      <c r="G123" s="15">
        <f>IFERROR(F123/F148, "NA")</f>
        <v>0</v>
      </c>
      <c r="H123" s="28">
        <v>0.0</v>
      </c>
      <c r="I123" s="15">
        <f>IFERROR(H123/H148, "NA")</f>
        <v>0</v>
      </c>
      <c r="J123" s="28">
        <v>0.0</v>
      </c>
      <c r="K123" s="15">
        <f>IFERROR(J123/J148, "NA")</f>
        <v>0</v>
      </c>
      <c r="L123" s="28">
        <v>0.0</v>
      </c>
      <c r="M123" s="15">
        <f>IFERROR(L123/L148, "NA")</f>
        <v>0</v>
      </c>
      <c r="N123" s="28">
        <v>0.0</v>
      </c>
      <c r="O123" s="15">
        <f>IFERROR(N123/N148, "NA")</f>
        <v>0</v>
      </c>
      <c r="P123" s="28">
        <v>0.0</v>
      </c>
      <c r="Q123" s="15">
        <f>IFERROR(P123/P148, "NA")</f>
        <v>0</v>
      </c>
      <c r="R123" s="28">
        <v>0.0</v>
      </c>
      <c r="S123" s="15">
        <f>IFERROR(R123/R148, "NA")</f>
        <v>0</v>
      </c>
      <c r="T123" s="28">
        <v>0.0</v>
      </c>
      <c r="U123" s="15">
        <f>IFERROR(T123/T148, "NA")</f>
        <v>0</v>
      </c>
      <c r="V123" s="28">
        <v>0.0</v>
      </c>
      <c r="W123" s="15">
        <f>IFERROR(V123/V148, "NA")</f>
        <v>0</v>
      </c>
      <c r="X123" s="28">
        <v>0.0</v>
      </c>
      <c r="Y123" s="15">
        <f>IFERROR(X123/X148, "NA")</f>
        <v>0</v>
      </c>
      <c r="Z123" s="28">
        <v>0.0</v>
      </c>
      <c r="AA123" s="15">
        <f>IFERROR(Z123/Z148, "NA")</f>
        <v>0</v>
      </c>
      <c r="AB123" s="57">
        <f t="shared" si="55"/>
        <v>0</v>
      </c>
      <c r="AC123" s="15">
        <f>IFERROR(AB123/AB148, "NA")</f>
        <v>0</v>
      </c>
      <c r="AD123" s="61">
        <f t="shared" si="56"/>
        <v>0</v>
      </c>
      <c r="AE123" s="62">
        <f>IFERROR(AD123/AD148, "NA")</f>
        <v>0</v>
      </c>
      <c r="AF123" s="61" t="str">
        <f t="shared" si="57"/>
        <v>NA</v>
      </c>
      <c r="AG123" s="57">
        <f t="shared" si="58"/>
        <v>0</v>
      </c>
      <c r="AH123" s="15">
        <f>IFERROR(AG123/AG148, "NA")</f>
        <v>0</v>
      </c>
      <c r="AI123" s="61">
        <f t="shared" si="59"/>
        <v>0</v>
      </c>
      <c r="AJ123" s="62">
        <f>IFERROR(AI123/AI148, "NA")</f>
        <v>0</v>
      </c>
      <c r="AK123" s="61" t="str">
        <f t="shared" si="60"/>
        <v>NA</v>
      </c>
      <c r="AL123" s="62" t="str">
        <f>IFERROR(AK123/AK148, "NA")</f>
        <v>NA</v>
      </c>
    </row>
    <row r="124" ht="16.5" hidden="1" customHeight="1">
      <c r="A124" s="26" t="s">
        <v>237</v>
      </c>
      <c r="B124" s="28">
        <v>0.0</v>
      </c>
      <c r="C124" s="15">
        <f>IFERROR(B124/B148, "NA")</f>
        <v>0</v>
      </c>
      <c r="D124" s="28">
        <v>0.0</v>
      </c>
      <c r="E124" s="15">
        <f>IFERROR(D124/D148, "NA")</f>
        <v>0</v>
      </c>
      <c r="F124" s="28">
        <v>0.0</v>
      </c>
      <c r="G124" s="15">
        <f>IFERROR(F124/F148, "NA")</f>
        <v>0</v>
      </c>
      <c r="H124" s="28">
        <v>0.0</v>
      </c>
      <c r="I124" s="15">
        <f>IFERROR(H124/H148, "NA")</f>
        <v>0</v>
      </c>
      <c r="J124" s="28">
        <v>0.0</v>
      </c>
      <c r="K124" s="15">
        <f>IFERROR(J124/J148, "NA")</f>
        <v>0</v>
      </c>
      <c r="L124" s="28">
        <v>0.0</v>
      </c>
      <c r="M124" s="15">
        <f>IFERROR(L124/L148, "NA")</f>
        <v>0</v>
      </c>
      <c r="N124" s="28">
        <v>0.0</v>
      </c>
      <c r="O124" s="15">
        <f>IFERROR(N124/N148, "NA")</f>
        <v>0</v>
      </c>
      <c r="P124" s="28">
        <v>0.0</v>
      </c>
      <c r="Q124" s="15">
        <f>IFERROR(P124/P148, "NA")</f>
        <v>0</v>
      </c>
      <c r="R124" s="28">
        <v>0.0</v>
      </c>
      <c r="S124" s="15">
        <f>IFERROR(R124/R148, "NA")</f>
        <v>0</v>
      </c>
      <c r="T124" s="28">
        <v>0.0</v>
      </c>
      <c r="U124" s="15">
        <f>IFERROR(T124/T148, "NA")</f>
        <v>0</v>
      </c>
      <c r="V124" s="28">
        <v>0.0</v>
      </c>
      <c r="W124" s="15">
        <f>IFERROR(V124/V148, "NA")</f>
        <v>0</v>
      </c>
      <c r="X124" s="28">
        <v>2650.0</v>
      </c>
      <c r="Y124" s="15">
        <f>IFERROR(X124/X148, "NA")</f>
        <v>0.04557061373</v>
      </c>
      <c r="Z124" s="28">
        <v>2650.0</v>
      </c>
      <c r="AA124" s="15">
        <f>IFERROR(Z124/Z148, "NA")</f>
        <v>0.01731647445</v>
      </c>
      <c r="AB124" s="57">
        <f t="shared" si="55"/>
        <v>662.5</v>
      </c>
      <c r="AC124" s="15">
        <f>IFERROR(AB124/AB148, "NA")</f>
        <v>0.01275188277</v>
      </c>
      <c r="AD124" s="61">
        <f t="shared" si="56"/>
        <v>1987.5</v>
      </c>
      <c r="AE124" s="62">
        <f>IFERROR(AD124/AD148, "NA")</f>
        <v>0.3206473931</v>
      </c>
      <c r="AF124" s="61">
        <f t="shared" si="57"/>
        <v>3</v>
      </c>
      <c r="AG124" s="57">
        <f t="shared" si="58"/>
        <v>331.25</v>
      </c>
      <c r="AH124" s="15">
        <f>IFERROR(AG124/AG148, "NA")</f>
        <v>0.006376593887</v>
      </c>
      <c r="AI124" s="61">
        <f t="shared" si="59"/>
        <v>2318.75</v>
      </c>
      <c r="AJ124" s="62">
        <f>IFERROR(AI124/AI148, "NA")</f>
        <v>0.3737680514</v>
      </c>
      <c r="AK124" s="61">
        <f t="shared" si="60"/>
        <v>7</v>
      </c>
      <c r="AL124" s="62">
        <f>IFERROR(AK124/AK148, "NA")</f>
        <v>58.61562741</v>
      </c>
    </row>
    <row r="125" ht="16.5" hidden="1" customHeight="1">
      <c r="A125" s="26" t="s">
        <v>238</v>
      </c>
      <c r="B125" s="28">
        <v>0.0</v>
      </c>
      <c r="C125" s="15">
        <f>IFERROR(B125/B148, "NA")</f>
        <v>0</v>
      </c>
      <c r="D125" s="28">
        <v>0.0</v>
      </c>
      <c r="E125" s="15">
        <f>IFERROR(D125/D148, "NA")</f>
        <v>0</v>
      </c>
      <c r="F125" s="28">
        <v>0.0</v>
      </c>
      <c r="G125" s="15">
        <f>IFERROR(F125/F148, "NA")</f>
        <v>0</v>
      </c>
      <c r="H125" s="28">
        <v>0.0</v>
      </c>
      <c r="I125" s="15">
        <f>IFERROR(H125/H148, "NA")</f>
        <v>0</v>
      </c>
      <c r="J125" s="28">
        <v>0.0</v>
      </c>
      <c r="K125" s="15">
        <f>IFERROR(J125/J148, "NA")</f>
        <v>0</v>
      </c>
      <c r="L125" s="28">
        <v>0.0</v>
      </c>
      <c r="M125" s="15">
        <f>IFERROR(L125/L148, "NA")</f>
        <v>0</v>
      </c>
      <c r="N125" s="28">
        <v>0.0</v>
      </c>
      <c r="O125" s="15">
        <f>IFERROR(N125/N148, "NA")</f>
        <v>0</v>
      </c>
      <c r="P125" s="28">
        <v>0.0</v>
      </c>
      <c r="Q125" s="15">
        <f>IFERROR(P125/P148, "NA")</f>
        <v>0</v>
      </c>
      <c r="R125" s="28">
        <v>0.0</v>
      </c>
      <c r="S125" s="15">
        <f>IFERROR(R125/R148, "NA")</f>
        <v>0</v>
      </c>
      <c r="T125" s="28">
        <v>0.0</v>
      </c>
      <c r="U125" s="15">
        <f>IFERROR(T125/T148, "NA")</f>
        <v>0</v>
      </c>
      <c r="V125" s="28">
        <v>0.0</v>
      </c>
      <c r="W125" s="15">
        <f>IFERROR(V125/V148, "NA")</f>
        <v>0</v>
      </c>
      <c r="X125" s="28">
        <v>0.0</v>
      </c>
      <c r="Y125" s="15">
        <f>IFERROR(X125/X148, "NA")</f>
        <v>0</v>
      </c>
      <c r="Z125" s="28">
        <v>0.0</v>
      </c>
      <c r="AA125" s="15">
        <f>IFERROR(Z125/Z148, "NA")</f>
        <v>0</v>
      </c>
      <c r="AB125" s="57">
        <f t="shared" si="55"/>
        <v>0</v>
      </c>
      <c r="AC125" s="15">
        <f>IFERROR(AB125/AB148, "NA")</f>
        <v>0</v>
      </c>
      <c r="AD125" s="61">
        <f t="shared" si="56"/>
        <v>0</v>
      </c>
      <c r="AE125" s="62">
        <f>IFERROR(AD125/AD148, "NA")</f>
        <v>0</v>
      </c>
      <c r="AF125" s="61" t="str">
        <f t="shared" si="57"/>
        <v>NA</v>
      </c>
      <c r="AG125" s="57">
        <f t="shared" si="58"/>
        <v>0</v>
      </c>
      <c r="AH125" s="15">
        <f>IFERROR(AG125/AG148, "NA")</f>
        <v>0</v>
      </c>
      <c r="AI125" s="61">
        <f t="shared" si="59"/>
        <v>0</v>
      </c>
      <c r="AJ125" s="62">
        <f>IFERROR(AI125/AI148, "NA")</f>
        <v>0</v>
      </c>
      <c r="AK125" s="61" t="str">
        <f t="shared" si="60"/>
        <v>NA</v>
      </c>
      <c r="AL125" s="62" t="str">
        <f>IFERROR(AK125/AK148, "NA")</f>
        <v>NA</v>
      </c>
    </row>
    <row r="126" ht="16.5" hidden="1" customHeight="1">
      <c r="A126" s="26" t="s">
        <v>239</v>
      </c>
      <c r="B126" s="28">
        <v>0.0</v>
      </c>
      <c r="C126" s="15">
        <f>IFERROR(B126/B148, "NA")</f>
        <v>0</v>
      </c>
      <c r="D126" s="28">
        <v>0.0</v>
      </c>
      <c r="E126" s="15">
        <f>IFERROR(D126/D148, "NA")</f>
        <v>0</v>
      </c>
      <c r="F126" s="28">
        <v>0.0</v>
      </c>
      <c r="G126" s="15">
        <f>IFERROR(F126/F148, "NA")</f>
        <v>0</v>
      </c>
      <c r="H126" s="28">
        <v>0.0</v>
      </c>
      <c r="I126" s="15">
        <f>IFERROR(H126/H148, "NA")</f>
        <v>0</v>
      </c>
      <c r="J126" s="28">
        <v>0.0</v>
      </c>
      <c r="K126" s="15">
        <f>IFERROR(J126/J148, "NA")</f>
        <v>0</v>
      </c>
      <c r="L126" s="28">
        <v>0.0</v>
      </c>
      <c r="M126" s="15">
        <f>IFERROR(L126/L148, "NA")</f>
        <v>0</v>
      </c>
      <c r="N126" s="28">
        <v>0.0</v>
      </c>
      <c r="O126" s="15">
        <f>IFERROR(N126/N148, "NA")</f>
        <v>0</v>
      </c>
      <c r="P126" s="28">
        <v>0.0</v>
      </c>
      <c r="Q126" s="15">
        <f>IFERROR(P126/P148, "NA")</f>
        <v>0</v>
      </c>
      <c r="R126" s="28">
        <v>0.0</v>
      </c>
      <c r="S126" s="15">
        <f>IFERROR(R126/R148, "NA")</f>
        <v>0</v>
      </c>
      <c r="T126" s="28">
        <v>0.0</v>
      </c>
      <c r="U126" s="15">
        <f>IFERROR(T126/T148, "NA")</f>
        <v>0</v>
      </c>
      <c r="V126" s="28">
        <v>0.0</v>
      </c>
      <c r="W126" s="15">
        <f>IFERROR(V126/V148, "NA")</f>
        <v>0</v>
      </c>
      <c r="X126" s="28">
        <v>0.0</v>
      </c>
      <c r="Y126" s="15">
        <f>IFERROR(X126/X148, "NA")</f>
        <v>0</v>
      </c>
      <c r="Z126" s="28">
        <v>0.0</v>
      </c>
      <c r="AA126" s="15">
        <f>IFERROR(Z126/Z148, "NA")</f>
        <v>0</v>
      </c>
      <c r="AB126" s="57">
        <f t="shared" si="55"/>
        <v>0</v>
      </c>
      <c r="AC126" s="15">
        <f>IFERROR(AB126/AB148, "NA")</f>
        <v>0</v>
      </c>
      <c r="AD126" s="61">
        <f t="shared" si="56"/>
        <v>0</v>
      </c>
      <c r="AE126" s="62">
        <f>IFERROR(AD126/AD148, "NA")</f>
        <v>0</v>
      </c>
      <c r="AF126" s="61" t="str">
        <f t="shared" si="57"/>
        <v>NA</v>
      </c>
      <c r="AG126" s="57">
        <f t="shared" si="58"/>
        <v>0</v>
      </c>
      <c r="AH126" s="15">
        <f>IFERROR(AG126/AG148, "NA")</f>
        <v>0</v>
      </c>
      <c r="AI126" s="61">
        <f t="shared" si="59"/>
        <v>0</v>
      </c>
      <c r="AJ126" s="62">
        <f>IFERROR(AI126/AI148, "NA")</f>
        <v>0</v>
      </c>
      <c r="AK126" s="61" t="str">
        <f t="shared" si="60"/>
        <v>NA</v>
      </c>
      <c r="AL126" s="62" t="str">
        <f>IFERROR(AK126/AK148, "NA")</f>
        <v>NA</v>
      </c>
    </row>
    <row r="127" ht="16.5" hidden="1" customHeight="1">
      <c r="A127" s="26" t="s">
        <v>240</v>
      </c>
      <c r="B127" s="28">
        <v>0.0</v>
      </c>
      <c r="C127" s="15">
        <f>IFERROR(B127/B148, "NA")</f>
        <v>0</v>
      </c>
      <c r="D127" s="28">
        <v>0.0</v>
      </c>
      <c r="E127" s="15">
        <f>IFERROR(D127/D148, "NA")</f>
        <v>0</v>
      </c>
      <c r="F127" s="28">
        <v>0.0</v>
      </c>
      <c r="G127" s="15">
        <f>IFERROR(F127/F148, "NA")</f>
        <v>0</v>
      </c>
      <c r="H127" s="28">
        <v>0.0</v>
      </c>
      <c r="I127" s="15">
        <f>IFERROR(H127/H148, "NA")</f>
        <v>0</v>
      </c>
      <c r="J127" s="28">
        <v>0.0</v>
      </c>
      <c r="K127" s="15">
        <f>IFERROR(J127/J148, "NA")</f>
        <v>0</v>
      </c>
      <c r="L127" s="28">
        <v>0.0</v>
      </c>
      <c r="M127" s="15">
        <f>IFERROR(L127/L148, "NA")</f>
        <v>0</v>
      </c>
      <c r="N127" s="28">
        <v>0.0</v>
      </c>
      <c r="O127" s="15">
        <f>IFERROR(N127/N148, "NA")</f>
        <v>0</v>
      </c>
      <c r="P127" s="28">
        <v>0.0</v>
      </c>
      <c r="Q127" s="15">
        <f>IFERROR(P127/P148, "NA")</f>
        <v>0</v>
      </c>
      <c r="R127" s="28">
        <v>0.0</v>
      </c>
      <c r="S127" s="15">
        <f>IFERROR(R127/R148, "NA")</f>
        <v>0</v>
      </c>
      <c r="T127" s="28">
        <v>0.0</v>
      </c>
      <c r="U127" s="15">
        <f>IFERROR(T127/T148, "NA")</f>
        <v>0</v>
      </c>
      <c r="V127" s="28">
        <v>0.0</v>
      </c>
      <c r="W127" s="15">
        <f>IFERROR(V127/V148, "NA")</f>
        <v>0</v>
      </c>
      <c r="X127" s="28">
        <v>0.0</v>
      </c>
      <c r="Y127" s="15">
        <f>IFERROR(X127/X148, "NA")</f>
        <v>0</v>
      </c>
      <c r="Z127" s="28">
        <v>0.0</v>
      </c>
      <c r="AA127" s="15">
        <f>IFERROR(Z127/Z148, "NA")</f>
        <v>0</v>
      </c>
      <c r="AB127" s="57">
        <f t="shared" si="55"/>
        <v>0</v>
      </c>
      <c r="AC127" s="15">
        <f>IFERROR(AB127/AB148, "NA")</f>
        <v>0</v>
      </c>
      <c r="AD127" s="61">
        <f t="shared" si="56"/>
        <v>0</v>
      </c>
      <c r="AE127" s="62">
        <f>IFERROR(AD127/AD148, "NA")</f>
        <v>0</v>
      </c>
      <c r="AF127" s="61" t="str">
        <f t="shared" si="57"/>
        <v>NA</v>
      </c>
      <c r="AG127" s="57">
        <f t="shared" si="58"/>
        <v>0</v>
      </c>
      <c r="AH127" s="15">
        <f>IFERROR(AG127/AG148, "NA")</f>
        <v>0</v>
      </c>
      <c r="AI127" s="61">
        <f t="shared" si="59"/>
        <v>0</v>
      </c>
      <c r="AJ127" s="62">
        <f>IFERROR(AI127/AI148, "NA")</f>
        <v>0</v>
      </c>
      <c r="AK127" s="61" t="str">
        <f t="shared" si="60"/>
        <v>NA</v>
      </c>
      <c r="AL127" s="62" t="str">
        <f>IFERROR(AK127/AK148, "NA")</f>
        <v>NA</v>
      </c>
    </row>
    <row r="128" ht="16.5" hidden="1" customHeight="1">
      <c r="A128" s="26" t="s">
        <v>241</v>
      </c>
      <c r="B128" s="28">
        <v>748.84</v>
      </c>
      <c r="C128" s="15">
        <f>IFERROR(B128/B148, "NA")</f>
        <v>0.02205699343</v>
      </c>
      <c r="D128" s="28">
        <v>1117.36</v>
      </c>
      <c r="E128" s="15">
        <f>IFERROR(D128/D148, "NA")</f>
        <v>0.02392222494</v>
      </c>
      <c r="F128" s="28">
        <v>1165.18</v>
      </c>
      <c r="G128" s="15">
        <f>IFERROR(F128/F148, "NA")</f>
        <v>0.02893363377</v>
      </c>
      <c r="H128" s="28">
        <v>-3031.38</v>
      </c>
      <c r="I128" s="15">
        <f>IFERROR(H128/H148, "NA")</f>
        <v>-0.05678730192</v>
      </c>
      <c r="J128" s="28">
        <v>1909.04</v>
      </c>
      <c r="K128" s="15">
        <f>IFERROR(J128/J148, "NA")</f>
        <v>0.04108899703</v>
      </c>
      <c r="L128" s="28">
        <v>769.73</v>
      </c>
      <c r="M128" s="15">
        <f>IFERROR(L128/L148, "NA")</f>
        <v>0.01755746155</v>
      </c>
      <c r="N128" s="28">
        <v>832.85</v>
      </c>
      <c r="O128" s="15">
        <f>IFERROR(N128/N148, "NA")</f>
        <v>0.01574704742</v>
      </c>
      <c r="P128" s="28">
        <v>783.57</v>
      </c>
      <c r="Q128" s="15">
        <f>IFERROR(P128/P148, "NA")</f>
        <v>0.01213352592</v>
      </c>
      <c r="R128" s="28">
        <v>-4295.19</v>
      </c>
      <c r="S128" s="15">
        <f>IFERROR(R128/R148, "NA")</f>
        <v>-0.07840944128</v>
      </c>
      <c r="T128" s="28">
        <v>811.82</v>
      </c>
      <c r="U128" s="15">
        <f>IFERROR(T128/T148, "NA")</f>
        <v>0.01659774282</v>
      </c>
      <c r="V128" s="28">
        <v>884.33</v>
      </c>
      <c r="W128" s="15">
        <f>IFERROR(V128/V148, "NA")</f>
        <v>0.0192369103</v>
      </c>
      <c r="X128" s="28">
        <v>821.33</v>
      </c>
      <c r="Y128" s="15">
        <f>IFERROR(X128/X148, "NA")</f>
        <v>0.01412396686</v>
      </c>
      <c r="Z128" s="28">
        <v>2517.48</v>
      </c>
      <c r="AA128" s="15">
        <f>IFERROR(Z128/Z148, "NA")</f>
        <v>0.01645052004</v>
      </c>
      <c r="AB128" s="57">
        <f t="shared" si="55"/>
        <v>-444.4275</v>
      </c>
      <c r="AC128" s="15">
        <f>IFERROR(AB128/AB148, "NA")</f>
        <v>-0.008554396043</v>
      </c>
      <c r="AD128" s="61">
        <f t="shared" si="56"/>
        <v>1265.7575</v>
      </c>
      <c r="AE128" s="62">
        <f>IFERROR(AD128/AD148, "NA")</f>
        <v>0.2042072165</v>
      </c>
      <c r="AF128" s="61">
        <f t="shared" si="57"/>
        <v>-2.848062957</v>
      </c>
      <c r="AG128" s="57">
        <f t="shared" si="58"/>
        <v>314.685</v>
      </c>
      <c r="AH128" s="15">
        <f>IFERROR(AG128/AG148, "NA")</f>
        <v>0.006057716067</v>
      </c>
      <c r="AI128" s="61">
        <f t="shared" si="59"/>
        <v>506.645</v>
      </c>
      <c r="AJ128" s="62">
        <f>IFERROR(AI128/AI148, "NA")</f>
        <v>0.081668017</v>
      </c>
      <c r="AK128" s="61">
        <f t="shared" si="60"/>
        <v>1.610006832</v>
      </c>
      <c r="AL128" s="62">
        <f>IFERROR(AK128/AK148, "NA")</f>
        <v>13.48165152</v>
      </c>
    </row>
    <row r="129" ht="16.5" hidden="1" customHeight="1">
      <c r="A129" s="26" t="s">
        <v>242</v>
      </c>
      <c r="B129" s="28">
        <v>0.0</v>
      </c>
      <c r="C129" s="15">
        <f>IFERROR(B129/B148, "NA")</f>
        <v>0</v>
      </c>
      <c r="D129" s="28">
        <v>0.0</v>
      </c>
      <c r="E129" s="15">
        <f>IFERROR(D129/D148, "NA")</f>
        <v>0</v>
      </c>
      <c r="F129" s="28">
        <v>0.0</v>
      </c>
      <c r="G129" s="15">
        <f>IFERROR(F129/F148, "NA")</f>
        <v>0</v>
      </c>
      <c r="H129" s="28">
        <v>0.0</v>
      </c>
      <c r="I129" s="15">
        <f>IFERROR(H129/H148, "NA")</f>
        <v>0</v>
      </c>
      <c r="J129" s="28">
        <v>0.0</v>
      </c>
      <c r="K129" s="15">
        <f>IFERROR(J129/J148, "NA")</f>
        <v>0</v>
      </c>
      <c r="L129" s="28">
        <v>0.0</v>
      </c>
      <c r="M129" s="15">
        <f>IFERROR(L129/L148, "NA")</f>
        <v>0</v>
      </c>
      <c r="N129" s="28">
        <v>0.0</v>
      </c>
      <c r="O129" s="15">
        <f>IFERROR(N129/N148, "NA")</f>
        <v>0</v>
      </c>
      <c r="P129" s="28">
        <v>0.0</v>
      </c>
      <c r="Q129" s="15">
        <f>IFERROR(P129/P148, "NA")</f>
        <v>0</v>
      </c>
      <c r="R129" s="28">
        <v>0.0</v>
      </c>
      <c r="S129" s="15">
        <f>IFERROR(R129/R148, "NA")</f>
        <v>0</v>
      </c>
      <c r="T129" s="28">
        <v>0.0</v>
      </c>
      <c r="U129" s="15">
        <f>IFERROR(T129/T148, "NA")</f>
        <v>0</v>
      </c>
      <c r="V129" s="28">
        <v>0.0</v>
      </c>
      <c r="W129" s="15">
        <f>IFERROR(V129/V148, "NA")</f>
        <v>0</v>
      </c>
      <c r="X129" s="28">
        <v>0.0</v>
      </c>
      <c r="Y129" s="15">
        <f>IFERROR(X129/X148, "NA")</f>
        <v>0</v>
      </c>
      <c r="Z129" s="28">
        <v>0.0</v>
      </c>
      <c r="AA129" s="15">
        <f>IFERROR(Z129/Z148, "NA")</f>
        <v>0</v>
      </c>
      <c r="AB129" s="57">
        <f t="shared" si="55"/>
        <v>0</v>
      </c>
      <c r="AC129" s="15">
        <f>IFERROR(AB129/AB148, "NA")</f>
        <v>0</v>
      </c>
      <c r="AD129" s="61">
        <f t="shared" si="56"/>
        <v>0</v>
      </c>
      <c r="AE129" s="62">
        <f>IFERROR(AD129/AD148, "NA")</f>
        <v>0</v>
      </c>
      <c r="AF129" s="61" t="str">
        <f t="shared" si="57"/>
        <v>NA</v>
      </c>
      <c r="AG129" s="57">
        <f t="shared" si="58"/>
        <v>0</v>
      </c>
      <c r="AH129" s="15">
        <f>IFERROR(AG129/AG148, "NA")</f>
        <v>0</v>
      </c>
      <c r="AI129" s="61">
        <f t="shared" si="59"/>
        <v>0</v>
      </c>
      <c r="AJ129" s="62">
        <f>IFERROR(AI129/AI148, "NA")</f>
        <v>0</v>
      </c>
      <c r="AK129" s="61" t="str">
        <f t="shared" si="60"/>
        <v>NA</v>
      </c>
      <c r="AL129" s="62" t="str">
        <f>IFERROR(AK129/AK148, "NA")</f>
        <v>NA</v>
      </c>
    </row>
    <row r="130" ht="16.5" hidden="1" customHeight="1">
      <c r="A130" s="26" t="s">
        <v>243</v>
      </c>
      <c r="B130" s="28">
        <v>0.0</v>
      </c>
      <c r="C130" s="15">
        <f>IFERROR(B130/B148, "NA")</f>
        <v>0</v>
      </c>
      <c r="D130" s="28">
        <v>0.0</v>
      </c>
      <c r="E130" s="15">
        <f>IFERROR(D130/D148, "NA")</f>
        <v>0</v>
      </c>
      <c r="F130" s="28">
        <v>0.0</v>
      </c>
      <c r="G130" s="15">
        <f>IFERROR(F130/F148, "NA")</f>
        <v>0</v>
      </c>
      <c r="H130" s="28">
        <v>0.0</v>
      </c>
      <c r="I130" s="15">
        <f>IFERROR(H130/H148, "NA")</f>
        <v>0</v>
      </c>
      <c r="J130" s="28">
        <v>0.0</v>
      </c>
      <c r="K130" s="15">
        <f>IFERROR(J130/J148, "NA")</f>
        <v>0</v>
      </c>
      <c r="L130" s="28">
        <v>0.0</v>
      </c>
      <c r="M130" s="15">
        <f>IFERROR(L130/L148, "NA")</f>
        <v>0</v>
      </c>
      <c r="N130" s="28">
        <v>0.0</v>
      </c>
      <c r="O130" s="15">
        <f>IFERROR(N130/N148, "NA")</f>
        <v>0</v>
      </c>
      <c r="P130" s="28">
        <v>0.0</v>
      </c>
      <c r="Q130" s="15">
        <f>IFERROR(P130/P148, "NA")</f>
        <v>0</v>
      </c>
      <c r="R130" s="28">
        <v>0.0</v>
      </c>
      <c r="S130" s="15">
        <f>IFERROR(R130/R148, "NA")</f>
        <v>0</v>
      </c>
      <c r="T130" s="28">
        <v>0.0</v>
      </c>
      <c r="U130" s="15">
        <f>IFERROR(T130/T148, "NA")</f>
        <v>0</v>
      </c>
      <c r="V130" s="28">
        <v>0.0</v>
      </c>
      <c r="W130" s="15">
        <f>IFERROR(V130/V148, "NA")</f>
        <v>0</v>
      </c>
      <c r="X130" s="28">
        <v>0.0</v>
      </c>
      <c r="Y130" s="15">
        <f>IFERROR(X130/X148, "NA")</f>
        <v>0</v>
      </c>
      <c r="Z130" s="28">
        <v>0.0</v>
      </c>
      <c r="AA130" s="15">
        <f>IFERROR(Z130/Z148, "NA")</f>
        <v>0</v>
      </c>
      <c r="AB130" s="57">
        <f t="shared" si="55"/>
        <v>0</v>
      </c>
      <c r="AC130" s="15">
        <f>IFERROR(AB130/AB148, "NA")</f>
        <v>0</v>
      </c>
      <c r="AD130" s="61">
        <f t="shared" si="56"/>
        <v>0</v>
      </c>
      <c r="AE130" s="62">
        <f>IFERROR(AD130/AD148, "NA")</f>
        <v>0</v>
      </c>
      <c r="AF130" s="61" t="str">
        <f t="shared" si="57"/>
        <v>NA</v>
      </c>
      <c r="AG130" s="57">
        <f t="shared" si="58"/>
        <v>0</v>
      </c>
      <c r="AH130" s="15">
        <f>IFERROR(AG130/AG148, "NA")</f>
        <v>0</v>
      </c>
      <c r="AI130" s="61">
        <f t="shared" si="59"/>
        <v>0</v>
      </c>
      <c r="AJ130" s="62">
        <f>IFERROR(AI130/AI148, "NA")</f>
        <v>0</v>
      </c>
      <c r="AK130" s="61" t="str">
        <f t="shared" si="60"/>
        <v>NA</v>
      </c>
      <c r="AL130" s="62" t="str">
        <f>IFERROR(AK130/AK148, "NA")</f>
        <v>NA</v>
      </c>
    </row>
    <row r="131" ht="16.5" hidden="1" customHeight="1">
      <c r="A131" s="26" t="s">
        <v>244</v>
      </c>
      <c r="B131" s="28">
        <v>0.0</v>
      </c>
      <c r="C131" s="15">
        <f>IFERROR(B131/B148, "NA")</f>
        <v>0</v>
      </c>
      <c r="D131" s="28">
        <v>0.0</v>
      </c>
      <c r="E131" s="15">
        <f>IFERROR(D131/D148, "NA")</f>
        <v>0</v>
      </c>
      <c r="F131" s="28">
        <v>0.0</v>
      </c>
      <c r="G131" s="15">
        <f>IFERROR(F131/F148, "NA")</f>
        <v>0</v>
      </c>
      <c r="H131" s="28">
        <v>0.0</v>
      </c>
      <c r="I131" s="15">
        <f>IFERROR(H131/H148, "NA")</f>
        <v>0</v>
      </c>
      <c r="J131" s="28">
        <v>0.0</v>
      </c>
      <c r="K131" s="15">
        <f>IFERROR(J131/J148, "NA")</f>
        <v>0</v>
      </c>
      <c r="L131" s="28">
        <v>0.0</v>
      </c>
      <c r="M131" s="15">
        <f>IFERROR(L131/L148, "NA")</f>
        <v>0</v>
      </c>
      <c r="N131" s="28">
        <v>0.0</v>
      </c>
      <c r="O131" s="15">
        <f>IFERROR(N131/N148, "NA")</f>
        <v>0</v>
      </c>
      <c r="P131" s="28">
        <v>0.0</v>
      </c>
      <c r="Q131" s="15">
        <f>IFERROR(P131/P148, "NA")</f>
        <v>0</v>
      </c>
      <c r="R131" s="28">
        <v>0.0</v>
      </c>
      <c r="S131" s="15">
        <f>IFERROR(R131/R148, "NA")</f>
        <v>0</v>
      </c>
      <c r="T131" s="28">
        <v>0.0</v>
      </c>
      <c r="U131" s="15">
        <f>IFERROR(T131/T148, "NA")</f>
        <v>0</v>
      </c>
      <c r="V131" s="28">
        <v>0.0</v>
      </c>
      <c r="W131" s="15">
        <f>IFERROR(V131/V148, "NA")</f>
        <v>0</v>
      </c>
      <c r="X131" s="28">
        <v>0.0</v>
      </c>
      <c r="Y131" s="15">
        <f>IFERROR(X131/X148, "NA")</f>
        <v>0</v>
      </c>
      <c r="Z131" s="28">
        <v>0.0</v>
      </c>
      <c r="AA131" s="15">
        <f>IFERROR(Z131/Z148, "NA")</f>
        <v>0</v>
      </c>
      <c r="AB131" s="57">
        <f t="shared" si="55"/>
        <v>0</v>
      </c>
      <c r="AC131" s="15">
        <f>IFERROR(AB131/AB148, "NA")</f>
        <v>0</v>
      </c>
      <c r="AD131" s="61">
        <f t="shared" si="56"/>
        <v>0</v>
      </c>
      <c r="AE131" s="62">
        <f>IFERROR(AD131/AD148, "NA")</f>
        <v>0</v>
      </c>
      <c r="AF131" s="61" t="str">
        <f t="shared" si="57"/>
        <v>NA</v>
      </c>
      <c r="AG131" s="57">
        <f t="shared" si="58"/>
        <v>0</v>
      </c>
      <c r="AH131" s="15">
        <f>IFERROR(AG131/AG148, "NA")</f>
        <v>0</v>
      </c>
      <c r="AI131" s="61">
        <f t="shared" si="59"/>
        <v>0</v>
      </c>
      <c r="AJ131" s="62">
        <f>IFERROR(AI131/AI148, "NA")</f>
        <v>0</v>
      </c>
      <c r="AK131" s="61" t="str">
        <f t="shared" si="60"/>
        <v>NA</v>
      </c>
      <c r="AL131" s="62" t="str">
        <f>IFERROR(AK131/AK148, "NA")</f>
        <v>NA</v>
      </c>
    </row>
    <row r="132" ht="16.5" hidden="1" customHeight="1">
      <c r="A132" s="26" t="s">
        <v>245</v>
      </c>
      <c r="B132" s="28">
        <v>0.0</v>
      </c>
      <c r="C132" s="15">
        <f>IFERROR(B132/B148, "NA")</f>
        <v>0</v>
      </c>
      <c r="D132" s="28">
        <v>0.0</v>
      </c>
      <c r="E132" s="15">
        <f>IFERROR(D132/D148, "NA")</f>
        <v>0</v>
      </c>
      <c r="F132" s="28">
        <v>0.0</v>
      </c>
      <c r="G132" s="15">
        <f>IFERROR(F132/F148, "NA")</f>
        <v>0</v>
      </c>
      <c r="H132" s="28">
        <v>0.0</v>
      </c>
      <c r="I132" s="15">
        <f>IFERROR(H132/H148, "NA")</f>
        <v>0</v>
      </c>
      <c r="J132" s="28">
        <v>0.0</v>
      </c>
      <c r="K132" s="15">
        <f>IFERROR(J132/J148, "NA")</f>
        <v>0</v>
      </c>
      <c r="L132" s="28">
        <v>0.0</v>
      </c>
      <c r="M132" s="15">
        <f>IFERROR(L132/L148, "NA")</f>
        <v>0</v>
      </c>
      <c r="N132" s="28">
        <v>0.0</v>
      </c>
      <c r="O132" s="15">
        <f>IFERROR(N132/N148, "NA")</f>
        <v>0</v>
      </c>
      <c r="P132" s="28">
        <v>0.0</v>
      </c>
      <c r="Q132" s="15">
        <f>IFERROR(P132/P148, "NA")</f>
        <v>0</v>
      </c>
      <c r="R132" s="28">
        <v>0.0</v>
      </c>
      <c r="S132" s="15">
        <f>IFERROR(R132/R148, "NA")</f>
        <v>0</v>
      </c>
      <c r="T132" s="28">
        <v>0.0</v>
      </c>
      <c r="U132" s="15">
        <f>IFERROR(T132/T148, "NA")</f>
        <v>0</v>
      </c>
      <c r="V132" s="28">
        <v>0.0</v>
      </c>
      <c r="W132" s="15">
        <f>IFERROR(V132/V148, "NA")</f>
        <v>0</v>
      </c>
      <c r="X132" s="28">
        <v>0.0</v>
      </c>
      <c r="Y132" s="15">
        <f>IFERROR(X132/X148, "NA")</f>
        <v>0</v>
      </c>
      <c r="Z132" s="28">
        <v>0.0</v>
      </c>
      <c r="AA132" s="15">
        <f>IFERROR(Z132/Z148, "NA")</f>
        <v>0</v>
      </c>
      <c r="AB132" s="57">
        <f t="shared" si="55"/>
        <v>0</v>
      </c>
      <c r="AC132" s="15">
        <f>IFERROR(AB132/AB148, "NA")</f>
        <v>0</v>
      </c>
      <c r="AD132" s="61">
        <f t="shared" si="56"/>
        <v>0</v>
      </c>
      <c r="AE132" s="62">
        <f>IFERROR(AD132/AD148, "NA")</f>
        <v>0</v>
      </c>
      <c r="AF132" s="61" t="str">
        <f t="shared" si="57"/>
        <v>NA</v>
      </c>
      <c r="AG132" s="57">
        <f t="shared" si="58"/>
        <v>0</v>
      </c>
      <c r="AH132" s="15">
        <f>IFERROR(AG132/AG148, "NA")</f>
        <v>0</v>
      </c>
      <c r="AI132" s="61">
        <f t="shared" si="59"/>
        <v>0</v>
      </c>
      <c r="AJ132" s="62">
        <f>IFERROR(AI132/AI148, "NA")</f>
        <v>0</v>
      </c>
      <c r="AK132" s="61" t="str">
        <f t="shared" si="60"/>
        <v>NA</v>
      </c>
      <c r="AL132" s="62" t="str">
        <f>IFERROR(AK132/AK148, "NA")</f>
        <v>NA</v>
      </c>
    </row>
    <row r="133" ht="16.5" hidden="1" customHeight="1">
      <c r="A133" s="26" t="s">
        <v>246</v>
      </c>
      <c r="B133" s="28">
        <v>0.0</v>
      </c>
      <c r="C133" s="15">
        <f>IFERROR(B133/B148, "NA")</f>
        <v>0</v>
      </c>
      <c r="D133" s="28">
        <v>0.0</v>
      </c>
      <c r="E133" s="15">
        <f>IFERROR(D133/D148, "NA")</f>
        <v>0</v>
      </c>
      <c r="F133" s="28">
        <v>0.0</v>
      </c>
      <c r="G133" s="15">
        <f>IFERROR(F133/F148, "NA")</f>
        <v>0</v>
      </c>
      <c r="H133" s="28">
        <v>0.0</v>
      </c>
      <c r="I133" s="15">
        <f>IFERROR(H133/H148, "NA")</f>
        <v>0</v>
      </c>
      <c r="J133" s="28">
        <v>0.0</v>
      </c>
      <c r="K133" s="15">
        <f>IFERROR(J133/J148, "NA")</f>
        <v>0</v>
      </c>
      <c r="L133" s="28">
        <v>0.0</v>
      </c>
      <c r="M133" s="15">
        <f>IFERROR(L133/L148, "NA")</f>
        <v>0</v>
      </c>
      <c r="N133" s="28">
        <v>0.0</v>
      </c>
      <c r="O133" s="15">
        <f>IFERROR(N133/N148, "NA")</f>
        <v>0</v>
      </c>
      <c r="P133" s="28">
        <v>0.0</v>
      </c>
      <c r="Q133" s="15">
        <f>IFERROR(P133/P148, "NA")</f>
        <v>0</v>
      </c>
      <c r="R133" s="28">
        <v>0.0</v>
      </c>
      <c r="S133" s="15">
        <f>IFERROR(R133/R148, "NA")</f>
        <v>0</v>
      </c>
      <c r="T133" s="28">
        <v>0.0</v>
      </c>
      <c r="U133" s="15">
        <f>IFERROR(T133/T148, "NA")</f>
        <v>0</v>
      </c>
      <c r="V133" s="28">
        <v>0.0</v>
      </c>
      <c r="W133" s="15">
        <f>IFERROR(V133/V148, "NA")</f>
        <v>0</v>
      </c>
      <c r="X133" s="28">
        <v>0.0</v>
      </c>
      <c r="Y133" s="15">
        <f>IFERROR(X133/X148, "NA")</f>
        <v>0</v>
      </c>
      <c r="Z133" s="28">
        <v>0.0</v>
      </c>
      <c r="AA133" s="15">
        <f>IFERROR(Z133/Z148, "NA")</f>
        <v>0</v>
      </c>
      <c r="AB133" s="57">
        <f t="shared" si="55"/>
        <v>0</v>
      </c>
      <c r="AC133" s="15">
        <f>IFERROR(AB133/AB148, "NA")</f>
        <v>0</v>
      </c>
      <c r="AD133" s="61">
        <f t="shared" si="56"/>
        <v>0</v>
      </c>
      <c r="AE133" s="62">
        <f>IFERROR(AD133/AD148, "NA")</f>
        <v>0</v>
      </c>
      <c r="AF133" s="61" t="str">
        <f t="shared" si="57"/>
        <v>NA</v>
      </c>
      <c r="AG133" s="57">
        <f t="shared" si="58"/>
        <v>0</v>
      </c>
      <c r="AH133" s="15">
        <f>IFERROR(AG133/AG148, "NA")</f>
        <v>0</v>
      </c>
      <c r="AI133" s="61">
        <f t="shared" si="59"/>
        <v>0</v>
      </c>
      <c r="AJ133" s="62">
        <f>IFERROR(AI133/AI148, "NA")</f>
        <v>0</v>
      </c>
      <c r="AK133" s="61" t="str">
        <f t="shared" si="60"/>
        <v>NA</v>
      </c>
      <c r="AL133" s="62" t="str">
        <f>IFERROR(AK133/AK148, "NA")</f>
        <v>NA</v>
      </c>
    </row>
    <row r="134" ht="16.5" hidden="1" customHeight="1">
      <c r="A134" s="26" t="s">
        <v>247</v>
      </c>
      <c r="B134" s="28">
        <v>0.0</v>
      </c>
      <c r="C134" s="15">
        <f>IFERROR(B134/B148, "NA")</f>
        <v>0</v>
      </c>
      <c r="D134" s="28">
        <v>0.0</v>
      </c>
      <c r="E134" s="15">
        <f>IFERROR(D134/D148, "NA")</f>
        <v>0</v>
      </c>
      <c r="F134" s="28">
        <v>0.0</v>
      </c>
      <c r="G134" s="15">
        <f>IFERROR(F134/F148, "NA")</f>
        <v>0</v>
      </c>
      <c r="H134" s="28">
        <v>0.0</v>
      </c>
      <c r="I134" s="15">
        <f>IFERROR(H134/H148, "NA")</f>
        <v>0</v>
      </c>
      <c r="J134" s="28">
        <v>0.0</v>
      </c>
      <c r="K134" s="15">
        <f>IFERROR(J134/J148, "NA")</f>
        <v>0</v>
      </c>
      <c r="L134" s="28">
        <v>0.0</v>
      </c>
      <c r="M134" s="15">
        <f>IFERROR(L134/L148, "NA")</f>
        <v>0</v>
      </c>
      <c r="N134" s="28">
        <v>0.0</v>
      </c>
      <c r="O134" s="15">
        <f>IFERROR(N134/N148, "NA")</f>
        <v>0</v>
      </c>
      <c r="P134" s="28">
        <v>0.0</v>
      </c>
      <c r="Q134" s="15">
        <f>IFERROR(P134/P148, "NA")</f>
        <v>0</v>
      </c>
      <c r="R134" s="28">
        <v>0.0</v>
      </c>
      <c r="S134" s="15">
        <f>IFERROR(R134/R148, "NA")</f>
        <v>0</v>
      </c>
      <c r="T134" s="28">
        <v>0.0</v>
      </c>
      <c r="U134" s="15">
        <f>IFERROR(T134/T148, "NA")</f>
        <v>0</v>
      </c>
      <c r="V134" s="28">
        <v>0.0</v>
      </c>
      <c r="W134" s="15">
        <f>IFERROR(V134/V148, "NA")</f>
        <v>0</v>
      </c>
      <c r="X134" s="28">
        <v>0.0</v>
      </c>
      <c r="Y134" s="15">
        <f>IFERROR(X134/X148, "NA")</f>
        <v>0</v>
      </c>
      <c r="Z134" s="28">
        <v>0.0</v>
      </c>
      <c r="AA134" s="15">
        <f>IFERROR(Z134/Z148, "NA")</f>
        <v>0</v>
      </c>
      <c r="AB134" s="57">
        <f t="shared" si="55"/>
        <v>0</v>
      </c>
      <c r="AC134" s="15">
        <f>IFERROR(AB134/AB148, "NA")</f>
        <v>0</v>
      </c>
      <c r="AD134" s="61">
        <f t="shared" si="56"/>
        <v>0</v>
      </c>
      <c r="AE134" s="62">
        <f>IFERROR(AD134/AD148, "NA")</f>
        <v>0</v>
      </c>
      <c r="AF134" s="61" t="str">
        <f t="shared" si="57"/>
        <v>NA</v>
      </c>
      <c r="AG134" s="57">
        <f t="shared" si="58"/>
        <v>0</v>
      </c>
      <c r="AH134" s="15">
        <f>IFERROR(AG134/AG148, "NA")</f>
        <v>0</v>
      </c>
      <c r="AI134" s="61">
        <f t="shared" si="59"/>
        <v>0</v>
      </c>
      <c r="AJ134" s="62">
        <f>IFERROR(AI134/AI148, "NA")</f>
        <v>0</v>
      </c>
      <c r="AK134" s="61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248</v>
      </c>
      <c r="B135" s="70">
        <f>IFERROR(B110+B111+B112+B113+B114+B115+B116+B117+B118+B119+B120+B121+B122+B123+B124+B125+B126+B127+B128+B129+B130+B131+B132+B133+B134, "NA")</f>
        <v>748.84</v>
      </c>
      <c r="C135" s="71">
        <f>IFERROR(B135/B148, "NA")</f>
        <v>0.02205699343</v>
      </c>
      <c r="D135" s="70">
        <f>IFERROR(D110+D111+D112+D113+D114+D115+D116+D117+D118+D119+D120+D121+D122+D123+D124+D125+D126+D127+D128+D129+D130+D131+D132+D133+D134, "NA")</f>
        <v>1117.36</v>
      </c>
      <c r="E135" s="71">
        <f>IFERROR(D135/D148, "NA")</f>
        <v>0.02392222494</v>
      </c>
      <c r="F135" s="70">
        <f>IFERROR(F110+F111+F112+F113+F114+F115+F116+F117+F118+F119+F120+F121+F122+F123+F124+F125+F126+F127+F128+F129+F130+F131+F132+F133+F134, "NA")</f>
        <v>1165.18</v>
      </c>
      <c r="G135" s="71">
        <f>IFERROR(F135/F148, "NA")</f>
        <v>0.02893363377</v>
      </c>
      <c r="H135" s="70">
        <f>IFERROR(H110+H111+H112+H113+H114+H115+H116+H117+H118+H119+H120+H121+H122+H123+H124+H125+H126+H127+H128+H129+H130+H131+H132+H133+H134, "NA")</f>
        <v>-3031.38</v>
      </c>
      <c r="I135" s="71">
        <f>IFERROR(H135/H148, "NA")</f>
        <v>-0.05678730192</v>
      </c>
      <c r="J135" s="70">
        <f>IFERROR(J110+J111+J112+J113+J114+J115+J116+J117+J118+J119+J120+J121+J122+J123+J124+J125+J126+J127+J128+J129+J130+J131+J132+J133+J134, "NA")</f>
        <v>1909.04</v>
      </c>
      <c r="K135" s="71">
        <f>IFERROR(J135/J148, "NA")</f>
        <v>0.04108899703</v>
      </c>
      <c r="L135" s="70">
        <f>IFERROR(L110+L111+L112+L113+L114+L115+L116+L117+L118+L119+L120+L121+L122+L123+L124+L125+L126+L127+L128+L129+L130+L131+L132+L133+L134, "NA")</f>
        <v>769.73</v>
      </c>
      <c r="M135" s="71">
        <f>IFERROR(L135/L148, "NA")</f>
        <v>0.01755746155</v>
      </c>
      <c r="N135" s="70">
        <f>IFERROR(N110+N111+N112+N113+N114+N115+N116+N117+N118+N119+N120+N121+N122+N123+N124+N125+N126+N127+N128+N129+N130+N131+N132+N133+N134, "NA")</f>
        <v>832.85</v>
      </c>
      <c r="O135" s="71">
        <f>IFERROR(N135/N148, "NA")</f>
        <v>0.01574704742</v>
      </c>
      <c r="P135" s="70">
        <f>IFERROR(P110+P111+P112+P113+P114+P115+P116+P117+P118+P119+P120+P121+P122+P123+P124+P125+P126+P127+P128+P129+P130+P131+P132+P133+P134, "NA")</f>
        <v>783.57</v>
      </c>
      <c r="Q135" s="71">
        <f>IFERROR(P135/P148, "NA")</f>
        <v>0.01213352592</v>
      </c>
      <c r="R135" s="70">
        <f>IFERROR(R110+R111+R112+R113+R114+R115+R116+R117+R118+R119+R120+R121+R122+R123+R124+R125+R126+R127+R128+R129+R130+R131+R132+R133+R134, "NA")</f>
        <v>-4295.19</v>
      </c>
      <c r="S135" s="71">
        <f>IFERROR(R135/R148, "NA")</f>
        <v>-0.07840944128</v>
      </c>
      <c r="T135" s="70">
        <f>IFERROR(T110+T111+T112+T113+T114+T115+T116+T117+T118+T119+T120+T121+T122+T123+T124+T125+T126+T127+T128+T129+T130+T131+T132+T133+T134, "NA")</f>
        <v>811.82</v>
      </c>
      <c r="U135" s="71">
        <f>IFERROR(T135/T148, "NA")</f>
        <v>0.01659774282</v>
      </c>
      <c r="V135" s="70">
        <f>IFERROR(V110+V111+V112+V113+V114+V115+V116+V117+V118+V119+V120+V121+V122+V123+V124+V125+V126+V127+V128+V129+V130+V131+V132+V133+V134, "NA")</f>
        <v>884.33</v>
      </c>
      <c r="W135" s="71">
        <f>IFERROR(V135/V148, "NA")</f>
        <v>0.0192369103</v>
      </c>
      <c r="X135" s="70">
        <f>IFERROR(X110+X111+X112+X113+X114+X115+X116+X117+X118+X119+X120+X121+X122+X123+X124+X125+X126+X127+X128+X129+X130+X131+X132+X133+X134, "NA")</f>
        <v>3471.33</v>
      </c>
      <c r="Y135" s="71">
        <f>IFERROR(X135/X148, "NA")</f>
        <v>0.05969458059</v>
      </c>
      <c r="Z135" s="70">
        <f>IFERROR(Z110+Z111+Z112+Z113+Z114+Z115+Z116+Z117+Z118+Z119+Z120+Z121+Z122+Z123+Z124+Z125+Z126+Z127+Z128+Z129+Z130+Z131+Z132+Z133+Z134, "NA")</f>
        <v>5167.48</v>
      </c>
      <c r="AA135" s="71">
        <f>IFERROR(Z135/Z148, "NA")</f>
        <v>0.03376699449</v>
      </c>
      <c r="AB135" s="70">
        <f t="shared" si="55"/>
        <v>218.0725</v>
      </c>
      <c r="AC135" s="71">
        <f>IFERROR(AB135/AB148, "NA")</f>
        <v>0.004197486724</v>
      </c>
      <c r="AD135" s="75">
        <f t="shared" si="56"/>
        <v>3253.2575</v>
      </c>
      <c r="AE135" s="76">
        <f>IFERROR(AD135/AD148, "NA")</f>
        <v>0.5248546096</v>
      </c>
      <c r="AF135" s="75">
        <f t="shared" si="57"/>
        <v>14.9182382</v>
      </c>
      <c r="AG135" s="70">
        <f t="shared" si="58"/>
        <v>645.935</v>
      </c>
      <c r="AH135" s="71">
        <f>IFERROR(AG135/AG148, "NA")</f>
        <v>0.01243430995</v>
      </c>
      <c r="AI135" s="75">
        <f t="shared" si="59"/>
        <v>2825.395</v>
      </c>
      <c r="AJ135" s="76">
        <f>IFERROR(AI135/AI148, "NA")</f>
        <v>0.4554360684</v>
      </c>
      <c r="AK135" s="75">
        <f t="shared" si="60"/>
        <v>4.374116591</v>
      </c>
      <c r="AL135" s="76">
        <f>IFERROR(AK135/AK148, "NA")</f>
        <v>36.62736976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2"/>
      <c r="AF136" s="125"/>
      <c r="AG136" s="124"/>
      <c r="AH136" s="74"/>
      <c r="AI136" s="125"/>
      <c r="AJ136" s="82"/>
      <c r="AK136" s="125"/>
      <c r="AL136" s="82"/>
    </row>
    <row r="137" ht="16.5" hidden="1" customHeight="1">
      <c r="A137" s="121" t="s">
        <v>249</v>
      </c>
      <c r="B137" s="122">
        <f>IFERROR(B107-B135, "NA")</f>
        <v>8663.35</v>
      </c>
      <c r="C137" s="98">
        <f>IFERROR(B137/B148, "NA")</f>
        <v>0.2551779472</v>
      </c>
      <c r="D137" s="122">
        <f>IFERROR(D107-D135, "NA")</f>
        <v>11628.01</v>
      </c>
      <c r="E137" s="98">
        <f>IFERROR(D137/D148, "NA")</f>
        <v>0.2489509834</v>
      </c>
      <c r="F137" s="122">
        <f>IFERROR(F107-F135, "NA")</f>
        <v>-1443.89</v>
      </c>
      <c r="G137" s="98">
        <f>IFERROR(F137/F148, "NA")</f>
        <v>-0.03585453274</v>
      </c>
      <c r="H137" s="122">
        <f>IFERROR(H107-H135, "NA")</f>
        <v>2582.71</v>
      </c>
      <c r="I137" s="98">
        <f>IFERROR(H137/H148, "NA")</f>
        <v>0.04838229867</v>
      </c>
      <c r="J137" s="122">
        <f>IFERROR(J107-J135, "NA")</f>
        <v>10591.89</v>
      </c>
      <c r="K137" s="98">
        <f>IFERROR(J137/J148, "NA")</f>
        <v>0.2279732938</v>
      </c>
      <c r="L137" s="122">
        <f>IFERROR(L107-L135, "NA")</f>
        <v>8564.2</v>
      </c>
      <c r="M137" s="98">
        <f>IFERROR(L137/L148, "NA")</f>
        <v>0.1953485147</v>
      </c>
      <c r="N137" s="122">
        <f>IFERROR(N107-N135, "NA")</f>
        <v>5410.45</v>
      </c>
      <c r="O137" s="98">
        <f>IFERROR(N137/N148, "NA")</f>
        <v>0.1022976679</v>
      </c>
      <c r="P137" s="122">
        <f>IFERROR(P107-P135, "NA")</f>
        <v>19335.27</v>
      </c>
      <c r="Q137" s="98">
        <f>IFERROR(P137/P148, "NA")</f>
        <v>0.2994052858</v>
      </c>
      <c r="R137" s="122">
        <f>IFERROR(R107-R135, "NA")</f>
        <v>3127.27</v>
      </c>
      <c r="S137" s="98">
        <f>IFERROR(R137/R148, "NA")</f>
        <v>0.05708885834</v>
      </c>
      <c r="T137" s="122">
        <f>IFERROR(T107-T135, "NA")</f>
        <v>10305.57</v>
      </c>
      <c r="U137" s="98">
        <f>IFERROR(T137/T148, "NA")</f>
        <v>0.2106984313</v>
      </c>
      <c r="V137" s="122">
        <f>IFERROR(V107-V135, "NA")</f>
        <v>10024.83</v>
      </c>
      <c r="W137" s="98">
        <f>IFERROR(V137/V148, "NA")</f>
        <v>0.2180710317</v>
      </c>
      <c r="X137" s="122">
        <f>IFERROR(X107-X135, "NA")</f>
        <v>9286.32</v>
      </c>
      <c r="Y137" s="98">
        <f>IFERROR(X137/X148, "NA")</f>
        <v>0.159691812</v>
      </c>
      <c r="Z137" s="122">
        <f>IFERROR(Z107-Z135, "NA")</f>
        <v>29616.72</v>
      </c>
      <c r="AA137" s="98">
        <f>IFERROR(Z137/Z148, "NA")</f>
        <v>0.1935310095</v>
      </c>
      <c r="AB137" s="122">
        <f>IFERROR((R137+T137+V137+X137)/4, "NA")</f>
        <v>8185.9975</v>
      </c>
      <c r="AC137" s="98">
        <f>IFERROR(AB137/AB148, "NA")</f>
        <v>0.1575651026</v>
      </c>
      <c r="AD137" s="75">
        <f>IFERROR(X137-AB137, "NA")</f>
        <v>1100.3225</v>
      </c>
      <c r="AE137" s="76">
        <f>IFERROR(AD137/AD148, "NA")</f>
        <v>0.1775172535</v>
      </c>
      <c r="AF137" s="75">
        <f>IFERROR((X137-AB137)/AB137, "NA")</f>
        <v>0.1344152011</v>
      </c>
      <c r="AG137" s="122">
        <f>IFERROR((J137+L137+N137+P137+R137+T137+V137+X137)/8, "NA")</f>
        <v>9580.725</v>
      </c>
      <c r="AH137" s="98">
        <f>IFERROR(AG137/AG148, "NA")</f>
        <v>0.184429864</v>
      </c>
      <c r="AI137" s="75">
        <f>IFERROR(X137-AG137, "NA")</f>
        <v>-294.405</v>
      </c>
      <c r="AJ137" s="76">
        <f>IFERROR(AI137/AI148, "NA")</f>
        <v>-0.04745625151</v>
      </c>
      <c r="AK137" s="75">
        <f>IFERROR((X137-AG137)/AG137, "NA")</f>
        <v>-0.03072888534</v>
      </c>
      <c r="AL137" s="76">
        <f>IFERROR(AK137/AK148, "NA")</f>
        <v>-0.2573132706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2"/>
      <c r="AF138" s="125"/>
      <c r="AG138" s="124"/>
      <c r="AH138" s="74"/>
      <c r="AI138" s="125"/>
      <c r="AJ138" s="82"/>
      <c r="AK138" s="125"/>
      <c r="AL138" s="82"/>
    </row>
    <row r="139" ht="16.5" hidden="1" customHeight="1">
      <c r="A139" s="22" t="s">
        <v>250</v>
      </c>
      <c r="B139" s="23"/>
      <c r="C139" s="10"/>
      <c r="D139" s="23"/>
      <c r="E139" s="10"/>
      <c r="F139" s="23"/>
      <c r="G139" s="10"/>
      <c r="H139" s="23"/>
      <c r="I139" s="10"/>
      <c r="J139" s="23"/>
      <c r="K139" s="10"/>
      <c r="L139" s="23"/>
      <c r="M139" s="10"/>
      <c r="N139" s="23"/>
      <c r="O139" s="10"/>
      <c r="P139" s="23"/>
      <c r="Q139" s="10"/>
      <c r="R139" s="23"/>
      <c r="S139" s="10"/>
      <c r="T139" s="23"/>
      <c r="U139" s="10"/>
      <c r="V139" s="23"/>
      <c r="W139" s="10"/>
      <c r="X139" s="23"/>
      <c r="Y139" s="10"/>
      <c r="Z139" s="23"/>
      <c r="AA139" s="10"/>
      <c r="AB139" s="23"/>
      <c r="AC139" s="10"/>
      <c r="AD139" s="24"/>
      <c r="AE139" s="25"/>
      <c r="AF139" s="24"/>
      <c r="AG139" s="23"/>
      <c r="AH139" s="10"/>
      <c r="AI139" s="24"/>
      <c r="AJ139" s="25"/>
      <c r="AK139" s="24"/>
      <c r="AL139" s="25"/>
    </row>
    <row r="140" ht="16.5" hidden="1" customHeight="1">
      <c r="A140" s="26" t="s">
        <v>251</v>
      </c>
      <c r="B140" s="28">
        <v>-28.34</v>
      </c>
      <c r="C140" s="15">
        <f>IFERROR(B140/B148, "NA")</f>
        <v>-0.0008347513404</v>
      </c>
      <c r="D140" s="28">
        <v>0.0</v>
      </c>
      <c r="E140" s="15">
        <f>IFERROR(D140/D148, "NA")</f>
        <v>0</v>
      </c>
      <c r="F140" s="28">
        <v>96.0</v>
      </c>
      <c r="G140" s="15">
        <f>IFERROR(F140/F148, "NA")</f>
        <v>0.002383862443</v>
      </c>
      <c r="H140" s="28">
        <v>4196.93</v>
      </c>
      <c r="I140" s="15">
        <f>IFERROR(H140/H148, "NA")</f>
        <v>0.07862172708</v>
      </c>
      <c r="J140" s="28">
        <v>-20.0</v>
      </c>
      <c r="K140" s="15">
        <f>IFERROR(J140/J148, "NA")</f>
        <v>-0.0004304676385</v>
      </c>
      <c r="L140" s="28">
        <v>0.0</v>
      </c>
      <c r="M140" s="15">
        <f>IFERROR(L140/L148, "NA")</f>
        <v>0</v>
      </c>
      <c r="N140" s="28">
        <v>0.0</v>
      </c>
      <c r="O140" s="15">
        <f>IFERROR(N140/N148, "NA")</f>
        <v>0</v>
      </c>
      <c r="P140" s="28">
        <v>-25.29</v>
      </c>
      <c r="Q140" s="15">
        <f>IFERROR(P140/P148, "NA")</f>
        <v>-0.0003916138579</v>
      </c>
      <c r="R140" s="28">
        <v>4098.86</v>
      </c>
      <c r="S140" s="15">
        <f>IFERROR(R140/R148, "NA")</f>
        <v>0.07482540295</v>
      </c>
      <c r="T140" s="28">
        <v>0.0</v>
      </c>
      <c r="U140" s="15">
        <f>IFERROR(T140/T148, "NA")</f>
        <v>0</v>
      </c>
      <c r="V140" s="28">
        <v>0.0</v>
      </c>
      <c r="W140" s="15">
        <f>IFERROR(V140/V148, "NA")</f>
        <v>0</v>
      </c>
      <c r="X140" s="28">
        <v>0.0</v>
      </c>
      <c r="Y140" s="15">
        <f>IFERROR(X140/X148, "NA")</f>
        <v>0</v>
      </c>
      <c r="Z140" s="28">
        <v>0.0</v>
      </c>
      <c r="AA140" s="15">
        <f>IFERROR(Z140/Z148, "NA")</f>
        <v>0</v>
      </c>
      <c r="AB140" s="57">
        <f t="shared" ref="AB140:AB141" si="61">IFERROR((R140+T140+V140+X140)/4, "NA")</f>
        <v>1024.715</v>
      </c>
      <c r="AC140" s="15">
        <f>IFERROR(AB140/AB148, "NA")</f>
        <v>0.01972384234</v>
      </c>
      <c r="AD140" s="61">
        <f t="shared" ref="AD140:AD141" si="62">IFERROR(X140-AB140, "NA")</f>
        <v>-1024.715</v>
      </c>
      <c r="AE140" s="62">
        <f>IFERROR(AD140/AD148, "NA")</f>
        <v>-0.1653193426</v>
      </c>
      <c r="AF140" s="61">
        <f t="shared" ref="AF140:AF141" si="63">IFERROR((X140-AB140)/AB140, "NA")</f>
        <v>-1</v>
      </c>
      <c r="AG140" s="57">
        <f t="shared" ref="AG140:AG141" si="64">IFERROR((J140+L140+N140+P140+R140+T140+V140+X140)/8, "NA")</f>
        <v>506.69625</v>
      </c>
      <c r="AH140" s="15">
        <f>IFERROR(AG140/AG148, "NA")</f>
        <v>0.009753950823</v>
      </c>
      <c r="AI140" s="61">
        <f t="shared" ref="AI140:AI141" si="65">IFERROR(X140-AG140, "NA")</f>
        <v>-506.69625</v>
      </c>
      <c r="AJ140" s="62">
        <f>IFERROR(AI140/AI148, "NA")</f>
        <v>-0.08167627818</v>
      </c>
      <c r="AK140" s="61">
        <f t="shared" ref="AK140:AK141" si="66">IFERROR((X140-AG140)/AG140, "NA")</f>
        <v>-1</v>
      </c>
      <c r="AL140" s="62">
        <f>IFERROR(AK140/AK148, "NA")</f>
        <v>-8.373661059</v>
      </c>
    </row>
    <row r="141" ht="16.5" hidden="1" customHeight="1">
      <c r="A141" s="67" t="s">
        <v>252</v>
      </c>
      <c r="B141" s="70">
        <f>IFERROR(B140, "NA")</f>
        <v>-28.34</v>
      </c>
      <c r="C141" s="71">
        <f>IFERROR(B141/B148, "NA")</f>
        <v>-0.0008347513404</v>
      </c>
      <c r="D141" s="70">
        <f>IFERROR(D140, "NA")</f>
        <v>0</v>
      </c>
      <c r="E141" s="71">
        <f>IFERROR(D141/D148, "NA")</f>
        <v>0</v>
      </c>
      <c r="F141" s="70">
        <f>IFERROR(F140, "NA")</f>
        <v>96</v>
      </c>
      <c r="G141" s="71">
        <f>IFERROR(F141/F148, "NA")</f>
        <v>0.002383862443</v>
      </c>
      <c r="H141" s="70">
        <f>IFERROR(H140, "NA")</f>
        <v>4196.93</v>
      </c>
      <c r="I141" s="71">
        <f>IFERROR(H141/H148, "NA")</f>
        <v>0.07862172708</v>
      </c>
      <c r="J141" s="70">
        <f>IFERROR(J140, "NA")</f>
        <v>-20</v>
      </c>
      <c r="K141" s="71">
        <f>IFERROR(J141/J148, "NA")</f>
        <v>-0.0004304676385</v>
      </c>
      <c r="L141" s="70">
        <f>IFERROR(L140, "NA")</f>
        <v>0</v>
      </c>
      <c r="M141" s="71">
        <f>IFERROR(L141/L148, "NA")</f>
        <v>0</v>
      </c>
      <c r="N141" s="70">
        <f>IFERROR(N140, "NA")</f>
        <v>0</v>
      </c>
      <c r="O141" s="71">
        <f>IFERROR(N141/N148, "NA")</f>
        <v>0</v>
      </c>
      <c r="P141" s="70">
        <f>IFERROR(P140, "NA")</f>
        <v>-25.29</v>
      </c>
      <c r="Q141" s="71">
        <f>IFERROR(P141/P148, "NA")</f>
        <v>-0.0003916138579</v>
      </c>
      <c r="R141" s="70">
        <f>IFERROR(R140, "NA")</f>
        <v>4098.86</v>
      </c>
      <c r="S141" s="71">
        <f>IFERROR(R141/R148, "NA")</f>
        <v>0.07482540295</v>
      </c>
      <c r="T141" s="70">
        <f>IFERROR(T140, "NA")</f>
        <v>0</v>
      </c>
      <c r="U141" s="71">
        <f>IFERROR(T141/T148, "NA")</f>
        <v>0</v>
      </c>
      <c r="V141" s="70">
        <f>IFERROR(V140, "NA")</f>
        <v>0</v>
      </c>
      <c r="W141" s="71">
        <f>IFERROR(V141/V148, "NA")</f>
        <v>0</v>
      </c>
      <c r="X141" s="70">
        <f>IFERROR(X140, "NA")</f>
        <v>0</v>
      </c>
      <c r="Y141" s="71">
        <f>IFERROR(X141/X148, "NA")</f>
        <v>0</v>
      </c>
      <c r="Z141" s="70">
        <f>IFERROR(Z140, "NA")</f>
        <v>0</v>
      </c>
      <c r="AA141" s="71">
        <f>IFERROR(Z141/Z148, "NA")</f>
        <v>0</v>
      </c>
      <c r="AB141" s="70">
        <f t="shared" si="61"/>
        <v>1024.715</v>
      </c>
      <c r="AC141" s="71">
        <f>IFERROR(AB141/AB148, "NA")</f>
        <v>0.01972384234</v>
      </c>
      <c r="AD141" s="75">
        <f t="shared" si="62"/>
        <v>-1024.715</v>
      </c>
      <c r="AE141" s="76">
        <f>IFERROR(AD141/AD148, "NA")</f>
        <v>-0.1653193426</v>
      </c>
      <c r="AF141" s="75">
        <f t="shared" si="63"/>
        <v>-1</v>
      </c>
      <c r="AG141" s="70">
        <f t="shared" si="64"/>
        <v>506.69625</v>
      </c>
      <c r="AH141" s="71">
        <f>IFERROR(AG141/AG148, "NA")</f>
        <v>0.009753950823</v>
      </c>
      <c r="AI141" s="75">
        <f t="shared" si="65"/>
        <v>-506.69625</v>
      </c>
      <c r="AJ141" s="76">
        <f>IFERROR(AI141/AI148, "NA")</f>
        <v>-0.08167627818</v>
      </c>
      <c r="AK141" s="75">
        <f t="shared" si="66"/>
        <v>-1</v>
      </c>
      <c r="AL141" s="76">
        <f>IFERROR(AK141/AK148, "NA")</f>
        <v>-8.373661059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2"/>
      <c r="AF142" s="125"/>
      <c r="AG142" s="124"/>
      <c r="AH142" s="74"/>
      <c r="AI142" s="125"/>
      <c r="AJ142" s="82"/>
      <c r="AK142" s="125"/>
      <c r="AL142" s="82"/>
    </row>
    <row r="143" ht="16.5" hidden="1" customHeight="1">
      <c r="A143" s="22" t="s">
        <v>253</v>
      </c>
      <c r="B143" s="23"/>
      <c r="C143" s="10"/>
      <c r="D143" s="23"/>
      <c r="E143" s="10"/>
      <c r="F143" s="23"/>
      <c r="G143" s="10"/>
      <c r="H143" s="23"/>
      <c r="I143" s="10"/>
      <c r="J143" s="23"/>
      <c r="K143" s="10"/>
      <c r="L143" s="23"/>
      <c r="M143" s="10"/>
      <c r="N143" s="23"/>
      <c r="O143" s="10"/>
      <c r="P143" s="23"/>
      <c r="Q143" s="10"/>
      <c r="R143" s="23"/>
      <c r="S143" s="10"/>
      <c r="T143" s="23"/>
      <c r="U143" s="10"/>
      <c r="V143" s="23"/>
      <c r="W143" s="10"/>
      <c r="X143" s="23"/>
      <c r="Y143" s="10"/>
      <c r="Z143" s="23"/>
      <c r="AA143" s="10"/>
      <c r="AB143" s="23"/>
      <c r="AC143" s="10"/>
      <c r="AD143" s="24"/>
      <c r="AE143" s="25"/>
      <c r="AF143" s="24"/>
      <c r="AG143" s="23"/>
      <c r="AH143" s="10"/>
      <c r="AI143" s="24"/>
      <c r="AJ143" s="25"/>
      <c r="AK143" s="24"/>
      <c r="AL143" s="25"/>
    </row>
    <row r="144" ht="16.5" hidden="1" customHeight="1">
      <c r="A144" s="26" t="s">
        <v>254</v>
      </c>
      <c r="B144" s="28">
        <v>0.0</v>
      </c>
      <c r="C144" s="15">
        <f>IFERROR(B144/B148, "NA")</f>
        <v>0</v>
      </c>
      <c r="D144" s="28">
        <v>0.0</v>
      </c>
      <c r="E144" s="15">
        <f>IFERROR(D144/D148, "NA")</f>
        <v>0</v>
      </c>
      <c r="F144" s="28">
        <v>0.0</v>
      </c>
      <c r="G144" s="15">
        <f>IFERROR(F144/F148, "NA")</f>
        <v>0</v>
      </c>
      <c r="H144" s="28">
        <v>0.0</v>
      </c>
      <c r="I144" s="15">
        <f>IFERROR(H144/H148, "NA")</f>
        <v>0</v>
      </c>
      <c r="J144" s="28">
        <v>0.0</v>
      </c>
      <c r="K144" s="15">
        <f>IFERROR(J144/J148, "NA")</f>
        <v>0</v>
      </c>
      <c r="L144" s="28">
        <v>0.0</v>
      </c>
      <c r="M144" s="15">
        <f>IFERROR(L144/L148, "NA")</f>
        <v>0</v>
      </c>
      <c r="N144" s="28">
        <v>0.0</v>
      </c>
      <c r="O144" s="15">
        <f>IFERROR(N144/N148, "NA")</f>
        <v>0</v>
      </c>
      <c r="P144" s="28">
        <v>0.0</v>
      </c>
      <c r="Q144" s="15">
        <f>IFERROR(P144/P148, "NA")</f>
        <v>0</v>
      </c>
      <c r="R144" s="28">
        <v>0.0</v>
      </c>
      <c r="S144" s="15">
        <f>IFERROR(R144/R148, "NA")</f>
        <v>0</v>
      </c>
      <c r="T144" s="28">
        <v>0.0</v>
      </c>
      <c r="U144" s="15">
        <f>IFERROR(T144/T148, "NA")</f>
        <v>0</v>
      </c>
      <c r="V144" s="28">
        <v>0.0</v>
      </c>
      <c r="W144" s="15">
        <f>IFERROR(V144/V148, "NA")</f>
        <v>0</v>
      </c>
      <c r="X144" s="28">
        <v>0.0</v>
      </c>
      <c r="Y144" s="15">
        <f>IFERROR(X144/X148, "NA")</f>
        <v>0</v>
      </c>
      <c r="Z144" s="28">
        <v>0.0</v>
      </c>
      <c r="AA144" s="15">
        <f>IFERROR(Z144/Z148, "NA")</f>
        <v>0</v>
      </c>
      <c r="AB144" s="57">
        <f t="shared" ref="AB144:AB145" si="67">IFERROR((R144+T144+V144+X144)/4, "NA")</f>
        <v>0</v>
      </c>
      <c r="AC144" s="15">
        <f>IFERROR(AB144/AB148, "NA")</f>
        <v>0</v>
      </c>
      <c r="AD144" s="61">
        <f t="shared" ref="AD144:AD145" si="68">IFERROR(X144-AB144, "NA")</f>
        <v>0</v>
      </c>
      <c r="AE144" s="62">
        <f>IFERROR(AD144/AD148, "NA")</f>
        <v>0</v>
      </c>
      <c r="AF144" s="61" t="str">
        <f t="shared" ref="AF144:AF145" si="69">IFERROR((X144-AB144)/AB144, "NA")</f>
        <v>NA</v>
      </c>
      <c r="AG144" s="57">
        <f t="shared" ref="AG144:AG145" si="70">IFERROR((J144+L144+N144+P144+R144+T144+V144+X144)/8, "NA")</f>
        <v>0</v>
      </c>
      <c r="AH144" s="15">
        <f>IFERROR(AG144/AG148, "NA")</f>
        <v>0</v>
      </c>
      <c r="AI144" s="61">
        <f t="shared" ref="AI144:AI145" si="71">IFERROR(X144-AG144, "NA")</f>
        <v>0</v>
      </c>
      <c r="AJ144" s="62">
        <f>IFERROR(AI144/AI148, "NA")</f>
        <v>0</v>
      </c>
      <c r="AK144" s="61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255</v>
      </c>
      <c r="B145" s="70">
        <f>IFERROR(B144, "NA")</f>
        <v>0</v>
      </c>
      <c r="C145" s="71">
        <f>IFERROR(B145/B148, "NA")</f>
        <v>0</v>
      </c>
      <c r="D145" s="70">
        <f>IFERROR(D144, "NA")</f>
        <v>0</v>
      </c>
      <c r="E145" s="71">
        <f>IFERROR(D145/D148, "NA")</f>
        <v>0</v>
      </c>
      <c r="F145" s="70">
        <f>IFERROR(F144, "NA")</f>
        <v>0</v>
      </c>
      <c r="G145" s="71">
        <f>IFERROR(F145/F148, "NA")</f>
        <v>0</v>
      </c>
      <c r="H145" s="70">
        <f>IFERROR(H144, "NA")</f>
        <v>0</v>
      </c>
      <c r="I145" s="71">
        <f>IFERROR(H145/H148, "NA")</f>
        <v>0</v>
      </c>
      <c r="J145" s="70">
        <f>IFERROR(J144, "NA")</f>
        <v>0</v>
      </c>
      <c r="K145" s="71">
        <f>IFERROR(J145/J148, "NA")</f>
        <v>0</v>
      </c>
      <c r="L145" s="70">
        <f>IFERROR(L144, "NA")</f>
        <v>0</v>
      </c>
      <c r="M145" s="71">
        <f>IFERROR(L145/L148, "NA")</f>
        <v>0</v>
      </c>
      <c r="N145" s="70">
        <f>IFERROR(N144, "NA")</f>
        <v>0</v>
      </c>
      <c r="O145" s="71">
        <f>IFERROR(N145/N148, "NA")</f>
        <v>0</v>
      </c>
      <c r="P145" s="70">
        <f>IFERROR(P144, "NA")</f>
        <v>0</v>
      </c>
      <c r="Q145" s="71">
        <f>IFERROR(P145/P148, "NA")</f>
        <v>0</v>
      </c>
      <c r="R145" s="70">
        <f>IFERROR(R144, "NA")</f>
        <v>0</v>
      </c>
      <c r="S145" s="71">
        <f>IFERROR(R145/R148, "NA")</f>
        <v>0</v>
      </c>
      <c r="T145" s="70">
        <f>IFERROR(T144, "NA")</f>
        <v>0</v>
      </c>
      <c r="U145" s="71">
        <f>IFERROR(T145/T148, "NA")</f>
        <v>0</v>
      </c>
      <c r="V145" s="70">
        <f>IFERROR(V144, "NA")</f>
        <v>0</v>
      </c>
      <c r="W145" s="71">
        <f>IFERROR(V145/V148, "NA")</f>
        <v>0</v>
      </c>
      <c r="X145" s="70">
        <f>IFERROR(X144, "NA")</f>
        <v>0</v>
      </c>
      <c r="Y145" s="71">
        <f>IFERROR(X145/X148, "NA")</f>
        <v>0</v>
      </c>
      <c r="Z145" s="70">
        <f>IFERROR(Z144, "NA")</f>
        <v>0</v>
      </c>
      <c r="AA145" s="71">
        <f>IFERROR(Z145/Z148, "NA")</f>
        <v>0</v>
      </c>
      <c r="AB145" s="70">
        <f t="shared" si="67"/>
        <v>0</v>
      </c>
      <c r="AC145" s="71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70">
        <f t="shared" si="70"/>
        <v>0</v>
      </c>
      <c r="AH145" s="71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2"/>
      <c r="AF146" s="125"/>
      <c r="AG146" s="124"/>
      <c r="AH146" s="74"/>
      <c r="AI146" s="125"/>
      <c r="AJ146" s="82"/>
      <c r="AK146" s="125"/>
      <c r="AL146" s="82"/>
    </row>
    <row r="147" ht="16.5" hidden="1" customHeight="1">
      <c r="A147" s="121" t="s">
        <v>256</v>
      </c>
      <c r="B147" s="122">
        <f>IFERROR(B137-B141-B145, "NA")</f>
        <v>8691.69</v>
      </c>
      <c r="C147" s="98">
        <f>IFERROR(B147/B148, "NA")</f>
        <v>0.2560126986</v>
      </c>
      <c r="D147" s="122">
        <f>IFERROR(D137-D141-D145, "NA")</f>
        <v>11628.01</v>
      </c>
      <c r="E147" s="98">
        <f>IFERROR(D147/D148, "NA")</f>
        <v>0.2489509834</v>
      </c>
      <c r="F147" s="122">
        <f>IFERROR(F137-F141-F145, "NA")</f>
        <v>-1539.89</v>
      </c>
      <c r="G147" s="98">
        <f>IFERROR(F147/F148, "NA")</f>
        <v>-0.03823839518</v>
      </c>
      <c r="H147" s="122">
        <f>IFERROR(H137-H141-H145, "NA")</f>
        <v>-1614.22</v>
      </c>
      <c r="I147" s="98">
        <f>IFERROR(H147/H148, "NA")</f>
        <v>-0.03023942841</v>
      </c>
      <c r="J147" s="122">
        <f>IFERROR(J137-J141-J145, "NA")</f>
        <v>10611.89</v>
      </c>
      <c r="K147" s="98">
        <f>IFERROR(J147/J148, "NA")</f>
        <v>0.2284037614</v>
      </c>
      <c r="L147" s="122">
        <f>IFERROR(L137-L141-L145, "NA")</f>
        <v>8564.2</v>
      </c>
      <c r="M147" s="98">
        <f>IFERROR(L147/L148, "NA")</f>
        <v>0.1953485147</v>
      </c>
      <c r="N147" s="122">
        <f>IFERROR(N137-N141-N145, "NA")</f>
        <v>5410.45</v>
      </c>
      <c r="O147" s="98">
        <f>IFERROR(N147/N148, "NA")</f>
        <v>0.1022976679</v>
      </c>
      <c r="P147" s="122">
        <f>IFERROR(P137-P141-P145, "NA")</f>
        <v>19360.56</v>
      </c>
      <c r="Q147" s="98">
        <f>IFERROR(P147/P148, "NA")</f>
        <v>0.2997968997</v>
      </c>
      <c r="R147" s="122">
        <f>IFERROR(R137-R141-R145, "NA")</f>
        <v>-971.59</v>
      </c>
      <c r="S147" s="98">
        <f>IFERROR(R147/R148, "NA")</f>
        <v>-0.01773654461</v>
      </c>
      <c r="T147" s="122">
        <f>IFERROR(T137-T141-T145, "NA")</f>
        <v>10305.57</v>
      </c>
      <c r="U147" s="98">
        <f>IFERROR(T147/T148, "NA")</f>
        <v>0.2106984313</v>
      </c>
      <c r="V147" s="122">
        <f>IFERROR(V137-V141-V145, "NA")</f>
        <v>10024.83</v>
      </c>
      <c r="W147" s="98">
        <f>IFERROR(V147/V148, "NA")</f>
        <v>0.2180710317</v>
      </c>
      <c r="X147" s="122">
        <f>IFERROR(X137-X141-X145, "NA")</f>
        <v>9286.32</v>
      </c>
      <c r="Y147" s="98">
        <f>IFERROR(X147/X148, "NA")</f>
        <v>0.159691812</v>
      </c>
      <c r="Z147" s="122">
        <f>IFERROR(Z137-Z141-Z145, "NA")</f>
        <v>29616.72</v>
      </c>
      <c r="AA147" s="98">
        <f>IFERROR(Z147/Z148, "NA")</f>
        <v>0.1935310095</v>
      </c>
      <c r="AB147" s="122">
        <f t="shared" ref="AB147:AB148" si="73">IFERROR((R147+T147+V147+X147)/4, "NA")</f>
        <v>7161.2825</v>
      </c>
      <c r="AC147" s="98">
        <f>IFERROR(AB147/AB148, "NA")</f>
        <v>0.1378412602</v>
      </c>
      <c r="AD147" s="75">
        <f t="shared" ref="AD147:AD148" si="74">IFERROR(X147-AB147, "NA")</f>
        <v>2125.0375</v>
      </c>
      <c r="AE147" s="76">
        <f>IFERROR(AD147/AD148, "NA")</f>
        <v>0.3428365961</v>
      </c>
      <c r="AF147" s="75">
        <f t="shared" ref="AF147:AF148" si="75">IFERROR((X147-AB147)/AB147, "NA")</f>
        <v>0.2967397949</v>
      </c>
      <c r="AG147" s="122">
        <f t="shared" ref="AG147:AG148" si="76">IFERROR((J147+L147+N147+P147+R147+T147+V147+X147)/8, "NA")</f>
        <v>9074.02875</v>
      </c>
      <c r="AH147" s="98">
        <f>IFERROR(AG147/AG148, "NA")</f>
        <v>0.1746759132</v>
      </c>
      <c r="AI147" s="75">
        <f t="shared" ref="AI147:AI148" si="77">IFERROR(X147-AG147, "NA")</f>
        <v>212.29125</v>
      </c>
      <c r="AJ147" s="76">
        <f>IFERROR(AI147/AI148, "NA")</f>
        <v>0.03422002667</v>
      </c>
      <c r="AK147" s="75">
        <f t="shared" ref="AK147:AK148" si="78">IFERROR((X147-AG147)/AG147, "NA")</f>
        <v>0.0233954791</v>
      </c>
      <c r="AL147" s="76">
        <f>IFERROR(AK147/AK148, "NA")</f>
        <v>0.1959058123</v>
      </c>
    </row>
    <row r="148" ht="14.25" hidden="1" customHeight="1">
      <c r="A148" s="26" t="s">
        <v>53</v>
      </c>
      <c r="B148" s="28">
        <v>33950.23</v>
      </c>
      <c r="C148" s="128"/>
      <c r="D148" s="28">
        <v>46708.03</v>
      </c>
      <c r="E148" s="128"/>
      <c r="F148" s="28">
        <v>40270.78</v>
      </c>
      <c r="G148" s="128"/>
      <c r="H148" s="28">
        <v>53381.3</v>
      </c>
      <c r="I148" s="128"/>
      <c r="J148" s="28">
        <v>46461.1</v>
      </c>
      <c r="K148" s="128"/>
      <c r="L148" s="28">
        <v>43840.62</v>
      </c>
      <c r="M148" s="128"/>
      <c r="N148" s="28">
        <v>52889.28</v>
      </c>
      <c r="O148" s="128"/>
      <c r="P148" s="28">
        <v>64578.92</v>
      </c>
      <c r="Q148" s="128"/>
      <c r="R148" s="28">
        <v>54778.99</v>
      </c>
      <c r="S148" s="128"/>
      <c r="T148" s="28">
        <v>48911.47</v>
      </c>
      <c r="U148" s="128"/>
      <c r="V148" s="28">
        <v>45970.48</v>
      </c>
      <c r="W148" s="128"/>
      <c r="X148" s="28">
        <v>58151.51</v>
      </c>
      <c r="Y148" s="128"/>
      <c r="Z148" s="28">
        <v>153033.46</v>
      </c>
      <c r="AA148" s="128"/>
      <c r="AB148" s="57">
        <f t="shared" si="73"/>
        <v>51953.1125</v>
      </c>
      <c r="AC148" s="128"/>
      <c r="AD148" s="61">
        <f t="shared" si="74"/>
        <v>6198.3975</v>
      </c>
      <c r="AE148" s="129"/>
      <c r="AF148" s="61">
        <f t="shared" si="75"/>
        <v>0.1193075295</v>
      </c>
      <c r="AG148" s="57">
        <f t="shared" si="76"/>
        <v>51947.79625</v>
      </c>
      <c r="AH148" s="128"/>
      <c r="AI148" s="61">
        <f t="shared" si="77"/>
        <v>6203.71375</v>
      </c>
      <c r="AJ148" s="129"/>
      <c r="AK148" s="61">
        <f t="shared" si="78"/>
        <v>0.1194220775</v>
      </c>
      <c r="AL148" s="129"/>
    </row>
    <row r="149" ht="14.25" customHeight="1"/>
    <row r="150" ht="14.25" customHeight="1"/>
    <row r="151" ht="14.25" customHeight="1">
      <c r="A151" s="130" t="s">
        <v>257</v>
      </c>
    </row>
    <row r="152" ht="14.25" customHeight="1">
      <c r="A152" s="130" t="s">
        <v>258</v>
      </c>
    </row>
    <row r="153" ht="14.25" customHeight="1">
      <c r="A153" s="130" t="s">
        <v>259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5" t="s">
        <v>12</v>
      </c>
    </row>
    <row r="3" ht="14.25" customHeight="1">
      <c r="A3" s="6" t="s">
        <v>260</v>
      </c>
    </row>
    <row r="4" ht="14.25" customHeight="1"/>
    <row r="5" ht="13.5" customHeight="1">
      <c r="A5" s="17"/>
      <c r="B5" s="1" t="s">
        <v>16</v>
      </c>
      <c r="D5" s="1" t="s">
        <v>17</v>
      </c>
      <c r="F5" s="1" t="s">
        <v>18</v>
      </c>
      <c r="H5" s="1" t="s">
        <v>19</v>
      </c>
      <c r="J5" s="1" t="s">
        <v>20</v>
      </c>
      <c r="L5" s="1" t="s">
        <v>21</v>
      </c>
      <c r="N5" s="1" t="s">
        <v>22</v>
      </c>
      <c r="P5" s="1" t="s">
        <v>23</v>
      </c>
      <c r="R5" s="1" t="s">
        <v>25</v>
      </c>
      <c r="T5" s="1" t="s">
        <v>26</v>
      </c>
      <c r="V5" s="1" t="s">
        <v>27</v>
      </c>
      <c r="X5" s="1" t="s">
        <v>13</v>
      </c>
      <c r="Z5" s="1" t="s">
        <v>28</v>
      </c>
      <c r="AB5" s="1" t="s">
        <v>29</v>
      </c>
      <c r="AD5" s="21" t="s">
        <v>30</v>
      </c>
      <c r="AF5" s="21" t="s">
        <v>32</v>
      </c>
      <c r="AG5" s="1" t="s">
        <v>33</v>
      </c>
      <c r="AI5" s="21" t="s">
        <v>34</v>
      </c>
      <c r="AK5" s="21" t="s">
        <v>35</v>
      </c>
    </row>
    <row r="6" ht="16.5" customHeight="1">
      <c r="A6" s="22" t="s">
        <v>8</v>
      </c>
      <c r="B6" s="23"/>
      <c r="C6" s="10"/>
      <c r="D6" s="23"/>
      <c r="E6" s="10"/>
      <c r="F6" s="23"/>
      <c r="G6" s="10"/>
      <c r="H6" s="23"/>
      <c r="I6" s="10"/>
      <c r="J6" s="23"/>
      <c r="K6" s="10"/>
      <c r="L6" s="23"/>
      <c r="M6" s="10"/>
      <c r="N6" s="23"/>
      <c r="O6" s="10"/>
      <c r="P6" s="23"/>
      <c r="Q6" s="10"/>
      <c r="R6" s="23"/>
      <c r="S6" s="10"/>
      <c r="T6" s="23"/>
      <c r="U6" s="10"/>
      <c r="V6" s="23"/>
      <c r="W6" s="10"/>
      <c r="X6" s="23"/>
      <c r="Y6" s="10"/>
      <c r="Z6" s="23"/>
      <c r="AA6" s="10"/>
      <c r="AB6" s="23"/>
      <c r="AC6" s="10"/>
      <c r="AD6" s="24"/>
      <c r="AE6" s="25"/>
      <c r="AF6" s="24"/>
      <c r="AG6" s="23"/>
      <c r="AH6" s="10"/>
      <c r="AI6" s="24"/>
      <c r="AJ6" s="25"/>
      <c r="AK6" s="24"/>
      <c r="AL6" s="25"/>
    </row>
    <row r="7" ht="16.5" customHeight="1">
      <c r="A7" s="26" t="s">
        <v>8</v>
      </c>
      <c r="B7" s="28">
        <v>11449.54</v>
      </c>
      <c r="C7" s="15">
        <f>IFERROR(B7/B148, "NA")</f>
        <v>1</v>
      </c>
      <c r="D7" s="28">
        <v>17908.19</v>
      </c>
      <c r="E7" s="15">
        <f>IFERROR(D7/D148, "NA")</f>
        <v>1</v>
      </c>
      <c r="F7" s="28">
        <v>23094.01</v>
      </c>
      <c r="G7" s="15">
        <f>IFERROR(F7/F148, "NA")</f>
        <v>1</v>
      </c>
      <c r="H7" s="28">
        <v>25850.5</v>
      </c>
      <c r="I7" s="15">
        <f>IFERROR(H7/H148, "NA")</f>
        <v>1</v>
      </c>
      <c r="J7" s="28">
        <v>24028.72</v>
      </c>
      <c r="K7" s="15">
        <f>IFERROR(J7/J148, "NA")</f>
        <v>1</v>
      </c>
      <c r="L7" s="28">
        <v>27006.0</v>
      </c>
      <c r="M7" s="15">
        <f>IFERROR(L7/L148, "NA")</f>
        <v>1</v>
      </c>
      <c r="N7" s="28">
        <v>30038.17</v>
      </c>
      <c r="O7" s="15">
        <f>IFERROR(N7/N148, "NA")</f>
        <v>1</v>
      </c>
      <c r="P7" s="28">
        <v>26420.59</v>
      </c>
      <c r="Q7" s="15">
        <f>IFERROR(P7/P148, "NA")</f>
        <v>1</v>
      </c>
      <c r="R7" s="28">
        <v>32739.46</v>
      </c>
      <c r="S7" s="15">
        <f>IFERROR(R7/R148, "NA")</f>
        <v>1</v>
      </c>
      <c r="T7" s="28">
        <v>24463.67</v>
      </c>
      <c r="U7" s="15">
        <f>IFERROR(T7/T148, "NA")</f>
        <v>1</v>
      </c>
      <c r="V7" s="28">
        <v>25549.02</v>
      </c>
      <c r="W7" s="15">
        <f>IFERROR(V7/V148, "NA")</f>
        <v>1</v>
      </c>
      <c r="X7" s="28">
        <v>29415.91</v>
      </c>
      <c r="Y7" s="15">
        <f>IFERROR(X7/X148, "NA")</f>
        <v>1</v>
      </c>
      <c r="Z7" s="28">
        <v>79428.6</v>
      </c>
      <c r="AA7" s="15">
        <f>IFERROR(Z7/Z148, "NA")</f>
        <v>1</v>
      </c>
      <c r="AB7" s="57">
        <f t="shared" ref="AB7:AB9" si="1">IFERROR((R7+T7+V7+X7)/4, "NA")</f>
        <v>28042.015</v>
      </c>
      <c r="AC7" s="15">
        <f>IFERROR(AB7/AB148, "NA")</f>
        <v>1</v>
      </c>
      <c r="AD7" s="61">
        <f t="shared" ref="AD7:AD9" si="2">IFERROR(X7-AB7, "NA")</f>
        <v>1373.895</v>
      </c>
      <c r="AE7" s="62">
        <f>IFERROR(AD7/AD148, "NA")</f>
        <v>1</v>
      </c>
      <c r="AF7" s="61">
        <f t="shared" ref="AF7:AF9" si="3">IFERROR((X7-AB7)/AB7, "NA")</f>
        <v>0.04899416108</v>
      </c>
      <c r="AG7" s="57">
        <f t="shared" ref="AG7:AG9" si="4">IFERROR((J7+L7+N7+P7+R7+T7+V7+X7)/8, "NA")</f>
        <v>27457.6925</v>
      </c>
      <c r="AH7" s="15">
        <f>IFERROR(AG7/AG148, "NA")</f>
        <v>1</v>
      </c>
      <c r="AI7" s="61">
        <f t="shared" ref="AI7:AI9" si="5">IFERROR(X7-AG7, "NA")</f>
        <v>1958.2175</v>
      </c>
      <c r="AJ7" s="62">
        <f>IFERROR(AI7/AI148, "NA")</f>
        <v>1</v>
      </c>
      <c r="AK7" s="61">
        <f t="shared" ref="AK7:AK9" si="6">IFERROR((X7-AG7)/AG7, "NA")</f>
        <v>0.07131762802</v>
      </c>
      <c r="AL7" s="62">
        <f>IFERROR(AK7/AK148, "NA")</f>
        <v>1</v>
      </c>
    </row>
    <row r="8" ht="30.75" hidden="1" customHeight="1">
      <c r="A8" s="26" t="s">
        <v>61</v>
      </c>
      <c r="B8" s="28">
        <v>0.0</v>
      </c>
      <c r="C8" s="15">
        <f>IFERROR(B8/B148, "NA")</f>
        <v>0</v>
      </c>
      <c r="D8" s="28">
        <v>0.0</v>
      </c>
      <c r="E8" s="15">
        <f>IFERROR(D8/D148, "NA")</f>
        <v>0</v>
      </c>
      <c r="F8" s="28">
        <v>0.0</v>
      </c>
      <c r="G8" s="15">
        <f>IFERROR(F8/F148, "NA")</f>
        <v>0</v>
      </c>
      <c r="H8" s="28">
        <v>0.0</v>
      </c>
      <c r="I8" s="15">
        <f>IFERROR(H8/H148, "NA")</f>
        <v>0</v>
      </c>
      <c r="J8" s="28">
        <v>0.0</v>
      </c>
      <c r="K8" s="15">
        <f>IFERROR(J8/J148, "NA")</f>
        <v>0</v>
      </c>
      <c r="L8" s="28">
        <v>0.0</v>
      </c>
      <c r="M8" s="15">
        <f>IFERROR(L8/L148, "NA")</f>
        <v>0</v>
      </c>
      <c r="N8" s="28">
        <v>0.0</v>
      </c>
      <c r="O8" s="15">
        <f>IFERROR(N8/N148, "NA")</f>
        <v>0</v>
      </c>
      <c r="P8" s="28">
        <v>0.0</v>
      </c>
      <c r="Q8" s="15">
        <f>IFERROR(P8/P148, "NA")</f>
        <v>0</v>
      </c>
      <c r="R8" s="28">
        <v>0.0</v>
      </c>
      <c r="S8" s="15">
        <f>IFERROR(R8/R148, "NA")</f>
        <v>0</v>
      </c>
      <c r="T8" s="28">
        <v>0.0</v>
      </c>
      <c r="U8" s="15">
        <f>IFERROR(T8/T148, "NA")</f>
        <v>0</v>
      </c>
      <c r="V8" s="28">
        <v>0.0</v>
      </c>
      <c r="W8" s="15">
        <f>IFERROR(V8/V148, "NA")</f>
        <v>0</v>
      </c>
      <c r="X8" s="28">
        <v>0.0</v>
      </c>
      <c r="Y8" s="15">
        <f>IFERROR(X8/X148, "NA")</f>
        <v>0</v>
      </c>
      <c r="Z8" s="28">
        <v>0.0</v>
      </c>
      <c r="AA8" s="15">
        <f>IFERROR(Z8/Z148, "NA")</f>
        <v>0</v>
      </c>
      <c r="AB8" s="57">
        <f t="shared" si="1"/>
        <v>0</v>
      </c>
      <c r="AC8" s="15">
        <f>IFERROR(AB8/AB148, "NA")</f>
        <v>0</v>
      </c>
      <c r="AD8" s="61">
        <f t="shared" si="2"/>
        <v>0</v>
      </c>
      <c r="AE8" s="62">
        <f>IFERROR(AD8/AD148, "NA")</f>
        <v>0</v>
      </c>
      <c r="AF8" s="61" t="str">
        <f t="shared" si="3"/>
        <v>NA</v>
      </c>
      <c r="AG8" s="57">
        <f t="shared" si="4"/>
        <v>0</v>
      </c>
      <c r="AH8" s="15">
        <f>IFERROR(AG8/AG148, "NA")</f>
        <v>0</v>
      </c>
      <c r="AI8" s="61">
        <f t="shared" si="5"/>
        <v>0</v>
      </c>
      <c r="AJ8" s="62">
        <f>IFERROR(AI8/AI148, "NA")</f>
        <v>0</v>
      </c>
      <c r="AK8" s="61" t="str">
        <f t="shared" si="6"/>
        <v>NA</v>
      </c>
      <c r="AL8" s="62" t="str">
        <f>IFERROR(AK8/AK148, "NA")</f>
        <v>NA</v>
      </c>
    </row>
    <row r="9" ht="16.5" customHeight="1">
      <c r="A9" s="67" t="s">
        <v>53</v>
      </c>
      <c r="B9" s="70">
        <f>IFERROR(B7+B8, "NA")</f>
        <v>11449.54</v>
      </c>
      <c r="C9" s="71">
        <f>IFERROR(B9/B148, "NA")</f>
        <v>1</v>
      </c>
      <c r="D9" s="70">
        <f>IFERROR(D7+D8, "NA")</f>
        <v>17908.19</v>
      </c>
      <c r="E9" s="71">
        <f>IFERROR(D9/D148, "NA")</f>
        <v>1</v>
      </c>
      <c r="F9" s="70">
        <f>IFERROR(F7+F8, "NA")</f>
        <v>23094.01</v>
      </c>
      <c r="G9" s="71">
        <f>IFERROR(F9/F148, "NA")</f>
        <v>1</v>
      </c>
      <c r="H9" s="70">
        <f>IFERROR(H7+H8, "NA")</f>
        <v>25850.5</v>
      </c>
      <c r="I9" s="71">
        <f>IFERROR(H9/H148, "NA")</f>
        <v>1</v>
      </c>
      <c r="J9" s="70">
        <f>IFERROR(J7+J8, "NA")</f>
        <v>24028.72</v>
      </c>
      <c r="K9" s="71">
        <f>IFERROR(J9/J148, "NA")</f>
        <v>1</v>
      </c>
      <c r="L9" s="70">
        <f>IFERROR(L7+L8, "NA")</f>
        <v>27006</v>
      </c>
      <c r="M9" s="71">
        <f>IFERROR(L9/L148, "NA")</f>
        <v>1</v>
      </c>
      <c r="N9" s="70">
        <f>IFERROR(N7+N8, "NA")</f>
        <v>30038.17</v>
      </c>
      <c r="O9" s="71">
        <f>IFERROR(N9/N148, "NA")</f>
        <v>1</v>
      </c>
      <c r="P9" s="70">
        <f>IFERROR(P7+P8, "NA")</f>
        <v>26420.59</v>
      </c>
      <c r="Q9" s="71">
        <f>IFERROR(P9/P148, "NA")</f>
        <v>1</v>
      </c>
      <c r="R9" s="70">
        <f>IFERROR(R7+R8, "NA")</f>
        <v>32739.46</v>
      </c>
      <c r="S9" s="71">
        <f>IFERROR(R9/R148, "NA")</f>
        <v>1</v>
      </c>
      <c r="T9" s="70">
        <f>IFERROR(T7+T8, "NA")</f>
        <v>24463.67</v>
      </c>
      <c r="U9" s="71">
        <f>IFERROR(T9/T148, "NA")</f>
        <v>1</v>
      </c>
      <c r="V9" s="70">
        <f>IFERROR(V7+V8, "NA")</f>
        <v>25549.02</v>
      </c>
      <c r="W9" s="71">
        <f>IFERROR(V9/V148, "NA")</f>
        <v>1</v>
      </c>
      <c r="X9" s="70">
        <f>IFERROR(X7+X8, "NA")</f>
        <v>29415.91</v>
      </c>
      <c r="Y9" s="71">
        <f>IFERROR(X9/X148, "NA")</f>
        <v>1</v>
      </c>
      <c r="Z9" s="70">
        <f>IFERROR(Z7+Z8, "NA")</f>
        <v>79428.6</v>
      </c>
      <c r="AA9" s="71">
        <f>IFERROR(Z9/Z148, "NA")</f>
        <v>1</v>
      </c>
      <c r="AB9" s="70">
        <f t="shared" si="1"/>
        <v>28042.015</v>
      </c>
      <c r="AC9" s="71">
        <f>IFERROR(AB9/AB148, "NA")</f>
        <v>1</v>
      </c>
      <c r="AD9" s="75">
        <f t="shared" si="2"/>
        <v>1373.895</v>
      </c>
      <c r="AE9" s="76">
        <f>IFERROR(AD9/AD148, "NA")</f>
        <v>1</v>
      </c>
      <c r="AF9" s="75">
        <f t="shared" si="3"/>
        <v>0.04899416108</v>
      </c>
      <c r="AG9" s="70">
        <f t="shared" si="4"/>
        <v>27457.6925</v>
      </c>
      <c r="AH9" s="71">
        <f>IFERROR(AG9/AG148, "NA")</f>
        <v>1</v>
      </c>
      <c r="AI9" s="75">
        <f t="shared" si="5"/>
        <v>1958.2175</v>
      </c>
      <c r="AJ9" s="76">
        <f>IFERROR(AI9/AI148, "NA")</f>
        <v>1</v>
      </c>
      <c r="AK9" s="75">
        <f t="shared" si="6"/>
        <v>0.07131762802</v>
      </c>
      <c r="AL9" s="76">
        <f>IFERROR(AK9/AK148, "NA")</f>
        <v>1</v>
      </c>
    </row>
    <row r="10" ht="3.75" customHeight="1">
      <c r="A10" s="79"/>
      <c r="B10" s="80"/>
      <c r="C10" s="74"/>
      <c r="D10" s="80"/>
      <c r="E10" s="74"/>
      <c r="F10" s="80"/>
      <c r="G10" s="74"/>
      <c r="H10" s="80"/>
      <c r="I10" s="74"/>
      <c r="J10" s="80"/>
      <c r="K10" s="74"/>
      <c r="L10" s="80"/>
      <c r="M10" s="74"/>
      <c r="N10" s="80"/>
      <c r="O10" s="74"/>
      <c r="P10" s="80"/>
      <c r="Q10" s="74"/>
      <c r="R10" s="80"/>
      <c r="S10" s="74"/>
      <c r="T10" s="80"/>
      <c r="U10" s="74"/>
      <c r="V10" s="80"/>
      <c r="W10" s="74"/>
      <c r="X10" s="80"/>
      <c r="Y10" s="74"/>
      <c r="Z10" s="80"/>
      <c r="AA10" s="74"/>
      <c r="AB10" s="80"/>
      <c r="AC10" s="74"/>
      <c r="AD10" s="81"/>
      <c r="AE10" s="82"/>
      <c r="AF10" s="81"/>
      <c r="AG10" s="80"/>
      <c r="AH10" s="74"/>
      <c r="AI10" s="81"/>
      <c r="AJ10" s="82"/>
      <c r="AK10" s="81"/>
      <c r="AL10" s="82"/>
    </row>
    <row r="11" ht="16.5" customHeight="1">
      <c r="A11" s="22" t="s">
        <v>65</v>
      </c>
      <c r="B11" s="23"/>
      <c r="C11" s="10"/>
      <c r="D11" s="23"/>
      <c r="E11" s="10"/>
      <c r="F11" s="23"/>
      <c r="G11" s="10"/>
      <c r="H11" s="23"/>
      <c r="I11" s="10"/>
      <c r="J11" s="23"/>
      <c r="K11" s="10"/>
      <c r="L11" s="23"/>
      <c r="M11" s="10"/>
      <c r="N11" s="23"/>
      <c r="O11" s="10"/>
      <c r="P11" s="23"/>
      <c r="Q11" s="10"/>
      <c r="R11" s="23"/>
      <c r="S11" s="10"/>
      <c r="T11" s="23"/>
      <c r="U11" s="10"/>
      <c r="V11" s="23"/>
      <c r="W11" s="10"/>
      <c r="X11" s="23"/>
      <c r="Y11" s="10"/>
      <c r="Z11" s="23"/>
      <c r="AA11" s="10"/>
      <c r="AB11" s="23"/>
      <c r="AC11" s="10"/>
      <c r="AD11" s="24"/>
      <c r="AE11" s="25"/>
      <c r="AF11" s="24"/>
      <c r="AG11" s="23"/>
      <c r="AH11" s="10"/>
      <c r="AI11" s="24"/>
      <c r="AJ11" s="25"/>
      <c r="AK11" s="24"/>
      <c r="AL11" s="25"/>
    </row>
    <row r="12" ht="16.5" customHeight="1">
      <c r="A12" s="22" t="s">
        <v>66</v>
      </c>
      <c r="B12" s="23"/>
      <c r="C12" s="10"/>
      <c r="D12" s="23"/>
      <c r="E12" s="10"/>
      <c r="F12" s="23"/>
      <c r="G12" s="10"/>
      <c r="H12" s="23"/>
      <c r="I12" s="10"/>
      <c r="J12" s="23"/>
      <c r="K12" s="10"/>
      <c r="L12" s="23"/>
      <c r="M12" s="10"/>
      <c r="N12" s="23"/>
      <c r="O12" s="10"/>
      <c r="P12" s="23"/>
      <c r="Q12" s="10"/>
      <c r="R12" s="23"/>
      <c r="S12" s="10"/>
      <c r="T12" s="23"/>
      <c r="U12" s="10"/>
      <c r="V12" s="23"/>
      <c r="W12" s="10"/>
      <c r="X12" s="23"/>
      <c r="Y12" s="10"/>
      <c r="Z12" s="23"/>
      <c r="AA12" s="10"/>
      <c r="AB12" s="23"/>
      <c r="AC12" s="10"/>
      <c r="AD12" s="24"/>
      <c r="AE12" s="25"/>
      <c r="AF12" s="24"/>
      <c r="AG12" s="23"/>
      <c r="AH12" s="10"/>
      <c r="AI12" s="24"/>
      <c r="AJ12" s="25"/>
      <c r="AK12" s="24"/>
      <c r="AL12" s="25"/>
    </row>
    <row r="13" ht="16.5" hidden="1" customHeight="1">
      <c r="A13" s="26" t="s">
        <v>67</v>
      </c>
      <c r="B13" s="28">
        <v>0.0</v>
      </c>
      <c r="C13" s="15">
        <f>IFERROR(B13/B148, "NA")</f>
        <v>0</v>
      </c>
      <c r="D13" s="28">
        <v>0.0</v>
      </c>
      <c r="E13" s="15">
        <f>IFERROR(D13/D148, "NA")</f>
        <v>0</v>
      </c>
      <c r="F13" s="28">
        <v>0.0</v>
      </c>
      <c r="G13" s="15">
        <f>IFERROR(F13/F148, "NA")</f>
        <v>0</v>
      </c>
      <c r="H13" s="28">
        <v>0.0</v>
      </c>
      <c r="I13" s="15">
        <f>IFERROR(H13/H148, "NA")</f>
        <v>0</v>
      </c>
      <c r="J13" s="28">
        <v>0.0</v>
      </c>
      <c r="K13" s="15">
        <f>IFERROR(J13/J148, "NA")</f>
        <v>0</v>
      </c>
      <c r="L13" s="28">
        <v>0.0</v>
      </c>
      <c r="M13" s="15">
        <f>IFERROR(L13/L148, "NA")</f>
        <v>0</v>
      </c>
      <c r="N13" s="28">
        <v>0.0</v>
      </c>
      <c r="O13" s="15">
        <f>IFERROR(N13/N148, "NA")</f>
        <v>0</v>
      </c>
      <c r="P13" s="28">
        <v>0.0</v>
      </c>
      <c r="Q13" s="15">
        <f>IFERROR(P13/P148, "NA")</f>
        <v>0</v>
      </c>
      <c r="R13" s="28">
        <v>0.0</v>
      </c>
      <c r="S13" s="15">
        <f>IFERROR(R13/R148, "NA")</f>
        <v>0</v>
      </c>
      <c r="T13" s="28">
        <v>0.0</v>
      </c>
      <c r="U13" s="15">
        <f>IFERROR(T13/T148, "NA")</f>
        <v>0</v>
      </c>
      <c r="V13" s="28">
        <v>0.0</v>
      </c>
      <c r="W13" s="15">
        <f>IFERROR(V13/V148, "NA")</f>
        <v>0</v>
      </c>
      <c r="X13" s="28">
        <v>0.0</v>
      </c>
      <c r="Y13" s="15">
        <f>IFERROR(X13/X148, "NA")</f>
        <v>0</v>
      </c>
      <c r="Z13" s="28">
        <v>0.0</v>
      </c>
      <c r="AA13" s="15">
        <f>IFERROR(Z13/Z148, "NA")</f>
        <v>0</v>
      </c>
      <c r="AB13" s="57">
        <f>IFERROR((R13+T13+V13+X13)/4, "NA")</f>
        <v>0</v>
      </c>
      <c r="AC13" s="15">
        <f>IFERROR(AB13/AB148, "NA")</f>
        <v>0</v>
      </c>
      <c r="AD13" s="61">
        <f>IFERROR(X13-AB13, "NA")</f>
        <v>0</v>
      </c>
      <c r="AE13" s="62">
        <f>IFERROR(AD13/AD148, "NA")</f>
        <v>0</v>
      </c>
      <c r="AF13" s="61" t="str">
        <f>IFERROR((X13-AB13)/AB13, "NA")</f>
        <v>NA</v>
      </c>
      <c r="AG13" s="57">
        <f>IFERROR((J13+L13+N13+P13+R13+T13+V13+X13)/8, "NA")</f>
        <v>0</v>
      </c>
      <c r="AH13" s="15">
        <f>IFERROR(AG13/AG148, "NA")</f>
        <v>0</v>
      </c>
      <c r="AI13" s="61">
        <f>IFERROR(X13-AG13, "NA")</f>
        <v>0</v>
      </c>
      <c r="AJ13" s="62">
        <f>IFERROR(AI13/AI148, "NA")</f>
        <v>0</v>
      </c>
      <c r="AK13" s="61" t="str">
        <f>IFERROR((X13-AG13)/AG13, "NA")</f>
        <v>NA</v>
      </c>
      <c r="AL13" s="62" t="str">
        <f>IFERROR(AK13/AK148, "NA")</f>
        <v>NA</v>
      </c>
    </row>
    <row r="14" ht="16.5" customHeight="1">
      <c r="A14" s="22" t="s">
        <v>68</v>
      </c>
      <c r="B14" s="23"/>
      <c r="C14" s="10"/>
      <c r="D14" s="23"/>
      <c r="E14" s="10"/>
      <c r="F14" s="23"/>
      <c r="G14" s="10"/>
      <c r="H14" s="23"/>
      <c r="I14" s="10"/>
      <c r="J14" s="23"/>
      <c r="K14" s="10"/>
      <c r="L14" s="23"/>
      <c r="M14" s="10"/>
      <c r="N14" s="23"/>
      <c r="O14" s="10"/>
      <c r="P14" s="23"/>
      <c r="Q14" s="10"/>
      <c r="R14" s="23"/>
      <c r="S14" s="10"/>
      <c r="T14" s="23"/>
      <c r="U14" s="10"/>
      <c r="V14" s="23"/>
      <c r="W14" s="10"/>
      <c r="X14" s="23"/>
      <c r="Y14" s="10"/>
      <c r="Z14" s="23"/>
      <c r="AA14" s="10"/>
      <c r="AB14" s="23"/>
      <c r="AC14" s="10"/>
      <c r="AD14" s="24"/>
      <c r="AE14" s="25"/>
      <c r="AF14" s="24"/>
      <c r="AG14" s="23"/>
      <c r="AH14" s="10"/>
      <c r="AI14" s="24"/>
      <c r="AJ14" s="25"/>
      <c r="AK14" s="24"/>
      <c r="AL14" s="25"/>
    </row>
    <row r="15" ht="16.5" hidden="1" customHeight="1">
      <c r="A15" s="26" t="s">
        <v>69</v>
      </c>
      <c r="B15" s="28">
        <v>0.0</v>
      </c>
      <c r="C15" s="15">
        <f>IFERROR(B15/B148, "NA")</f>
        <v>0</v>
      </c>
      <c r="D15" s="28">
        <v>0.0</v>
      </c>
      <c r="E15" s="15">
        <f>IFERROR(D15/D148, "NA")</f>
        <v>0</v>
      </c>
      <c r="F15" s="28">
        <v>0.0</v>
      </c>
      <c r="G15" s="15">
        <f>IFERROR(F15/F148, "NA")</f>
        <v>0</v>
      </c>
      <c r="H15" s="28">
        <v>0.0</v>
      </c>
      <c r="I15" s="15">
        <f>IFERROR(H15/H148, "NA")</f>
        <v>0</v>
      </c>
      <c r="J15" s="28">
        <v>0.0</v>
      </c>
      <c r="K15" s="15">
        <f>IFERROR(J15/J148, "NA")</f>
        <v>0</v>
      </c>
      <c r="L15" s="28">
        <v>0.0</v>
      </c>
      <c r="M15" s="15">
        <f>IFERROR(L15/L148, "NA")</f>
        <v>0</v>
      </c>
      <c r="N15" s="28">
        <v>0.0</v>
      </c>
      <c r="O15" s="15">
        <f>IFERROR(N15/N148, "NA")</f>
        <v>0</v>
      </c>
      <c r="P15" s="28">
        <v>0.0</v>
      </c>
      <c r="Q15" s="15">
        <f>IFERROR(P15/P148, "NA")</f>
        <v>0</v>
      </c>
      <c r="R15" s="28">
        <v>0.0</v>
      </c>
      <c r="S15" s="15">
        <f>IFERROR(R15/R148, "NA")</f>
        <v>0</v>
      </c>
      <c r="T15" s="28">
        <v>0.0</v>
      </c>
      <c r="U15" s="15">
        <f>IFERROR(T15/T148, "NA")</f>
        <v>0</v>
      </c>
      <c r="V15" s="28">
        <v>0.0</v>
      </c>
      <c r="W15" s="15">
        <f>IFERROR(V15/V148, "NA")</f>
        <v>0</v>
      </c>
      <c r="X15" s="28">
        <v>0.0</v>
      </c>
      <c r="Y15" s="15">
        <f>IFERROR(X15/X148, "NA")</f>
        <v>0</v>
      </c>
      <c r="Z15" s="28">
        <v>0.0</v>
      </c>
      <c r="AA15" s="15">
        <f>IFERROR(Z15/Z148, "NA")</f>
        <v>0</v>
      </c>
      <c r="AB15" s="57">
        <f t="shared" ref="AB15:AB27" si="7">IFERROR((R15+T15+V15+X15)/4, "NA")</f>
        <v>0</v>
      </c>
      <c r="AC15" s="15">
        <f>IFERROR(AB15/AB148, "NA")</f>
        <v>0</v>
      </c>
      <c r="AD15" s="61">
        <f t="shared" ref="AD15:AD27" si="8">IFERROR(X15-AB15, "NA")</f>
        <v>0</v>
      </c>
      <c r="AE15" s="62">
        <f>IFERROR(AD15/AD148, "NA")</f>
        <v>0</v>
      </c>
      <c r="AF15" s="61" t="str">
        <f t="shared" ref="AF15:AF27" si="9">IFERROR((X15-AB15)/AB15, "NA")</f>
        <v>NA</v>
      </c>
      <c r="AG15" s="57">
        <f t="shared" ref="AG15:AG27" si="10">IFERROR((J15+L15+N15+P15+R15+T15+V15+X15)/8, "NA")</f>
        <v>0</v>
      </c>
      <c r="AH15" s="15">
        <f>IFERROR(AG15/AG148, "NA")</f>
        <v>0</v>
      </c>
      <c r="AI15" s="61">
        <f t="shared" ref="AI15:AI27" si="11">IFERROR(X15-AG15, "NA")</f>
        <v>0</v>
      </c>
      <c r="AJ15" s="62">
        <f>IFERROR(AI15/AI148, "NA")</f>
        <v>0</v>
      </c>
      <c r="AK15" s="61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6" t="s">
        <v>70</v>
      </c>
      <c r="B16" s="28">
        <v>553.66</v>
      </c>
      <c r="C16" s="15">
        <f>IFERROR(B16/B148, "NA")</f>
        <v>0.04835652786</v>
      </c>
      <c r="D16" s="28">
        <v>671.71</v>
      </c>
      <c r="E16" s="15">
        <f>IFERROR(D16/D148, "NA")</f>
        <v>0.0375085366</v>
      </c>
      <c r="F16" s="28">
        <v>1065.47</v>
      </c>
      <c r="G16" s="15">
        <f>IFERROR(F16/F148, "NA")</f>
        <v>0.04613620588</v>
      </c>
      <c r="H16" s="28">
        <v>1122.22</v>
      </c>
      <c r="I16" s="15">
        <f>IFERROR(H16/H148, "NA")</f>
        <v>0.04341192627</v>
      </c>
      <c r="J16" s="28">
        <v>894.94</v>
      </c>
      <c r="K16" s="15">
        <f>IFERROR(J16/J148, "NA")</f>
        <v>0.0372445973</v>
      </c>
      <c r="L16" s="28">
        <v>1339.81</v>
      </c>
      <c r="M16" s="15">
        <f>IFERROR(L16/L148, "NA")</f>
        <v>0.0496115678</v>
      </c>
      <c r="N16" s="28">
        <v>1269.34</v>
      </c>
      <c r="O16" s="15">
        <f>IFERROR(N16/N148, "NA")</f>
        <v>0.04225756762</v>
      </c>
      <c r="P16" s="28">
        <v>1075.82</v>
      </c>
      <c r="Q16" s="15">
        <f>IFERROR(P16/P148, "NA")</f>
        <v>0.04071899984</v>
      </c>
      <c r="R16" s="28">
        <v>1761.8</v>
      </c>
      <c r="S16" s="15">
        <f>IFERROR(R16/R148, "NA")</f>
        <v>0.05381273851</v>
      </c>
      <c r="T16" s="28">
        <v>1141.02</v>
      </c>
      <c r="U16" s="15">
        <f>IFERROR(T16/T148, "NA")</f>
        <v>0.04664140744</v>
      </c>
      <c r="V16" s="28">
        <v>1277.16</v>
      </c>
      <c r="W16" s="15">
        <f>IFERROR(V16/V148, "NA")</f>
        <v>0.04998861013</v>
      </c>
      <c r="X16" s="28">
        <v>1368.44</v>
      </c>
      <c r="Y16" s="15">
        <f>IFERROR(X16/X148, "NA")</f>
        <v>0.04652040341</v>
      </c>
      <c r="Z16" s="28">
        <v>3786.62</v>
      </c>
      <c r="AA16" s="15">
        <f>IFERROR(Z16/Z148, "NA")</f>
        <v>0.04767325623</v>
      </c>
      <c r="AB16" s="57">
        <f t="shared" si="7"/>
        <v>1387.105</v>
      </c>
      <c r="AC16" s="15">
        <f>IFERROR(AB16/AB148, "NA")</f>
        <v>0.04946523993</v>
      </c>
      <c r="AD16" s="61">
        <f t="shared" si="8"/>
        <v>-18.665</v>
      </c>
      <c r="AE16" s="62">
        <f>IFERROR(AD16/AD148, "NA")</f>
        <v>-0.01358546323</v>
      </c>
      <c r="AF16" s="61">
        <f t="shared" si="9"/>
        <v>-0.01345608299</v>
      </c>
      <c r="AG16" s="57">
        <f t="shared" si="10"/>
        <v>1266.04125</v>
      </c>
      <c r="AH16" s="15">
        <f>IFERROR(AG16/AG148, "NA")</f>
        <v>0.04610879993</v>
      </c>
      <c r="AI16" s="61">
        <f t="shared" si="11"/>
        <v>102.39875</v>
      </c>
      <c r="AJ16" s="62">
        <f>IFERROR(AI16/AI148, "NA")</f>
        <v>0.05229181641</v>
      </c>
      <c r="AK16" s="61">
        <f t="shared" si="12"/>
        <v>0.08088105344</v>
      </c>
      <c r="AL16" s="62">
        <f>IFERROR(AK16/AK148, "NA")</f>
        <v>1.134096235</v>
      </c>
    </row>
    <row r="17" ht="16.5" customHeight="1">
      <c r="A17" s="26" t="s">
        <v>71</v>
      </c>
      <c r="B17" s="28">
        <v>371.22</v>
      </c>
      <c r="C17" s="15">
        <f>IFERROR(B17/B148, "NA")</f>
        <v>0.03242226325</v>
      </c>
      <c r="D17" s="28">
        <v>469.7</v>
      </c>
      <c r="E17" s="15">
        <f>IFERROR(D17/D148, "NA")</f>
        <v>0.02622822295</v>
      </c>
      <c r="F17" s="28">
        <v>495.0</v>
      </c>
      <c r="G17" s="15">
        <f>IFERROR(F17/F148, "NA")</f>
        <v>0.02143412946</v>
      </c>
      <c r="H17" s="28">
        <v>664.78</v>
      </c>
      <c r="I17" s="15">
        <f>IFERROR(H17/H148, "NA")</f>
        <v>0.02571633044</v>
      </c>
      <c r="J17" s="28">
        <v>700.9</v>
      </c>
      <c r="K17" s="15">
        <f>IFERROR(J17/J148, "NA")</f>
        <v>0.02916926078</v>
      </c>
      <c r="L17" s="28">
        <v>679.08</v>
      </c>
      <c r="M17" s="15">
        <f>IFERROR(L17/L148, "NA")</f>
        <v>0.02514552322</v>
      </c>
      <c r="N17" s="28">
        <v>754.06</v>
      </c>
      <c r="O17" s="15">
        <f>IFERROR(N17/N148, "NA")</f>
        <v>0.02510339345</v>
      </c>
      <c r="P17" s="28">
        <v>707.48</v>
      </c>
      <c r="Q17" s="15">
        <f>IFERROR(P17/P148, "NA")</f>
        <v>0.02677760035</v>
      </c>
      <c r="R17" s="28">
        <v>889.98</v>
      </c>
      <c r="S17" s="15">
        <f>IFERROR(R17/R148, "NA")</f>
        <v>0.02718371042</v>
      </c>
      <c r="T17" s="28">
        <v>693.47</v>
      </c>
      <c r="U17" s="15">
        <f>IFERROR(T17/T148, "NA")</f>
        <v>0.02834693241</v>
      </c>
      <c r="V17" s="28">
        <v>731.74</v>
      </c>
      <c r="W17" s="15">
        <f>IFERROR(V17/V148, "NA")</f>
        <v>0.02864062888</v>
      </c>
      <c r="X17" s="28">
        <v>570.49</v>
      </c>
      <c r="Y17" s="15">
        <f>IFERROR(X17/X148, "NA")</f>
        <v>0.01939392662</v>
      </c>
      <c r="Z17" s="28">
        <v>1995.7</v>
      </c>
      <c r="AA17" s="15">
        <f>IFERROR(Z17/Z148, "NA")</f>
        <v>0.02512571039</v>
      </c>
      <c r="AB17" s="57">
        <f t="shared" si="7"/>
        <v>721.42</v>
      </c>
      <c r="AC17" s="15">
        <f>IFERROR(AB17/AB148, "NA")</f>
        <v>0.02572639662</v>
      </c>
      <c r="AD17" s="61">
        <f t="shared" si="8"/>
        <v>-150.93</v>
      </c>
      <c r="AE17" s="62">
        <f>IFERROR(AD17/AD148, "NA")</f>
        <v>-0.1098555566</v>
      </c>
      <c r="AF17" s="61">
        <f t="shared" si="9"/>
        <v>-0.2092123867</v>
      </c>
      <c r="AG17" s="57">
        <f t="shared" si="10"/>
        <v>715.9</v>
      </c>
      <c r="AH17" s="15">
        <f>IFERROR(AG17/AG148, "NA")</f>
        <v>0.02607283915</v>
      </c>
      <c r="AI17" s="61">
        <f t="shared" si="11"/>
        <v>-145.41</v>
      </c>
      <c r="AJ17" s="62">
        <f>IFERROR(AI17/AI148, "NA")</f>
        <v>-0.07425630708</v>
      </c>
      <c r="AK17" s="61">
        <f t="shared" si="12"/>
        <v>-0.2031149602</v>
      </c>
      <c r="AL17" s="62">
        <f>IFERROR(AK17/AK148, "NA")</f>
        <v>-2.84803303</v>
      </c>
    </row>
    <row r="18" ht="16.5" customHeight="1">
      <c r="A18" s="26" t="s">
        <v>72</v>
      </c>
      <c r="B18" s="28">
        <v>322.43</v>
      </c>
      <c r="C18" s="15">
        <f>IFERROR(B18/B148, "NA")</f>
        <v>0.02816095668</v>
      </c>
      <c r="D18" s="28">
        <v>634.93</v>
      </c>
      <c r="E18" s="15">
        <f>IFERROR(D18/D148, "NA")</f>
        <v>0.0354547277</v>
      </c>
      <c r="F18" s="28">
        <v>726.65</v>
      </c>
      <c r="G18" s="15">
        <f>IFERROR(F18/F148, "NA")</f>
        <v>0.03146486903</v>
      </c>
      <c r="H18" s="28">
        <v>785.38</v>
      </c>
      <c r="I18" s="15">
        <f>IFERROR(H18/H148, "NA")</f>
        <v>0.03038161738</v>
      </c>
      <c r="J18" s="28">
        <v>862.62</v>
      </c>
      <c r="K18" s="15">
        <f>IFERROR(J18/J148, "NA")</f>
        <v>0.03589954022</v>
      </c>
      <c r="L18" s="28">
        <v>887.22</v>
      </c>
      <c r="M18" s="15">
        <f>IFERROR(L18/L148, "NA")</f>
        <v>0.0328526994</v>
      </c>
      <c r="N18" s="28">
        <v>1220.33</v>
      </c>
      <c r="O18" s="15">
        <f>IFERROR(N18/N148, "NA")</f>
        <v>0.04062597688</v>
      </c>
      <c r="P18" s="28">
        <v>1045.6</v>
      </c>
      <c r="Q18" s="15">
        <f>IFERROR(P18/P148, "NA")</f>
        <v>0.03957519495</v>
      </c>
      <c r="R18" s="28">
        <v>1177.9</v>
      </c>
      <c r="S18" s="15">
        <f>IFERROR(R18/R148, "NA")</f>
        <v>0.03597799108</v>
      </c>
      <c r="T18" s="28">
        <v>754.02</v>
      </c>
      <c r="U18" s="15">
        <f>IFERROR(T18/T148, "NA")</f>
        <v>0.0308220312</v>
      </c>
      <c r="V18" s="28">
        <v>1164.69</v>
      </c>
      <c r="W18" s="15">
        <f>IFERROR(V18/V148, "NA")</f>
        <v>0.04558648433</v>
      </c>
      <c r="X18" s="28">
        <v>1097.28</v>
      </c>
      <c r="Y18" s="15">
        <f>IFERROR(X18/X148, "NA")</f>
        <v>0.03730226262</v>
      </c>
      <c r="Z18" s="28">
        <v>3015.99</v>
      </c>
      <c r="AA18" s="15">
        <f>IFERROR(Z18/Z148, "NA")</f>
        <v>0.03797108346</v>
      </c>
      <c r="AB18" s="57">
        <f t="shared" si="7"/>
        <v>1048.4725</v>
      </c>
      <c r="AC18" s="15">
        <f>IFERROR(AB18/AB148, "NA")</f>
        <v>0.03738934238</v>
      </c>
      <c r="AD18" s="61">
        <f t="shared" si="8"/>
        <v>48.8075</v>
      </c>
      <c r="AE18" s="62">
        <f>IFERROR(AD18/AD148, "NA")</f>
        <v>0.03552491275</v>
      </c>
      <c r="AF18" s="61">
        <f t="shared" si="9"/>
        <v>0.04655105403</v>
      </c>
      <c r="AG18" s="57">
        <f t="shared" si="10"/>
        <v>1026.2075</v>
      </c>
      <c r="AH18" s="15">
        <f>IFERROR(AG18/AG148, "NA")</f>
        <v>0.03737413477</v>
      </c>
      <c r="AI18" s="61">
        <f t="shared" si="11"/>
        <v>71.0725</v>
      </c>
      <c r="AJ18" s="62">
        <f>IFERROR(AI18/AI148, "NA")</f>
        <v>0.03629448721</v>
      </c>
      <c r="AK18" s="61">
        <f t="shared" si="12"/>
        <v>0.06925743575</v>
      </c>
      <c r="AL18" s="62">
        <f>IFERROR(AK18/AK148, "NA")</f>
        <v>0.9711124399</v>
      </c>
    </row>
    <row r="19" ht="16.5" customHeight="1">
      <c r="A19" s="26" t="s">
        <v>74</v>
      </c>
      <c r="B19" s="28">
        <v>341.69</v>
      </c>
      <c r="C19" s="15">
        <f>IFERROR(B19/B148, "NA")</f>
        <v>0.02984312033</v>
      </c>
      <c r="D19" s="28">
        <v>288.66</v>
      </c>
      <c r="E19" s="15">
        <f>IFERROR(D19/D148, "NA")</f>
        <v>0.01611888192</v>
      </c>
      <c r="F19" s="28">
        <v>459.51</v>
      </c>
      <c r="G19" s="15">
        <f>IFERROR(F19/F148, "NA")</f>
        <v>0.01989736733</v>
      </c>
      <c r="H19" s="28">
        <v>524.8</v>
      </c>
      <c r="I19" s="15">
        <f>IFERROR(H19/H148, "NA")</f>
        <v>0.02030134814</v>
      </c>
      <c r="J19" s="28">
        <v>556.78</v>
      </c>
      <c r="K19" s="15">
        <f>IFERROR(J19/J148, "NA")</f>
        <v>0.02317143818</v>
      </c>
      <c r="L19" s="28">
        <v>500.03</v>
      </c>
      <c r="M19" s="15">
        <f>IFERROR(L19/L148, "NA")</f>
        <v>0.01851551507</v>
      </c>
      <c r="N19" s="28">
        <v>547.6</v>
      </c>
      <c r="O19" s="15">
        <f>IFERROR(N19/N148, "NA")</f>
        <v>0.01823013852</v>
      </c>
      <c r="P19" s="28">
        <v>545.8</v>
      </c>
      <c r="Q19" s="15">
        <f>IFERROR(P19/P148, "NA")</f>
        <v>0.02065813065</v>
      </c>
      <c r="R19" s="28">
        <v>766.89</v>
      </c>
      <c r="S19" s="15">
        <f>IFERROR(R19/R148, "NA")</f>
        <v>0.02342402715</v>
      </c>
      <c r="T19" s="28">
        <v>632.68</v>
      </c>
      <c r="U19" s="15">
        <f>IFERROR(T19/T148, "NA")</f>
        <v>0.02586202316</v>
      </c>
      <c r="V19" s="28">
        <v>470.74</v>
      </c>
      <c r="W19" s="15">
        <f>IFERROR(V19/V148, "NA")</f>
        <v>0.01842497286</v>
      </c>
      <c r="X19" s="28">
        <v>697.19</v>
      </c>
      <c r="Y19" s="15">
        <f>IFERROR(X19/X148, "NA")</f>
        <v>0.02370111956</v>
      </c>
      <c r="Z19" s="28">
        <v>1800.61</v>
      </c>
      <c r="AA19" s="15">
        <f>IFERROR(Z19/Z148, "NA")</f>
        <v>0.02266954221</v>
      </c>
      <c r="AB19" s="57">
        <f t="shared" si="7"/>
        <v>641.875</v>
      </c>
      <c r="AC19" s="15">
        <f>IFERROR(AB19/AB148, "NA")</f>
        <v>0.02288976024</v>
      </c>
      <c r="AD19" s="61">
        <f t="shared" si="8"/>
        <v>55.315</v>
      </c>
      <c r="AE19" s="62">
        <f>IFERROR(AD19/AD148, "NA")</f>
        <v>0.04026144647</v>
      </c>
      <c r="AF19" s="61">
        <f t="shared" si="9"/>
        <v>0.08617721519</v>
      </c>
      <c r="AG19" s="57">
        <f t="shared" si="10"/>
        <v>589.71375</v>
      </c>
      <c r="AH19" s="15">
        <f>IFERROR(AG19/AG148, "NA")</f>
        <v>0.02147717803</v>
      </c>
      <c r="AI19" s="61">
        <f t="shared" si="11"/>
        <v>107.47625</v>
      </c>
      <c r="AJ19" s="62">
        <f>IFERROR(AI19/AI148, "NA")</f>
        <v>0.05488473574</v>
      </c>
      <c r="AK19" s="61">
        <f t="shared" si="12"/>
        <v>0.1822515585</v>
      </c>
      <c r="AL19" s="62">
        <f>IFERROR(AK19/AK148, "NA")</f>
        <v>2.555491027</v>
      </c>
    </row>
    <row r="20" ht="16.5" customHeight="1">
      <c r="A20" s="26" t="s">
        <v>76</v>
      </c>
      <c r="B20" s="28">
        <v>133.0</v>
      </c>
      <c r="C20" s="15">
        <f>IFERROR(B20/B148, "NA")</f>
        <v>0.0116161872</v>
      </c>
      <c r="D20" s="28">
        <v>187.15</v>
      </c>
      <c r="E20" s="15">
        <f>IFERROR(D20/D148, "NA")</f>
        <v>0.01045052571</v>
      </c>
      <c r="F20" s="28">
        <v>218.3</v>
      </c>
      <c r="G20" s="15">
        <f>IFERROR(F20/F148, "NA")</f>
        <v>0.009452667596</v>
      </c>
      <c r="H20" s="28">
        <v>266.57</v>
      </c>
      <c r="I20" s="15">
        <f>IFERROR(H20/H148, "NA")</f>
        <v>0.01031198623</v>
      </c>
      <c r="J20" s="28">
        <v>273.22</v>
      </c>
      <c r="K20" s="15">
        <f>IFERROR(J20/J148, "NA")</f>
        <v>0.0113705599</v>
      </c>
      <c r="L20" s="28">
        <v>229.02</v>
      </c>
      <c r="M20" s="15">
        <f>IFERROR(L20/L148, "NA")</f>
        <v>0.008480337703</v>
      </c>
      <c r="N20" s="28">
        <v>273.44</v>
      </c>
      <c r="O20" s="15">
        <f>IFERROR(N20/N148, "NA")</f>
        <v>0.009103084509</v>
      </c>
      <c r="P20" s="28">
        <v>251.98</v>
      </c>
      <c r="Q20" s="15">
        <f>IFERROR(P20/P148, "NA")</f>
        <v>0.00953725863</v>
      </c>
      <c r="R20" s="28">
        <v>274.4</v>
      </c>
      <c r="S20" s="15">
        <f>IFERROR(R20/R148, "NA")</f>
        <v>0.008381323333</v>
      </c>
      <c r="T20" s="28">
        <v>234.04</v>
      </c>
      <c r="U20" s="15">
        <f>IFERROR(T20/T148, "NA")</f>
        <v>0.009566839317</v>
      </c>
      <c r="V20" s="28">
        <v>302.96</v>
      </c>
      <c r="W20" s="15">
        <f>IFERROR(V20/V148, "NA")</f>
        <v>0.01185798907</v>
      </c>
      <c r="X20" s="28">
        <v>293.57</v>
      </c>
      <c r="Y20" s="15">
        <f>IFERROR(X20/X148, "NA")</f>
        <v>0.009979973423</v>
      </c>
      <c r="Z20" s="28">
        <v>830.57</v>
      </c>
      <c r="AA20" s="15">
        <f>IFERROR(Z20/Z148, "NA")</f>
        <v>0.01045681279</v>
      </c>
      <c r="AB20" s="57">
        <f t="shared" si="7"/>
        <v>276.2425</v>
      </c>
      <c r="AC20" s="15">
        <f>IFERROR(AB20/AB148, "NA")</f>
        <v>0.009851021761</v>
      </c>
      <c r="AD20" s="61">
        <f t="shared" si="8"/>
        <v>17.3275</v>
      </c>
      <c r="AE20" s="62">
        <f>IFERROR(AD20/AD148, "NA")</f>
        <v>0.01261195361</v>
      </c>
      <c r="AF20" s="61">
        <f t="shared" si="9"/>
        <v>0.06272568486</v>
      </c>
      <c r="AG20" s="57">
        <f t="shared" si="10"/>
        <v>266.57875</v>
      </c>
      <c r="AH20" s="15">
        <f>IFERROR(AG20/AG148, "NA")</f>
        <v>0.009708709135</v>
      </c>
      <c r="AI20" s="61">
        <f t="shared" si="11"/>
        <v>26.99125</v>
      </c>
      <c r="AJ20" s="62">
        <f>IFERROR(AI20/AI148, "NA")</f>
        <v>0.01378358124</v>
      </c>
      <c r="AK20" s="61">
        <f t="shared" si="12"/>
        <v>0.1012505685</v>
      </c>
      <c r="AL20" s="62">
        <f>IFERROR(AK20/AK148, "NA")</f>
        <v>1.419713069</v>
      </c>
    </row>
    <row r="21" ht="16.5" customHeight="1">
      <c r="A21" s="26" t="s">
        <v>77</v>
      </c>
      <c r="B21" s="28">
        <v>146.51</v>
      </c>
      <c r="C21" s="15">
        <f>IFERROR(B21/B148, "NA")</f>
        <v>0.01279614727</v>
      </c>
      <c r="D21" s="28">
        <v>92.41</v>
      </c>
      <c r="E21" s="15">
        <f>IFERROR(D21/D148, "NA")</f>
        <v>0.005160208821</v>
      </c>
      <c r="F21" s="28">
        <v>222.33</v>
      </c>
      <c r="G21" s="15">
        <f>IFERROR(F21/F148, "NA")</f>
        <v>0.009627171721</v>
      </c>
      <c r="H21" s="28">
        <v>197.65</v>
      </c>
      <c r="I21" s="15">
        <f>IFERROR(H21/H148, "NA")</f>
        <v>0.007645886927</v>
      </c>
      <c r="J21" s="28">
        <v>145.61</v>
      </c>
      <c r="K21" s="15">
        <f>IFERROR(J21/J148, "NA")</f>
        <v>0.006059831735</v>
      </c>
      <c r="L21" s="28">
        <v>262.67</v>
      </c>
      <c r="M21" s="15">
        <f>IFERROR(L21/L148, "NA")</f>
        <v>0.009726357106</v>
      </c>
      <c r="N21" s="28">
        <v>-21.14</v>
      </c>
      <c r="O21" s="15">
        <f>IFERROR(N21/N148, "NA")</f>
        <v>-0.0007037712351</v>
      </c>
      <c r="P21" s="28">
        <v>216.12</v>
      </c>
      <c r="Q21" s="15">
        <f>IFERROR(P21/P148, "NA")</f>
        <v>0.008179983869</v>
      </c>
      <c r="R21" s="28">
        <v>186.6</v>
      </c>
      <c r="S21" s="15">
        <f>IFERROR(R21/R148, "NA")</f>
        <v>0.00569954422</v>
      </c>
      <c r="T21" s="28">
        <v>193.06</v>
      </c>
      <c r="U21" s="15">
        <f>IFERROR(T21/T148, "NA")</f>
        <v>0.007891702267</v>
      </c>
      <c r="V21" s="28">
        <v>166.38</v>
      </c>
      <c r="W21" s="15">
        <f>IFERROR(V21/V148, "NA")</f>
        <v>0.00651218716</v>
      </c>
      <c r="X21" s="28">
        <v>319.3</v>
      </c>
      <c r="Y21" s="15">
        <f>IFERROR(X21/X148, "NA")</f>
        <v>0.01085467014</v>
      </c>
      <c r="Z21" s="28">
        <v>678.74</v>
      </c>
      <c r="AA21" s="15">
        <f>IFERROR(Z21/Z148, "NA")</f>
        <v>0.008545284696</v>
      </c>
      <c r="AB21" s="57">
        <f t="shared" si="7"/>
        <v>216.335</v>
      </c>
      <c r="AC21" s="15">
        <f>IFERROR(AB21/AB148, "NA")</f>
        <v>0.007714673856</v>
      </c>
      <c r="AD21" s="61">
        <f t="shared" si="8"/>
        <v>102.965</v>
      </c>
      <c r="AE21" s="62">
        <f>IFERROR(AD21/AD148, "NA")</f>
        <v>0.07494386398</v>
      </c>
      <c r="AF21" s="61">
        <f t="shared" si="9"/>
        <v>0.4759516491</v>
      </c>
      <c r="AG21" s="57">
        <f t="shared" si="10"/>
        <v>183.575</v>
      </c>
      <c r="AH21" s="15">
        <f>IFERROR(AG21/AG148, "NA")</f>
        <v>0.006685740253</v>
      </c>
      <c r="AI21" s="61">
        <f t="shared" si="11"/>
        <v>135.725</v>
      </c>
      <c r="AJ21" s="62">
        <f>IFERROR(AI21/AI148, "NA")</f>
        <v>0.06931048262</v>
      </c>
      <c r="AK21" s="61">
        <f t="shared" si="12"/>
        <v>0.7393435925</v>
      </c>
      <c r="AL21" s="62">
        <f>IFERROR(AK21/AK148, "NA")</f>
        <v>10.36691226</v>
      </c>
    </row>
    <row r="22" ht="16.5" hidden="1" customHeight="1">
      <c r="A22" s="26" t="s">
        <v>78</v>
      </c>
      <c r="B22" s="28">
        <v>0.0</v>
      </c>
      <c r="C22" s="15">
        <f>IFERROR(B22/B148, "NA")</f>
        <v>0</v>
      </c>
      <c r="D22" s="28">
        <v>0.0</v>
      </c>
      <c r="E22" s="15">
        <f>IFERROR(D22/D148, "NA")</f>
        <v>0</v>
      </c>
      <c r="F22" s="28">
        <v>0.0</v>
      </c>
      <c r="G22" s="15">
        <f>IFERROR(F22/F148, "NA")</f>
        <v>0</v>
      </c>
      <c r="H22" s="28">
        <v>0.0</v>
      </c>
      <c r="I22" s="15">
        <f>IFERROR(H22/H148, "NA")</f>
        <v>0</v>
      </c>
      <c r="J22" s="28">
        <v>0.0</v>
      </c>
      <c r="K22" s="15">
        <f>IFERROR(J22/J148, "NA")</f>
        <v>0</v>
      </c>
      <c r="L22" s="28">
        <v>0.0</v>
      </c>
      <c r="M22" s="15">
        <f>IFERROR(L22/L148, "NA")</f>
        <v>0</v>
      </c>
      <c r="N22" s="28">
        <v>0.0</v>
      </c>
      <c r="O22" s="15">
        <f>IFERROR(N22/N148, "NA")</f>
        <v>0</v>
      </c>
      <c r="P22" s="28">
        <v>0.0</v>
      </c>
      <c r="Q22" s="15">
        <f>IFERROR(P22/P148, "NA")</f>
        <v>0</v>
      </c>
      <c r="R22" s="28">
        <v>0.0</v>
      </c>
      <c r="S22" s="15">
        <f>IFERROR(R22/R148, "NA")</f>
        <v>0</v>
      </c>
      <c r="T22" s="28">
        <v>0.0</v>
      </c>
      <c r="U22" s="15">
        <f>IFERROR(T22/T148, "NA")</f>
        <v>0</v>
      </c>
      <c r="V22" s="28">
        <v>0.0</v>
      </c>
      <c r="W22" s="15">
        <f>IFERROR(V22/V148, "NA")</f>
        <v>0</v>
      </c>
      <c r="X22" s="28">
        <v>0.0</v>
      </c>
      <c r="Y22" s="15">
        <f>IFERROR(X22/X148, "NA")</f>
        <v>0</v>
      </c>
      <c r="Z22" s="28">
        <v>0.0</v>
      </c>
      <c r="AA22" s="15">
        <f>IFERROR(Z22/Z148, "NA")</f>
        <v>0</v>
      </c>
      <c r="AB22" s="57">
        <f t="shared" si="7"/>
        <v>0</v>
      </c>
      <c r="AC22" s="15">
        <f>IFERROR(AB22/AB148, "NA")</f>
        <v>0</v>
      </c>
      <c r="AD22" s="61">
        <f t="shared" si="8"/>
        <v>0</v>
      </c>
      <c r="AE22" s="62">
        <f>IFERROR(AD22/AD148, "NA")</f>
        <v>0</v>
      </c>
      <c r="AF22" s="61" t="str">
        <f t="shared" si="9"/>
        <v>NA</v>
      </c>
      <c r="AG22" s="57">
        <f t="shared" si="10"/>
        <v>0</v>
      </c>
      <c r="AH22" s="15">
        <f>IFERROR(AG22/AG148, "NA")</f>
        <v>0</v>
      </c>
      <c r="AI22" s="61">
        <f t="shared" si="11"/>
        <v>0</v>
      </c>
      <c r="AJ22" s="62">
        <f>IFERROR(AI22/AI148, "NA")</f>
        <v>0</v>
      </c>
      <c r="AK22" s="61" t="str">
        <f t="shared" si="12"/>
        <v>NA</v>
      </c>
      <c r="AL22" s="62" t="str">
        <f>IFERROR(AK22/AK148, "NA")</f>
        <v>NA</v>
      </c>
    </row>
    <row r="23" ht="16.5" customHeight="1">
      <c r="A23" s="26" t="s">
        <v>79</v>
      </c>
      <c r="B23" s="28">
        <v>28.82</v>
      </c>
      <c r="C23" s="15">
        <f>IFERROR(B23/B148, "NA")</f>
        <v>0.002517131693</v>
      </c>
      <c r="D23" s="28">
        <v>35.38</v>
      </c>
      <c r="E23" s="15">
        <f>IFERROR(D23/D148, "NA")</f>
        <v>0.001975632378</v>
      </c>
      <c r="F23" s="28">
        <v>110.53</v>
      </c>
      <c r="G23" s="15">
        <f>IFERROR(F23/F148, "NA")</f>
        <v>0.004786089553</v>
      </c>
      <c r="H23" s="28">
        <v>109.76</v>
      </c>
      <c r="I23" s="15">
        <f>IFERROR(H23/H148, "NA")</f>
        <v>0.00424595269</v>
      </c>
      <c r="J23" s="28">
        <v>97.34</v>
      </c>
      <c r="K23" s="15">
        <f>IFERROR(J23/J148, "NA")</f>
        <v>0.004050985654</v>
      </c>
      <c r="L23" s="28">
        <v>116.48</v>
      </c>
      <c r="M23" s="15">
        <f>IFERROR(L23/L148, "NA")</f>
        <v>0.004313115604</v>
      </c>
      <c r="N23" s="28">
        <v>141.28</v>
      </c>
      <c r="O23" s="15">
        <f>IFERROR(N23/N148, "NA")</f>
        <v>0.004703349105</v>
      </c>
      <c r="P23" s="28">
        <v>127.72</v>
      </c>
      <c r="Q23" s="15">
        <f>IFERROR(P23/P148, "NA")</f>
        <v>0.004834108549</v>
      </c>
      <c r="R23" s="28">
        <v>128.13</v>
      </c>
      <c r="S23" s="15">
        <f>IFERROR(R23/R148, "NA")</f>
        <v>0.003913625943</v>
      </c>
      <c r="T23" s="28">
        <v>134.76</v>
      </c>
      <c r="U23" s="15">
        <f>IFERROR(T23/T148, "NA")</f>
        <v>0.005508576595</v>
      </c>
      <c r="V23" s="28">
        <v>101.83</v>
      </c>
      <c r="W23" s="15">
        <f>IFERROR(V23/V148, "NA")</f>
        <v>0.003985671466</v>
      </c>
      <c r="X23" s="28">
        <v>149.25</v>
      </c>
      <c r="Y23" s="15">
        <f>IFERROR(X23/X148, "NA")</f>
        <v>0.005073784901</v>
      </c>
      <c r="Z23" s="28">
        <v>385.84</v>
      </c>
      <c r="AA23" s="15">
        <f>IFERROR(Z23/Z148, "NA")</f>
        <v>0.004857696094</v>
      </c>
      <c r="AB23" s="57">
        <f t="shared" si="7"/>
        <v>128.4925</v>
      </c>
      <c r="AC23" s="15">
        <f>IFERROR(AB23/AB148, "NA")</f>
        <v>0.004582142189</v>
      </c>
      <c r="AD23" s="61">
        <f t="shared" si="8"/>
        <v>20.7575</v>
      </c>
      <c r="AE23" s="62">
        <f>IFERROR(AD23/AD148, "NA")</f>
        <v>0.01510850538</v>
      </c>
      <c r="AF23" s="61">
        <f t="shared" si="9"/>
        <v>0.1615463938</v>
      </c>
      <c r="AG23" s="57">
        <f t="shared" si="10"/>
        <v>124.59875</v>
      </c>
      <c r="AH23" s="15">
        <f>IFERROR(AG23/AG148, "NA")</f>
        <v>0.004537844904</v>
      </c>
      <c r="AI23" s="61">
        <f t="shared" si="11"/>
        <v>24.65125</v>
      </c>
      <c r="AJ23" s="62">
        <f>IFERROR(AI23/AI148, "NA")</f>
        <v>0.01258861694</v>
      </c>
      <c r="AK23" s="61">
        <f t="shared" si="12"/>
        <v>0.1978450827</v>
      </c>
      <c r="AL23" s="62">
        <f>IFERROR(AK23/AK148, "NA")</f>
        <v>2.774139974</v>
      </c>
    </row>
    <row r="24" ht="16.5" customHeight="1">
      <c r="A24" s="26" t="s">
        <v>80</v>
      </c>
      <c r="B24" s="28">
        <v>1051.73</v>
      </c>
      <c r="C24" s="15">
        <f>IFERROR(B24/B148, "NA")</f>
        <v>0.09185783883</v>
      </c>
      <c r="D24" s="28">
        <v>1431.34</v>
      </c>
      <c r="E24" s="15">
        <f>IFERROR(D24/D148, "NA")</f>
        <v>0.07992655874</v>
      </c>
      <c r="F24" s="28">
        <v>1522.37</v>
      </c>
      <c r="G24" s="15">
        <f>IFERROR(F24/F148, "NA")</f>
        <v>0.06592055689</v>
      </c>
      <c r="H24" s="28">
        <v>1619.01</v>
      </c>
      <c r="I24" s="15">
        <f>IFERROR(H24/H148, "NA")</f>
        <v>0.06262973637</v>
      </c>
      <c r="J24" s="28">
        <v>1661.61</v>
      </c>
      <c r="K24" s="15">
        <f>IFERROR(J24/J148, "NA")</f>
        <v>0.0691509993</v>
      </c>
      <c r="L24" s="28">
        <v>1676.82</v>
      </c>
      <c r="M24" s="15">
        <f>IFERROR(L24/L148, "NA")</f>
        <v>0.06209064652</v>
      </c>
      <c r="N24" s="28">
        <v>1935.17</v>
      </c>
      <c r="O24" s="15">
        <f>IFERROR(N24/N148, "NA")</f>
        <v>0.06442369825</v>
      </c>
      <c r="P24" s="28">
        <v>1632.03</v>
      </c>
      <c r="Q24" s="15">
        <f>IFERROR(P24/P148, "NA")</f>
        <v>0.06177114137</v>
      </c>
      <c r="R24" s="28">
        <v>2160.15</v>
      </c>
      <c r="S24" s="15">
        <f>IFERROR(R24/R148, "NA")</f>
        <v>0.06598001311</v>
      </c>
      <c r="T24" s="28">
        <v>1439.25</v>
      </c>
      <c r="U24" s="15">
        <f>IFERROR(T24/T148, "NA")</f>
        <v>0.05883213761</v>
      </c>
      <c r="V24" s="28">
        <v>1671.61</v>
      </c>
      <c r="W24" s="15">
        <f>IFERROR(V24/V148, "NA")</f>
        <v>0.06542755847</v>
      </c>
      <c r="X24" s="28">
        <v>1831.0</v>
      </c>
      <c r="Y24" s="15">
        <f>IFERROR(X24/X148, "NA")</f>
        <v>0.06224522716</v>
      </c>
      <c r="Z24" s="28">
        <v>4941.86</v>
      </c>
      <c r="AA24" s="15">
        <f>IFERROR(Z24/Z148, "NA")</f>
        <v>0.06221763949</v>
      </c>
      <c r="AB24" s="57">
        <f t="shared" si="7"/>
        <v>1775.5025</v>
      </c>
      <c r="AC24" s="15">
        <f>IFERROR(AB24/AB148, "NA")</f>
        <v>0.06331579596</v>
      </c>
      <c r="AD24" s="61">
        <f t="shared" si="8"/>
        <v>55.4975</v>
      </c>
      <c r="AE24" s="62">
        <f>IFERROR(AD24/AD148, "NA")</f>
        <v>0.04039428049</v>
      </c>
      <c r="AF24" s="61">
        <f t="shared" si="9"/>
        <v>0.03125734827</v>
      </c>
      <c r="AG24" s="57">
        <f t="shared" si="10"/>
        <v>1750.955</v>
      </c>
      <c r="AH24" s="15">
        <f>IFERROR(AG24/AG148, "NA")</f>
        <v>0.06376919692</v>
      </c>
      <c r="AI24" s="61">
        <f t="shared" si="11"/>
        <v>80.045</v>
      </c>
      <c r="AJ24" s="62">
        <f>IFERROR(AI24/AI148, "NA")</f>
        <v>0.04087646035</v>
      </c>
      <c r="AK24" s="61">
        <f t="shared" si="12"/>
        <v>0.04571505264</v>
      </c>
      <c r="AL24" s="62">
        <f>IFERROR(AK24/AK148, "NA")</f>
        <v>0.641006353</v>
      </c>
    </row>
    <row r="25" ht="16.5" hidden="1" customHeight="1">
      <c r="A25" s="26" t="s">
        <v>81</v>
      </c>
      <c r="B25" s="28">
        <v>0.0</v>
      </c>
      <c r="C25" s="15">
        <f>IFERROR(B25/B148, "NA")</f>
        <v>0</v>
      </c>
      <c r="D25" s="28">
        <v>0.0</v>
      </c>
      <c r="E25" s="15">
        <f>IFERROR(D25/D148, "NA")</f>
        <v>0</v>
      </c>
      <c r="F25" s="28">
        <v>0.0</v>
      </c>
      <c r="G25" s="15">
        <f>IFERROR(F25/F148, "NA")</f>
        <v>0</v>
      </c>
      <c r="H25" s="28">
        <v>0.0</v>
      </c>
      <c r="I25" s="15">
        <f>IFERROR(H25/H148, "NA")</f>
        <v>0</v>
      </c>
      <c r="J25" s="28">
        <v>0.0</v>
      </c>
      <c r="K25" s="15">
        <f>IFERROR(J25/J148, "NA")</f>
        <v>0</v>
      </c>
      <c r="L25" s="28">
        <v>0.0</v>
      </c>
      <c r="M25" s="15">
        <f>IFERROR(L25/L148, "NA")</f>
        <v>0</v>
      </c>
      <c r="N25" s="28">
        <v>0.0</v>
      </c>
      <c r="O25" s="15">
        <f>IFERROR(N25/N148, "NA")</f>
        <v>0</v>
      </c>
      <c r="P25" s="28">
        <v>0.0</v>
      </c>
      <c r="Q25" s="15">
        <f>IFERROR(P25/P148, "NA")</f>
        <v>0</v>
      </c>
      <c r="R25" s="28">
        <v>0.0</v>
      </c>
      <c r="S25" s="15">
        <f>IFERROR(R25/R148, "NA")</f>
        <v>0</v>
      </c>
      <c r="T25" s="28">
        <v>0.0</v>
      </c>
      <c r="U25" s="15">
        <f>IFERROR(T25/T148, "NA")</f>
        <v>0</v>
      </c>
      <c r="V25" s="28">
        <v>0.0</v>
      </c>
      <c r="W25" s="15">
        <f>IFERROR(V25/V148, "NA")</f>
        <v>0</v>
      </c>
      <c r="X25" s="28">
        <v>0.0</v>
      </c>
      <c r="Y25" s="15">
        <f>IFERROR(X25/X148, "NA")</f>
        <v>0</v>
      </c>
      <c r="Z25" s="28">
        <v>0.0</v>
      </c>
      <c r="AA25" s="15">
        <f>IFERROR(Z25/Z148, "NA")</f>
        <v>0</v>
      </c>
      <c r="AB25" s="57">
        <f t="shared" si="7"/>
        <v>0</v>
      </c>
      <c r="AC25" s="15">
        <f>IFERROR(AB25/AB148, "NA")</f>
        <v>0</v>
      </c>
      <c r="AD25" s="61">
        <f t="shared" si="8"/>
        <v>0</v>
      </c>
      <c r="AE25" s="62">
        <f>IFERROR(AD25/AD148, "NA")</f>
        <v>0</v>
      </c>
      <c r="AF25" s="61" t="str">
        <f t="shared" si="9"/>
        <v>NA</v>
      </c>
      <c r="AG25" s="57">
        <f t="shared" si="10"/>
        <v>0</v>
      </c>
      <c r="AH25" s="15">
        <f>IFERROR(AG25/AG148, "NA")</f>
        <v>0</v>
      </c>
      <c r="AI25" s="61">
        <f t="shared" si="11"/>
        <v>0</v>
      </c>
      <c r="AJ25" s="62">
        <f>IFERROR(AI25/AI148, "NA")</f>
        <v>0</v>
      </c>
      <c r="AK25" s="61" t="str">
        <f t="shared" si="12"/>
        <v>NA</v>
      </c>
      <c r="AL25" s="62" t="str">
        <f>IFERROR(AK25/AK148, "NA")</f>
        <v>NA</v>
      </c>
    </row>
    <row r="26" ht="16.5" customHeight="1">
      <c r="A26" s="26" t="s">
        <v>82</v>
      </c>
      <c r="B26" s="28">
        <v>0.0</v>
      </c>
      <c r="C26" s="15">
        <f>IFERROR(B26/B148, "NA")</f>
        <v>0</v>
      </c>
      <c r="D26" s="28">
        <v>0.0</v>
      </c>
      <c r="E26" s="15">
        <f>IFERROR(D26/D148, "NA")</f>
        <v>0</v>
      </c>
      <c r="F26" s="28">
        <v>-2.97</v>
      </c>
      <c r="G26" s="15">
        <f>IFERROR(F26/F148, "NA")</f>
        <v>-0.0001286047767</v>
      </c>
      <c r="H26" s="28">
        <v>2.97</v>
      </c>
      <c r="I26" s="15">
        <f>IFERROR(H26/H148, "NA")</f>
        <v>0.0001148913948</v>
      </c>
      <c r="J26" s="28">
        <v>0.0</v>
      </c>
      <c r="K26" s="15">
        <f>IFERROR(J26/J148, "NA")</f>
        <v>0</v>
      </c>
      <c r="L26" s="28">
        <v>0.0</v>
      </c>
      <c r="M26" s="15">
        <f>IFERROR(L26/L148, "NA")</f>
        <v>0</v>
      </c>
      <c r="N26" s="28">
        <v>0.0</v>
      </c>
      <c r="O26" s="15">
        <f>IFERROR(N26/N148, "NA")</f>
        <v>0</v>
      </c>
      <c r="P26" s="28">
        <v>0.0</v>
      </c>
      <c r="Q26" s="15">
        <f>IFERROR(P26/P148, "NA")</f>
        <v>0</v>
      </c>
      <c r="R26" s="28">
        <v>0.0</v>
      </c>
      <c r="S26" s="15">
        <f>IFERROR(R26/R148, "NA")</f>
        <v>0</v>
      </c>
      <c r="T26" s="28">
        <v>0.0</v>
      </c>
      <c r="U26" s="15">
        <f>IFERROR(T26/T148, "NA")</f>
        <v>0</v>
      </c>
      <c r="V26" s="28">
        <v>0.0</v>
      </c>
      <c r="W26" s="15">
        <f>IFERROR(V26/V148, "NA")</f>
        <v>0</v>
      </c>
      <c r="X26" s="28">
        <v>0.0</v>
      </c>
      <c r="Y26" s="15">
        <f>IFERROR(X26/X148, "NA")</f>
        <v>0</v>
      </c>
      <c r="Z26" s="28">
        <v>0.0</v>
      </c>
      <c r="AA26" s="15">
        <f>IFERROR(Z26/Z148, "NA")</f>
        <v>0</v>
      </c>
      <c r="AB26" s="57">
        <f t="shared" si="7"/>
        <v>0</v>
      </c>
      <c r="AC26" s="15">
        <f>IFERROR(AB26/AB148, "NA")</f>
        <v>0</v>
      </c>
      <c r="AD26" s="61">
        <f t="shared" si="8"/>
        <v>0</v>
      </c>
      <c r="AE26" s="62">
        <f>IFERROR(AD26/AD148, "NA")</f>
        <v>0</v>
      </c>
      <c r="AF26" s="61" t="str">
        <f t="shared" si="9"/>
        <v>NA</v>
      </c>
      <c r="AG26" s="57">
        <f t="shared" si="10"/>
        <v>0</v>
      </c>
      <c r="AH26" s="15">
        <f>IFERROR(AG26/AG148, "NA")</f>
        <v>0</v>
      </c>
      <c r="AI26" s="61">
        <f t="shared" si="11"/>
        <v>0</v>
      </c>
      <c r="AJ26" s="62">
        <f>IFERROR(AI26/AI148, "NA")</f>
        <v>0</v>
      </c>
      <c r="AK26" s="61" t="str">
        <f t="shared" si="12"/>
        <v>NA</v>
      </c>
      <c r="AL26" s="62" t="str">
        <f>IFERROR(AK26/AK148, "NA")</f>
        <v>NA</v>
      </c>
    </row>
    <row r="27" ht="16.5" customHeight="1">
      <c r="A27" s="67" t="s">
        <v>83</v>
      </c>
      <c r="B27" s="70">
        <f>IFERROR(B15+B16+B17+B18+B19+B20+B21+B22+B23+B24+B25+B26, "NA")</f>
        <v>2949.06</v>
      </c>
      <c r="C27" s="71">
        <f>IFERROR(B27/B148, "NA")</f>
        <v>0.2575701731</v>
      </c>
      <c r="D27" s="70">
        <f>IFERROR(D15+D16+D17+D18+D19+D20+D21+D22+D23+D24+D25+D26, "NA")</f>
        <v>3811.28</v>
      </c>
      <c r="E27" s="71">
        <f>IFERROR(D27/D148, "NA")</f>
        <v>0.2128232948</v>
      </c>
      <c r="F27" s="70">
        <f>IFERROR(F15+F16+F17+F18+F19+F20+F21+F22+F23+F24+F25+F26, "NA")</f>
        <v>4817.19</v>
      </c>
      <c r="G27" s="71">
        <f>IFERROR(F27/F148, "NA")</f>
        <v>0.2085904527</v>
      </c>
      <c r="H27" s="70">
        <f>IFERROR(H15+H16+H17+H18+H19+H20+H21+H22+H23+H24+H25+H26, "NA")</f>
        <v>5293.14</v>
      </c>
      <c r="I27" s="71">
        <f>IFERROR(H27/H148, "NA")</f>
        <v>0.2047596758</v>
      </c>
      <c r="J27" s="70">
        <f>IFERROR(J15+J16+J17+J18+J19+J20+J21+J22+J23+J24+J25+J26, "NA")</f>
        <v>5193.02</v>
      </c>
      <c r="K27" s="71">
        <f>IFERROR(J27/J148, "NA")</f>
        <v>0.2161172131</v>
      </c>
      <c r="L27" s="70">
        <f>IFERROR(L15+L16+L17+L18+L19+L20+L21+L22+L23+L24+L25+L26, "NA")</f>
        <v>5691.13</v>
      </c>
      <c r="M27" s="71">
        <f>IFERROR(L27/L148, "NA")</f>
        <v>0.2107357624</v>
      </c>
      <c r="N27" s="70">
        <f>IFERROR(N15+N16+N17+N18+N19+N20+N21+N22+N23+N24+N25+N26, "NA")</f>
        <v>6120.08</v>
      </c>
      <c r="O27" s="71">
        <f>IFERROR(N27/N148, "NA")</f>
        <v>0.2037434371</v>
      </c>
      <c r="P27" s="70">
        <f>IFERROR(P15+P16+P17+P18+P19+P20+P21+P22+P23+P24+P25+P26, "NA")</f>
        <v>5602.55</v>
      </c>
      <c r="Q27" s="71">
        <f>IFERROR(P27/P148, "NA")</f>
        <v>0.2120524182</v>
      </c>
      <c r="R27" s="70">
        <f>IFERROR(R15+R16+R17+R18+R19+R20+R21+R22+R23+R24+R25+R26, "NA")</f>
        <v>7345.85</v>
      </c>
      <c r="S27" s="71">
        <f>IFERROR(R27/R148, "NA")</f>
        <v>0.2243729738</v>
      </c>
      <c r="T27" s="70">
        <f>IFERROR(T15+T16+T17+T18+T19+T20+T21+T22+T23+T24+T25+T26, "NA")</f>
        <v>5222.3</v>
      </c>
      <c r="U27" s="71">
        <f>IFERROR(T27/T148, "NA")</f>
        <v>0.21347165</v>
      </c>
      <c r="V27" s="70">
        <f>IFERROR(V15+V16+V17+V18+V19+V20+V21+V22+V23+V24+V25+V26, "NA")</f>
        <v>5887.11</v>
      </c>
      <c r="W27" s="71">
        <f>IFERROR(V27/V148, "NA")</f>
        <v>0.2304241024</v>
      </c>
      <c r="X27" s="70">
        <f>IFERROR(X15+X16+X17+X18+X19+X20+X21+X22+X23+X24+X25+X26, "NA")</f>
        <v>6326.52</v>
      </c>
      <c r="Y27" s="71">
        <f>IFERROR(X27/X148, "NA")</f>
        <v>0.2150713678</v>
      </c>
      <c r="Z27" s="70">
        <f>IFERROR(Z15+Z16+Z17+Z18+Z19+Z20+Z21+Z22+Z23+Z24+Z25+Z26, "NA")</f>
        <v>17435.93</v>
      </c>
      <c r="AA27" s="71">
        <f>IFERROR(Z27/Z148, "NA")</f>
        <v>0.2195170254</v>
      </c>
      <c r="AB27" s="70">
        <f t="shared" si="7"/>
        <v>6195.445</v>
      </c>
      <c r="AC27" s="71">
        <f>IFERROR(AB27/AB148, "NA")</f>
        <v>0.2209343729</v>
      </c>
      <c r="AD27" s="75">
        <f t="shared" si="8"/>
        <v>131.075</v>
      </c>
      <c r="AE27" s="76">
        <f>IFERROR(AD27/AD148, "NA")</f>
        <v>0.0954039428</v>
      </c>
      <c r="AF27" s="75">
        <f t="shared" si="9"/>
        <v>0.02115667236</v>
      </c>
      <c r="AG27" s="70">
        <f t="shared" si="10"/>
        <v>5923.57</v>
      </c>
      <c r="AH27" s="71">
        <f>IFERROR(AG27/AG148, "NA")</f>
        <v>0.2157344431</v>
      </c>
      <c r="AI27" s="75">
        <f t="shared" si="11"/>
        <v>402.95</v>
      </c>
      <c r="AJ27" s="76">
        <f>IFERROR(AI27/AI148, "NA")</f>
        <v>0.2057738734</v>
      </c>
      <c r="AK27" s="75">
        <f t="shared" si="12"/>
        <v>0.06802485663</v>
      </c>
      <c r="AL27" s="76">
        <f>IFERROR(AK27/AK148, "NA")</f>
        <v>0.9538294882</v>
      </c>
    </row>
    <row r="28" ht="16.5" customHeight="1">
      <c r="A28" s="22" t="s">
        <v>84</v>
      </c>
      <c r="B28" s="23"/>
      <c r="C28" s="10"/>
      <c r="D28" s="23"/>
      <c r="E28" s="10"/>
      <c r="F28" s="23"/>
      <c r="G28" s="10"/>
      <c r="H28" s="23"/>
      <c r="I28" s="10"/>
      <c r="J28" s="23"/>
      <c r="K28" s="10"/>
      <c r="L28" s="23"/>
      <c r="M28" s="10"/>
      <c r="N28" s="23"/>
      <c r="O28" s="10"/>
      <c r="P28" s="23"/>
      <c r="Q28" s="10"/>
      <c r="R28" s="23"/>
      <c r="S28" s="10"/>
      <c r="T28" s="23"/>
      <c r="U28" s="10"/>
      <c r="V28" s="23"/>
      <c r="W28" s="10"/>
      <c r="X28" s="23"/>
      <c r="Y28" s="10"/>
      <c r="Z28" s="23"/>
      <c r="AA28" s="10"/>
      <c r="AB28" s="23"/>
      <c r="AC28" s="10"/>
      <c r="AD28" s="24"/>
      <c r="AE28" s="25"/>
      <c r="AF28" s="24"/>
      <c r="AG28" s="23"/>
      <c r="AH28" s="10"/>
      <c r="AI28" s="24"/>
      <c r="AJ28" s="25"/>
      <c r="AK28" s="24"/>
      <c r="AL28" s="25"/>
    </row>
    <row r="29" ht="16.5" hidden="1" customHeight="1">
      <c r="A29" s="26" t="s">
        <v>85</v>
      </c>
      <c r="B29" s="28">
        <v>0.0</v>
      </c>
      <c r="C29" s="15">
        <f>IFERROR(B29/B148, "NA")</f>
        <v>0</v>
      </c>
      <c r="D29" s="28">
        <v>0.0</v>
      </c>
      <c r="E29" s="15">
        <f>IFERROR(D29/D148, "NA")</f>
        <v>0</v>
      </c>
      <c r="F29" s="28">
        <v>0.0</v>
      </c>
      <c r="G29" s="15">
        <f>IFERROR(F29/F148, "NA")</f>
        <v>0</v>
      </c>
      <c r="H29" s="28">
        <v>0.0</v>
      </c>
      <c r="I29" s="15">
        <f>IFERROR(H29/H148, "NA")</f>
        <v>0</v>
      </c>
      <c r="J29" s="28">
        <v>0.0</v>
      </c>
      <c r="K29" s="15">
        <f>IFERROR(J29/J148, "NA")</f>
        <v>0</v>
      </c>
      <c r="L29" s="28">
        <v>0.0</v>
      </c>
      <c r="M29" s="15">
        <f>IFERROR(L29/L148, "NA")</f>
        <v>0</v>
      </c>
      <c r="N29" s="28">
        <v>0.0</v>
      </c>
      <c r="O29" s="15">
        <f>IFERROR(N29/N148, "NA")</f>
        <v>0</v>
      </c>
      <c r="P29" s="28">
        <v>0.0</v>
      </c>
      <c r="Q29" s="15">
        <f>IFERROR(P29/P148, "NA")</f>
        <v>0</v>
      </c>
      <c r="R29" s="28">
        <v>0.0</v>
      </c>
      <c r="S29" s="15">
        <f>IFERROR(R29/R148, "NA")</f>
        <v>0</v>
      </c>
      <c r="T29" s="28">
        <v>0.0</v>
      </c>
      <c r="U29" s="15">
        <f>IFERROR(T29/T148, "NA")</f>
        <v>0</v>
      </c>
      <c r="V29" s="28">
        <v>0.0</v>
      </c>
      <c r="W29" s="15">
        <f>IFERROR(V29/V148, "NA")</f>
        <v>0</v>
      </c>
      <c r="X29" s="28">
        <v>0.0</v>
      </c>
      <c r="Y29" s="15">
        <f>IFERROR(X29/X148, "NA")</f>
        <v>0</v>
      </c>
      <c r="Z29" s="28">
        <v>0.0</v>
      </c>
      <c r="AA29" s="15">
        <f>IFERROR(Z29/Z148, "NA")</f>
        <v>0</v>
      </c>
      <c r="AB29" s="57">
        <f t="shared" ref="AB29:AB35" si="13">IFERROR((R29+T29+V29+X29)/4, "NA")</f>
        <v>0</v>
      </c>
      <c r="AC29" s="15">
        <f>IFERROR(AB29/AB148, "NA")</f>
        <v>0</v>
      </c>
      <c r="AD29" s="61">
        <f t="shared" ref="AD29:AD35" si="14">IFERROR(X29-AB29, "NA")</f>
        <v>0</v>
      </c>
      <c r="AE29" s="62">
        <f>IFERROR(AD29/AD148, "NA")</f>
        <v>0</v>
      </c>
      <c r="AF29" s="61" t="str">
        <f t="shared" ref="AF29:AF35" si="15">IFERROR((X29-AB29)/AB29, "NA")</f>
        <v>NA</v>
      </c>
      <c r="AG29" s="57">
        <f t="shared" ref="AG29:AG35" si="16">IFERROR((J29+L29+N29+P29+R29+T29+V29+X29)/8, "NA")</f>
        <v>0</v>
      </c>
      <c r="AH29" s="15">
        <f>IFERROR(AG29/AG148, "NA")</f>
        <v>0</v>
      </c>
      <c r="AI29" s="61">
        <f t="shared" ref="AI29:AI35" si="17">IFERROR(X29-AG29, "NA")</f>
        <v>0</v>
      </c>
      <c r="AJ29" s="62">
        <f>IFERROR(AI29/AI148, "NA")</f>
        <v>0</v>
      </c>
      <c r="AK29" s="61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6" t="s">
        <v>88</v>
      </c>
      <c r="B30" s="28">
        <v>229.7</v>
      </c>
      <c r="C30" s="15">
        <f>IFERROR(B30/B148, "NA")</f>
        <v>0.02006194135</v>
      </c>
      <c r="D30" s="28">
        <v>195.86</v>
      </c>
      <c r="E30" s="15">
        <f>IFERROR(D30/D148, "NA")</f>
        <v>0.01093689535</v>
      </c>
      <c r="F30" s="28">
        <v>465.58</v>
      </c>
      <c r="G30" s="15">
        <f>IFERROR(F30/F148, "NA")</f>
        <v>0.02016020604</v>
      </c>
      <c r="H30" s="28">
        <v>206.58</v>
      </c>
      <c r="I30" s="15">
        <f>IFERROR(H30/H148, "NA")</f>
        <v>0.00799133479</v>
      </c>
      <c r="J30" s="28">
        <v>44.5</v>
      </c>
      <c r="K30" s="15">
        <f>IFERROR(J30/J148, "NA")</f>
        <v>0.001851950499</v>
      </c>
      <c r="L30" s="28">
        <v>513.45</v>
      </c>
      <c r="M30" s="15">
        <f>IFERROR(L30/L148, "NA")</f>
        <v>0.01901244168</v>
      </c>
      <c r="N30" s="28">
        <v>207.03</v>
      </c>
      <c r="O30" s="15">
        <f>IFERROR(N30/N148, "NA")</f>
        <v>0.006892230785</v>
      </c>
      <c r="P30" s="28">
        <v>493.71</v>
      </c>
      <c r="Q30" s="15">
        <f>IFERROR(P30/P148, "NA")</f>
        <v>0.01868656226</v>
      </c>
      <c r="R30" s="28">
        <v>280.1</v>
      </c>
      <c r="S30" s="15">
        <f>IFERROR(R30/R148, "NA")</f>
        <v>0.008555425166</v>
      </c>
      <c r="T30" s="28">
        <v>228.24</v>
      </c>
      <c r="U30" s="15">
        <f>IFERROR(T30/T148, "NA")</f>
        <v>0.009329753058</v>
      </c>
      <c r="V30" s="28">
        <v>310.71</v>
      </c>
      <c r="W30" s="15">
        <f>IFERROR(V30/V148, "NA")</f>
        <v>0.01216132752</v>
      </c>
      <c r="X30" s="28">
        <v>390.27</v>
      </c>
      <c r="Y30" s="15">
        <f>IFERROR(X30/X148, "NA")</f>
        <v>0.01326731011</v>
      </c>
      <c r="Z30" s="28">
        <v>929.22</v>
      </c>
      <c r="AA30" s="15">
        <f>IFERROR(Z30/Z148, "NA")</f>
        <v>0.01169880874</v>
      </c>
      <c r="AB30" s="57">
        <f t="shared" si="13"/>
        <v>302.33</v>
      </c>
      <c r="AC30" s="15">
        <f>IFERROR(AB30/AB148, "NA")</f>
        <v>0.01078132224</v>
      </c>
      <c r="AD30" s="61">
        <f t="shared" si="14"/>
        <v>87.94</v>
      </c>
      <c r="AE30" s="62">
        <f>IFERROR(AD30/AD148, "NA")</f>
        <v>0.06400780263</v>
      </c>
      <c r="AF30" s="61">
        <f t="shared" si="15"/>
        <v>0.2908742103</v>
      </c>
      <c r="AG30" s="57">
        <f t="shared" si="16"/>
        <v>308.50125</v>
      </c>
      <c r="AH30" s="15">
        <f>IFERROR(AG30/AG148, "NA")</f>
        <v>0.0112355126</v>
      </c>
      <c r="AI30" s="61">
        <f t="shared" si="17"/>
        <v>81.76875</v>
      </c>
      <c r="AJ30" s="62">
        <f>IFERROR(AI30/AI148, "NA")</f>
        <v>0.04175672519</v>
      </c>
      <c r="AK30" s="61">
        <f t="shared" si="18"/>
        <v>0.2650516003</v>
      </c>
      <c r="AL30" s="62">
        <f>IFERROR(AK30/AK148, "NA")</f>
        <v>3.716494892</v>
      </c>
    </row>
    <row r="31" ht="16.5" customHeight="1">
      <c r="A31" s="26" t="s">
        <v>89</v>
      </c>
      <c r="B31" s="28">
        <v>6.46</v>
      </c>
      <c r="C31" s="15">
        <f>IFERROR(B31/B148, "NA")</f>
        <v>0.0005642148069</v>
      </c>
      <c r="D31" s="28">
        <v>1.6</v>
      </c>
      <c r="E31" s="15">
        <f>IFERROR(D31/D148, "NA")</f>
        <v>0.00008934459596</v>
      </c>
      <c r="F31" s="28">
        <v>4.04</v>
      </c>
      <c r="G31" s="15">
        <f>IFERROR(F31/F148, "NA")</f>
        <v>0.0001749371374</v>
      </c>
      <c r="H31" s="28">
        <v>4.87</v>
      </c>
      <c r="I31" s="15">
        <f>IFERROR(H31/H148, "NA")</f>
        <v>0.0001883909402</v>
      </c>
      <c r="J31" s="28">
        <v>20.85</v>
      </c>
      <c r="K31" s="15">
        <f>IFERROR(J31/J148, "NA")</f>
        <v>0.0008677116384</v>
      </c>
      <c r="L31" s="28">
        <v>-15.98</v>
      </c>
      <c r="M31" s="15">
        <f>IFERROR(L31/L148, "NA")</f>
        <v>-0.0005917203584</v>
      </c>
      <c r="N31" s="28">
        <v>18.65</v>
      </c>
      <c r="O31" s="15">
        <f>IFERROR(N31/N148, "NA")</f>
        <v>0.0006208767045</v>
      </c>
      <c r="P31" s="28">
        <v>10.49</v>
      </c>
      <c r="Q31" s="15">
        <f>IFERROR(P31/P148, "NA")</f>
        <v>0.0003970388246</v>
      </c>
      <c r="R31" s="28">
        <v>14.46</v>
      </c>
      <c r="S31" s="15">
        <f>IFERROR(R31/R148, "NA")</f>
        <v>0.0004416688608</v>
      </c>
      <c r="T31" s="28">
        <v>13.78</v>
      </c>
      <c r="U31" s="15">
        <f>IFERROR(T31/T148, "NA")</f>
        <v>0.0005632842497</v>
      </c>
      <c r="V31" s="28">
        <v>8.91</v>
      </c>
      <c r="W31" s="15">
        <f>IFERROR(V31/V148, "NA")</f>
        <v>0.0003487413607</v>
      </c>
      <c r="X31" s="28">
        <v>17.8</v>
      </c>
      <c r="Y31" s="15">
        <f>IFERROR(X31/X148, "NA")</f>
        <v>0.0006051147151</v>
      </c>
      <c r="Z31" s="28">
        <v>40.49</v>
      </c>
      <c r="AA31" s="15">
        <f>IFERROR(Z31/Z148, "NA")</f>
        <v>0.0005097660037</v>
      </c>
      <c r="AB31" s="57">
        <f t="shared" si="13"/>
        <v>13.7375</v>
      </c>
      <c r="AC31" s="15">
        <f>IFERROR(AB31/AB148, "NA")</f>
        <v>0.0004898899027</v>
      </c>
      <c r="AD31" s="61">
        <f t="shared" si="14"/>
        <v>4.0625</v>
      </c>
      <c r="AE31" s="62">
        <f>IFERROR(AD31/AD148, "NA")</f>
        <v>0.002956921744</v>
      </c>
      <c r="AF31" s="61">
        <f t="shared" si="15"/>
        <v>0.2957233849</v>
      </c>
      <c r="AG31" s="57">
        <f t="shared" si="16"/>
        <v>11.12</v>
      </c>
      <c r="AH31" s="15">
        <f>IFERROR(AG31/AG148, "NA")</f>
        <v>0.00040498669</v>
      </c>
      <c r="AI31" s="61">
        <f t="shared" si="17"/>
        <v>6.68</v>
      </c>
      <c r="AJ31" s="62">
        <f>IFERROR(AI31/AI148, "NA")</f>
        <v>0.003411265603</v>
      </c>
      <c r="AK31" s="61">
        <f t="shared" si="18"/>
        <v>0.6007194245</v>
      </c>
      <c r="AL31" s="62">
        <f>IFERROR(AK31/AK148, "NA")</f>
        <v>8.423154852</v>
      </c>
    </row>
    <row r="32" ht="16.5" customHeight="1">
      <c r="A32" s="26" t="s">
        <v>90</v>
      </c>
      <c r="B32" s="28">
        <v>14.95</v>
      </c>
      <c r="C32" s="15">
        <f>IFERROR(B32/B148, "NA")</f>
        <v>0.001305729313</v>
      </c>
      <c r="D32" s="28">
        <v>-14.95</v>
      </c>
      <c r="E32" s="15">
        <f>IFERROR(D32/D148, "NA")</f>
        <v>-0.0008348135685</v>
      </c>
      <c r="F32" s="28">
        <v>14.95</v>
      </c>
      <c r="G32" s="15">
        <f>IFERROR(F32/F148, "NA")</f>
        <v>0.0006473540108</v>
      </c>
      <c r="H32" s="28">
        <v>51.95</v>
      </c>
      <c r="I32" s="15">
        <f>IFERROR(H32/H148, "NA")</f>
        <v>0.002009632309</v>
      </c>
      <c r="J32" s="28">
        <v>-88.97</v>
      </c>
      <c r="K32" s="15">
        <f>IFERROR(J32/J148, "NA")</f>
        <v>-0.003702652493</v>
      </c>
      <c r="L32" s="28">
        <v>93.14</v>
      </c>
      <c r="M32" s="15">
        <f>IFERROR(L32/L148, "NA")</f>
        <v>0.003448863216</v>
      </c>
      <c r="N32" s="28">
        <v>51.96</v>
      </c>
      <c r="O32" s="15">
        <f>IFERROR(N32/N148, "NA")</f>
        <v>0.001729799119</v>
      </c>
      <c r="P32" s="28">
        <v>51.96</v>
      </c>
      <c r="Q32" s="15">
        <f>IFERROR(P32/P148, "NA")</f>
        <v>0.001966647982</v>
      </c>
      <c r="R32" s="28">
        <v>0.0</v>
      </c>
      <c r="S32" s="15">
        <f>IFERROR(R32/R148, "NA")</f>
        <v>0</v>
      </c>
      <c r="T32" s="28">
        <v>51.97</v>
      </c>
      <c r="U32" s="15">
        <f>IFERROR(T32/T148, "NA")</f>
        <v>0.002124374634</v>
      </c>
      <c r="V32" s="28">
        <v>51.97</v>
      </c>
      <c r="W32" s="15">
        <f>IFERROR(V32/V148, "NA")</f>
        <v>0.002034128902</v>
      </c>
      <c r="X32" s="28">
        <v>0.0</v>
      </c>
      <c r="Y32" s="15">
        <f>IFERROR(X32/X148, "NA")</f>
        <v>0</v>
      </c>
      <c r="Z32" s="28">
        <v>103.94</v>
      </c>
      <c r="AA32" s="15">
        <f>IFERROR(Z32/Z148, "NA")</f>
        <v>0.001308596652</v>
      </c>
      <c r="AB32" s="57">
        <f t="shared" si="13"/>
        <v>25.985</v>
      </c>
      <c r="AC32" s="15">
        <f>IFERROR(AB32/AB148, "NA")</f>
        <v>0.00092664525</v>
      </c>
      <c r="AD32" s="61">
        <f t="shared" si="14"/>
        <v>-25.985</v>
      </c>
      <c r="AE32" s="62">
        <f>IFERROR(AD32/AD148, "NA")</f>
        <v>-0.0189133813</v>
      </c>
      <c r="AF32" s="61">
        <f t="shared" si="15"/>
        <v>-1</v>
      </c>
      <c r="AG32" s="57">
        <f t="shared" si="16"/>
        <v>26.50375</v>
      </c>
      <c r="AH32" s="15">
        <f>IFERROR(AG32/AG148, "NA")</f>
        <v>0.0009652577324</v>
      </c>
      <c r="AI32" s="61">
        <f t="shared" si="17"/>
        <v>-26.50375</v>
      </c>
      <c r="AJ32" s="62">
        <f>IFERROR(AI32/AI148, "NA")</f>
        <v>-0.01353463035</v>
      </c>
      <c r="AK32" s="61">
        <f t="shared" si="18"/>
        <v>-1</v>
      </c>
      <c r="AL32" s="62">
        <f>IFERROR(AK32/AK148, "NA")</f>
        <v>-14.02177873</v>
      </c>
    </row>
    <row r="33" ht="16.5" customHeight="1">
      <c r="A33" s="26" t="s">
        <v>91</v>
      </c>
      <c r="B33" s="28">
        <v>-6.99</v>
      </c>
      <c r="C33" s="15">
        <f>IFERROR(B33/B148, "NA")</f>
        <v>-0.0006105048762</v>
      </c>
      <c r="D33" s="28">
        <v>0.0</v>
      </c>
      <c r="E33" s="15">
        <f>IFERROR(D33/D148, "NA")</f>
        <v>0</v>
      </c>
      <c r="F33" s="28">
        <v>0.0</v>
      </c>
      <c r="G33" s="15">
        <f>IFERROR(F33/F148, "NA")</f>
        <v>0</v>
      </c>
      <c r="H33" s="28">
        <v>0.0</v>
      </c>
      <c r="I33" s="15">
        <f>IFERROR(H33/H148, "NA")</f>
        <v>0</v>
      </c>
      <c r="J33" s="28">
        <v>0.0</v>
      </c>
      <c r="K33" s="15">
        <f>IFERROR(J33/J148, "NA")</f>
        <v>0</v>
      </c>
      <c r="L33" s="28">
        <v>6.99</v>
      </c>
      <c r="M33" s="15">
        <f>IFERROR(L33/L148, "NA")</f>
        <v>0.0002588313708</v>
      </c>
      <c r="N33" s="28">
        <v>0.0</v>
      </c>
      <c r="O33" s="15">
        <f>IFERROR(N33/N148, "NA")</f>
        <v>0</v>
      </c>
      <c r="P33" s="28">
        <v>6.99</v>
      </c>
      <c r="Q33" s="15">
        <f>IFERROR(P33/P148, "NA")</f>
        <v>0.0002645663855</v>
      </c>
      <c r="R33" s="28">
        <v>-6.99</v>
      </c>
      <c r="S33" s="15">
        <f>IFERROR(R33/R148, "NA")</f>
        <v>-0.0002135038269</v>
      </c>
      <c r="T33" s="28">
        <v>49.03</v>
      </c>
      <c r="U33" s="15">
        <f>IFERROR(T33/T148, "NA")</f>
        <v>0.002004196427</v>
      </c>
      <c r="V33" s="28">
        <v>0.0</v>
      </c>
      <c r="W33" s="15">
        <f>IFERROR(V33/V148, "NA")</f>
        <v>0</v>
      </c>
      <c r="X33" s="28">
        <v>0.0</v>
      </c>
      <c r="Y33" s="15">
        <f>IFERROR(X33/X148, "NA")</f>
        <v>0</v>
      </c>
      <c r="Z33" s="28">
        <v>49.03</v>
      </c>
      <c r="AA33" s="15">
        <f>IFERROR(Z33/Z148, "NA")</f>
        <v>0.0006172839506</v>
      </c>
      <c r="AB33" s="57">
        <f t="shared" si="13"/>
        <v>10.51</v>
      </c>
      <c r="AC33" s="15">
        <f>IFERROR(AB33/AB148, "NA")</f>
        <v>0.0003747947499</v>
      </c>
      <c r="AD33" s="61">
        <f t="shared" si="14"/>
        <v>-10.51</v>
      </c>
      <c r="AE33" s="62">
        <f>IFERROR(AD33/AD148, "NA")</f>
        <v>-0.007649784008</v>
      </c>
      <c r="AF33" s="61">
        <f t="shared" si="15"/>
        <v>-1</v>
      </c>
      <c r="AG33" s="57">
        <f t="shared" si="16"/>
        <v>7.0025</v>
      </c>
      <c r="AH33" s="15">
        <f>IFERROR(AG33/AG148, "NA")</f>
        <v>0.0002550287137</v>
      </c>
      <c r="AI33" s="61">
        <f t="shared" si="17"/>
        <v>-7.0025</v>
      </c>
      <c r="AJ33" s="62">
        <f>IFERROR(AI33/AI148, "NA")</f>
        <v>-0.003575956195</v>
      </c>
      <c r="AK33" s="61">
        <f t="shared" si="18"/>
        <v>-1</v>
      </c>
      <c r="AL33" s="62">
        <f>IFERROR(AK33/AK148, "NA")</f>
        <v>-14.02177873</v>
      </c>
    </row>
    <row r="34" ht="16.5" customHeight="1">
      <c r="A34" s="67" t="s">
        <v>92</v>
      </c>
      <c r="B34" s="70">
        <f>IFERROR(B29+B30+B31+B32+B33, "NA")</f>
        <v>244.12</v>
      </c>
      <c r="C34" s="71">
        <f>IFERROR(B34/B148, "NA")</f>
        <v>0.0213213806</v>
      </c>
      <c r="D34" s="70">
        <f>IFERROR(D29+D30+D31+D32+D33, "NA")</f>
        <v>182.51</v>
      </c>
      <c r="E34" s="71">
        <f>IFERROR(D34/D148, "NA")</f>
        <v>0.01019142638</v>
      </c>
      <c r="F34" s="70">
        <f>IFERROR(F29+F30+F31+F32+F33, "NA")</f>
        <v>484.57</v>
      </c>
      <c r="G34" s="71">
        <f>IFERROR(F34/F148, "NA")</f>
        <v>0.02098249719</v>
      </c>
      <c r="H34" s="70">
        <f>IFERROR(H29+H30+H31+H32+H33, "NA")</f>
        <v>263.4</v>
      </c>
      <c r="I34" s="71">
        <f>IFERROR(H34/H148, "NA")</f>
        <v>0.01018935804</v>
      </c>
      <c r="J34" s="70">
        <f>IFERROR(J29+J30+J31+J32+J33, "NA")</f>
        <v>-23.62</v>
      </c>
      <c r="K34" s="71">
        <f>IFERROR(J34/J148, "NA")</f>
        <v>-0.0009829903549</v>
      </c>
      <c r="L34" s="70">
        <f>IFERROR(L29+L30+L31+L32+L33, "NA")</f>
        <v>597.6</v>
      </c>
      <c r="M34" s="71">
        <f>IFERROR(L34/L148, "NA")</f>
        <v>0.02212841591</v>
      </c>
      <c r="N34" s="70">
        <f>IFERROR(N29+N30+N31+N32+N33, "NA")</f>
        <v>277.64</v>
      </c>
      <c r="O34" s="71">
        <f>IFERROR(N34/N148, "NA")</f>
        <v>0.009242906608</v>
      </c>
      <c r="P34" s="70">
        <f>IFERROR(P29+P30+P31+P32+P33, "NA")</f>
        <v>563.15</v>
      </c>
      <c r="Q34" s="71">
        <f>IFERROR(P34/P148, "NA")</f>
        <v>0.02131481545</v>
      </c>
      <c r="R34" s="70">
        <f>IFERROR(R29+R30+R31+R32+R33, "NA")</f>
        <v>287.57</v>
      </c>
      <c r="S34" s="71">
        <f>IFERROR(R34/R148, "NA")</f>
        <v>0.0087835902</v>
      </c>
      <c r="T34" s="70">
        <f>IFERROR(T29+T30+T31+T32+T33, "NA")</f>
        <v>343.02</v>
      </c>
      <c r="U34" s="71">
        <f>IFERROR(T34/T148, "NA")</f>
        <v>0.01402160837</v>
      </c>
      <c r="V34" s="70">
        <f>IFERROR(V29+V30+V31+V32+V33, "NA")</f>
        <v>371.59</v>
      </c>
      <c r="W34" s="71">
        <f>IFERROR(V34/V148, "NA")</f>
        <v>0.01454419778</v>
      </c>
      <c r="X34" s="70">
        <f>IFERROR(X29+X30+X31+X32+X33, "NA")</f>
        <v>408.07</v>
      </c>
      <c r="Y34" s="71">
        <f>IFERROR(X34/X148, "NA")</f>
        <v>0.01387242482</v>
      </c>
      <c r="Z34" s="70">
        <f>IFERROR(Z29+Z30+Z31+Z32+Z33, "NA")</f>
        <v>1122.68</v>
      </c>
      <c r="AA34" s="71">
        <f>IFERROR(Z34/Z148, "NA")</f>
        <v>0.01413445535</v>
      </c>
      <c r="AB34" s="70">
        <f t="shared" si="13"/>
        <v>352.5625</v>
      </c>
      <c r="AC34" s="71">
        <f>IFERROR(AB34/AB148, "NA")</f>
        <v>0.01257265214</v>
      </c>
      <c r="AD34" s="75">
        <f t="shared" si="14"/>
        <v>55.5075</v>
      </c>
      <c r="AE34" s="76">
        <f>IFERROR(AD34/AD148, "NA")</f>
        <v>0.04040155907</v>
      </c>
      <c r="AF34" s="75">
        <f t="shared" si="15"/>
        <v>0.1574401702</v>
      </c>
      <c r="AG34" s="70">
        <f t="shared" si="16"/>
        <v>353.1275</v>
      </c>
      <c r="AH34" s="71">
        <f>IFERROR(AG34/AG148, "NA")</f>
        <v>0.01286078573</v>
      </c>
      <c r="AI34" s="75">
        <f t="shared" si="17"/>
        <v>54.9425</v>
      </c>
      <c r="AJ34" s="76">
        <f>IFERROR(AI34/AI148, "NA")</f>
        <v>0.02805740425</v>
      </c>
      <c r="AK34" s="75">
        <f t="shared" si="18"/>
        <v>0.155588279</v>
      </c>
      <c r="AL34" s="76">
        <f>IFERROR(AK34/AK148, "NA")</f>
        <v>2.181624422</v>
      </c>
    </row>
    <row r="35" ht="16.5" customHeight="1">
      <c r="A35" s="67" t="s">
        <v>93</v>
      </c>
      <c r="B35" s="70">
        <f>IFERROR(B13+B15+B16+B17+B18+B19+B20+B21+B22+B23+B24+B25+B26+B29+B30+B31+B32+B33, "NA")</f>
        <v>3193.18</v>
      </c>
      <c r="C35" s="71">
        <f>IFERROR(B35/B148, "NA")</f>
        <v>0.2788915537</v>
      </c>
      <c r="D35" s="70">
        <f>IFERROR(D13+D15+D16+D17+D18+D19+D20+D21+D22+D23+D24+D25+D26+D29+D30+D31+D32+D33, "NA")</f>
        <v>3993.79</v>
      </c>
      <c r="E35" s="71">
        <f>IFERROR(D35/D148, "NA")</f>
        <v>0.2230147212</v>
      </c>
      <c r="F35" s="70">
        <f>IFERROR(F13+F15+F16+F17+F18+F19+F20+F21+F22+F23+F24+F25+F26+F29+F30+F31+F32+F33, "NA")</f>
        <v>5301.76</v>
      </c>
      <c r="G35" s="71">
        <f>IFERROR(F35/F148, "NA")</f>
        <v>0.2295729499</v>
      </c>
      <c r="H35" s="70">
        <f>IFERROR(H13+H15+H16+H17+H18+H19+H20+H21+H22+H23+H24+H25+H26+H29+H30+H31+H32+H33, "NA")</f>
        <v>5556.54</v>
      </c>
      <c r="I35" s="71">
        <f>IFERROR(H35/H148, "NA")</f>
        <v>0.2149490339</v>
      </c>
      <c r="J35" s="70">
        <f>IFERROR(J13+J15+J16+J17+J18+J19+J20+J21+J22+J23+J24+J25+J26+J29+J30+J31+J32+J33, "NA")</f>
        <v>5169.4</v>
      </c>
      <c r="K35" s="71">
        <f>IFERROR(J35/J148, "NA")</f>
        <v>0.2151342227</v>
      </c>
      <c r="L35" s="70">
        <f>IFERROR(L13+L15+L16+L17+L18+L19+L20+L21+L22+L23+L24+L25+L26+L29+L30+L31+L32+L33, "NA")</f>
        <v>6288.73</v>
      </c>
      <c r="M35" s="71">
        <f>IFERROR(L35/L148, "NA")</f>
        <v>0.2328641783</v>
      </c>
      <c r="N35" s="70">
        <f>IFERROR(N13+N15+N16+N17+N18+N19+N20+N21+N22+N23+N24+N25+N26+N29+N30+N31+N32+N33, "NA")</f>
        <v>6397.72</v>
      </c>
      <c r="O35" s="71">
        <f>IFERROR(N35/N148, "NA")</f>
        <v>0.2129863437</v>
      </c>
      <c r="P35" s="70">
        <f>IFERROR(P13+P15+P16+P17+P18+P19+P20+P21+P22+P23+P24+P25+P26+P29+P30+P31+P32+P33, "NA")</f>
        <v>6165.7</v>
      </c>
      <c r="Q35" s="71">
        <f>IFERROR(P35/P148, "NA")</f>
        <v>0.2333672337</v>
      </c>
      <c r="R35" s="70">
        <f>IFERROR(R13+R15+R16+R17+R18+R19+R20+R21+R22+R23+R24+R25+R26+R29+R30+R31+R32+R33, "NA")</f>
        <v>7633.42</v>
      </c>
      <c r="S35" s="71">
        <f>IFERROR(R35/R148, "NA")</f>
        <v>0.233156564</v>
      </c>
      <c r="T35" s="70">
        <f>IFERROR(T13+T15+T16+T17+T18+T19+T20+T21+T22+T23+T24+T25+T26+T29+T30+T31+T32+T33, "NA")</f>
        <v>5565.32</v>
      </c>
      <c r="U35" s="71">
        <f>IFERROR(T35/T148, "NA")</f>
        <v>0.2274932584</v>
      </c>
      <c r="V35" s="70">
        <f>IFERROR(V13+V15+V16+V17+V18+V19+V20+V21+V22+V23+V24+V25+V26+V29+V30+V31+V32+V33, "NA")</f>
        <v>6258.7</v>
      </c>
      <c r="W35" s="71">
        <f>IFERROR(V35/V148, "NA")</f>
        <v>0.2449683002</v>
      </c>
      <c r="X35" s="70">
        <f>IFERROR(X13+X15+X16+X17+X18+X19+X20+X21+X22+X23+X24+X25+X26+X29+X30+X31+X32+X33, "NA")</f>
        <v>6734.59</v>
      </c>
      <c r="Y35" s="71">
        <f>IFERROR(X35/X148, "NA")</f>
        <v>0.2289437927</v>
      </c>
      <c r="Z35" s="70">
        <f>IFERROR(Z13+Z15+Z16+Z17+Z18+Z19+Z20+Z21+Z22+Z23+Z24+Z25+Z26+Z29+Z30+Z31+Z32+Z33, "NA")</f>
        <v>18558.61</v>
      </c>
      <c r="AA35" s="71">
        <f>IFERROR(Z35/Z148, "NA")</f>
        <v>0.2336514807</v>
      </c>
      <c r="AB35" s="70">
        <f t="shared" si="13"/>
        <v>6548.0075</v>
      </c>
      <c r="AC35" s="71">
        <f>IFERROR(AB35/AB148, "NA")</f>
        <v>0.2335070251</v>
      </c>
      <c r="AD35" s="75">
        <f t="shared" si="14"/>
        <v>186.5825</v>
      </c>
      <c r="AE35" s="76">
        <f>IFERROR(AD35/AD148, "NA")</f>
        <v>0.1358055019</v>
      </c>
      <c r="AF35" s="75">
        <f t="shared" si="15"/>
        <v>0.02849454586</v>
      </c>
      <c r="AG35" s="70">
        <f t="shared" si="16"/>
        <v>6276.6975</v>
      </c>
      <c r="AH35" s="71">
        <f>IFERROR(AG35/AG148, "NA")</f>
        <v>0.2285952288</v>
      </c>
      <c r="AI35" s="75">
        <f t="shared" si="17"/>
        <v>457.8925</v>
      </c>
      <c r="AJ35" s="76">
        <f>IFERROR(AI35/AI148, "NA")</f>
        <v>0.2338312777</v>
      </c>
      <c r="AK35" s="75">
        <f t="shared" si="18"/>
        <v>0.07295118173</v>
      </c>
      <c r="AL35" s="76">
        <f>IFERROR(AK35/AK148, "NA")</f>
        <v>1.022905329</v>
      </c>
    </row>
    <row r="36" ht="16.5" customHeight="1">
      <c r="A36" s="22" t="s">
        <v>94</v>
      </c>
      <c r="B36" s="23"/>
      <c r="C36" s="10"/>
      <c r="D36" s="23"/>
      <c r="E36" s="10"/>
      <c r="F36" s="23"/>
      <c r="G36" s="10"/>
      <c r="H36" s="23"/>
      <c r="I36" s="10"/>
      <c r="J36" s="23"/>
      <c r="K36" s="10"/>
      <c r="L36" s="23"/>
      <c r="M36" s="10"/>
      <c r="N36" s="23"/>
      <c r="O36" s="10"/>
      <c r="P36" s="23"/>
      <c r="Q36" s="10"/>
      <c r="R36" s="23"/>
      <c r="S36" s="10"/>
      <c r="T36" s="23"/>
      <c r="U36" s="10"/>
      <c r="V36" s="23"/>
      <c r="W36" s="10"/>
      <c r="X36" s="23"/>
      <c r="Y36" s="10"/>
      <c r="Z36" s="23"/>
      <c r="AA36" s="10"/>
      <c r="AB36" s="23"/>
      <c r="AC36" s="10"/>
      <c r="AD36" s="24"/>
      <c r="AE36" s="25"/>
      <c r="AF36" s="24"/>
      <c r="AG36" s="23"/>
      <c r="AH36" s="10"/>
      <c r="AI36" s="24"/>
      <c r="AJ36" s="25"/>
      <c r="AK36" s="24"/>
      <c r="AL36" s="25"/>
    </row>
    <row r="37" ht="16.5" hidden="1" customHeight="1">
      <c r="A37" s="26" t="s">
        <v>95</v>
      </c>
      <c r="B37" s="28">
        <v>0.0</v>
      </c>
      <c r="C37" s="15">
        <f>IFERROR(B37/B148, "NA")</f>
        <v>0</v>
      </c>
      <c r="D37" s="28">
        <v>0.0</v>
      </c>
      <c r="E37" s="15">
        <f>IFERROR(D37/D148, "NA")</f>
        <v>0</v>
      </c>
      <c r="F37" s="28">
        <v>0.0</v>
      </c>
      <c r="G37" s="15">
        <f>IFERROR(F37/F148, "NA")</f>
        <v>0</v>
      </c>
      <c r="H37" s="28">
        <v>0.0</v>
      </c>
      <c r="I37" s="15">
        <f>IFERROR(H37/H148, "NA")</f>
        <v>0</v>
      </c>
      <c r="J37" s="28">
        <v>0.0</v>
      </c>
      <c r="K37" s="15">
        <f>IFERROR(J37/J148, "NA")</f>
        <v>0</v>
      </c>
      <c r="L37" s="28">
        <v>0.0</v>
      </c>
      <c r="M37" s="15">
        <f>IFERROR(L37/L148, "NA")</f>
        <v>0</v>
      </c>
      <c r="N37" s="28">
        <v>0.0</v>
      </c>
      <c r="O37" s="15">
        <f>IFERROR(N37/N148, "NA")</f>
        <v>0</v>
      </c>
      <c r="P37" s="28">
        <v>0.0</v>
      </c>
      <c r="Q37" s="15">
        <f>IFERROR(P37/P148, "NA")</f>
        <v>0</v>
      </c>
      <c r="R37" s="28">
        <v>0.0</v>
      </c>
      <c r="S37" s="15">
        <f>IFERROR(R37/R148, "NA")</f>
        <v>0</v>
      </c>
      <c r="T37" s="28">
        <v>0.0</v>
      </c>
      <c r="U37" s="15">
        <f>IFERROR(T37/T148, "NA")</f>
        <v>0</v>
      </c>
      <c r="V37" s="28">
        <v>0.0</v>
      </c>
      <c r="W37" s="15">
        <f>IFERROR(V37/V148, "NA")</f>
        <v>0</v>
      </c>
      <c r="X37" s="28">
        <v>0.0</v>
      </c>
      <c r="Y37" s="15">
        <f>IFERROR(X37/X148, "NA")</f>
        <v>0</v>
      </c>
      <c r="Z37" s="28">
        <v>0.0</v>
      </c>
      <c r="AA37" s="15">
        <f>IFERROR(Z37/Z148, "NA")</f>
        <v>0</v>
      </c>
      <c r="AB37" s="57">
        <f>IFERROR((R37+T37+V37+X37)/4, "NA")</f>
        <v>0</v>
      </c>
      <c r="AC37" s="15">
        <f>IFERROR(AB37/AB148, "NA")</f>
        <v>0</v>
      </c>
      <c r="AD37" s="61">
        <f>IFERROR(X37-AB37, "NA")</f>
        <v>0</v>
      </c>
      <c r="AE37" s="62">
        <f>IFERROR(AD37/AD148, "NA")</f>
        <v>0</v>
      </c>
      <c r="AF37" s="61" t="str">
        <f>IFERROR((X37-AB37)/AB37, "NA")</f>
        <v>NA</v>
      </c>
      <c r="AG37" s="57">
        <f>IFERROR((J37+L37+N37+P37+R37+T37+V37+X37)/8, "NA")</f>
        <v>0</v>
      </c>
      <c r="AH37" s="15">
        <f>IFERROR(AG37/AG148, "NA")</f>
        <v>0</v>
      </c>
      <c r="AI37" s="61">
        <f>IFERROR(X37-AG37, "NA")</f>
        <v>0</v>
      </c>
      <c r="AJ37" s="62">
        <f>IFERROR(AI37/AI148, "NA")</f>
        <v>0</v>
      </c>
      <c r="AK37" s="61" t="str">
        <f>IFERROR((X37-AG37)/AG37, "NA")</f>
        <v>NA</v>
      </c>
      <c r="AL37" s="62" t="str">
        <f>IFERROR(AK37/AK148, "NA")</f>
        <v>NA</v>
      </c>
    </row>
    <row r="38" ht="16.5" customHeight="1">
      <c r="A38" s="22" t="s">
        <v>96</v>
      </c>
      <c r="B38" s="23"/>
      <c r="C38" s="10"/>
      <c r="D38" s="23"/>
      <c r="E38" s="10"/>
      <c r="F38" s="23"/>
      <c r="G38" s="10"/>
      <c r="H38" s="23"/>
      <c r="I38" s="10"/>
      <c r="J38" s="23"/>
      <c r="K38" s="10"/>
      <c r="L38" s="23"/>
      <c r="M38" s="10"/>
      <c r="N38" s="23"/>
      <c r="O38" s="10"/>
      <c r="P38" s="23"/>
      <c r="Q38" s="10"/>
      <c r="R38" s="23"/>
      <c r="S38" s="10"/>
      <c r="T38" s="23"/>
      <c r="U38" s="10"/>
      <c r="V38" s="23"/>
      <c r="W38" s="10"/>
      <c r="X38" s="23"/>
      <c r="Y38" s="10"/>
      <c r="Z38" s="23"/>
      <c r="AA38" s="10"/>
      <c r="AB38" s="23"/>
      <c r="AC38" s="10"/>
      <c r="AD38" s="24"/>
      <c r="AE38" s="25"/>
      <c r="AF38" s="24"/>
      <c r="AG38" s="23"/>
      <c r="AH38" s="10"/>
      <c r="AI38" s="24"/>
      <c r="AJ38" s="25"/>
      <c r="AK38" s="24"/>
      <c r="AL38" s="25"/>
    </row>
    <row r="39" ht="16.5" hidden="1" customHeight="1">
      <c r="A39" s="26" t="s">
        <v>97</v>
      </c>
      <c r="B39" s="28">
        <v>0.0</v>
      </c>
      <c r="C39" s="15">
        <f>IFERROR(B39/B148, "NA")</f>
        <v>0</v>
      </c>
      <c r="D39" s="28">
        <v>0.0</v>
      </c>
      <c r="E39" s="15">
        <f>IFERROR(D39/D148, "NA")</f>
        <v>0</v>
      </c>
      <c r="F39" s="28">
        <v>0.0</v>
      </c>
      <c r="G39" s="15">
        <f>IFERROR(F39/F148, "NA")</f>
        <v>0</v>
      </c>
      <c r="H39" s="28">
        <v>0.0</v>
      </c>
      <c r="I39" s="15">
        <f>IFERROR(H39/H148, "NA")</f>
        <v>0</v>
      </c>
      <c r="J39" s="28">
        <v>0.0</v>
      </c>
      <c r="K39" s="15">
        <f>IFERROR(J39/J148, "NA")</f>
        <v>0</v>
      </c>
      <c r="L39" s="28">
        <v>0.0</v>
      </c>
      <c r="M39" s="15">
        <f>IFERROR(L39/L148, "NA")</f>
        <v>0</v>
      </c>
      <c r="N39" s="28">
        <v>0.0</v>
      </c>
      <c r="O39" s="15">
        <f>IFERROR(N39/N148, "NA")</f>
        <v>0</v>
      </c>
      <c r="P39" s="28">
        <v>0.0</v>
      </c>
      <c r="Q39" s="15">
        <f>IFERROR(P39/P148, "NA")</f>
        <v>0</v>
      </c>
      <c r="R39" s="28">
        <v>0.0</v>
      </c>
      <c r="S39" s="15">
        <f>IFERROR(R39/R148, "NA")</f>
        <v>0</v>
      </c>
      <c r="T39" s="28">
        <v>0.0</v>
      </c>
      <c r="U39" s="15">
        <f>IFERROR(T39/T148, "NA")</f>
        <v>0</v>
      </c>
      <c r="V39" s="28">
        <v>0.0</v>
      </c>
      <c r="W39" s="15">
        <f>IFERROR(V39/V148, "NA")</f>
        <v>0</v>
      </c>
      <c r="X39" s="28">
        <v>0.0</v>
      </c>
      <c r="Y39" s="15">
        <f>IFERROR(X39/X148, "NA")</f>
        <v>0</v>
      </c>
      <c r="Z39" s="28">
        <v>0.0</v>
      </c>
      <c r="AA39" s="15">
        <f>IFERROR(Z39/Z148, "NA")</f>
        <v>0</v>
      </c>
      <c r="AB39" s="57">
        <f t="shared" ref="AB39:AB44" si="19">IFERROR((R39+T39+V39+X39)/4, "NA")</f>
        <v>0</v>
      </c>
      <c r="AC39" s="15">
        <f>IFERROR(AB39/AB148, "NA")</f>
        <v>0</v>
      </c>
      <c r="AD39" s="61">
        <f t="shared" ref="AD39:AD44" si="20">IFERROR(X39-AB39, "NA")</f>
        <v>0</v>
      </c>
      <c r="AE39" s="62">
        <f>IFERROR(AD39/AD148, "NA")</f>
        <v>0</v>
      </c>
      <c r="AF39" s="61" t="str">
        <f t="shared" ref="AF39:AF44" si="21">IFERROR((X39-AB39)/AB39, "NA")</f>
        <v>NA</v>
      </c>
      <c r="AG39" s="57">
        <f t="shared" ref="AG39:AG44" si="22">IFERROR((J39+L39+N39+P39+R39+T39+V39+X39)/8, "NA")</f>
        <v>0</v>
      </c>
      <c r="AH39" s="15">
        <f>IFERROR(AG39/AG148, "NA")</f>
        <v>0</v>
      </c>
      <c r="AI39" s="61">
        <f t="shared" ref="AI39:AI44" si="23">IFERROR(X39-AG39, "NA")</f>
        <v>0</v>
      </c>
      <c r="AJ39" s="62">
        <f>IFERROR(AI39/AI148, "NA")</f>
        <v>0</v>
      </c>
      <c r="AK39" s="61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6" t="s">
        <v>100</v>
      </c>
      <c r="B40" s="28">
        <v>349.54</v>
      </c>
      <c r="C40" s="15">
        <f>IFERROR(B40/B148, "NA")</f>
        <v>0.0305287374</v>
      </c>
      <c r="D40" s="28">
        <v>449.96</v>
      </c>
      <c r="E40" s="15">
        <f>IFERROR(D40/D148, "NA")</f>
        <v>0.025125934</v>
      </c>
      <c r="F40" s="28">
        <v>783.48</v>
      </c>
      <c r="G40" s="15">
        <f>IFERROR(F40/F148, "NA")</f>
        <v>0.0339256803</v>
      </c>
      <c r="H40" s="28">
        <v>755.37</v>
      </c>
      <c r="I40" s="15">
        <f>IFERROR(H40/H148, "NA")</f>
        <v>0.0292207114</v>
      </c>
      <c r="J40" s="28">
        <v>626.75</v>
      </c>
      <c r="K40" s="15">
        <f>IFERROR(J40/J148, "NA")</f>
        <v>0.02608337023</v>
      </c>
      <c r="L40" s="28">
        <v>719.03</v>
      </c>
      <c r="M40" s="15">
        <f>IFERROR(L40/L148, "NA")</f>
        <v>0.02662482411</v>
      </c>
      <c r="N40" s="28">
        <v>886.17</v>
      </c>
      <c r="O40" s="15">
        <f>IFERROR(N40/N148, "NA")</f>
        <v>0.0295014643</v>
      </c>
      <c r="P40" s="28">
        <v>750.14</v>
      </c>
      <c r="Q40" s="15">
        <f>IFERROR(P40/P148, "NA")</f>
        <v>0.02839225014</v>
      </c>
      <c r="R40" s="28">
        <v>834.35</v>
      </c>
      <c r="S40" s="15">
        <f>IFERROR(R40/R148, "NA")</f>
        <v>0.02548453762</v>
      </c>
      <c r="T40" s="28">
        <v>687.76</v>
      </c>
      <c r="U40" s="15">
        <f>IFERROR(T40/T148, "NA")</f>
        <v>0.02811352508</v>
      </c>
      <c r="V40" s="28">
        <v>663.04</v>
      </c>
      <c r="W40" s="15">
        <f>IFERROR(V40/V148, "NA")</f>
        <v>0.02595168034</v>
      </c>
      <c r="X40" s="28">
        <v>802.92</v>
      </c>
      <c r="Y40" s="15">
        <f>IFERROR(X40/X148, "NA")</f>
        <v>0.02729543298</v>
      </c>
      <c r="Z40" s="28">
        <v>2153.72</v>
      </c>
      <c r="AA40" s="15">
        <f>IFERROR(Z40/Z148, "NA")</f>
        <v>0.0271151701</v>
      </c>
      <c r="AB40" s="57">
        <f t="shared" si="19"/>
        <v>747.0175</v>
      </c>
      <c r="AC40" s="15">
        <f>IFERROR(AB40/AB148, "NA")</f>
        <v>0.02663922332</v>
      </c>
      <c r="AD40" s="61">
        <f t="shared" si="20"/>
        <v>55.9025</v>
      </c>
      <c r="AE40" s="62">
        <f>IFERROR(AD40/AD148, "NA")</f>
        <v>0.04068906285</v>
      </c>
      <c r="AF40" s="61">
        <f t="shared" si="21"/>
        <v>0.07483425756</v>
      </c>
      <c r="AG40" s="57">
        <f t="shared" si="22"/>
        <v>746.27</v>
      </c>
      <c r="AH40" s="15">
        <f>IFERROR(AG40/AG148, "NA")</f>
        <v>0.02717890442</v>
      </c>
      <c r="AI40" s="61">
        <f t="shared" si="23"/>
        <v>56.65</v>
      </c>
      <c r="AJ40" s="62">
        <f>IFERROR(AI40/AI148, "NA")</f>
        <v>0.02892937072</v>
      </c>
      <c r="AK40" s="61">
        <f t="shared" si="24"/>
        <v>0.07591086336</v>
      </c>
      <c r="AL40" s="62">
        <f>IFERROR(AK40/AK148, "NA")</f>
        <v>1.06440533</v>
      </c>
    </row>
    <row r="41" ht="16.5" customHeight="1">
      <c r="A41" s="26" t="s">
        <v>101</v>
      </c>
      <c r="B41" s="28">
        <v>187.36</v>
      </c>
      <c r="C41" s="15">
        <f>IFERROR(B41/B148, "NA")</f>
        <v>0.01636397619</v>
      </c>
      <c r="D41" s="28">
        <v>93.37</v>
      </c>
      <c r="E41" s="15">
        <f>IFERROR(D41/D148, "NA")</f>
        <v>0.005213815578</v>
      </c>
      <c r="F41" s="28">
        <v>351.52</v>
      </c>
      <c r="G41" s="15">
        <f>IFERROR(F41/F148, "NA")</f>
        <v>0.015221263</v>
      </c>
      <c r="H41" s="28">
        <v>360.9</v>
      </c>
      <c r="I41" s="15">
        <f>IFERROR(H41/H148, "NA")</f>
        <v>0.01396104524</v>
      </c>
      <c r="J41" s="28">
        <v>202.92</v>
      </c>
      <c r="K41" s="15">
        <f>IFERROR(J41/J148, "NA")</f>
        <v>0.008444894277</v>
      </c>
      <c r="L41" s="28">
        <v>264.94</v>
      </c>
      <c r="M41" s="15">
        <f>IFERROR(L41/L148, "NA")</f>
        <v>0.009810412501</v>
      </c>
      <c r="N41" s="28">
        <v>313.13</v>
      </c>
      <c r="O41" s="15">
        <f>IFERROR(N41/N148, "NA")</f>
        <v>0.01042440335</v>
      </c>
      <c r="P41" s="28">
        <v>228.32</v>
      </c>
      <c r="Q41" s="15">
        <f>IFERROR(P41/P148, "NA")</f>
        <v>0.008641744942</v>
      </c>
      <c r="R41" s="28">
        <v>236.6</v>
      </c>
      <c r="S41" s="15">
        <f>IFERROR(R41/R148, "NA")</f>
        <v>0.007226753282</v>
      </c>
      <c r="T41" s="28">
        <v>174.77</v>
      </c>
      <c r="U41" s="15">
        <f>IFERROR(T41/T148, "NA")</f>
        <v>0.007144063013</v>
      </c>
      <c r="V41" s="28">
        <v>272.22</v>
      </c>
      <c r="W41" s="15">
        <f>IFERROR(V41/V148, "NA")</f>
        <v>0.01065481181</v>
      </c>
      <c r="X41" s="28">
        <v>315.3</v>
      </c>
      <c r="Y41" s="15">
        <f>IFERROR(X41/X148, "NA")</f>
        <v>0.01071868931</v>
      </c>
      <c r="Z41" s="28">
        <v>762.29</v>
      </c>
      <c r="AA41" s="15">
        <f>IFERROR(Z41/Z148, "NA")</f>
        <v>0.009597172807</v>
      </c>
      <c r="AB41" s="57">
        <f t="shared" si="19"/>
        <v>249.7225</v>
      </c>
      <c r="AC41" s="15">
        <f>IFERROR(AB41/AB148, "NA")</f>
        <v>0.008905297997</v>
      </c>
      <c r="AD41" s="61">
        <f t="shared" si="20"/>
        <v>65.5775</v>
      </c>
      <c r="AE41" s="62">
        <f>IFERROR(AD41/AD148, "NA")</f>
        <v>0.04773108571</v>
      </c>
      <c r="AF41" s="61">
        <f t="shared" si="21"/>
        <v>0.2626014877</v>
      </c>
      <c r="AG41" s="57">
        <f t="shared" si="22"/>
        <v>251.025</v>
      </c>
      <c r="AH41" s="15">
        <f>IFERROR(AG41/AG148, "NA")</f>
        <v>0.009142246749</v>
      </c>
      <c r="AI41" s="61">
        <f t="shared" si="23"/>
        <v>64.275</v>
      </c>
      <c r="AJ41" s="62">
        <f>IFERROR(AI41/AI148, "NA")</f>
        <v>0.03282321805</v>
      </c>
      <c r="AK41" s="61">
        <f t="shared" si="24"/>
        <v>0.2560501942</v>
      </c>
      <c r="AL41" s="62">
        <f>IFERROR(AK41/AK148, "NA")</f>
        <v>3.590279168</v>
      </c>
    </row>
    <row r="42" ht="16.5" customHeight="1">
      <c r="A42" s="26" t="s">
        <v>102</v>
      </c>
      <c r="B42" s="28">
        <v>0.0</v>
      </c>
      <c r="C42" s="15">
        <f>IFERROR(B42/B148, "NA")</f>
        <v>0</v>
      </c>
      <c r="D42" s="28">
        <v>0.0</v>
      </c>
      <c r="E42" s="15">
        <f>IFERROR(D42/D148, "NA")</f>
        <v>0</v>
      </c>
      <c r="F42" s="28">
        <v>0.0</v>
      </c>
      <c r="G42" s="15">
        <f>IFERROR(F42/F148, "NA")</f>
        <v>0</v>
      </c>
      <c r="H42" s="28">
        <v>0.0</v>
      </c>
      <c r="I42" s="15">
        <f>IFERROR(H42/H148, "NA")</f>
        <v>0</v>
      </c>
      <c r="J42" s="28">
        <v>0.0</v>
      </c>
      <c r="K42" s="15">
        <f>IFERROR(J42/J148, "NA")</f>
        <v>0</v>
      </c>
      <c r="L42" s="28">
        <v>0.0</v>
      </c>
      <c r="M42" s="15">
        <f>IFERROR(L42/L148, "NA")</f>
        <v>0</v>
      </c>
      <c r="N42" s="28">
        <v>17.64</v>
      </c>
      <c r="O42" s="15">
        <f>IFERROR(N42/N148, "NA")</f>
        <v>0.0005872528187</v>
      </c>
      <c r="P42" s="28">
        <v>0.0</v>
      </c>
      <c r="Q42" s="15">
        <f>IFERROR(P42/P148, "NA")</f>
        <v>0</v>
      </c>
      <c r="R42" s="28">
        <v>39.98</v>
      </c>
      <c r="S42" s="15">
        <f>IFERROR(R42/R148, "NA")</f>
        <v>0.001221156366</v>
      </c>
      <c r="T42" s="28">
        <v>0.0</v>
      </c>
      <c r="U42" s="15">
        <f>IFERROR(T42/T148, "NA")</f>
        <v>0</v>
      </c>
      <c r="V42" s="28">
        <v>0.0</v>
      </c>
      <c r="W42" s="15">
        <f>IFERROR(V42/V148, "NA")</f>
        <v>0</v>
      </c>
      <c r="X42" s="28">
        <v>0.0</v>
      </c>
      <c r="Y42" s="15">
        <f>IFERROR(X42/X148, "NA")</f>
        <v>0</v>
      </c>
      <c r="Z42" s="28">
        <v>0.0</v>
      </c>
      <c r="AA42" s="15">
        <f>IFERROR(Z42/Z148, "NA")</f>
        <v>0</v>
      </c>
      <c r="AB42" s="57">
        <f t="shared" si="19"/>
        <v>9.995</v>
      </c>
      <c r="AC42" s="15">
        <f>IFERROR(AB42/AB148, "NA")</f>
        <v>0.0003564294506</v>
      </c>
      <c r="AD42" s="61">
        <f t="shared" si="20"/>
        <v>-9.995</v>
      </c>
      <c r="AE42" s="62">
        <f>IFERROR(AD42/AD148, "NA")</f>
        <v>-0.007274937313</v>
      </c>
      <c r="AF42" s="61">
        <f t="shared" si="21"/>
        <v>-1</v>
      </c>
      <c r="AG42" s="57">
        <f t="shared" si="22"/>
        <v>7.2025</v>
      </c>
      <c r="AH42" s="15">
        <f>IFERROR(AG42/AG148, "NA")</f>
        <v>0.000262312647</v>
      </c>
      <c r="AI42" s="61">
        <f t="shared" si="23"/>
        <v>-7.2025</v>
      </c>
      <c r="AJ42" s="62">
        <f>IFERROR(AI42/AI148, "NA")</f>
        <v>-0.003678089896</v>
      </c>
      <c r="AK42" s="61">
        <f t="shared" si="24"/>
        <v>-1</v>
      </c>
      <c r="AL42" s="62">
        <f>IFERROR(AK42/AK148, "NA")</f>
        <v>-14.02177873</v>
      </c>
    </row>
    <row r="43" ht="16.5" hidden="1" customHeight="1">
      <c r="A43" s="26" t="s">
        <v>103</v>
      </c>
      <c r="B43" s="28">
        <v>0.0</v>
      </c>
      <c r="C43" s="15">
        <f>IFERROR(B43/B148, "NA")</f>
        <v>0</v>
      </c>
      <c r="D43" s="28">
        <v>0.0</v>
      </c>
      <c r="E43" s="15">
        <f>IFERROR(D43/D148, "NA")</f>
        <v>0</v>
      </c>
      <c r="F43" s="28">
        <v>0.0</v>
      </c>
      <c r="G43" s="15">
        <f>IFERROR(F43/F148, "NA")</f>
        <v>0</v>
      </c>
      <c r="H43" s="28">
        <v>0.0</v>
      </c>
      <c r="I43" s="15">
        <f>IFERROR(H43/H148, "NA")</f>
        <v>0</v>
      </c>
      <c r="J43" s="28">
        <v>0.0</v>
      </c>
      <c r="K43" s="15">
        <f>IFERROR(J43/J148, "NA")</f>
        <v>0</v>
      </c>
      <c r="L43" s="28">
        <v>0.0</v>
      </c>
      <c r="M43" s="15">
        <f>IFERROR(L43/L148, "NA")</f>
        <v>0</v>
      </c>
      <c r="N43" s="28">
        <v>0.0</v>
      </c>
      <c r="O43" s="15">
        <f>IFERROR(N43/N148, "NA")</f>
        <v>0</v>
      </c>
      <c r="P43" s="28">
        <v>0.0</v>
      </c>
      <c r="Q43" s="15">
        <f>IFERROR(P43/P148, "NA")</f>
        <v>0</v>
      </c>
      <c r="R43" s="28">
        <v>0.0</v>
      </c>
      <c r="S43" s="15">
        <f>IFERROR(R43/R148, "NA")</f>
        <v>0</v>
      </c>
      <c r="T43" s="28">
        <v>0.0</v>
      </c>
      <c r="U43" s="15">
        <f>IFERROR(T43/T148, "NA")</f>
        <v>0</v>
      </c>
      <c r="V43" s="28">
        <v>0.0</v>
      </c>
      <c r="W43" s="15">
        <f>IFERROR(V43/V148, "NA")</f>
        <v>0</v>
      </c>
      <c r="X43" s="28">
        <v>0.0</v>
      </c>
      <c r="Y43" s="15">
        <f>IFERROR(X43/X148, "NA")</f>
        <v>0</v>
      </c>
      <c r="Z43" s="28">
        <v>0.0</v>
      </c>
      <c r="AA43" s="15">
        <f>IFERROR(Z43/Z148, "NA")</f>
        <v>0</v>
      </c>
      <c r="AB43" s="57">
        <f t="shared" si="19"/>
        <v>0</v>
      </c>
      <c r="AC43" s="15">
        <f>IFERROR(AB43/AB148, "NA")</f>
        <v>0</v>
      </c>
      <c r="AD43" s="61">
        <f t="shared" si="20"/>
        <v>0</v>
      </c>
      <c r="AE43" s="62">
        <f>IFERROR(AD43/AD148, "NA")</f>
        <v>0</v>
      </c>
      <c r="AF43" s="61" t="str">
        <f t="shared" si="21"/>
        <v>NA</v>
      </c>
      <c r="AG43" s="57">
        <f t="shared" si="22"/>
        <v>0</v>
      </c>
      <c r="AH43" s="15">
        <f>IFERROR(AG43/AG148, "NA")</f>
        <v>0</v>
      </c>
      <c r="AI43" s="61">
        <f t="shared" si="23"/>
        <v>0</v>
      </c>
      <c r="AJ43" s="62">
        <f>IFERROR(AI43/AI148, "NA")</f>
        <v>0</v>
      </c>
      <c r="AK43" s="61" t="str">
        <f t="shared" si="24"/>
        <v>NA</v>
      </c>
      <c r="AL43" s="62" t="str">
        <f>IFERROR(AK43/AK148, "NA")</f>
        <v>NA</v>
      </c>
    </row>
    <row r="44" ht="16.5" customHeight="1">
      <c r="A44" s="67" t="s">
        <v>104</v>
      </c>
      <c r="B44" s="70">
        <f>IFERROR(B39+B40+B41+B42+B43, "NA")</f>
        <v>536.9</v>
      </c>
      <c r="C44" s="71">
        <f>IFERROR(B44/B148, "NA")</f>
        <v>0.04689271359</v>
      </c>
      <c r="D44" s="70">
        <f>IFERROR(D39+D40+D41+D42+D43, "NA")</f>
        <v>543.33</v>
      </c>
      <c r="E44" s="71">
        <f>IFERROR(D44/D148, "NA")</f>
        <v>0.03033974958</v>
      </c>
      <c r="F44" s="70">
        <f>IFERROR(F39+F40+F41+F42+F43, "NA")</f>
        <v>1135</v>
      </c>
      <c r="G44" s="71">
        <f>IFERROR(F44/F148, "NA")</f>
        <v>0.0491469433</v>
      </c>
      <c r="H44" s="70">
        <f>IFERROR(H39+H40+H41+H42+H43, "NA")</f>
        <v>1116.27</v>
      </c>
      <c r="I44" s="71">
        <f>IFERROR(H44/H148, "NA")</f>
        <v>0.04318175664</v>
      </c>
      <c r="J44" s="70">
        <f>IFERROR(J39+J40+J41+J42+J43, "NA")</f>
        <v>829.67</v>
      </c>
      <c r="K44" s="71">
        <f>IFERROR(J44/J148, "NA")</f>
        <v>0.03452826451</v>
      </c>
      <c r="L44" s="70">
        <f>IFERROR(L39+L40+L41+L42+L43, "NA")</f>
        <v>983.97</v>
      </c>
      <c r="M44" s="71">
        <f>IFERROR(L44/L148, "NA")</f>
        <v>0.03643523661</v>
      </c>
      <c r="N44" s="70">
        <f>IFERROR(N39+N40+N41+N42+N43, "NA")</f>
        <v>1216.94</v>
      </c>
      <c r="O44" s="71">
        <f>IFERROR(N44/N148, "NA")</f>
        <v>0.04051312047</v>
      </c>
      <c r="P44" s="70">
        <f>IFERROR(P39+P40+P41+P42+P43, "NA")</f>
        <v>978.46</v>
      </c>
      <c r="Q44" s="71">
        <f>IFERROR(P44/P148, "NA")</f>
        <v>0.03703399508</v>
      </c>
      <c r="R44" s="70">
        <f>IFERROR(R39+R40+R41+R42+R43, "NA")</f>
        <v>1110.93</v>
      </c>
      <c r="S44" s="71">
        <f>IFERROR(R44/R148, "NA")</f>
        <v>0.03393244727</v>
      </c>
      <c r="T44" s="70">
        <f>IFERROR(T39+T40+T41+T42+T43, "NA")</f>
        <v>862.53</v>
      </c>
      <c r="U44" s="71">
        <f>IFERROR(T44/T148, "NA")</f>
        <v>0.03525758809</v>
      </c>
      <c r="V44" s="70">
        <f>IFERROR(V39+V40+V41+V42+V43, "NA")</f>
        <v>935.26</v>
      </c>
      <c r="W44" s="71">
        <f>IFERROR(V44/V148, "NA")</f>
        <v>0.03660649215</v>
      </c>
      <c r="X44" s="70">
        <f>IFERROR(X39+X40+X41+X42+X43, "NA")</f>
        <v>1118.22</v>
      </c>
      <c r="Y44" s="71">
        <f>IFERROR(X44/X148, "NA")</f>
        <v>0.03801412229</v>
      </c>
      <c r="Z44" s="70">
        <f>IFERROR(Z39+Z40+Z41+Z42+Z43, "NA")</f>
        <v>2916.01</v>
      </c>
      <c r="AA44" s="71">
        <f>IFERROR(Z44/Z148, "NA")</f>
        <v>0.03671234291</v>
      </c>
      <c r="AB44" s="70">
        <f t="shared" si="19"/>
        <v>1006.735</v>
      </c>
      <c r="AC44" s="71">
        <f>IFERROR(AB44/AB148, "NA")</f>
        <v>0.03590095077</v>
      </c>
      <c r="AD44" s="75">
        <f t="shared" si="20"/>
        <v>111.485</v>
      </c>
      <c r="AE44" s="76">
        <f>IFERROR(AD44/AD148, "NA")</f>
        <v>0.08114521124</v>
      </c>
      <c r="AF44" s="75">
        <f t="shared" si="21"/>
        <v>0.1107391717</v>
      </c>
      <c r="AG44" s="70">
        <f t="shared" si="22"/>
        <v>1004.4975</v>
      </c>
      <c r="AH44" s="71">
        <f>IFERROR(AG44/AG148, "NA")</f>
        <v>0.03658346381</v>
      </c>
      <c r="AI44" s="75">
        <f t="shared" si="23"/>
        <v>113.7225</v>
      </c>
      <c r="AJ44" s="76">
        <f>IFERROR(AI44/AI148, "NA")</f>
        <v>0.05807449887</v>
      </c>
      <c r="AK44" s="75">
        <f t="shared" si="24"/>
        <v>0.1132133231</v>
      </c>
      <c r="AL44" s="76">
        <f>IFERROR(AK44/AK148, "NA")</f>
        <v>1.587452166</v>
      </c>
    </row>
    <row r="45" ht="16.5" customHeight="1">
      <c r="A45" s="22" t="s">
        <v>105</v>
      </c>
      <c r="B45" s="23"/>
      <c r="C45" s="10"/>
      <c r="D45" s="23"/>
      <c r="E45" s="10"/>
      <c r="F45" s="23"/>
      <c r="G45" s="10"/>
      <c r="H45" s="23"/>
      <c r="I45" s="10"/>
      <c r="J45" s="23"/>
      <c r="K45" s="10"/>
      <c r="L45" s="23"/>
      <c r="M45" s="10"/>
      <c r="N45" s="23"/>
      <c r="O45" s="10"/>
      <c r="P45" s="23"/>
      <c r="Q45" s="10"/>
      <c r="R45" s="23"/>
      <c r="S45" s="10"/>
      <c r="T45" s="23"/>
      <c r="U45" s="10"/>
      <c r="V45" s="23"/>
      <c r="W45" s="10"/>
      <c r="X45" s="23"/>
      <c r="Y45" s="10"/>
      <c r="Z45" s="23"/>
      <c r="AA45" s="10"/>
      <c r="AB45" s="23"/>
      <c r="AC45" s="10"/>
      <c r="AD45" s="24"/>
      <c r="AE45" s="25"/>
      <c r="AF45" s="24"/>
      <c r="AG45" s="23"/>
      <c r="AH45" s="10"/>
      <c r="AI45" s="24"/>
      <c r="AJ45" s="25"/>
      <c r="AK45" s="24"/>
      <c r="AL45" s="25"/>
    </row>
    <row r="46" ht="16.5" hidden="1" customHeight="1">
      <c r="A46" s="26" t="s">
        <v>106</v>
      </c>
      <c r="B46" s="28">
        <v>0.0</v>
      </c>
      <c r="C46" s="15">
        <f>IFERROR(B46/B148, "NA")</f>
        <v>0</v>
      </c>
      <c r="D46" s="28">
        <v>0.0</v>
      </c>
      <c r="E46" s="15">
        <f>IFERROR(D46/D148, "NA")</f>
        <v>0</v>
      </c>
      <c r="F46" s="28">
        <v>0.0</v>
      </c>
      <c r="G46" s="15">
        <f>IFERROR(F46/F148, "NA")</f>
        <v>0</v>
      </c>
      <c r="H46" s="28">
        <v>0.0</v>
      </c>
      <c r="I46" s="15">
        <f>IFERROR(H46/H148, "NA")</f>
        <v>0</v>
      </c>
      <c r="J46" s="28">
        <v>0.0</v>
      </c>
      <c r="K46" s="15">
        <f>IFERROR(J46/J148, "NA")</f>
        <v>0</v>
      </c>
      <c r="L46" s="28">
        <v>0.0</v>
      </c>
      <c r="M46" s="15">
        <f>IFERROR(L46/L148, "NA")</f>
        <v>0</v>
      </c>
      <c r="N46" s="28">
        <v>0.0</v>
      </c>
      <c r="O46" s="15">
        <f>IFERROR(N46/N148, "NA")</f>
        <v>0</v>
      </c>
      <c r="P46" s="28">
        <v>0.0</v>
      </c>
      <c r="Q46" s="15">
        <f>IFERROR(P46/P148, "NA")</f>
        <v>0</v>
      </c>
      <c r="R46" s="28">
        <v>0.0</v>
      </c>
      <c r="S46" s="15">
        <f>IFERROR(R46/R148, "NA")</f>
        <v>0</v>
      </c>
      <c r="T46" s="28">
        <v>0.0</v>
      </c>
      <c r="U46" s="15">
        <f>IFERROR(T46/T148, "NA")</f>
        <v>0</v>
      </c>
      <c r="V46" s="28">
        <v>0.0</v>
      </c>
      <c r="W46" s="15">
        <f>IFERROR(V46/V148, "NA")</f>
        <v>0</v>
      </c>
      <c r="X46" s="28">
        <v>0.0</v>
      </c>
      <c r="Y46" s="15">
        <f>IFERROR(X46/X148, "NA")</f>
        <v>0</v>
      </c>
      <c r="Z46" s="28">
        <v>0.0</v>
      </c>
      <c r="AA46" s="15">
        <f>IFERROR(Z46/Z148, "NA")</f>
        <v>0</v>
      </c>
      <c r="AB46" s="57">
        <f t="shared" ref="AB46:AB57" si="25">IFERROR((R46+T46+V46+X46)/4, "NA")</f>
        <v>0</v>
      </c>
      <c r="AC46" s="15">
        <f>IFERROR(AB46/AB148, "NA")</f>
        <v>0</v>
      </c>
      <c r="AD46" s="61">
        <f t="shared" ref="AD46:AD57" si="26">IFERROR(X46-AB46, "NA")</f>
        <v>0</v>
      </c>
      <c r="AE46" s="62">
        <f>IFERROR(AD46/AD148, "NA")</f>
        <v>0</v>
      </c>
      <c r="AF46" s="61" t="str">
        <f t="shared" ref="AF46:AF57" si="27">IFERROR((X46-AB46)/AB46, "NA")</f>
        <v>NA</v>
      </c>
      <c r="AG46" s="57">
        <f t="shared" ref="AG46:AG57" si="28">IFERROR((J46+L46+N46+P46+R46+T46+V46+X46)/8, "NA")</f>
        <v>0</v>
      </c>
      <c r="AH46" s="15">
        <f>IFERROR(AG46/AG148, "NA")</f>
        <v>0</v>
      </c>
      <c r="AI46" s="61">
        <f t="shared" ref="AI46:AI57" si="29">IFERROR(X46-AG46, "NA")</f>
        <v>0</v>
      </c>
      <c r="AJ46" s="62">
        <f>IFERROR(AI46/AI148, "NA")</f>
        <v>0</v>
      </c>
      <c r="AK46" s="61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6" t="s">
        <v>108</v>
      </c>
      <c r="B47" s="28">
        <v>23.51</v>
      </c>
      <c r="C47" s="15">
        <f>IFERROR(B47/B148, "NA")</f>
        <v>0.002053357602</v>
      </c>
      <c r="D47" s="28">
        <v>49.94</v>
      </c>
      <c r="E47" s="15">
        <f>IFERROR(D47/D148, "NA")</f>
        <v>0.002788668202</v>
      </c>
      <c r="F47" s="28">
        <v>98.48</v>
      </c>
      <c r="G47" s="15">
        <f>IFERROR(F47/F148, "NA")</f>
        <v>0.00426430923</v>
      </c>
      <c r="H47" s="28">
        <v>66.87</v>
      </c>
      <c r="I47" s="15">
        <f>IFERROR(H47/H148, "NA")</f>
        <v>0.002586797161</v>
      </c>
      <c r="J47" s="28">
        <v>51.08</v>
      </c>
      <c r="K47" s="15">
        <f>IFERROR(J47/J148, "NA")</f>
        <v>0.002125789472</v>
      </c>
      <c r="L47" s="28">
        <v>48.34</v>
      </c>
      <c r="M47" s="15">
        <f>IFERROR(L47/L148, "NA")</f>
        <v>0.001789972599</v>
      </c>
      <c r="N47" s="28">
        <v>50.88</v>
      </c>
      <c r="O47" s="15">
        <f>IFERROR(N47/N148, "NA")</f>
        <v>0.001693844865</v>
      </c>
      <c r="P47" s="28">
        <v>48.39</v>
      </c>
      <c r="Q47" s="15">
        <f>IFERROR(P47/P148, "NA")</f>
        <v>0.001831526094</v>
      </c>
      <c r="R47" s="28">
        <v>58.78</v>
      </c>
      <c r="S47" s="15">
        <f>IFERROR(R47/R148, "NA")</f>
        <v>0.001795386973</v>
      </c>
      <c r="T47" s="28">
        <v>43.55</v>
      </c>
      <c r="U47" s="15">
        <f>IFERROR(T47/T148, "NA")</f>
        <v>0.001780190789</v>
      </c>
      <c r="V47" s="28">
        <v>52.25</v>
      </c>
      <c r="W47" s="15">
        <f>IFERROR(V47/V148, "NA")</f>
        <v>0.002045088226</v>
      </c>
      <c r="X47" s="28">
        <v>66.71</v>
      </c>
      <c r="Y47" s="15">
        <f>IFERROR(X47/X148, "NA")</f>
        <v>0.002267820373</v>
      </c>
      <c r="Z47" s="28">
        <v>162.51</v>
      </c>
      <c r="AA47" s="15">
        <f>IFERROR(Z47/Z148, "NA")</f>
        <v>0.002045988473</v>
      </c>
      <c r="AB47" s="57">
        <f t="shared" si="25"/>
        <v>55.3225</v>
      </c>
      <c r="AC47" s="15">
        <f>IFERROR(AB47/AB148, "NA")</f>
        <v>0.00197284325</v>
      </c>
      <c r="AD47" s="61">
        <f t="shared" si="26"/>
        <v>11.3875</v>
      </c>
      <c r="AE47" s="62">
        <f>IFERROR(AD47/AD148, "NA")</f>
        <v>0.008288479105</v>
      </c>
      <c r="AF47" s="61">
        <f t="shared" si="27"/>
        <v>0.2058384925</v>
      </c>
      <c r="AG47" s="57">
        <f t="shared" si="28"/>
        <v>52.4975</v>
      </c>
      <c r="AH47" s="15">
        <f>IFERROR(AG47/AG148, "NA")</f>
        <v>0.001911941435</v>
      </c>
      <c r="AI47" s="61">
        <f t="shared" si="29"/>
        <v>14.2125</v>
      </c>
      <c r="AJ47" s="62">
        <f>IFERROR(AI47/AI148, "NA")</f>
        <v>0.007257876104</v>
      </c>
      <c r="AK47" s="61">
        <f t="shared" si="30"/>
        <v>0.2707271775</v>
      </c>
      <c r="AL47" s="62">
        <f>IFERROR(AK47/AK148, "NA")</f>
        <v>3.79607658</v>
      </c>
    </row>
    <row r="48" ht="16.5" customHeight="1">
      <c r="A48" s="26" t="s">
        <v>109</v>
      </c>
      <c r="B48" s="28">
        <v>0.0</v>
      </c>
      <c r="C48" s="15">
        <f>IFERROR(B48/B148, "NA")</f>
        <v>0</v>
      </c>
      <c r="D48" s="28">
        <v>0.0</v>
      </c>
      <c r="E48" s="15">
        <f>IFERROR(D48/D148, "NA")</f>
        <v>0</v>
      </c>
      <c r="F48" s="28">
        <v>0.0</v>
      </c>
      <c r="G48" s="15">
        <f>IFERROR(F48/F148, "NA")</f>
        <v>0</v>
      </c>
      <c r="H48" s="28">
        <v>0.0</v>
      </c>
      <c r="I48" s="15">
        <f>IFERROR(H48/H148, "NA")</f>
        <v>0</v>
      </c>
      <c r="J48" s="28">
        <v>0.0</v>
      </c>
      <c r="K48" s="15">
        <f>IFERROR(J48/J148, "NA")</f>
        <v>0</v>
      </c>
      <c r="L48" s="28">
        <v>0.0</v>
      </c>
      <c r="M48" s="15">
        <f>IFERROR(L48/L148, "NA")</f>
        <v>0</v>
      </c>
      <c r="N48" s="28">
        <v>0.0</v>
      </c>
      <c r="O48" s="15">
        <f>IFERROR(N48/N148, "NA")</f>
        <v>0</v>
      </c>
      <c r="P48" s="28">
        <v>0.0</v>
      </c>
      <c r="Q48" s="15">
        <f>IFERROR(P48/P148, "NA")</f>
        <v>0</v>
      </c>
      <c r="R48" s="28">
        <v>7.28</v>
      </c>
      <c r="S48" s="15">
        <f>IFERROR(R48/R148, "NA")</f>
        <v>0.0002223616394</v>
      </c>
      <c r="T48" s="28">
        <v>0.0</v>
      </c>
      <c r="U48" s="15">
        <f>IFERROR(T48/T148, "NA")</f>
        <v>0</v>
      </c>
      <c r="V48" s="28">
        <v>0.0</v>
      </c>
      <c r="W48" s="15">
        <f>IFERROR(V48/V148, "NA")</f>
        <v>0</v>
      </c>
      <c r="X48" s="28">
        <v>0.0</v>
      </c>
      <c r="Y48" s="15">
        <f>IFERROR(X48/X148, "NA")</f>
        <v>0</v>
      </c>
      <c r="Z48" s="28">
        <v>0.0</v>
      </c>
      <c r="AA48" s="15">
        <f>IFERROR(Z48/Z148, "NA")</f>
        <v>0</v>
      </c>
      <c r="AB48" s="57">
        <f t="shared" si="25"/>
        <v>1.82</v>
      </c>
      <c r="AC48" s="15">
        <f>IFERROR(AB48/AB148, "NA")</f>
        <v>0.00006490261131</v>
      </c>
      <c r="AD48" s="61">
        <f t="shared" si="26"/>
        <v>-1.82</v>
      </c>
      <c r="AE48" s="62">
        <f>IFERROR(AD48/AD148, "NA")</f>
        <v>-0.001324700941</v>
      </c>
      <c r="AF48" s="61">
        <f t="shared" si="27"/>
        <v>-1</v>
      </c>
      <c r="AG48" s="57">
        <f t="shared" si="28"/>
        <v>0.91</v>
      </c>
      <c r="AH48" s="15">
        <f>IFERROR(AG48/AG148, "NA")</f>
        <v>0.00003314189639</v>
      </c>
      <c r="AI48" s="61">
        <f t="shared" si="29"/>
        <v>-0.91</v>
      </c>
      <c r="AJ48" s="62">
        <f>IFERROR(AI48/AI148, "NA")</f>
        <v>-0.0004647083381</v>
      </c>
      <c r="AK48" s="61">
        <f t="shared" si="30"/>
        <v>-1</v>
      </c>
      <c r="AL48" s="62">
        <f>IFERROR(AK48/AK148, "NA")</f>
        <v>-14.02177873</v>
      </c>
    </row>
    <row r="49" ht="16.5" hidden="1" customHeight="1">
      <c r="A49" s="26" t="s">
        <v>110</v>
      </c>
      <c r="B49" s="28">
        <v>0.0</v>
      </c>
      <c r="C49" s="15">
        <f>IFERROR(B49/B148, "NA")</f>
        <v>0</v>
      </c>
      <c r="D49" s="28">
        <v>0.0</v>
      </c>
      <c r="E49" s="15">
        <f>IFERROR(D49/D148, "NA")</f>
        <v>0</v>
      </c>
      <c r="F49" s="28">
        <v>0.0</v>
      </c>
      <c r="G49" s="15">
        <f>IFERROR(F49/F148, "NA")</f>
        <v>0</v>
      </c>
      <c r="H49" s="28">
        <v>0.0</v>
      </c>
      <c r="I49" s="15">
        <f>IFERROR(H49/H148, "NA")</f>
        <v>0</v>
      </c>
      <c r="J49" s="28">
        <v>0.0</v>
      </c>
      <c r="K49" s="15">
        <f>IFERROR(J49/J148, "NA")</f>
        <v>0</v>
      </c>
      <c r="L49" s="28">
        <v>0.0</v>
      </c>
      <c r="M49" s="15">
        <f>IFERROR(L49/L148, "NA")</f>
        <v>0</v>
      </c>
      <c r="N49" s="28">
        <v>0.0</v>
      </c>
      <c r="O49" s="15">
        <f>IFERROR(N49/N148, "NA")</f>
        <v>0</v>
      </c>
      <c r="P49" s="28">
        <v>0.0</v>
      </c>
      <c r="Q49" s="15">
        <f>IFERROR(P49/P148, "NA")</f>
        <v>0</v>
      </c>
      <c r="R49" s="28">
        <v>0.0</v>
      </c>
      <c r="S49" s="15">
        <f>IFERROR(R49/R148, "NA")</f>
        <v>0</v>
      </c>
      <c r="T49" s="28">
        <v>0.0</v>
      </c>
      <c r="U49" s="15">
        <f>IFERROR(T49/T148, "NA")</f>
        <v>0</v>
      </c>
      <c r="V49" s="28">
        <v>0.0</v>
      </c>
      <c r="W49" s="15">
        <f>IFERROR(V49/V148, "NA")</f>
        <v>0</v>
      </c>
      <c r="X49" s="28">
        <v>0.0</v>
      </c>
      <c r="Y49" s="15">
        <f>IFERROR(X49/X148, "NA")</f>
        <v>0</v>
      </c>
      <c r="Z49" s="28">
        <v>0.0</v>
      </c>
      <c r="AA49" s="15">
        <f>IFERROR(Z49/Z148, "NA")</f>
        <v>0</v>
      </c>
      <c r="AB49" s="57">
        <f t="shared" si="25"/>
        <v>0</v>
      </c>
      <c r="AC49" s="15">
        <f>IFERROR(AB49/AB148, "NA")</f>
        <v>0</v>
      </c>
      <c r="AD49" s="61">
        <f t="shared" si="26"/>
        <v>0</v>
      </c>
      <c r="AE49" s="62">
        <f>IFERROR(AD49/AD148, "NA")</f>
        <v>0</v>
      </c>
      <c r="AF49" s="61" t="str">
        <f t="shared" si="27"/>
        <v>NA</v>
      </c>
      <c r="AG49" s="57">
        <f t="shared" si="28"/>
        <v>0</v>
      </c>
      <c r="AH49" s="15">
        <f>IFERROR(AG49/AG148, "NA")</f>
        <v>0</v>
      </c>
      <c r="AI49" s="61">
        <f t="shared" si="29"/>
        <v>0</v>
      </c>
      <c r="AJ49" s="62">
        <f>IFERROR(AI49/AI148, "NA")</f>
        <v>0</v>
      </c>
      <c r="AK49" s="61" t="str">
        <f t="shared" si="30"/>
        <v>NA</v>
      </c>
      <c r="AL49" s="62" t="str">
        <f>IFERROR(AK49/AK148, "NA")</f>
        <v>NA</v>
      </c>
    </row>
    <row r="50" ht="16.5" hidden="1" customHeight="1">
      <c r="A50" s="26" t="s">
        <v>111</v>
      </c>
      <c r="B50" s="28">
        <v>0.0</v>
      </c>
      <c r="C50" s="15">
        <f>IFERROR(B50/B148, "NA")</f>
        <v>0</v>
      </c>
      <c r="D50" s="28">
        <v>0.0</v>
      </c>
      <c r="E50" s="15">
        <f>IFERROR(D50/D148, "NA")</f>
        <v>0</v>
      </c>
      <c r="F50" s="28">
        <v>0.0</v>
      </c>
      <c r="G50" s="15">
        <f>IFERROR(F50/F148, "NA")</f>
        <v>0</v>
      </c>
      <c r="H50" s="28">
        <v>0.0</v>
      </c>
      <c r="I50" s="15">
        <f>IFERROR(H50/H148, "NA")</f>
        <v>0</v>
      </c>
      <c r="J50" s="28">
        <v>0.0</v>
      </c>
      <c r="K50" s="15">
        <f>IFERROR(J50/J148, "NA")</f>
        <v>0</v>
      </c>
      <c r="L50" s="28">
        <v>0.0</v>
      </c>
      <c r="M50" s="15">
        <f>IFERROR(L50/L148, "NA")</f>
        <v>0</v>
      </c>
      <c r="N50" s="28">
        <v>0.0</v>
      </c>
      <c r="O50" s="15">
        <f>IFERROR(N50/N148, "NA")</f>
        <v>0</v>
      </c>
      <c r="P50" s="28">
        <v>0.0</v>
      </c>
      <c r="Q50" s="15">
        <f>IFERROR(P50/P148, "NA")</f>
        <v>0</v>
      </c>
      <c r="R50" s="28">
        <v>0.0</v>
      </c>
      <c r="S50" s="15">
        <f>IFERROR(R50/R148, "NA")</f>
        <v>0</v>
      </c>
      <c r="T50" s="28">
        <v>0.0</v>
      </c>
      <c r="U50" s="15">
        <f>IFERROR(T50/T148, "NA")</f>
        <v>0</v>
      </c>
      <c r="V50" s="28">
        <v>0.0</v>
      </c>
      <c r="W50" s="15">
        <f>IFERROR(V50/V148, "NA")</f>
        <v>0</v>
      </c>
      <c r="X50" s="28">
        <v>0.0</v>
      </c>
      <c r="Y50" s="15">
        <f>IFERROR(X50/X148, "NA")</f>
        <v>0</v>
      </c>
      <c r="Z50" s="28">
        <v>0.0</v>
      </c>
      <c r="AA50" s="15">
        <f>IFERROR(Z50/Z148, "NA")</f>
        <v>0</v>
      </c>
      <c r="AB50" s="57">
        <f t="shared" si="25"/>
        <v>0</v>
      </c>
      <c r="AC50" s="15">
        <f>IFERROR(AB50/AB148, "NA")</f>
        <v>0</v>
      </c>
      <c r="AD50" s="61">
        <f t="shared" si="26"/>
        <v>0</v>
      </c>
      <c r="AE50" s="62">
        <f>IFERROR(AD50/AD148, "NA")</f>
        <v>0</v>
      </c>
      <c r="AF50" s="61" t="str">
        <f t="shared" si="27"/>
        <v>NA</v>
      </c>
      <c r="AG50" s="57">
        <f t="shared" si="28"/>
        <v>0</v>
      </c>
      <c r="AH50" s="15">
        <f>IFERROR(AG50/AG148, "NA")</f>
        <v>0</v>
      </c>
      <c r="AI50" s="61">
        <f t="shared" si="29"/>
        <v>0</v>
      </c>
      <c r="AJ50" s="62">
        <f>IFERROR(AI50/AI148, "NA")</f>
        <v>0</v>
      </c>
      <c r="AK50" s="61" t="str">
        <f t="shared" si="30"/>
        <v>NA</v>
      </c>
      <c r="AL50" s="62" t="str">
        <f>IFERROR(AK50/AK148, "NA")</f>
        <v>NA</v>
      </c>
    </row>
    <row r="51" ht="16.5" hidden="1" customHeight="1">
      <c r="A51" s="26" t="s">
        <v>112</v>
      </c>
      <c r="B51" s="28">
        <v>0.0</v>
      </c>
      <c r="C51" s="15">
        <f>IFERROR(B51/B148, "NA")</f>
        <v>0</v>
      </c>
      <c r="D51" s="28">
        <v>0.0</v>
      </c>
      <c r="E51" s="15">
        <f>IFERROR(D51/D148, "NA")</f>
        <v>0</v>
      </c>
      <c r="F51" s="28">
        <v>0.0</v>
      </c>
      <c r="G51" s="15">
        <f>IFERROR(F51/F148, "NA")</f>
        <v>0</v>
      </c>
      <c r="H51" s="28">
        <v>0.0</v>
      </c>
      <c r="I51" s="15">
        <f>IFERROR(H51/H148, "NA")</f>
        <v>0</v>
      </c>
      <c r="J51" s="28">
        <v>0.0</v>
      </c>
      <c r="K51" s="15">
        <f>IFERROR(J51/J148, "NA")</f>
        <v>0</v>
      </c>
      <c r="L51" s="28">
        <v>0.0</v>
      </c>
      <c r="M51" s="15">
        <f>IFERROR(L51/L148, "NA")</f>
        <v>0</v>
      </c>
      <c r="N51" s="28">
        <v>0.0</v>
      </c>
      <c r="O51" s="15">
        <f>IFERROR(N51/N148, "NA")</f>
        <v>0</v>
      </c>
      <c r="P51" s="28">
        <v>0.0</v>
      </c>
      <c r="Q51" s="15">
        <f>IFERROR(P51/P148, "NA")</f>
        <v>0</v>
      </c>
      <c r="R51" s="28">
        <v>0.0</v>
      </c>
      <c r="S51" s="15">
        <f>IFERROR(R51/R148, "NA")</f>
        <v>0</v>
      </c>
      <c r="T51" s="28">
        <v>0.0</v>
      </c>
      <c r="U51" s="15">
        <f>IFERROR(T51/T148, "NA")</f>
        <v>0</v>
      </c>
      <c r="V51" s="28">
        <v>0.0</v>
      </c>
      <c r="W51" s="15">
        <f>IFERROR(V51/V148, "NA")</f>
        <v>0</v>
      </c>
      <c r="X51" s="28">
        <v>0.0</v>
      </c>
      <c r="Y51" s="15">
        <f>IFERROR(X51/X148, "NA")</f>
        <v>0</v>
      </c>
      <c r="Z51" s="28">
        <v>0.0</v>
      </c>
      <c r="AA51" s="15">
        <f>IFERROR(Z51/Z148, "NA")</f>
        <v>0</v>
      </c>
      <c r="AB51" s="57">
        <f t="shared" si="25"/>
        <v>0</v>
      </c>
      <c r="AC51" s="15">
        <f>IFERROR(AB51/AB148, "NA")</f>
        <v>0</v>
      </c>
      <c r="AD51" s="61">
        <f t="shared" si="26"/>
        <v>0</v>
      </c>
      <c r="AE51" s="62">
        <f>IFERROR(AD51/AD148, "NA")</f>
        <v>0</v>
      </c>
      <c r="AF51" s="61" t="str">
        <f t="shared" si="27"/>
        <v>NA</v>
      </c>
      <c r="AG51" s="57">
        <f t="shared" si="28"/>
        <v>0</v>
      </c>
      <c r="AH51" s="15">
        <f>IFERROR(AG51/AG148, "NA")</f>
        <v>0</v>
      </c>
      <c r="AI51" s="61">
        <f t="shared" si="29"/>
        <v>0</v>
      </c>
      <c r="AJ51" s="62">
        <f>IFERROR(AI51/AI148, "NA")</f>
        <v>0</v>
      </c>
      <c r="AK51" s="61" t="str">
        <f t="shared" si="30"/>
        <v>NA</v>
      </c>
      <c r="AL51" s="62" t="str">
        <f>IFERROR(AK51/AK148, "NA")</f>
        <v>NA</v>
      </c>
    </row>
    <row r="52" ht="16.5" customHeight="1">
      <c r="A52" s="67" t="s">
        <v>113</v>
      </c>
      <c r="B52" s="70">
        <f>IFERROR(B46+B47+B48+B49+B50+B51, "NA")</f>
        <v>23.51</v>
      </c>
      <c r="C52" s="71">
        <f>IFERROR(B52/B148, "NA")</f>
        <v>0.002053357602</v>
      </c>
      <c r="D52" s="70">
        <f>IFERROR(D46+D47+D48+D49+D50+D51, "NA")</f>
        <v>49.94</v>
      </c>
      <c r="E52" s="71">
        <f>IFERROR(D52/D148, "NA")</f>
        <v>0.002788668202</v>
      </c>
      <c r="F52" s="70">
        <f>IFERROR(F46+F47+F48+F49+F50+F51, "NA")</f>
        <v>98.48</v>
      </c>
      <c r="G52" s="71">
        <f>IFERROR(F52/F148, "NA")</f>
        <v>0.00426430923</v>
      </c>
      <c r="H52" s="70">
        <f>IFERROR(H46+H47+H48+H49+H50+H51, "NA")</f>
        <v>66.87</v>
      </c>
      <c r="I52" s="71">
        <f>IFERROR(H52/H148, "NA")</f>
        <v>0.002586797161</v>
      </c>
      <c r="J52" s="70">
        <f>IFERROR(J46+J47+J48+J49+J50+J51, "NA")</f>
        <v>51.08</v>
      </c>
      <c r="K52" s="71">
        <f>IFERROR(J52/J148, "NA")</f>
        <v>0.002125789472</v>
      </c>
      <c r="L52" s="70">
        <f>IFERROR(L46+L47+L48+L49+L50+L51, "NA")</f>
        <v>48.34</v>
      </c>
      <c r="M52" s="71">
        <f>IFERROR(L52/L148, "NA")</f>
        <v>0.001789972599</v>
      </c>
      <c r="N52" s="70">
        <f>IFERROR(N46+N47+N48+N49+N50+N51, "NA")</f>
        <v>50.88</v>
      </c>
      <c r="O52" s="71">
        <f>IFERROR(N52/N148, "NA")</f>
        <v>0.001693844865</v>
      </c>
      <c r="P52" s="70">
        <f>IFERROR(P46+P47+P48+P49+P50+P51, "NA")</f>
        <v>48.39</v>
      </c>
      <c r="Q52" s="71">
        <f>IFERROR(P52/P148, "NA")</f>
        <v>0.001831526094</v>
      </c>
      <c r="R52" s="70">
        <f>IFERROR(R46+R47+R48+R49+R50+R51, "NA")</f>
        <v>66.06</v>
      </c>
      <c r="S52" s="71">
        <f>IFERROR(R52/R148, "NA")</f>
        <v>0.002017748613</v>
      </c>
      <c r="T52" s="70">
        <f>IFERROR(T46+T47+T48+T49+T50+T51, "NA")</f>
        <v>43.55</v>
      </c>
      <c r="U52" s="71">
        <f>IFERROR(T52/T148, "NA")</f>
        <v>0.001780190789</v>
      </c>
      <c r="V52" s="70">
        <f>IFERROR(V46+V47+V48+V49+V50+V51, "NA")</f>
        <v>52.25</v>
      </c>
      <c r="W52" s="71">
        <f>IFERROR(V52/V148, "NA")</f>
        <v>0.002045088226</v>
      </c>
      <c r="X52" s="70">
        <f>IFERROR(X46+X47+X48+X49+X50+X51, "NA")</f>
        <v>66.71</v>
      </c>
      <c r="Y52" s="71">
        <f>IFERROR(X52/X148, "NA")</f>
        <v>0.002267820373</v>
      </c>
      <c r="Z52" s="70">
        <f>IFERROR(Z46+Z47+Z48+Z49+Z50+Z51, "NA")</f>
        <v>162.51</v>
      </c>
      <c r="AA52" s="71">
        <f>IFERROR(Z52/Z148, "NA")</f>
        <v>0.002045988473</v>
      </c>
      <c r="AB52" s="70">
        <f t="shared" si="25"/>
        <v>57.1425</v>
      </c>
      <c r="AC52" s="71">
        <f>IFERROR(AB52/AB148, "NA")</f>
        <v>0.002037745861</v>
      </c>
      <c r="AD52" s="75">
        <f t="shared" si="26"/>
        <v>9.5675</v>
      </c>
      <c r="AE52" s="76">
        <f>IFERROR(AD52/AD148, "NA")</f>
        <v>0.006963778164</v>
      </c>
      <c r="AF52" s="75">
        <f t="shared" si="27"/>
        <v>0.1674322965</v>
      </c>
      <c r="AG52" s="70">
        <f t="shared" si="28"/>
        <v>53.4075</v>
      </c>
      <c r="AH52" s="71">
        <f>IFERROR(AG52/AG148, "NA")</f>
        <v>0.001945083331</v>
      </c>
      <c r="AI52" s="75">
        <f t="shared" si="29"/>
        <v>13.3025</v>
      </c>
      <c r="AJ52" s="76">
        <f>IFERROR(AI52/AI148, "NA")</f>
        <v>0.006793167766</v>
      </c>
      <c r="AK52" s="75">
        <f t="shared" si="30"/>
        <v>0.2490755044</v>
      </c>
      <c r="AL52" s="76">
        <f>IFERROR(AK52/AK148, "NA")</f>
        <v>3.492481611</v>
      </c>
    </row>
    <row r="53" ht="16.5" customHeight="1">
      <c r="A53" s="26" t="s">
        <v>114</v>
      </c>
      <c r="B53" s="28">
        <v>65.15</v>
      </c>
      <c r="C53" s="15">
        <f>IFERROR(B53/B148, "NA")</f>
        <v>0.005690184933</v>
      </c>
      <c r="D53" s="28">
        <v>0.0</v>
      </c>
      <c r="E53" s="15">
        <f>IFERROR(D53/D148, "NA")</f>
        <v>0</v>
      </c>
      <c r="F53" s="28">
        <v>119.95</v>
      </c>
      <c r="G53" s="15">
        <f>IFERROR(F53/F148, "NA")</f>
        <v>0.005193987532</v>
      </c>
      <c r="H53" s="28">
        <v>68.82</v>
      </c>
      <c r="I53" s="15">
        <f>IFERROR(H53/H148, "NA")</f>
        <v>0.002662230905</v>
      </c>
      <c r="J53" s="28">
        <v>84.0</v>
      </c>
      <c r="K53" s="15">
        <f>IFERROR(J53/J148, "NA")</f>
        <v>0.003495816673</v>
      </c>
      <c r="L53" s="28">
        <v>96.44</v>
      </c>
      <c r="M53" s="15">
        <f>IFERROR(L53/L148, "NA")</f>
        <v>0.003571058283</v>
      </c>
      <c r="N53" s="28">
        <v>82.45</v>
      </c>
      <c r="O53" s="15">
        <f>IFERROR(N53/N148, "NA")</f>
        <v>0.002744840981</v>
      </c>
      <c r="P53" s="28">
        <v>108.88</v>
      </c>
      <c r="Q53" s="15">
        <f>IFERROR(P53/P148, "NA")</f>
        <v>0.004121028334</v>
      </c>
      <c r="R53" s="28">
        <v>77.87</v>
      </c>
      <c r="S53" s="15">
        <f>IFERROR(R53/R148, "NA")</f>
        <v>0.002378475393</v>
      </c>
      <c r="T53" s="28">
        <v>94.4</v>
      </c>
      <c r="U53" s="15">
        <f>IFERROR(T53/T148, "NA")</f>
        <v>0.003858783249</v>
      </c>
      <c r="V53" s="28">
        <v>91.02</v>
      </c>
      <c r="W53" s="15">
        <f>IFERROR(V53/V148, "NA")</f>
        <v>0.003562563261</v>
      </c>
      <c r="X53" s="28">
        <v>54.61</v>
      </c>
      <c r="Y53" s="15">
        <f>IFERROR(X53/X148, "NA")</f>
        <v>0.001856478348</v>
      </c>
      <c r="Z53" s="28">
        <v>240.03</v>
      </c>
      <c r="AA53" s="15">
        <f>IFERROR(Z53/Z148, "NA")</f>
        <v>0.003021959345</v>
      </c>
      <c r="AB53" s="57">
        <f t="shared" si="25"/>
        <v>79.475</v>
      </c>
      <c r="AC53" s="15">
        <f>IFERROR(AB53/AB148, "NA")</f>
        <v>0.002834140129</v>
      </c>
      <c r="AD53" s="61">
        <f t="shared" si="26"/>
        <v>-24.865</v>
      </c>
      <c r="AE53" s="62">
        <f>IFERROR(AD53/AD148, "NA")</f>
        <v>-0.01809818072</v>
      </c>
      <c r="AF53" s="61">
        <f t="shared" si="27"/>
        <v>-0.312865681</v>
      </c>
      <c r="AG53" s="57">
        <f t="shared" si="28"/>
        <v>86.20875</v>
      </c>
      <c r="AH53" s="15">
        <f>IFERROR(AG53/AG148, "NA")</f>
        <v>0.003139693913</v>
      </c>
      <c r="AI53" s="61">
        <f t="shared" si="29"/>
        <v>-31.59875</v>
      </c>
      <c r="AJ53" s="62">
        <f>IFERROR(AI53/AI148, "NA")</f>
        <v>-0.01613648637</v>
      </c>
      <c r="AK53" s="61">
        <f t="shared" si="30"/>
        <v>-0.3665376194</v>
      </c>
      <c r="AL53" s="62">
        <f>IFERROR(AK53/AK148, "NA")</f>
        <v>-5.139509398</v>
      </c>
    </row>
    <row r="54" ht="16.5" customHeight="1">
      <c r="A54" s="26" t="s">
        <v>115</v>
      </c>
      <c r="B54" s="28">
        <v>3.0</v>
      </c>
      <c r="C54" s="15">
        <f>IFERROR(B54/B148, "NA")</f>
        <v>0.0002620192602</v>
      </c>
      <c r="D54" s="28">
        <v>3.0</v>
      </c>
      <c r="E54" s="15">
        <f>IFERROR(D54/D148, "NA")</f>
        <v>0.0001675211174</v>
      </c>
      <c r="F54" s="28">
        <v>6.0</v>
      </c>
      <c r="G54" s="15">
        <f>IFERROR(F54/F148, "NA")</f>
        <v>0.0002598076298</v>
      </c>
      <c r="H54" s="28">
        <v>6.0</v>
      </c>
      <c r="I54" s="15">
        <f>IFERROR(H54/H148, "NA")</f>
        <v>0.0002321038278</v>
      </c>
      <c r="J54" s="28">
        <v>9.31</v>
      </c>
      <c r="K54" s="15">
        <f>IFERROR(J54/J148, "NA")</f>
        <v>0.0003874530146</v>
      </c>
      <c r="L54" s="28">
        <v>6.0</v>
      </c>
      <c r="M54" s="15">
        <f>IFERROR(L54/L148, "NA")</f>
        <v>0.0002221728505</v>
      </c>
      <c r="N54" s="28">
        <v>12.0</v>
      </c>
      <c r="O54" s="15">
        <f>IFERROR(N54/N148, "NA")</f>
        <v>0.0003994917134</v>
      </c>
      <c r="P54" s="28">
        <v>24.31</v>
      </c>
      <c r="Q54" s="15">
        <f>IFERROR(P54/P148, "NA")</f>
        <v>0.0009201157128</v>
      </c>
      <c r="R54" s="28">
        <v>137.58</v>
      </c>
      <c r="S54" s="15">
        <f>IFERROR(R54/R148, "NA")</f>
        <v>0.004202268455</v>
      </c>
      <c r="T54" s="28">
        <v>24.0</v>
      </c>
      <c r="U54" s="15">
        <f>IFERROR(T54/T148, "NA")</f>
        <v>0.0009810465887</v>
      </c>
      <c r="V54" s="28">
        <v>24.75</v>
      </c>
      <c r="W54" s="15">
        <f>IFERROR(V54/V148, "NA")</f>
        <v>0.000968726002</v>
      </c>
      <c r="X54" s="28">
        <v>27.75</v>
      </c>
      <c r="Y54" s="15">
        <f>IFERROR(X54/X148, "NA")</f>
        <v>0.0009433670418</v>
      </c>
      <c r="Z54" s="28">
        <v>76.5</v>
      </c>
      <c r="AA54" s="15">
        <f>IFERROR(Z54/Z148, "NA")</f>
        <v>0.00096312915</v>
      </c>
      <c r="AB54" s="57">
        <f t="shared" si="25"/>
        <v>53.52</v>
      </c>
      <c r="AC54" s="15">
        <f>IFERROR(AB54/AB148, "NA")</f>
        <v>0.001908564702</v>
      </c>
      <c r="AD54" s="61">
        <f t="shared" si="26"/>
        <v>-25.77</v>
      </c>
      <c r="AE54" s="62">
        <f>IFERROR(AD54/AD148, "NA")</f>
        <v>-0.0187568919</v>
      </c>
      <c r="AF54" s="61">
        <f t="shared" si="27"/>
        <v>-0.4815022422</v>
      </c>
      <c r="AG54" s="57">
        <f t="shared" si="28"/>
        <v>33.2125</v>
      </c>
      <c r="AH54" s="15">
        <f>IFERROR(AG54/AG148, "NA")</f>
        <v>0.001209588169</v>
      </c>
      <c r="AI54" s="61">
        <f t="shared" si="29"/>
        <v>-5.4625</v>
      </c>
      <c r="AJ54" s="62">
        <f>IFERROR(AI54/AI148, "NA")</f>
        <v>-0.0027895267</v>
      </c>
      <c r="AK54" s="61">
        <f t="shared" si="30"/>
        <v>-0.1644712081</v>
      </c>
      <c r="AL54" s="62">
        <f>IFERROR(AK54/AK148, "NA")</f>
        <v>-2.306178889</v>
      </c>
    </row>
    <row r="55" ht="16.5" customHeight="1">
      <c r="A55" s="26" t="s">
        <v>116</v>
      </c>
      <c r="B55" s="28">
        <v>-178.97</v>
      </c>
      <c r="C55" s="15">
        <f>IFERROR(B55/B148, "NA")</f>
        <v>-0.01563119566</v>
      </c>
      <c r="D55" s="28">
        <v>-155.35</v>
      </c>
      <c r="E55" s="15">
        <f>IFERROR(D55/D148, "NA")</f>
        <v>-0.008674801864</v>
      </c>
      <c r="F55" s="28">
        <v>-181.37</v>
      </c>
      <c r="G55" s="15">
        <f>IFERROR(F55/F148, "NA")</f>
        <v>-0.007853551635</v>
      </c>
      <c r="H55" s="28">
        <v>-174.09</v>
      </c>
      <c r="I55" s="15">
        <f>IFERROR(H55/H148, "NA")</f>
        <v>-0.006734492563</v>
      </c>
      <c r="J55" s="28">
        <v>-198.42</v>
      </c>
      <c r="K55" s="15">
        <f>IFERROR(J55/J148, "NA")</f>
        <v>-0.008257618383</v>
      </c>
      <c r="L55" s="28">
        <v>-205.52</v>
      </c>
      <c r="M55" s="15">
        <f>IFERROR(L55/L148, "NA")</f>
        <v>-0.007610160705</v>
      </c>
      <c r="N55" s="28">
        <v>-170.23</v>
      </c>
      <c r="O55" s="15">
        <f>IFERROR(N55/N148, "NA")</f>
        <v>-0.005667122864</v>
      </c>
      <c r="P55" s="28">
        <v>-197.2</v>
      </c>
      <c r="Q55" s="15">
        <f>IFERROR(P55/P148, "NA")</f>
        <v>-0.007463875712</v>
      </c>
      <c r="R55" s="28">
        <v>-214.34</v>
      </c>
      <c r="S55" s="15">
        <f>IFERROR(R55/R148, "NA")</f>
        <v>-0.006546839807</v>
      </c>
      <c r="T55" s="28">
        <v>-125.04</v>
      </c>
      <c r="U55" s="15">
        <f>IFERROR(T55/T148, "NA")</f>
        <v>-0.005111252727</v>
      </c>
      <c r="V55" s="28">
        <v>-204.06</v>
      </c>
      <c r="W55" s="15">
        <f>IFERROR(V55/V148, "NA")</f>
        <v>-0.00798699911</v>
      </c>
      <c r="X55" s="28">
        <v>-223.1</v>
      </c>
      <c r="Y55" s="15">
        <f>IFERROR(X55/X148, "NA")</f>
        <v>-0.007584331064</v>
      </c>
      <c r="Z55" s="28">
        <v>-552.2</v>
      </c>
      <c r="AA55" s="15">
        <f>IFERROR(Z55/Z148, "NA")</f>
        <v>-0.006952155773</v>
      </c>
      <c r="AB55" s="57">
        <f t="shared" si="25"/>
        <v>-191.635</v>
      </c>
      <c r="AC55" s="15">
        <f>IFERROR(AB55/AB148, "NA")</f>
        <v>-0.006833852703</v>
      </c>
      <c r="AD55" s="61">
        <f t="shared" si="26"/>
        <v>-31.465</v>
      </c>
      <c r="AE55" s="62">
        <f>IFERROR(AD55/AD148, "NA")</f>
        <v>-0.02290204128</v>
      </c>
      <c r="AF55" s="61">
        <f t="shared" si="27"/>
        <v>0.1641923448</v>
      </c>
      <c r="AG55" s="57">
        <f t="shared" si="28"/>
        <v>-192.23875</v>
      </c>
      <c r="AH55" s="15">
        <f>IFERROR(AG55/AG148, "NA")</f>
        <v>-0.007001271137</v>
      </c>
      <c r="AI55" s="61">
        <f t="shared" si="29"/>
        <v>-30.86125</v>
      </c>
      <c r="AJ55" s="62">
        <f>IFERROR(AI55/AI148, "NA")</f>
        <v>-0.01575986835</v>
      </c>
      <c r="AK55" s="61">
        <f t="shared" si="30"/>
        <v>0.1605360522</v>
      </c>
      <c r="AL55" s="62">
        <f>IFERROR(AK55/AK148, "NA")</f>
        <v>2.251001003</v>
      </c>
    </row>
    <row r="56" ht="16.5" customHeight="1">
      <c r="A56" s="67" t="s">
        <v>117</v>
      </c>
      <c r="B56" s="70">
        <f>IFERROR(B37+B39+B40+B41+B42+B43+B46+B47+B48+B49+B50+B51+B53+B54+B55, "NA")</f>
        <v>449.59</v>
      </c>
      <c r="C56" s="71">
        <f>IFERROR(B56/B148, "NA")</f>
        <v>0.03926707973</v>
      </c>
      <c r="D56" s="70">
        <f>IFERROR(D37+D39+D40+D41+D42+D43+D46+D47+D48+D49+D50+D51+D53+D54+D55, "NA")</f>
        <v>440.92</v>
      </c>
      <c r="E56" s="71">
        <f>IFERROR(D56/D148, "NA")</f>
        <v>0.02462113703</v>
      </c>
      <c r="F56" s="70">
        <f>IFERROR(F37+F39+F40+F41+F42+F43+F46+F47+F48+F49+F50+F51+F53+F54+F55, "NA")</f>
        <v>1178.06</v>
      </c>
      <c r="G56" s="71">
        <f>IFERROR(F56/F148, "NA")</f>
        <v>0.05101149605</v>
      </c>
      <c r="H56" s="70">
        <f>IFERROR(H37+H39+H40+H41+H42+H43+H46+H47+H48+H49+H50+H51+H53+H54+H55, "NA")</f>
        <v>1083.87</v>
      </c>
      <c r="I56" s="71">
        <f>IFERROR(H56/H148, "NA")</f>
        <v>0.04192839597</v>
      </c>
      <c r="J56" s="70">
        <f>IFERROR(J37+J39+J40+J41+J42+J43+J46+J47+J48+J49+J50+J51+J53+J54+J55, "NA")</f>
        <v>775.64</v>
      </c>
      <c r="K56" s="71">
        <f>IFERROR(J56/J148, "NA")</f>
        <v>0.03227970529</v>
      </c>
      <c r="L56" s="70">
        <f>IFERROR(L37+L39+L40+L41+L42+L43+L46+L47+L48+L49+L50+L51+L53+L54+L55, "NA")</f>
        <v>929.23</v>
      </c>
      <c r="M56" s="71">
        <f>IFERROR(L56/L148, "NA")</f>
        <v>0.03440827964</v>
      </c>
      <c r="N56" s="70">
        <f>IFERROR(N37+N39+N40+N41+N42+N43+N46+N47+N48+N49+N50+N51+N53+N54+N55, "NA")</f>
        <v>1192.04</v>
      </c>
      <c r="O56" s="71">
        <f>IFERROR(N56/N148, "NA")</f>
        <v>0.03968417517</v>
      </c>
      <c r="P56" s="70">
        <f>IFERROR(P37+P39+P40+P41+P42+P43+P46+P47+P48+P49+P50+P51+P53+P54+P55, "NA")</f>
        <v>962.84</v>
      </c>
      <c r="Q56" s="71">
        <f>IFERROR(P56/P148, "NA")</f>
        <v>0.03644278951</v>
      </c>
      <c r="R56" s="70">
        <f>IFERROR(R37+R39+R40+R41+R42+R43+R46+R47+R48+R49+R50+R51+R53+R54+R55, "NA")</f>
        <v>1178.1</v>
      </c>
      <c r="S56" s="71">
        <f>IFERROR(R56/R148, "NA")</f>
        <v>0.03598409992</v>
      </c>
      <c r="T56" s="70">
        <f>IFERROR(T37+T39+T40+T41+T42+T43+T46+T47+T48+T49+T50+T51+T53+T54+T55, "NA")</f>
        <v>899.44</v>
      </c>
      <c r="U56" s="71">
        <f>IFERROR(T56/T148, "NA")</f>
        <v>0.03676635599</v>
      </c>
      <c r="V56" s="70">
        <f>IFERROR(V37+V39+V40+V41+V42+V43+V46+V47+V48+V49+V50+V51+V53+V54+V55, "NA")</f>
        <v>899.22</v>
      </c>
      <c r="W56" s="71">
        <f>IFERROR(V56/V148, "NA")</f>
        <v>0.03519587053</v>
      </c>
      <c r="X56" s="70">
        <f>IFERROR(X37+X39+X40+X41+X42+X43+X46+X47+X48+X49+X50+X51+X53+X54+X55, "NA")</f>
        <v>1044.19</v>
      </c>
      <c r="Y56" s="71">
        <f>IFERROR(X56/X148, "NA")</f>
        <v>0.03549745699</v>
      </c>
      <c r="Z56" s="70">
        <f>IFERROR(Z37+Z39+Z40+Z41+Z42+Z43+Z46+Z47+Z48+Z49+Z50+Z51+Z53+Z54+Z55, "NA")</f>
        <v>2842.85</v>
      </c>
      <c r="AA56" s="71">
        <f>IFERROR(Z56/Z148, "NA")</f>
        <v>0.0357912641</v>
      </c>
      <c r="AB56" s="70">
        <f t="shared" si="25"/>
        <v>1005.2375</v>
      </c>
      <c r="AC56" s="71">
        <f>IFERROR(AB56/AB148, "NA")</f>
        <v>0.03584754876</v>
      </c>
      <c r="AD56" s="75">
        <f t="shared" si="26"/>
        <v>38.9525</v>
      </c>
      <c r="AE56" s="76">
        <f>IFERROR(AD56/AD148, "NA")</f>
        <v>0.02835187551</v>
      </c>
      <c r="AF56" s="75">
        <f t="shared" si="27"/>
        <v>0.03874954924</v>
      </c>
      <c r="AG56" s="70">
        <f t="shared" si="28"/>
        <v>985.0875</v>
      </c>
      <c r="AH56" s="71">
        <f>IFERROR(AG56/AG148, "NA")</f>
        <v>0.03587655809</v>
      </c>
      <c r="AI56" s="75">
        <f t="shared" si="29"/>
        <v>59.1025</v>
      </c>
      <c r="AJ56" s="76">
        <f>IFERROR(AI56/AI148, "NA")</f>
        <v>0.03018178522</v>
      </c>
      <c r="AK56" s="75">
        <f t="shared" si="30"/>
        <v>0.05999720837</v>
      </c>
      <c r="AL56" s="76">
        <f>IFERROR(AK56/AK148, "NA")</f>
        <v>0.8412675805</v>
      </c>
    </row>
    <row r="57" ht="16.5" customHeight="1">
      <c r="A57" s="67" t="s">
        <v>54</v>
      </c>
      <c r="B57" s="118">
        <f>IFERROR(B13+B15+B16+B17+B18+B19+B20+B21+B22+B23+B24+B25+B26+B29+B30+B31+B32+B33+B37+B39+B40+B41+B42+B43+B46+B47+B48+B49+B50+B51+B53+B54+B55, "NA")</f>
        <v>3642.77</v>
      </c>
      <c r="C57" s="94">
        <f>IFERROR(B57/B148, "NA")</f>
        <v>0.3181586334</v>
      </c>
      <c r="D57" s="118">
        <f>IFERROR(D13+D15+D16+D17+D18+D19+D20+D21+D22+D23+D24+D25+D26+D29+D30+D31+D32+D33+D37+D39+D40+D41+D42+D43+D46+D47+D48+D49+D50+D51+D53+D54+D55, "NA")</f>
        <v>4434.71</v>
      </c>
      <c r="E57" s="94">
        <f>IFERROR(D57/D148, "NA")</f>
        <v>0.2476358582</v>
      </c>
      <c r="F57" s="118">
        <f>IFERROR(F13+F15+F16+F17+F18+F19+F20+F21+F22+F23+F24+F25+F26+F29+F30+F31+F32+F33+F37+F39+F40+F41+F42+F43+F46+F47+F48+F49+F50+F51+F53+F54+F55, "NA")</f>
        <v>6479.82</v>
      </c>
      <c r="G57" s="94">
        <f>IFERROR(F57/F148, "NA")</f>
        <v>0.2805844459</v>
      </c>
      <c r="H57" s="118">
        <f>IFERROR(H13+H15+H16+H17+H18+H19+H20+H21+H22+H23+H24+H25+H26+H29+H30+H31+H32+H33+H37+H39+H40+H41+H42+H43+H46+H47+H48+H49+H50+H51+H53+H54+H55, "NA")</f>
        <v>6640.41</v>
      </c>
      <c r="I57" s="94">
        <f>IFERROR(H57/H148, "NA")</f>
        <v>0.2568774298</v>
      </c>
      <c r="J57" s="118">
        <f>IFERROR(J13+J15+J16+J17+J18+J19+J20+J21+J22+J23+J24+J25+J26+J29+J30+J31+J32+J33+J37+J39+J40+J41+J42+J43+J46+J47+J48+J49+J50+J51+J53+J54+J55, "NA")</f>
        <v>5945.04</v>
      </c>
      <c r="K57" s="94">
        <f>IFERROR(J57/J148, "NA")</f>
        <v>0.247413928</v>
      </c>
      <c r="L57" s="118">
        <f>IFERROR(L13+L15+L16+L17+L18+L19+L20+L21+L22+L23+L24+L25+L26+L29+L30+L31+L32+L33+L37+L39+L40+L41+L42+L43+L46+L47+L48+L49+L50+L51+L53+L54+L55, "NA")</f>
        <v>7217.96</v>
      </c>
      <c r="M57" s="94">
        <f>IFERROR(L57/L148, "NA")</f>
        <v>0.267272458</v>
      </c>
      <c r="N57" s="118">
        <f>IFERROR(N13+N15+N16+N17+N18+N19+N20+N21+N22+N23+N24+N25+N26+N29+N30+N31+N32+N33+N37+N39+N40+N41+N42+N43+N46+N47+N48+N49+N50+N51+N53+N54+N55, "NA")</f>
        <v>7589.76</v>
      </c>
      <c r="O57" s="94">
        <f>IFERROR(N57/N148, "NA")</f>
        <v>0.2526705189</v>
      </c>
      <c r="P57" s="118">
        <f>IFERROR(P13+P15+P16+P17+P18+P19+P20+P21+P22+P23+P24+P25+P26+P29+P30+P31+P32+P33+P37+P39+P40+P41+P42+P43+P46+P47+P48+P49+P50+P51+P53+P54+P55, "NA")</f>
        <v>7128.54</v>
      </c>
      <c r="Q57" s="94">
        <f>IFERROR(P57/P148, "NA")</f>
        <v>0.2698100232</v>
      </c>
      <c r="R57" s="118">
        <f>IFERROR(R13+R15+R16+R17+R18+R19+R20+R21+R22+R23+R24+R25+R26+R29+R30+R31+R32+R33+R37+R39+R40+R41+R42+R43+R46+R47+R48+R49+R50+R51+R53+R54+R55, "NA")</f>
        <v>8811.52</v>
      </c>
      <c r="S57" s="94">
        <f>IFERROR(R57/R148, "NA")</f>
        <v>0.2691406639</v>
      </c>
      <c r="T57" s="118">
        <f>IFERROR(T13+T15+T16+T17+T18+T19+T20+T21+T22+T23+T24+T25+T26+T29+T30+T31+T32+T33+T37+T39+T40+T41+T42+T43+T46+T47+T48+T49+T50+T51+T53+T54+T55, "NA")</f>
        <v>6464.76</v>
      </c>
      <c r="U57" s="94">
        <f>IFERROR(T57/T148, "NA")</f>
        <v>0.2642596144</v>
      </c>
      <c r="V57" s="118">
        <f>IFERROR(V13+V15+V16+V17+V18+V19+V20+V21+V22+V23+V24+V25+V26+V29+V30+V31+V32+V33+V37+V39+V40+V41+V42+V43+V46+V47+V48+V49+V50+V51+V53+V54+V55, "NA")</f>
        <v>7157.92</v>
      </c>
      <c r="W57" s="94">
        <f>IFERROR(V57/V148, "NA")</f>
        <v>0.2801641707</v>
      </c>
      <c r="X57" s="118">
        <f>IFERROR(X13+X15+X16+X17+X18+X19+X20+X21+X22+X23+X24+X25+X26+X29+X30+X31+X32+X33+X37+X39+X40+X41+X42+X43+X46+X47+X48+X49+X50+X51+X53+X54+X55, "NA")</f>
        <v>7778.78</v>
      </c>
      <c r="Y57" s="94">
        <f>IFERROR(X57/X148, "NA")</f>
        <v>0.2644412497</v>
      </c>
      <c r="Z57" s="118">
        <f>IFERROR(Z13+Z15+Z16+Z17+Z18+Z19+Z20+Z21+Z22+Z23+Z24+Z25+Z26+Z29+Z30+Z31+Z32+Z33+Z37+Z39+Z40+Z41+Z42+Z43+Z46+Z47+Z48+Z49+Z50+Z51+Z53+Z54+Z55, "NA")</f>
        <v>21401.46</v>
      </c>
      <c r="AA57" s="94">
        <f>IFERROR(Z57/Z148, "NA")</f>
        <v>0.2694427448</v>
      </c>
      <c r="AB57" s="118">
        <f t="shared" si="25"/>
        <v>7553.245</v>
      </c>
      <c r="AC57" s="94">
        <f>IFERROR(AB57/AB148, "NA")</f>
        <v>0.2693545738</v>
      </c>
      <c r="AD57" s="119">
        <f t="shared" si="26"/>
        <v>225.535</v>
      </c>
      <c r="AE57" s="120">
        <f>IFERROR(AD57/AD148, "NA")</f>
        <v>0.1641573774</v>
      </c>
      <c r="AF57" s="119">
        <f t="shared" si="27"/>
        <v>0.02985935184</v>
      </c>
      <c r="AG57" s="118">
        <f t="shared" si="28"/>
        <v>7261.785</v>
      </c>
      <c r="AH57" s="94">
        <f>IFERROR(AG57/AG148, "NA")</f>
        <v>0.2644717869</v>
      </c>
      <c r="AI57" s="119">
        <f t="shared" si="29"/>
        <v>516.995</v>
      </c>
      <c r="AJ57" s="120">
        <f>IFERROR(AI57/AI148, "NA")</f>
        <v>0.2640130629</v>
      </c>
      <c r="AK57" s="119">
        <f t="shared" si="30"/>
        <v>0.07119392821</v>
      </c>
      <c r="AL57" s="120">
        <f>IFERROR(AK57/AK148, "NA")</f>
        <v>0.9982655087</v>
      </c>
    </row>
    <row r="58" ht="3.75" customHeight="1">
      <c r="A58" s="79"/>
      <c r="B58" s="80"/>
      <c r="C58" s="74"/>
      <c r="D58" s="80"/>
      <c r="E58" s="74"/>
      <c r="F58" s="80"/>
      <c r="G58" s="74"/>
      <c r="H58" s="80"/>
      <c r="I58" s="74"/>
      <c r="J58" s="80"/>
      <c r="K58" s="74"/>
      <c r="L58" s="80"/>
      <c r="M58" s="74"/>
      <c r="N58" s="80"/>
      <c r="O58" s="74"/>
      <c r="P58" s="80"/>
      <c r="Q58" s="74"/>
      <c r="R58" s="80"/>
      <c r="S58" s="74"/>
      <c r="T58" s="80"/>
      <c r="U58" s="74"/>
      <c r="V58" s="80"/>
      <c r="W58" s="74"/>
      <c r="X58" s="80"/>
      <c r="Y58" s="74"/>
      <c r="Z58" s="80"/>
      <c r="AA58" s="74"/>
      <c r="AB58" s="80"/>
      <c r="AC58" s="74"/>
      <c r="AD58" s="81"/>
      <c r="AE58" s="82"/>
      <c r="AF58" s="81"/>
      <c r="AG58" s="80"/>
      <c r="AH58" s="74"/>
      <c r="AI58" s="81"/>
      <c r="AJ58" s="82"/>
      <c r="AK58" s="81"/>
      <c r="AL58" s="82"/>
    </row>
    <row r="59" ht="16.5" customHeight="1">
      <c r="A59" s="121" t="s">
        <v>120</v>
      </c>
      <c r="B59" s="122">
        <f>IFERROR(B9-B57, "NA")</f>
        <v>7806.77</v>
      </c>
      <c r="C59" s="98">
        <f>IFERROR(B59/B148, "NA")</f>
        <v>0.6818413666</v>
      </c>
      <c r="D59" s="122">
        <f>IFERROR(D9-D57, "NA")</f>
        <v>13473.48</v>
      </c>
      <c r="E59" s="98">
        <f>IFERROR(D59/D148, "NA")</f>
        <v>0.7523641418</v>
      </c>
      <c r="F59" s="122">
        <f>IFERROR(F9-F57, "NA")</f>
        <v>16614.19</v>
      </c>
      <c r="G59" s="98">
        <f>IFERROR(F59/F148, "NA")</f>
        <v>0.7194155541</v>
      </c>
      <c r="H59" s="122">
        <f>IFERROR(H9-H57, "NA")</f>
        <v>19210.09</v>
      </c>
      <c r="I59" s="98">
        <f>IFERROR(H59/H148, "NA")</f>
        <v>0.7431225702</v>
      </c>
      <c r="J59" s="122">
        <f>IFERROR(J9-J57, "NA")</f>
        <v>18083.68</v>
      </c>
      <c r="K59" s="98">
        <f>IFERROR(J59/J148, "NA")</f>
        <v>0.752586072</v>
      </c>
      <c r="L59" s="122">
        <f>IFERROR(L9-L57, "NA")</f>
        <v>19788.04</v>
      </c>
      <c r="M59" s="98">
        <f>IFERROR(L59/L148, "NA")</f>
        <v>0.732727542</v>
      </c>
      <c r="N59" s="122">
        <f>IFERROR(N9-N57, "NA")</f>
        <v>22448.41</v>
      </c>
      <c r="O59" s="98">
        <f>IFERROR(N59/N148, "NA")</f>
        <v>0.7473294811</v>
      </c>
      <c r="P59" s="122">
        <f>IFERROR(P9-P57, "NA")</f>
        <v>19292.05</v>
      </c>
      <c r="Q59" s="98">
        <f>IFERROR(P59/P148, "NA")</f>
        <v>0.7301899768</v>
      </c>
      <c r="R59" s="122">
        <f>IFERROR(R9-R57, "NA")</f>
        <v>23927.94</v>
      </c>
      <c r="S59" s="98">
        <f>IFERROR(R59/R148, "NA")</f>
        <v>0.7308593361</v>
      </c>
      <c r="T59" s="122">
        <f>IFERROR(T9-T57, "NA")</f>
        <v>17998.91</v>
      </c>
      <c r="U59" s="98">
        <f>IFERROR(T59/T148, "NA")</f>
        <v>0.7357403856</v>
      </c>
      <c r="V59" s="122">
        <f>IFERROR(V9-V57, "NA")</f>
        <v>18391.1</v>
      </c>
      <c r="W59" s="98">
        <f>IFERROR(V59/V148, "NA")</f>
        <v>0.7198358293</v>
      </c>
      <c r="X59" s="122">
        <f>IFERROR(X9-X57, "NA")</f>
        <v>21637.13</v>
      </c>
      <c r="Y59" s="98">
        <f>IFERROR(X59/X148, "NA")</f>
        <v>0.7355587503</v>
      </c>
      <c r="Z59" s="122">
        <f>IFERROR(Z9-Z57, "NA")</f>
        <v>58027.14</v>
      </c>
      <c r="AA59" s="98">
        <f>IFERROR(Z59/Z148, "NA")</f>
        <v>0.7305572552</v>
      </c>
      <c r="AB59" s="122">
        <f>IFERROR((R59+T59+V59+X59)/4, "NA")</f>
        <v>20488.77</v>
      </c>
      <c r="AC59" s="98">
        <f>IFERROR(AB59/AB148, "NA")</f>
        <v>0.7306454262</v>
      </c>
      <c r="AD59" s="75">
        <f>IFERROR(X59-AB59, "NA")</f>
        <v>1148.36</v>
      </c>
      <c r="AE59" s="76">
        <f>IFERROR(AD59/AD148, "NA")</f>
        <v>0.8358426226</v>
      </c>
      <c r="AF59" s="75">
        <f>IFERROR((X59-AB59)/AB59, "NA")</f>
        <v>0.05604826449</v>
      </c>
      <c r="AG59" s="122">
        <f>IFERROR((J59+L59+N59+P59+R59+T59+V59+X59)/8, "NA")</f>
        <v>20195.9075</v>
      </c>
      <c r="AH59" s="98">
        <f>IFERROR(AG59/AG148, "NA")</f>
        <v>0.7355282131</v>
      </c>
      <c r="AI59" s="75">
        <f>IFERROR(X59-AG59, "NA")</f>
        <v>1441.2225</v>
      </c>
      <c r="AJ59" s="76">
        <f>IFERROR(AI59/AI148, "NA")</f>
        <v>0.7359869371</v>
      </c>
      <c r="AK59" s="75">
        <f>IFERROR((X59-AG59)/AG59, "NA")</f>
        <v>0.07136210641</v>
      </c>
      <c r="AL59" s="76">
        <f>IFERROR(AK59/AK148, "NA")</f>
        <v>1.000623666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2"/>
      <c r="AF60" s="125"/>
      <c r="AG60" s="124"/>
      <c r="AH60" s="74"/>
      <c r="AI60" s="125"/>
      <c r="AJ60" s="82"/>
      <c r="AK60" s="125"/>
      <c r="AL60" s="82"/>
    </row>
    <row r="61" ht="16.5" customHeight="1">
      <c r="A61" s="22" t="s">
        <v>121</v>
      </c>
      <c r="B61" s="23"/>
      <c r="C61" s="10"/>
      <c r="D61" s="23"/>
      <c r="E61" s="10"/>
      <c r="F61" s="23"/>
      <c r="G61" s="10"/>
      <c r="H61" s="23"/>
      <c r="I61" s="10"/>
      <c r="J61" s="23"/>
      <c r="K61" s="10"/>
      <c r="L61" s="23"/>
      <c r="M61" s="10"/>
      <c r="N61" s="23"/>
      <c r="O61" s="10"/>
      <c r="P61" s="23"/>
      <c r="Q61" s="10"/>
      <c r="R61" s="23"/>
      <c r="S61" s="10"/>
      <c r="T61" s="23"/>
      <c r="U61" s="10"/>
      <c r="V61" s="23"/>
      <c r="W61" s="10"/>
      <c r="X61" s="23"/>
      <c r="Y61" s="10"/>
      <c r="Z61" s="23"/>
      <c r="AA61" s="10"/>
      <c r="AB61" s="23"/>
      <c r="AC61" s="10"/>
      <c r="AD61" s="24"/>
      <c r="AE61" s="25"/>
      <c r="AF61" s="24"/>
      <c r="AG61" s="23"/>
      <c r="AH61" s="10"/>
      <c r="AI61" s="24"/>
      <c r="AJ61" s="25"/>
      <c r="AK61" s="24"/>
      <c r="AL61" s="25"/>
    </row>
    <row r="62" ht="16.5" customHeight="1">
      <c r="A62" s="22" t="s">
        <v>121</v>
      </c>
      <c r="B62" s="23"/>
      <c r="C62" s="10"/>
      <c r="D62" s="23"/>
      <c r="E62" s="10"/>
      <c r="F62" s="23"/>
      <c r="G62" s="10"/>
      <c r="H62" s="23"/>
      <c r="I62" s="10"/>
      <c r="J62" s="23"/>
      <c r="K62" s="10"/>
      <c r="L62" s="23"/>
      <c r="M62" s="10"/>
      <c r="N62" s="23"/>
      <c r="O62" s="10"/>
      <c r="P62" s="23"/>
      <c r="Q62" s="10"/>
      <c r="R62" s="23"/>
      <c r="S62" s="10"/>
      <c r="T62" s="23"/>
      <c r="U62" s="10"/>
      <c r="V62" s="23"/>
      <c r="W62" s="10"/>
      <c r="X62" s="23"/>
      <c r="Y62" s="10"/>
      <c r="Z62" s="23"/>
      <c r="AA62" s="10"/>
      <c r="AB62" s="23"/>
      <c r="AC62" s="10"/>
      <c r="AD62" s="24"/>
      <c r="AE62" s="25"/>
      <c r="AF62" s="24"/>
      <c r="AG62" s="23"/>
      <c r="AH62" s="10"/>
      <c r="AI62" s="24"/>
      <c r="AJ62" s="25"/>
      <c r="AK62" s="24"/>
      <c r="AL62" s="25"/>
    </row>
    <row r="63" ht="16.5" hidden="1" customHeight="1">
      <c r="A63" s="26" t="s">
        <v>122</v>
      </c>
      <c r="B63" s="28">
        <v>0.0</v>
      </c>
      <c r="C63" s="15">
        <f>IFERROR(B63/B148, "NA")</f>
        <v>0</v>
      </c>
      <c r="D63" s="28">
        <v>0.0</v>
      </c>
      <c r="E63" s="15">
        <f>IFERROR(D63/D148, "NA")</f>
        <v>0</v>
      </c>
      <c r="F63" s="28">
        <v>0.0</v>
      </c>
      <c r="G63" s="15">
        <f>IFERROR(F63/F148, "NA")</f>
        <v>0</v>
      </c>
      <c r="H63" s="28">
        <v>0.0</v>
      </c>
      <c r="I63" s="15">
        <f>IFERROR(H63/H148, "NA")</f>
        <v>0</v>
      </c>
      <c r="J63" s="28">
        <v>0.0</v>
      </c>
      <c r="K63" s="15">
        <f>IFERROR(J63/J148, "NA")</f>
        <v>0</v>
      </c>
      <c r="L63" s="28">
        <v>0.0</v>
      </c>
      <c r="M63" s="15">
        <f>IFERROR(L63/L148, "NA")</f>
        <v>0</v>
      </c>
      <c r="N63" s="28">
        <v>0.0</v>
      </c>
      <c r="O63" s="15">
        <f>IFERROR(N63/N148, "NA")</f>
        <v>0</v>
      </c>
      <c r="P63" s="28">
        <v>0.0</v>
      </c>
      <c r="Q63" s="15">
        <f>IFERROR(P63/P148, "NA")</f>
        <v>0</v>
      </c>
      <c r="R63" s="28">
        <v>0.0</v>
      </c>
      <c r="S63" s="15">
        <f>IFERROR(R63/R148, "NA")</f>
        <v>0</v>
      </c>
      <c r="T63" s="28">
        <v>0.0</v>
      </c>
      <c r="U63" s="15">
        <f>IFERROR(T63/T148, "NA")</f>
        <v>0</v>
      </c>
      <c r="V63" s="28">
        <v>0.0</v>
      </c>
      <c r="W63" s="15">
        <f>IFERROR(V63/V148, "NA")</f>
        <v>0</v>
      </c>
      <c r="X63" s="28">
        <v>0.0</v>
      </c>
      <c r="Y63" s="15">
        <f>IFERROR(X63/X148, "NA")</f>
        <v>0</v>
      </c>
      <c r="Z63" s="28">
        <v>0.0</v>
      </c>
      <c r="AA63" s="15">
        <f>IFERROR(Z63/Z148, "NA")</f>
        <v>0</v>
      </c>
      <c r="AB63" s="57">
        <f>IFERROR((R63+T63+V63+X63)/4, "NA")</f>
        <v>0</v>
      </c>
      <c r="AC63" s="15">
        <f>IFERROR(AB63/AB148, "NA")</f>
        <v>0</v>
      </c>
      <c r="AD63" s="61">
        <f>IFERROR(X63-AB63, "NA")</f>
        <v>0</v>
      </c>
      <c r="AE63" s="62">
        <f>IFERROR(AD63/AD148, "NA")</f>
        <v>0</v>
      </c>
      <c r="AF63" s="61" t="str">
        <f>IFERROR((X63-AB63)/AB63, "NA")</f>
        <v>NA</v>
      </c>
      <c r="AG63" s="57">
        <f>IFERROR((J63+L63+N63+P63+R63+T63+V63+X63)/8, "NA")</f>
        <v>0</v>
      </c>
      <c r="AH63" s="15">
        <f>IFERROR(AG63/AG148, "NA")</f>
        <v>0</v>
      </c>
      <c r="AI63" s="61">
        <f>IFERROR(X63-AG63, "NA")</f>
        <v>0</v>
      </c>
      <c r="AJ63" s="62">
        <f>IFERROR(AI63/AI148, "NA")</f>
        <v>0</v>
      </c>
      <c r="AK63" s="61" t="str">
        <f>IFERROR((X63-AG63)/AG63, "NA")</f>
        <v>NA</v>
      </c>
      <c r="AL63" s="62" t="str">
        <f>IFERROR(AK63/AK148, "NA")</f>
        <v>NA</v>
      </c>
    </row>
    <row r="64" ht="16.5" customHeight="1">
      <c r="A64" s="22" t="s">
        <v>123</v>
      </c>
      <c r="B64" s="23"/>
      <c r="C64" s="10"/>
      <c r="D64" s="23"/>
      <c r="E64" s="10"/>
      <c r="F64" s="23"/>
      <c r="G64" s="10"/>
      <c r="H64" s="23"/>
      <c r="I64" s="10"/>
      <c r="J64" s="23"/>
      <c r="K64" s="10"/>
      <c r="L64" s="23"/>
      <c r="M64" s="10"/>
      <c r="N64" s="23"/>
      <c r="O64" s="10"/>
      <c r="P64" s="23"/>
      <c r="Q64" s="10"/>
      <c r="R64" s="23"/>
      <c r="S64" s="10"/>
      <c r="T64" s="23"/>
      <c r="U64" s="10"/>
      <c r="V64" s="23"/>
      <c r="W64" s="10"/>
      <c r="X64" s="23"/>
      <c r="Y64" s="10"/>
      <c r="Z64" s="23"/>
      <c r="AA64" s="10"/>
      <c r="AB64" s="23"/>
      <c r="AC64" s="10"/>
      <c r="AD64" s="24"/>
      <c r="AE64" s="25"/>
      <c r="AF64" s="24"/>
      <c r="AG64" s="23"/>
      <c r="AH64" s="10"/>
      <c r="AI64" s="24"/>
      <c r="AJ64" s="25"/>
      <c r="AK64" s="24"/>
      <c r="AL64" s="25"/>
    </row>
    <row r="65" ht="16.5" hidden="1" customHeight="1">
      <c r="A65" s="26" t="s">
        <v>124</v>
      </c>
      <c r="B65" s="28">
        <v>0.0</v>
      </c>
      <c r="C65" s="15">
        <f>IFERROR(B65/B148, "NA")</f>
        <v>0</v>
      </c>
      <c r="D65" s="28">
        <v>0.0</v>
      </c>
      <c r="E65" s="15">
        <f>IFERROR(D65/D148, "NA")</f>
        <v>0</v>
      </c>
      <c r="F65" s="28">
        <v>0.0</v>
      </c>
      <c r="G65" s="15">
        <f>IFERROR(F65/F148, "NA")</f>
        <v>0</v>
      </c>
      <c r="H65" s="28">
        <v>0.0</v>
      </c>
      <c r="I65" s="15">
        <f>IFERROR(H65/H148, "NA")</f>
        <v>0</v>
      </c>
      <c r="J65" s="28">
        <v>0.0</v>
      </c>
      <c r="K65" s="15">
        <f>IFERROR(J65/J148, "NA")</f>
        <v>0</v>
      </c>
      <c r="L65" s="28">
        <v>0.0</v>
      </c>
      <c r="M65" s="15">
        <f>IFERROR(L65/L148, "NA")</f>
        <v>0</v>
      </c>
      <c r="N65" s="28">
        <v>0.0</v>
      </c>
      <c r="O65" s="15">
        <f>IFERROR(N65/N148, "NA")</f>
        <v>0</v>
      </c>
      <c r="P65" s="28">
        <v>0.0</v>
      </c>
      <c r="Q65" s="15">
        <f>IFERROR(P65/P148, "NA")</f>
        <v>0</v>
      </c>
      <c r="R65" s="28">
        <v>0.0</v>
      </c>
      <c r="S65" s="15">
        <f>IFERROR(R65/R148, "NA")</f>
        <v>0</v>
      </c>
      <c r="T65" s="28">
        <v>0.0</v>
      </c>
      <c r="U65" s="15">
        <f>IFERROR(T65/T148, "NA")</f>
        <v>0</v>
      </c>
      <c r="V65" s="28">
        <v>0.0</v>
      </c>
      <c r="W65" s="15">
        <f>IFERROR(V65/V148, "NA")</f>
        <v>0</v>
      </c>
      <c r="X65" s="28">
        <v>0.0</v>
      </c>
      <c r="Y65" s="15">
        <f>IFERROR(X65/X148, "NA")</f>
        <v>0</v>
      </c>
      <c r="Z65" s="28">
        <v>0.0</v>
      </c>
      <c r="AA65" s="15">
        <f>IFERROR(Z65/Z148, "NA")</f>
        <v>0</v>
      </c>
      <c r="AB65" s="57">
        <f t="shared" ref="AB65:AB72" si="31">IFERROR((R65+T65+V65+X65)/4, "NA")</f>
        <v>0</v>
      </c>
      <c r="AC65" s="15">
        <f>IFERROR(AB65/AB148, "NA")</f>
        <v>0</v>
      </c>
      <c r="AD65" s="61">
        <f t="shared" ref="AD65:AD72" si="32">IFERROR(X65-AB65, "NA")</f>
        <v>0</v>
      </c>
      <c r="AE65" s="62">
        <f>IFERROR(AD65/AD148, "NA")</f>
        <v>0</v>
      </c>
      <c r="AF65" s="61" t="str">
        <f t="shared" ref="AF65:AF72" si="33">IFERROR((X65-AB65)/AB65, "NA")</f>
        <v>NA</v>
      </c>
      <c r="AG65" s="57">
        <f t="shared" ref="AG65:AG72" si="34">IFERROR((J65+L65+N65+P65+R65+T65+V65+X65)/8, "NA")</f>
        <v>0</v>
      </c>
      <c r="AH65" s="15">
        <f>IFERROR(AG65/AG148, "NA")</f>
        <v>0</v>
      </c>
      <c r="AI65" s="61">
        <f t="shared" ref="AI65:AI72" si="35">IFERROR(X65-AG65, "NA")</f>
        <v>0</v>
      </c>
      <c r="AJ65" s="62">
        <f>IFERROR(AI65/AI148, "NA")</f>
        <v>0</v>
      </c>
      <c r="AK65" s="61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6" t="s">
        <v>125</v>
      </c>
      <c r="B66" s="28">
        <v>1410.0</v>
      </c>
      <c r="C66" s="15">
        <f>IFERROR(B66/B148, "NA")</f>
        <v>0.1231490523</v>
      </c>
      <c r="D66" s="28">
        <v>1410.0</v>
      </c>
      <c r="E66" s="15">
        <f>IFERROR(D66/D148, "NA")</f>
        <v>0.07873492519</v>
      </c>
      <c r="F66" s="28">
        <v>1410.0</v>
      </c>
      <c r="G66" s="15">
        <f>IFERROR(F66/F148, "NA")</f>
        <v>0.061054793</v>
      </c>
      <c r="H66" s="28">
        <v>1410.0</v>
      </c>
      <c r="I66" s="15">
        <f>IFERROR(H66/H148, "NA")</f>
        <v>0.05454439953</v>
      </c>
      <c r="J66" s="28">
        <v>1410.0</v>
      </c>
      <c r="K66" s="15">
        <f>IFERROR(J66/J148, "NA")</f>
        <v>0.05867977986</v>
      </c>
      <c r="L66" s="28">
        <v>1410.0</v>
      </c>
      <c r="M66" s="15">
        <f>IFERROR(L66/L148, "NA")</f>
        <v>0.05221061986</v>
      </c>
      <c r="N66" s="28">
        <v>1410.0</v>
      </c>
      <c r="O66" s="15">
        <f>IFERROR(N66/N148, "NA")</f>
        <v>0.04694027632</v>
      </c>
      <c r="P66" s="28">
        <v>1410.0</v>
      </c>
      <c r="Q66" s="15">
        <f>IFERROR(P66/P148, "NA")</f>
        <v>0.05336746833</v>
      </c>
      <c r="R66" s="28">
        <v>1410.0</v>
      </c>
      <c r="S66" s="15">
        <f>IFERROR(R66/R148, "NA")</f>
        <v>0.04306729555</v>
      </c>
      <c r="T66" s="28">
        <v>1410.0</v>
      </c>
      <c r="U66" s="15">
        <f>IFERROR(T66/T148, "NA")</f>
        <v>0.05763648708</v>
      </c>
      <c r="V66" s="28">
        <v>1410.0</v>
      </c>
      <c r="W66" s="15">
        <f>IFERROR(V66/V148, "NA")</f>
        <v>0.05518802678</v>
      </c>
      <c r="X66" s="28">
        <v>1410.0</v>
      </c>
      <c r="Y66" s="15">
        <f>IFERROR(X66/X148, "NA")</f>
        <v>0.04793324429</v>
      </c>
      <c r="Z66" s="28">
        <v>4230.0</v>
      </c>
      <c r="AA66" s="15">
        <f>IFERROR(Z66/Z148, "NA")</f>
        <v>0.05325537653</v>
      </c>
      <c r="AB66" s="57">
        <f t="shared" si="31"/>
        <v>1410</v>
      </c>
      <c r="AC66" s="15">
        <f>IFERROR(AB66/AB148, "NA")</f>
        <v>0.05028169338</v>
      </c>
      <c r="AD66" s="61">
        <f t="shared" si="32"/>
        <v>0</v>
      </c>
      <c r="AE66" s="62">
        <f>IFERROR(AD66/AD148, "NA")</f>
        <v>0</v>
      </c>
      <c r="AF66" s="61">
        <f t="shared" si="33"/>
        <v>0</v>
      </c>
      <c r="AG66" s="57">
        <f t="shared" si="34"/>
        <v>1410</v>
      </c>
      <c r="AH66" s="15">
        <f>IFERROR(AG66/AG148, "NA")</f>
        <v>0.05135172957</v>
      </c>
      <c r="AI66" s="61">
        <f t="shared" si="35"/>
        <v>0</v>
      </c>
      <c r="AJ66" s="62">
        <f>IFERROR(AI66/AI148, "NA")</f>
        <v>0</v>
      </c>
      <c r="AK66" s="61">
        <f t="shared" si="36"/>
        <v>0</v>
      </c>
      <c r="AL66" s="62">
        <f>IFERROR(AK66/AK148, "NA")</f>
        <v>0</v>
      </c>
    </row>
    <row r="67" ht="16.5" hidden="1" customHeight="1">
      <c r="A67" s="26" t="s">
        <v>128</v>
      </c>
      <c r="B67" s="28">
        <v>0.0</v>
      </c>
      <c r="C67" s="15">
        <f>IFERROR(B67/B148, "NA")</f>
        <v>0</v>
      </c>
      <c r="D67" s="28">
        <v>0.0</v>
      </c>
      <c r="E67" s="15">
        <f>IFERROR(D67/D148, "NA")</f>
        <v>0</v>
      </c>
      <c r="F67" s="28">
        <v>0.0</v>
      </c>
      <c r="G67" s="15">
        <f>IFERROR(F67/F148, "NA")</f>
        <v>0</v>
      </c>
      <c r="H67" s="28">
        <v>0.0</v>
      </c>
      <c r="I67" s="15">
        <f>IFERROR(H67/H148, "NA")</f>
        <v>0</v>
      </c>
      <c r="J67" s="28">
        <v>0.0</v>
      </c>
      <c r="K67" s="15">
        <f>IFERROR(J67/J148, "NA")</f>
        <v>0</v>
      </c>
      <c r="L67" s="28">
        <v>0.0</v>
      </c>
      <c r="M67" s="15">
        <f>IFERROR(L67/L148, "NA")</f>
        <v>0</v>
      </c>
      <c r="N67" s="28">
        <v>0.0</v>
      </c>
      <c r="O67" s="15">
        <f>IFERROR(N67/N148, "NA")</f>
        <v>0</v>
      </c>
      <c r="P67" s="28">
        <v>0.0</v>
      </c>
      <c r="Q67" s="15">
        <f>IFERROR(P67/P148, "NA")</f>
        <v>0</v>
      </c>
      <c r="R67" s="28">
        <v>0.0</v>
      </c>
      <c r="S67" s="15">
        <f>IFERROR(R67/R148, "NA")</f>
        <v>0</v>
      </c>
      <c r="T67" s="28">
        <v>0.0</v>
      </c>
      <c r="U67" s="15">
        <f>IFERROR(T67/T148, "NA")</f>
        <v>0</v>
      </c>
      <c r="V67" s="28">
        <v>0.0</v>
      </c>
      <c r="W67" s="15">
        <f>IFERROR(V67/V148, "NA")</f>
        <v>0</v>
      </c>
      <c r="X67" s="28">
        <v>0.0</v>
      </c>
      <c r="Y67" s="15">
        <f>IFERROR(X67/X148, "NA")</f>
        <v>0</v>
      </c>
      <c r="Z67" s="28">
        <v>0.0</v>
      </c>
      <c r="AA67" s="15">
        <f>IFERROR(Z67/Z148, "NA")</f>
        <v>0</v>
      </c>
      <c r="AB67" s="57">
        <f t="shared" si="31"/>
        <v>0</v>
      </c>
      <c r="AC67" s="15">
        <f>IFERROR(AB67/AB148, "NA")</f>
        <v>0</v>
      </c>
      <c r="AD67" s="61">
        <f t="shared" si="32"/>
        <v>0</v>
      </c>
      <c r="AE67" s="62">
        <f>IFERROR(AD67/AD148, "NA")</f>
        <v>0</v>
      </c>
      <c r="AF67" s="61" t="str">
        <f t="shared" si="33"/>
        <v>NA</v>
      </c>
      <c r="AG67" s="57">
        <f t="shared" si="34"/>
        <v>0</v>
      </c>
      <c r="AH67" s="15">
        <f>IFERROR(AG67/AG148, "NA")</f>
        <v>0</v>
      </c>
      <c r="AI67" s="61">
        <f t="shared" si="35"/>
        <v>0</v>
      </c>
      <c r="AJ67" s="62">
        <f>IFERROR(AI67/AI148, "NA")</f>
        <v>0</v>
      </c>
      <c r="AK67" s="61" t="str">
        <f t="shared" si="36"/>
        <v>NA</v>
      </c>
      <c r="AL67" s="62" t="str">
        <f>IFERROR(AK67/AK148, "NA")</f>
        <v>NA</v>
      </c>
    </row>
    <row r="68" ht="16.5" customHeight="1">
      <c r="A68" s="26" t="s">
        <v>131</v>
      </c>
      <c r="B68" s="28">
        <v>2599.08</v>
      </c>
      <c r="C68" s="15">
        <f>IFERROR(B68/B148, "NA")</f>
        <v>0.2270030062</v>
      </c>
      <c r="D68" s="28">
        <v>3514.0</v>
      </c>
      <c r="E68" s="15">
        <f>IFERROR(D68/D148, "NA")</f>
        <v>0.1962230689</v>
      </c>
      <c r="F68" s="28">
        <v>3726.07</v>
      </c>
      <c r="G68" s="15">
        <f>IFERROR(F68/F148, "NA")</f>
        <v>0.1613435692</v>
      </c>
      <c r="H68" s="28">
        <v>3847.95</v>
      </c>
      <c r="I68" s="15">
        <f>IFERROR(H68/H148, "NA")</f>
        <v>0.1488539874</v>
      </c>
      <c r="J68" s="28">
        <v>4275.66</v>
      </c>
      <c r="K68" s="15">
        <f>IFERROR(J68/J148, "NA")</f>
        <v>0.1779395657</v>
      </c>
      <c r="L68" s="28">
        <v>4639.15</v>
      </c>
      <c r="M68" s="15">
        <f>IFERROR(L68/L148, "NA")</f>
        <v>0.1717821965</v>
      </c>
      <c r="N68" s="28">
        <v>4361.87</v>
      </c>
      <c r="O68" s="15">
        <f>IFERROR(N68/N148, "NA")</f>
        <v>0.14521091</v>
      </c>
      <c r="P68" s="28">
        <v>4887.68</v>
      </c>
      <c r="Q68" s="15">
        <f>IFERROR(P68/P148, "NA")</f>
        <v>0.1849951118</v>
      </c>
      <c r="R68" s="28">
        <v>5229.4</v>
      </c>
      <c r="S68" s="15">
        <f>IFERROR(R68/R148, "NA")</f>
        <v>0.1597277414</v>
      </c>
      <c r="T68" s="28">
        <v>4995.29</v>
      </c>
      <c r="U68" s="15">
        <f>IFERROR(T68/T148, "NA")</f>
        <v>0.2041921756</v>
      </c>
      <c r="V68" s="28">
        <v>5155.29</v>
      </c>
      <c r="W68" s="15">
        <f>IFERROR(V68/V148, "NA")</f>
        <v>0.2017803423</v>
      </c>
      <c r="X68" s="28">
        <v>5483.73</v>
      </c>
      <c r="Y68" s="15">
        <f>IFERROR(X68/X148, "NA")</f>
        <v>0.1864205459</v>
      </c>
      <c r="Z68" s="28">
        <v>15634.31</v>
      </c>
      <c r="AA68" s="15">
        <f>IFERROR(Z68/Z148, "NA")</f>
        <v>0.1968347673</v>
      </c>
      <c r="AB68" s="57">
        <f t="shared" si="31"/>
        <v>5215.9275</v>
      </c>
      <c r="AC68" s="15">
        <f>IFERROR(AB68/AB148, "NA")</f>
        <v>0.1860040193</v>
      </c>
      <c r="AD68" s="61">
        <f t="shared" si="32"/>
        <v>267.8025</v>
      </c>
      <c r="AE68" s="62">
        <f>IFERROR(AD68/AD148, "NA")</f>
        <v>0.194922101</v>
      </c>
      <c r="AF68" s="61">
        <f t="shared" si="33"/>
        <v>0.05134321748</v>
      </c>
      <c r="AG68" s="57">
        <f t="shared" si="34"/>
        <v>4878.50875</v>
      </c>
      <c r="AH68" s="15">
        <f>IFERROR(AG68/AG148, "NA")</f>
        <v>0.177673661</v>
      </c>
      <c r="AI68" s="61">
        <f t="shared" si="35"/>
        <v>605.22125</v>
      </c>
      <c r="AJ68" s="62">
        <f>IFERROR(AI68/AI148, "NA")</f>
        <v>0.3090674299</v>
      </c>
      <c r="AK68" s="61">
        <f t="shared" si="36"/>
        <v>0.1240586583</v>
      </c>
      <c r="AL68" s="62">
        <f>IFERROR(AK68/AK148, "NA")</f>
        <v>1.739523057</v>
      </c>
    </row>
    <row r="69" ht="16.5" customHeight="1">
      <c r="A69" s="26" t="s">
        <v>134</v>
      </c>
      <c r="B69" s="28">
        <v>0.0</v>
      </c>
      <c r="C69" s="15">
        <f>IFERROR(B69/B148, "NA")</f>
        <v>0</v>
      </c>
      <c r="D69" s="28">
        <v>0.0</v>
      </c>
      <c r="E69" s="15">
        <f>IFERROR(D69/D148, "NA")</f>
        <v>0</v>
      </c>
      <c r="F69" s="28">
        <v>0.0</v>
      </c>
      <c r="G69" s="15">
        <f>IFERROR(F69/F148, "NA")</f>
        <v>0</v>
      </c>
      <c r="H69" s="28">
        <v>0.0</v>
      </c>
      <c r="I69" s="15">
        <f>IFERROR(H69/H148, "NA")</f>
        <v>0</v>
      </c>
      <c r="J69" s="28">
        <v>0.0</v>
      </c>
      <c r="K69" s="15">
        <f>IFERROR(J69/J148, "NA")</f>
        <v>0</v>
      </c>
      <c r="L69" s="28">
        <v>0.0</v>
      </c>
      <c r="M69" s="15">
        <f>IFERROR(L69/L148, "NA")</f>
        <v>0</v>
      </c>
      <c r="N69" s="28">
        <v>72.37</v>
      </c>
      <c r="O69" s="15">
        <f>IFERROR(N69/N148, "NA")</f>
        <v>0.002409267941</v>
      </c>
      <c r="P69" s="28">
        <v>70.52</v>
      </c>
      <c r="Q69" s="15">
        <f>IFERROR(P69/P148, "NA")</f>
        <v>0.002669130402</v>
      </c>
      <c r="R69" s="28">
        <v>141.89</v>
      </c>
      <c r="S69" s="15">
        <f>IFERROR(R69/R148, "NA")</f>
        <v>0.004333913876</v>
      </c>
      <c r="T69" s="28">
        <v>0.0</v>
      </c>
      <c r="U69" s="15">
        <f>IFERROR(T69/T148, "NA")</f>
        <v>0</v>
      </c>
      <c r="V69" s="28">
        <v>74.53</v>
      </c>
      <c r="W69" s="15">
        <f>IFERROR(V69/V148, "NA")</f>
        <v>0.002917137331</v>
      </c>
      <c r="X69" s="28">
        <v>57.18</v>
      </c>
      <c r="Y69" s="15">
        <f>IFERROR(X69/X148, "NA")</f>
        <v>0.001943846034</v>
      </c>
      <c r="Z69" s="28">
        <v>131.71</v>
      </c>
      <c r="AA69" s="15">
        <f>IFERROR(Z69/Z148, "NA")</f>
        <v>0.001658218828</v>
      </c>
      <c r="AB69" s="57">
        <f t="shared" si="31"/>
        <v>68.4</v>
      </c>
      <c r="AC69" s="15">
        <f>IFERROR(AB69/AB148, "NA")</f>
        <v>0.002439197041</v>
      </c>
      <c r="AD69" s="61">
        <f t="shared" si="32"/>
        <v>-11.22</v>
      </c>
      <c r="AE69" s="62">
        <f>IFERROR(AD69/AD148, "NA")</f>
        <v>-0.008166562947</v>
      </c>
      <c r="AF69" s="61">
        <f t="shared" si="33"/>
        <v>-0.1640350877</v>
      </c>
      <c r="AG69" s="57">
        <f t="shared" si="34"/>
        <v>52.06125</v>
      </c>
      <c r="AH69" s="15">
        <f>IFERROR(AG69/AG148, "NA")</f>
        <v>0.001896053356</v>
      </c>
      <c r="AI69" s="61">
        <f t="shared" si="35"/>
        <v>5.11875</v>
      </c>
      <c r="AJ69" s="62">
        <f>IFERROR(AI69/AI148, "NA")</f>
        <v>0.002613984402</v>
      </c>
      <c r="AK69" s="61">
        <f t="shared" si="36"/>
        <v>0.0983216884</v>
      </c>
      <c r="AL69" s="62">
        <f>IFERROR(AK69/AK148, "NA")</f>
        <v>1.37864496</v>
      </c>
    </row>
    <row r="70" ht="16.5" customHeight="1">
      <c r="A70" s="67" t="s">
        <v>138</v>
      </c>
      <c r="B70" s="70">
        <f>IFERROR(B65+B66+B67+B68+B69, "NA")</f>
        <v>4009.08</v>
      </c>
      <c r="C70" s="71">
        <f>IFERROR(B70/B148, "NA")</f>
        <v>0.3501520585</v>
      </c>
      <c r="D70" s="70">
        <f>IFERROR(D65+D66+D67+D68+D69, "NA")</f>
        <v>4924</v>
      </c>
      <c r="E70" s="71">
        <f>IFERROR(D70/D148, "NA")</f>
        <v>0.2749579941</v>
      </c>
      <c r="F70" s="70">
        <f>IFERROR(F65+F66+F67+F68+F69, "NA")</f>
        <v>5136.07</v>
      </c>
      <c r="G70" s="71">
        <f>IFERROR(F70/F148, "NA")</f>
        <v>0.2223983622</v>
      </c>
      <c r="H70" s="70">
        <f>IFERROR(H65+H66+H67+H68+H69, "NA")</f>
        <v>5257.95</v>
      </c>
      <c r="I70" s="71">
        <f>IFERROR(H70/H148, "NA")</f>
        <v>0.2033983869</v>
      </c>
      <c r="J70" s="70">
        <f>IFERROR(J65+J66+J67+J68+J69, "NA")</f>
        <v>5685.66</v>
      </c>
      <c r="K70" s="71">
        <f>IFERROR(J70/J148, "NA")</f>
        <v>0.2366193455</v>
      </c>
      <c r="L70" s="70">
        <f>IFERROR(L65+L66+L67+L68+L69, "NA")</f>
        <v>6049.15</v>
      </c>
      <c r="M70" s="71">
        <f>IFERROR(L70/L148, "NA")</f>
        <v>0.2239928164</v>
      </c>
      <c r="N70" s="70">
        <f>IFERROR(N65+N66+N67+N68+N69, "NA")</f>
        <v>5844.24</v>
      </c>
      <c r="O70" s="71">
        <f>IFERROR(N70/N148, "NA")</f>
        <v>0.1945604542</v>
      </c>
      <c r="P70" s="70">
        <f>IFERROR(P65+P66+P67+P68+P69, "NA")</f>
        <v>6368.2</v>
      </c>
      <c r="Q70" s="71">
        <f>IFERROR(P70/P148, "NA")</f>
        <v>0.2410317105</v>
      </c>
      <c r="R70" s="70">
        <f>IFERROR(R65+R66+R67+R68+R69, "NA")</f>
        <v>6781.29</v>
      </c>
      <c r="S70" s="71">
        <f>IFERROR(R70/R148, "NA")</f>
        <v>0.2071289508</v>
      </c>
      <c r="T70" s="70">
        <f>IFERROR(T65+T66+T67+T68+T69, "NA")</f>
        <v>6405.29</v>
      </c>
      <c r="U70" s="71">
        <f>IFERROR(T70/T148, "NA")</f>
        <v>0.2618286627</v>
      </c>
      <c r="V70" s="70">
        <f>IFERROR(V65+V66+V67+V68+V69, "NA")</f>
        <v>6639.82</v>
      </c>
      <c r="W70" s="71">
        <f>IFERROR(V70/V148, "NA")</f>
        <v>0.2598855064</v>
      </c>
      <c r="X70" s="70">
        <f>IFERROR(X65+X66+X67+X68+X69, "NA")</f>
        <v>6950.91</v>
      </c>
      <c r="Y70" s="71">
        <f>IFERROR(X70/X148, "NA")</f>
        <v>0.2362976362</v>
      </c>
      <c r="Z70" s="70">
        <f>IFERROR(Z65+Z66+Z67+Z68+Z69, "NA")</f>
        <v>19996.02</v>
      </c>
      <c r="AA70" s="71">
        <f>IFERROR(Z70/Z148, "NA")</f>
        <v>0.2517483627</v>
      </c>
      <c r="AB70" s="70">
        <f t="shared" si="31"/>
        <v>6694.3275</v>
      </c>
      <c r="AC70" s="71">
        <f>IFERROR(AB70/AB148, "NA")</f>
        <v>0.2387249097</v>
      </c>
      <c r="AD70" s="75">
        <f t="shared" si="32"/>
        <v>256.5825</v>
      </c>
      <c r="AE70" s="76">
        <f>IFERROR(AD70/AD148, "NA")</f>
        <v>0.1867555381</v>
      </c>
      <c r="AF70" s="75">
        <f t="shared" si="33"/>
        <v>0.0383283459</v>
      </c>
      <c r="AG70" s="70">
        <f t="shared" si="34"/>
        <v>6340.57</v>
      </c>
      <c r="AH70" s="71">
        <f>IFERROR(AG70/AG148, "NA")</f>
        <v>0.230921444</v>
      </c>
      <c r="AI70" s="75">
        <f t="shared" si="35"/>
        <v>610.34</v>
      </c>
      <c r="AJ70" s="76">
        <f>IFERROR(AI70/AI148, "NA")</f>
        <v>0.3116814143</v>
      </c>
      <c r="AK70" s="75">
        <f t="shared" si="36"/>
        <v>0.09625948456</v>
      </c>
      <c r="AL70" s="76">
        <f>IFERROR(AK70/AK148, "NA")</f>
        <v>1.349729194</v>
      </c>
    </row>
    <row r="71" ht="16.5" hidden="1" customHeight="1">
      <c r="A71" s="26" t="s">
        <v>143</v>
      </c>
      <c r="B71" s="28">
        <v>0.0</v>
      </c>
      <c r="C71" s="15">
        <f>IFERROR(B71/B148, "NA")</f>
        <v>0</v>
      </c>
      <c r="D71" s="28">
        <v>0.0</v>
      </c>
      <c r="E71" s="15">
        <f>IFERROR(D71/D148, "NA")</f>
        <v>0</v>
      </c>
      <c r="F71" s="28">
        <v>0.0</v>
      </c>
      <c r="G71" s="15">
        <f>IFERROR(F71/F148, "NA")</f>
        <v>0</v>
      </c>
      <c r="H71" s="28">
        <v>0.0</v>
      </c>
      <c r="I71" s="15">
        <f>IFERROR(H71/H148, "NA")</f>
        <v>0</v>
      </c>
      <c r="J71" s="28">
        <v>0.0</v>
      </c>
      <c r="K71" s="15">
        <f>IFERROR(J71/J148, "NA")</f>
        <v>0</v>
      </c>
      <c r="L71" s="28">
        <v>0.0</v>
      </c>
      <c r="M71" s="15">
        <f>IFERROR(L71/L148, "NA")</f>
        <v>0</v>
      </c>
      <c r="N71" s="28">
        <v>0.0</v>
      </c>
      <c r="O71" s="15">
        <f>IFERROR(N71/N148, "NA")</f>
        <v>0</v>
      </c>
      <c r="P71" s="28">
        <v>0.0</v>
      </c>
      <c r="Q71" s="15">
        <f>IFERROR(P71/P148, "NA")</f>
        <v>0</v>
      </c>
      <c r="R71" s="28">
        <v>0.0</v>
      </c>
      <c r="S71" s="15">
        <f>IFERROR(R71/R148, "NA")</f>
        <v>0</v>
      </c>
      <c r="T71" s="28">
        <v>0.0</v>
      </c>
      <c r="U71" s="15">
        <f>IFERROR(T71/T148, "NA")</f>
        <v>0</v>
      </c>
      <c r="V71" s="28">
        <v>0.0</v>
      </c>
      <c r="W71" s="15">
        <f>IFERROR(V71/V148, "NA")</f>
        <v>0</v>
      </c>
      <c r="X71" s="28">
        <v>0.0</v>
      </c>
      <c r="Y71" s="15">
        <f>IFERROR(X71/X148, "NA")</f>
        <v>0</v>
      </c>
      <c r="Z71" s="28">
        <v>0.0</v>
      </c>
      <c r="AA71" s="15">
        <f>IFERROR(Z71/Z148, "NA")</f>
        <v>0</v>
      </c>
      <c r="AB71" s="57">
        <f t="shared" si="31"/>
        <v>0</v>
      </c>
      <c r="AC71" s="15">
        <f>IFERROR(AB71/AB148, "NA")</f>
        <v>0</v>
      </c>
      <c r="AD71" s="61">
        <f t="shared" si="32"/>
        <v>0</v>
      </c>
      <c r="AE71" s="62">
        <f>IFERROR(AD71/AD148, "NA")</f>
        <v>0</v>
      </c>
      <c r="AF71" s="61" t="str">
        <f t="shared" si="33"/>
        <v>NA</v>
      </c>
      <c r="AG71" s="57">
        <f t="shared" si="34"/>
        <v>0</v>
      </c>
      <c r="AH71" s="15">
        <f>IFERROR(AG71/AG148, "NA")</f>
        <v>0</v>
      </c>
      <c r="AI71" s="61">
        <f t="shared" si="35"/>
        <v>0</v>
      </c>
      <c r="AJ71" s="62">
        <f>IFERROR(AI71/AI148, "NA")</f>
        <v>0</v>
      </c>
      <c r="AK71" s="61" t="str">
        <f t="shared" si="36"/>
        <v>NA</v>
      </c>
      <c r="AL71" s="62" t="str">
        <f>IFERROR(AK71/AK148, "NA")</f>
        <v>NA</v>
      </c>
    </row>
    <row r="72" ht="16.5" customHeight="1">
      <c r="A72" s="26" t="s">
        <v>146</v>
      </c>
      <c r="B72" s="28">
        <v>0.0</v>
      </c>
      <c r="C72" s="15">
        <f>IFERROR(B72/B148, "NA")</f>
        <v>0</v>
      </c>
      <c r="D72" s="28">
        <v>0.0</v>
      </c>
      <c r="E72" s="15">
        <f>IFERROR(D72/D148, "NA")</f>
        <v>0</v>
      </c>
      <c r="F72" s="28">
        <v>0.0</v>
      </c>
      <c r="G72" s="15">
        <f>IFERROR(F72/F148, "NA")</f>
        <v>0</v>
      </c>
      <c r="H72" s="28">
        <v>293.0</v>
      </c>
      <c r="I72" s="15">
        <f>IFERROR(H72/H148, "NA")</f>
        <v>0.01133440359</v>
      </c>
      <c r="J72" s="28">
        <v>0.0</v>
      </c>
      <c r="K72" s="15">
        <f>IFERROR(J72/J148, "NA")</f>
        <v>0</v>
      </c>
      <c r="L72" s="28">
        <v>0.0</v>
      </c>
      <c r="M72" s="15">
        <f>IFERROR(L72/L148, "NA")</f>
        <v>0</v>
      </c>
      <c r="N72" s="28">
        <v>0.0</v>
      </c>
      <c r="O72" s="15">
        <f>IFERROR(N72/N148, "NA")</f>
        <v>0</v>
      </c>
      <c r="P72" s="28">
        <v>0.0</v>
      </c>
      <c r="Q72" s="15">
        <f>IFERROR(P72/P148, "NA")</f>
        <v>0</v>
      </c>
      <c r="R72" s="28">
        <v>-577.0</v>
      </c>
      <c r="S72" s="15">
        <f>IFERROR(R72/R148, "NA")</f>
        <v>-0.01762399258</v>
      </c>
      <c r="T72" s="28">
        <v>0.0</v>
      </c>
      <c r="U72" s="15">
        <f>IFERROR(T72/T148, "NA")</f>
        <v>0</v>
      </c>
      <c r="V72" s="28">
        <v>0.0</v>
      </c>
      <c r="W72" s="15">
        <f>IFERROR(V72/V148, "NA")</f>
        <v>0</v>
      </c>
      <c r="X72" s="28">
        <v>0.0</v>
      </c>
      <c r="Y72" s="15">
        <f>IFERROR(X72/X148, "NA")</f>
        <v>0</v>
      </c>
      <c r="Z72" s="28">
        <v>0.0</v>
      </c>
      <c r="AA72" s="15">
        <f>IFERROR(Z72/Z148, "NA")</f>
        <v>0</v>
      </c>
      <c r="AB72" s="57">
        <f t="shared" si="31"/>
        <v>-144.25</v>
      </c>
      <c r="AC72" s="15">
        <f>IFERROR(AB72/AB148, "NA")</f>
        <v>-0.005144066858</v>
      </c>
      <c r="AD72" s="61">
        <f t="shared" si="32"/>
        <v>144.25</v>
      </c>
      <c r="AE72" s="62">
        <f>IFERROR(AD72/AD148, "NA")</f>
        <v>0.1049934675</v>
      </c>
      <c r="AF72" s="61">
        <f t="shared" si="33"/>
        <v>-1</v>
      </c>
      <c r="AG72" s="57">
        <f t="shared" si="34"/>
        <v>-72.125</v>
      </c>
      <c r="AH72" s="15">
        <f>IFERROR(AG72/AG148, "NA")</f>
        <v>-0.002626768437</v>
      </c>
      <c r="AI72" s="61">
        <f t="shared" si="35"/>
        <v>72.125</v>
      </c>
      <c r="AJ72" s="62">
        <f>IFERROR(AI72/AI148, "NA")</f>
        <v>0.03683196581</v>
      </c>
      <c r="AK72" s="61">
        <f t="shared" si="36"/>
        <v>-1</v>
      </c>
      <c r="AL72" s="62">
        <f>IFERROR(AK72/AK148, "NA")</f>
        <v>-14.02177873</v>
      </c>
    </row>
    <row r="73" ht="16.5" customHeight="1">
      <c r="A73" s="22" t="s">
        <v>151</v>
      </c>
      <c r="B73" s="23"/>
      <c r="C73" s="10"/>
      <c r="D73" s="23"/>
      <c r="E73" s="10"/>
      <c r="F73" s="23"/>
      <c r="G73" s="10"/>
      <c r="H73" s="23"/>
      <c r="I73" s="10"/>
      <c r="J73" s="23"/>
      <c r="K73" s="10"/>
      <c r="L73" s="23"/>
      <c r="M73" s="10"/>
      <c r="N73" s="23"/>
      <c r="O73" s="10"/>
      <c r="P73" s="23"/>
      <c r="Q73" s="10"/>
      <c r="R73" s="23"/>
      <c r="S73" s="10"/>
      <c r="T73" s="23"/>
      <c r="U73" s="10"/>
      <c r="V73" s="23"/>
      <c r="W73" s="10"/>
      <c r="X73" s="23"/>
      <c r="Y73" s="10"/>
      <c r="Z73" s="23"/>
      <c r="AA73" s="10"/>
      <c r="AB73" s="23"/>
      <c r="AC73" s="10"/>
      <c r="AD73" s="24"/>
      <c r="AE73" s="25"/>
      <c r="AF73" s="24"/>
      <c r="AG73" s="23"/>
      <c r="AH73" s="10"/>
      <c r="AI73" s="24"/>
      <c r="AJ73" s="25"/>
      <c r="AK73" s="24"/>
      <c r="AL73" s="25"/>
    </row>
    <row r="74" ht="16.5" customHeight="1">
      <c r="A74" s="26" t="s">
        <v>153</v>
      </c>
      <c r="B74" s="28">
        <v>351.72</v>
      </c>
      <c r="C74" s="15">
        <f>IFERROR(B74/B148, "NA")</f>
        <v>0.03071913806</v>
      </c>
      <c r="D74" s="28">
        <v>438.7</v>
      </c>
      <c r="E74" s="15">
        <f>IFERROR(D74/D148, "NA")</f>
        <v>0.02449717141</v>
      </c>
      <c r="F74" s="28">
        <v>477.63</v>
      </c>
      <c r="G74" s="15">
        <f>IFERROR(F74/F148, "NA")</f>
        <v>0.02068198637</v>
      </c>
      <c r="H74" s="28">
        <v>493.81</v>
      </c>
      <c r="I74" s="15">
        <f>IFERROR(H74/H148, "NA")</f>
        <v>0.01910253187</v>
      </c>
      <c r="J74" s="28">
        <v>588.8</v>
      </c>
      <c r="K74" s="15">
        <f>IFERROR(J74/J148, "NA")</f>
        <v>0.0245040102</v>
      </c>
      <c r="L74" s="28">
        <v>553.61</v>
      </c>
      <c r="M74" s="15">
        <f>IFERROR(L74/L148, "NA")</f>
        <v>0.02049951863</v>
      </c>
      <c r="N74" s="28">
        <v>549.79</v>
      </c>
      <c r="O74" s="15">
        <f>IFERROR(N74/N148, "NA")</f>
        <v>0.01830304576</v>
      </c>
      <c r="P74" s="28">
        <v>616.6</v>
      </c>
      <c r="Q74" s="15">
        <f>IFERROR(P74/P148, "NA")</f>
        <v>0.02333785884</v>
      </c>
      <c r="R74" s="28">
        <v>601.61</v>
      </c>
      <c r="S74" s="15">
        <f>IFERROR(R74/R148, "NA")</f>
        <v>0.01837568488</v>
      </c>
      <c r="T74" s="28">
        <v>562.54</v>
      </c>
      <c r="U74" s="15">
        <f>IFERROR(T74/T148, "NA")</f>
        <v>0.0229949145</v>
      </c>
      <c r="V74" s="28">
        <v>553.77</v>
      </c>
      <c r="W74" s="15">
        <f>IFERROR(V74/V148, "NA")</f>
        <v>0.02167480397</v>
      </c>
      <c r="X74" s="28">
        <v>608.25</v>
      </c>
      <c r="Y74" s="15">
        <f>IFERROR(X74/X148, "NA")</f>
        <v>0.0206775857</v>
      </c>
      <c r="Z74" s="28">
        <v>1724.56</v>
      </c>
      <c r="AA74" s="15">
        <f>IFERROR(Z74/Z148, "NA")</f>
        <v>0.02171207852</v>
      </c>
      <c r="AB74" s="57">
        <f t="shared" ref="AB74:AB85" si="37">IFERROR((R74+T74+V74+X74)/4, "NA")</f>
        <v>581.5425</v>
      </c>
      <c r="AC74" s="15">
        <f>IFERROR(AB74/AB148, "NA")</f>
        <v>0.02073825651</v>
      </c>
      <c r="AD74" s="61">
        <f t="shared" ref="AD74:AD85" si="38">IFERROR(X74-AB74, "NA")</f>
        <v>26.7075</v>
      </c>
      <c r="AE74" s="62">
        <f>IFERROR(AD74/AD148, "NA")</f>
        <v>0.01943925846</v>
      </c>
      <c r="AF74" s="61">
        <f t="shared" ref="AF74:AF85" si="39">IFERROR((X74-AB74)/AB74, "NA")</f>
        <v>0.04592527631</v>
      </c>
      <c r="AG74" s="57">
        <f t="shared" ref="AG74:AG85" si="40">IFERROR((J74+L74+N74+P74+R74+T74+V74+X74)/8, "NA")</f>
        <v>579.37125</v>
      </c>
      <c r="AH74" s="15">
        <f>IFERROR(AG74/AG148, "NA")</f>
        <v>0.02110050763</v>
      </c>
      <c r="AI74" s="61">
        <f t="shared" ref="AI74:AI85" si="41">IFERROR(X74-AG74, "NA")</f>
        <v>28.87875</v>
      </c>
      <c r="AJ74" s="62">
        <f>IFERROR(AI74/AI148, "NA")</f>
        <v>0.01474746804</v>
      </c>
      <c r="AK74" s="61">
        <f t="shared" ref="AK74:AK85" si="42">IFERROR((X74-AG74)/AG74, "NA")</f>
        <v>0.04984498282</v>
      </c>
      <c r="AL74" s="62">
        <f>IFERROR(AK74/AK148, "NA")</f>
        <v>0.6989153201</v>
      </c>
    </row>
    <row r="75" ht="16.5" hidden="1" customHeight="1">
      <c r="A75" s="26" t="s">
        <v>158</v>
      </c>
      <c r="B75" s="28">
        <v>0.0</v>
      </c>
      <c r="C75" s="15">
        <f>IFERROR(B75/B148, "NA")</f>
        <v>0</v>
      </c>
      <c r="D75" s="28">
        <v>0.0</v>
      </c>
      <c r="E75" s="15">
        <f>IFERROR(D75/D148, "NA")</f>
        <v>0</v>
      </c>
      <c r="F75" s="28">
        <v>0.0</v>
      </c>
      <c r="G75" s="15">
        <f>IFERROR(F75/F148, "NA")</f>
        <v>0</v>
      </c>
      <c r="H75" s="28">
        <v>0.0</v>
      </c>
      <c r="I75" s="15">
        <f>IFERROR(H75/H148, "NA")</f>
        <v>0</v>
      </c>
      <c r="J75" s="28">
        <v>0.0</v>
      </c>
      <c r="K75" s="15">
        <f>IFERROR(J75/J148, "NA")</f>
        <v>0</v>
      </c>
      <c r="L75" s="28">
        <v>0.0</v>
      </c>
      <c r="M75" s="15">
        <f>IFERROR(L75/L148, "NA")</f>
        <v>0</v>
      </c>
      <c r="N75" s="28">
        <v>0.0</v>
      </c>
      <c r="O75" s="15">
        <f>IFERROR(N75/N148, "NA")</f>
        <v>0</v>
      </c>
      <c r="P75" s="28">
        <v>0.0</v>
      </c>
      <c r="Q75" s="15">
        <f>IFERROR(P75/P148, "NA")</f>
        <v>0</v>
      </c>
      <c r="R75" s="28">
        <v>0.0</v>
      </c>
      <c r="S75" s="15">
        <f>IFERROR(R75/R148, "NA")</f>
        <v>0</v>
      </c>
      <c r="T75" s="28">
        <v>0.0</v>
      </c>
      <c r="U75" s="15">
        <f>IFERROR(T75/T148, "NA")</f>
        <v>0</v>
      </c>
      <c r="V75" s="28">
        <v>0.0</v>
      </c>
      <c r="W75" s="15">
        <f>IFERROR(V75/V148, "NA")</f>
        <v>0</v>
      </c>
      <c r="X75" s="28">
        <v>0.0</v>
      </c>
      <c r="Y75" s="15">
        <f>IFERROR(X75/X148, "NA")</f>
        <v>0</v>
      </c>
      <c r="Z75" s="28">
        <v>0.0</v>
      </c>
      <c r="AA75" s="15">
        <f>IFERROR(Z75/Z148, "NA")</f>
        <v>0</v>
      </c>
      <c r="AB75" s="57">
        <f t="shared" si="37"/>
        <v>0</v>
      </c>
      <c r="AC75" s="15">
        <f>IFERROR(AB75/AB148, "NA")</f>
        <v>0</v>
      </c>
      <c r="AD75" s="61">
        <f t="shared" si="38"/>
        <v>0</v>
      </c>
      <c r="AE75" s="62">
        <f>IFERROR(AD75/AD148, "NA")</f>
        <v>0</v>
      </c>
      <c r="AF75" s="61" t="str">
        <f t="shared" si="39"/>
        <v>NA</v>
      </c>
      <c r="AG75" s="57">
        <f t="shared" si="40"/>
        <v>0</v>
      </c>
      <c r="AH75" s="15">
        <f>IFERROR(AG75/AG148, "NA")</f>
        <v>0</v>
      </c>
      <c r="AI75" s="61">
        <f t="shared" si="41"/>
        <v>0</v>
      </c>
      <c r="AJ75" s="62">
        <f>IFERROR(AI75/AI148, "NA")</f>
        <v>0</v>
      </c>
      <c r="AK75" s="61" t="str">
        <f t="shared" si="42"/>
        <v>NA</v>
      </c>
      <c r="AL75" s="62" t="str">
        <f>IFERROR(AK75/AK148, "NA")</f>
        <v>NA</v>
      </c>
    </row>
    <row r="76" ht="16.5" hidden="1" customHeight="1">
      <c r="A76" s="26" t="s">
        <v>160</v>
      </c>
      <c r="B76" s="28">
        <v>0.0</v>
      </c>
      <c r="C76" s="15">
        <f>IFERROR(B76/B148, "NA")</f>
        <v>0</v>
      </c>
      <c r="D76" s="28">
        <v>0.0</v>
      </c>
      <c r="E76" s="15">
        <f>IFERROR(D76/D148, "NA")</f>
        <v>0</v>
      </c>
      <c r="F76" s="28">
        <v>0.0</v>
      </c>
      <c r="G76" s="15">
        <f>IFERROR(F76/F148, "NA")</f>
        <v>0</v>
      </c>
      <c r="H76" s="28">
        <v>0.0</v>
      </c>
      <c r="I76" s="15">
        <f>IFERROR(H76/H148, "NA")</f>
        <v>0</v>
      </c>
      <c r="J76" s="28">
        <v>0.0</v>
      </c>
      <c r="K76" s="15">
        <f>IFERROR(J76/J148, "NA")</f>
        <v>0</v>
      </c>
      <c r="L76" s="28">
        <v>0.0</v>
      </c>
      <c r="M76" s="15">
        <f>IFERROR(L76/L148, "NA")</f>
        <v>0</v>
      </c>
      <c r="N76" s="28">
        <v>0.0</v>
      </c>
      <c r="O76" s="15">
        <f>IFERROR(N76/N148, "NA")</f>
        <v>0</v>
      </c>
      <c r="P76" s="28">
        <v>0.0</v>
      </c>
      <c r="Q76" s="15">
        <f>IFERROR(P76/P148, "NA")</f>
        <v>0</v>
      </c>
      <c r="R76" s="28">
        <v>0.0</v>
      </c>
      <c r="S76" s="15">
        <f>IFERROR(R76/R148, "NA")</f>
        <v>0</v>
      </c>
      <c r="T76" s="28">
        <v>0.0</v>
      </c>
      <c r="U76" s="15">
        <f>IFERROR(T76/T148, "NA")</f>
        <v>0</v>
      </c>
      <c r="V76" s="28">
        <v>0.0</v>
      </c>
      <c r="W76" s="15">
        <f>IFERROR(V76/V148, "NA")</f>
        <v>0</v>
      </c>
      <c r="X76" s="28">
        <v>0.0</v>
      </c>
      <c r="Y76" s="15">
        <f>IFERROR(X76/X148, "NA")</f>
        <v>0</v>
      </c>
      <c r="Z76" s="28">
        <v>0.0</v>
      </c>
      <c r="AA76" s="15">
        <f>IFERROR(Z76/Z148, "NA")</f>
        <v>0</v>
      </c>
      <c r="AB76" s="57">
        <f t="shared" si="37"/>
        <v>0</v>
      </c>
      <c r="AC76" s="15">
        <f>IFERROR(AB76/AB148, "NA")</f>
        <v>0</v>
      </c>
      <c r="AD76" s="61">
        <f t="shared" si="38"/>
        <v>0</v>
      </c>
      <c r="AE76" s="62">
        <f>IFERROR(AD76/AD148, "NA")</f>
        <v>0</v>
      </c>
      <c r="AF76" s="61" t="str">
        <f t="shared" si="39"/>
        <v>NA</v>
      </c>
      <c r="AG76" s="57">
        <f t="shared" si="40"/>
        <v>0</v>
      </c>
      <c r="AH76" s="15">
        <f>IFERROR(AG76/AG148, "NA")</f>
        <v>0</v>
      </c>
      <c r="AI76" s="61">
        <f t="shared" si="41"/>
        <v>0</v>
      </c>
      <c r="AJ76" s="62">
        <f>IFERROR(AI76/AI148, "NA")</f>
        <v>0</v>
      </c>
      <c r="AK76" s="61" t="str">
        <f t="shared" si="42"/>
        <v>NA</v>
      </c>
      <c r="AL76" s="62" t="str">
        <f>IFERROR(AK76/AK148, "NA")</f>
        <v>NA</v>
      </c>
    </row>
    <row r="77" ht="16.5" hidden="1" customHeight="1">
      <c r="A77" s="26" t="s">
        <v>163</v>
      </c>
      <c r="B77" s="28">
        <v>0.0</v>
      </c>
      <c r="C77" s="15">
        <f>IFERROR(B77/B148, "NA")</f>
        <v>0</v>
      </c>
      <c r="D77" s="28">
        <v>0.0</v>
      </c>
      <c r="E77" s="15">
        <f>IFERROR(D77/D148, "NA")</f>
        <v>0</v>
      </c>
      <c r="F77" s="28">
        <v>0.0</v>
      </c>
      <c r="G77" s="15">
        <f>IFERROR(F77/F148, "NA")</f>
        <v>0</v>
      </c>
      <c r="H77" s="28">
        <v>0.0</v>
      </c>
      <c r="I77" s="15">
        <f>IFERROR(H77/H148, "NA")</f>
        <v>0</v>
      </c>
      <c r="J77" s="28">
        <v>0.0</v>
      </c>
      <c r="K77" s="15">
        <f>IFERROR(J77/J148, "NA")</f>
        <v>0</v>
      </c>
      <c r="L77" s="28">
        <v>0.0</v>
      </c>
      <c r="M77" s="15">
        <f>IFERROR(L77/L148, "NA")</f>
        <v>0</v>
      </c>
      <c r="N77" s="28">
        <v>0.0</v>
      </c>
      <c r="O77" s="15">
        <f>IFERROR(N77/N148, "NA")</f>
        <v>0</v>
      </c>
      <c r="P77" s="28">
        <v>0.0</v>
      </c>
      <c r="Q77" s="15">
        <f>IFERROR(P77/P148, "NA")</f>
        <v>0</v>
      </c>
      <c r="R77" s="28">
        <v>0.0</v>
      </c>
      <c r="S77" s="15">
        <f>IFERROR(R77/R148, "NA")</f>
        <v>0</v>
      </c>
      <c r="T77" s="28">
        <v>0.0</v>
      </c>
      <c r="U77" s="15">
        <f>IFERROR(T77/T148, "NA")</f>
        <v>0</v>
      </c>
      <c r="V77" s="28">
        <v>0.0</v>
      </c>
      <c r="W77" s="15">
        <f>IFERROR(V77/V148, "NA")</f>
        <v>0</v>
      </c>
      <c r="X77" s="28">
        <v>0.0</v>
      </c>
      <c r="Y77" s="15">
        <f>IFERROR(X77/X148, "NA")</f>
        <v>0</v>
      </c>
      <c r="Z77" s="28">
        <v>0.0</v>
      </c>
      <c r="AA77" s="15">
        <f>IFERROR(Z77/Z148, "NA")</f>
        <v>0</v>
      </c>
      <c r="AB77" s="57">
        <f t="shared" si="37"/>
        <v>0</v>
      </c>
      <c r="AC77" s="15">
        <f>IFERROR(AB77/AB148, "NA")</f>
        <v>0</v>
      </c>
      <c r="AD77" s="61">
        <f t="shared" si="38"/>
        <v>0</v>
      </c>
      <c r="AE77" s="62">
        <f>IFERROR(AD77/AD148, "NA")</f>
        <v>0</v>
      </c>
      <c r="AF77" s="61" t="str">
        <f t="shared" si="39"/>
        <v>NA</v>
      </c>
      <c r="AG77" s="57">
        <f t="shared" si="40"/>
        <v>0</v>
      </c>
      <c r="AH77" s="15">
        <f>IFERROR(AG77/AG148, "NA")</f>
        <v>0</v>
      </c>
      <c r="AI77" s="61">
        <f t="shared" si="41"/>
        <v>0</v>
      </c>
      <c r="AJ77" s="62">
        <f>IFERROR(AI77/AI148, "NA")</f>
        <v>0</v>
      </c>
      <c r="AK77" s="61" t="str">
        <f t="shared" si="42"/>
        <v>NA</v>
      </c>
      <c r="AL77" s="62" t="str">
        <f>IFERROR(AK77/AK148, "NA")</f>
        <v>NA</v>
      </c>
    </row>
    <row r="78" ht="16.5" hidden="1" customHeight="1">
      <c r="A78" s="26" t="s">
        <v>167</v>
      </c>
      <c r="B78" s="28">
        <v>0.0</v>
      </c>
      <c r="C78" s="15">
        <f>IFERROR(B78/B148, "NA")</f>
        <v>0</v>
      </c>
      <c r="D78" s="28">
        <v>0.0</v>
      </c>
      <c r="E78" s="15">
        <f>IFERROR(D78/D148, "NA")</f>
        <v>0</v>
      </c>
      <c r="F78" s="28">
        <v>0.0</v>
      </c>
      <c r="G78" s="15">
        <f>IFERROR(F78/F148, "NA")</f>
        <v>0</v>
      </c>
      <c r="H78" s="28">
        <v>0.0</v>
      </c>
      <c r="I78" s="15">
        <f>IFERROR(H78/H148, "NA")</f>
        <v>0</v>
      </c>
      <c r="J78" s="28">
        <v>0.0</v>
      </c>
      <c r="K78" s="15">
        <f>IFERROR(J78/J148, "NA")</f>
        <v>0</v>
      </c>
      <c r="L78" s="28">
        <v>0.0</v>
      </c>
      <c r="M78" s="15">
        <f>IFERROR(L78/L148, "NA")</f>
        <v>0</v>
      </c>
      <c r="N78" s="28">
        <v>0.0</v>
      </c>
      <c r="O78" s="15">
        <f>IFERROR(N78/N148, "NA")</f>
        <v>0</v>
      </c>
      <c r="P78" s="28">
        <v>0.0</v>
      </c>
      <c r="Q78" s="15">
        <f>IFERROR(P78/P148, "NA")</f>
        <v>0</v>
      </c>
      <c r="R78" s="28">
        <v>0.0</v>
      </c>
      <c r="S78" s="15">
        <f>IFERROR(R78/R148, "NA")</f>
        <v>0</v>
      </c>
      <c r="T78" s="28">
        <v>0.0</v>
      </c>
      <c r="U78" s="15">
        <f>IFERROR(T78/T148, "NA")</f>
        <v>0</v>
      </c>
      <c r="V78" s="28">
        <v>0.0</v>
      </c>
      <c r="W78" s="15">
        <f>IFERROR(V78/V148, "NA")</f>
        <v>0</v>
      </c>
      <c r="X78" s="28">
        <v>0.0</v>
      </c>
      <c r="Y78" s="15">
        <f>IFERROR(X78/X148, "NA")</f>
        <v>0</v>
      </c>
      <c r="Z78" s="28">
        <v>0.0</v>
      </c>
      <c r="AA78" s="15">
        <f>IFERROR(Z78/Z148, "NA")</f>
        <v>0</v>
      </c>
      <c r="AB78" s="57">
        <f t="shared" si="37"/>
        <v>0</v>
      </c>
      <c r="AC78" s="15">
        <f>IFERROR(AB78/AB148, "NA")</f>
        <v>0</v>
      </c>
      <c r="AD78" s="61">
        <f t="shared" si="38"/>
        <v>0</v>
      </c>
      <c r="AE78" s="62">
        <f>IFERROR(AD78/AD148, "NA")</f>
        <v>0</v>
      </c>
      <c r="AF78" s="61" t="str">
        <f t="shared" si="39"/>
        <v>NA</v>
      </c>
      <c r="AG78" s="57">
        <f t="shared" si="40"/>
        <v>0</v>
      </c>
      <c r="AH78" s="15">
        <f>IFERROR(AG78/AG148, "NA")</f>
        <v>0</v>
      </c>
      <c r="AI78" s="61">
        <f t="shared" si="41"/>
        <v>0</v>
      </c>
      <c r="AJ78" s="62">
        <f>IFERROR(AI78/AI148, "NA")</f>
        <v>0</v>
      </c>
      <c r="AK78" s="61" t="str">
        <f t="shared" si="42"/>
        <v>NA</v>
      </c>
      <c r="AL78" s="62" t="str">
        <f>IFERROR(AK78/AK148, "NA")</f>
        <v>NA</v>
      </c>
    </row>
    <row r="79" ht="16.5" hidden="1" customHeight="1">
      <c r="A79" s="26" t="s">
        <v>169</v>
      </c>
      <c r="B79" s="28">
        <v>0.0</v>
      </c>
      <c r="C79" s="15">
        <f>IFERROR(B79/B148, "NA")</f>
        <v>0</v>
      </c>
      <c r="D79" s="28">
        <v>0.0</v>
      </c>
      <c r="E79" s="15">
        <f>IFERROR(D79/D148, "NA")</f>
        <v>0</v>
      </c>
      <c r="F79" s="28">
        <v>0.0</v>
      </c>
      <c r="G79" s="15">
        <f>IFERROR(F79/F148, "NA")</f>
        <v>0</v>
      </c>
      <c r="H79" s="28">
        <v>0.0</v>
      </c>
      <c r="I79" s="15">
        <f>IFERROR(H79/H148, "NA")</f>
        <v>0</v>
      </c>
      <c r="J79" s="28">
        <v>0.0</v>
      </c>
      <c r="K79" s="15">
        <f>IFERROR(J79/J148, "NA")</f>
        <v>0</v>
      </c>
      <c r="L79" s="28">
        <v>0.0</v>
      </c>
      <c r="M79" s="15">
        <f>IFERROR(L79/L148, "NA")</f>
        <v>0</v>
      </c>
      <c r="N79" s="28">
        <v>0.0</v>
      </c>
      <c r="O79" s="15">
        <f>IFERROR(N79/N148, "NA")</f>
        <v>0</v>
      </c>
      <c r="P79" s="28">
        <v>0.0</v>
      </c>
      <c r="Q79" s="15">
        <f>IFERROR(P79/P148, "NA")</f>
        <v>0</v>
      </c>
      <c r="R79" s="28">
        <v>0.0</v>
      </c>
      <c r="S79" s="15">
        <f>IFERROR(R79/R148, "NA")</f>
        <v>0</v>
      </c>
      <c r="T79" s="28">
        <v>0.0</v>
      </c>
      <c r="U79" s="15">
        <f>IFERROR(T79/T148, "NA")</f>
        <v>0</v>
      </c>
      <c r="V79" s="28">
        <v>0.0</v>
      </c>
      <c r="W79" s="15">
        <f>IFERROR(V79/V148, "NA")</f>
        <v>0</v>
      </c>
      <c r="X79" s="28">
        <v>0.0</v>
      </c>
      <c r="Y79" s="15">
        <f>IFERROR(X79/X148, "NA")</f>
        <v>0</v>
      </c>
      <c r="Z79" s="28">
        <v>0.0</v>
      </c>
      <c r="AA79" s="15">
        <f>IFERROR(Z79/Z148, "NA")</f>
        <v>0</v>
      </c>
      <c r="AB79" s="57">
        <f t="shared" si="37"/>
        <v>0</v>
      </c>
      <c r="AC79" s="15">
        <f>IFERROR(AB79/AB148, "NA")</f>
        <v>0</v>
      </c>
      <c r="AD79" s="61">
        <f t="shared" si="38"/>
        <v>0</v>
      </c>
      <c r="AE79" s="62">
        <f>IFERROR(AD79/AD148, "NA")</f>
        <v>0</v>
      </c>
      <c r="AF79" s="61" t="str">
        <f t="shared" si="39"/>
        <v>NA</v>
      </c>
      <c r="AG79" s="57">
        <f t="shared" si="40"/>
        <v>0</v>
      </c>
      <c r="AH79" s="15">
        <f>IFERROR(AG79/AG148, "NA")</f>
        <v>0</v>
      </c>
      <c r="AI79" s="61">
        <f t="shared" si="41"/>
        <v>0</v>
      </c>
      <c r="AJ79" s="62">
        <f>IFERROR(AI79/AI148, "NA")</f>
        <v>0</v>
      </c>
      <c r="AK79" s="61" t="str">
        <f t="shared" si="42"/>
        <v>NA</v>
      </c>
      <c r="AL79" s="62" t="str">
        <f>IFERROR(AK79/AK148, "NA")</f>
        <v>NA</v>
      </c>
    </row>
    <row r="80" ht="16.5" hidden="1" customHeight="1">
      <c r="A80" s="26" t="s">
        <v>172</v>
      </c>
      <c r="B80" s="28">
        <v>0.0</v>
      </c>
      <c r="C80" s="15">
        <f>IFERROR(B80/B148, "NA")</f>
        <v>0</v>
      </c>
      <c r="D80" s="28">
        <v>0.0</v>
      </c>
      <c r="E80" s="15">
        <f>IFERROR(D80/D148, "NA")</f>
        <v>0</v>
      </c>
      <c r="F80" s="28">
        <v>0.0</v>
      </c>
      <c r="G80" s="15">
        <f>IFERROR(F80/F148, "NA")</f>
        <v>0</v>
      </c>
      <c r="H80" s="28">
        <v>0.0</v>
      </c>
      <c r="I80" s="15">
        <f>IFERROR(H80/H148, "NA")</f>
        <v>0</v>
      </c>
      <c r="J80" s="28">
        <v>0.0</v>
      </c>
      <c r="K80" s="15">
        <f>IFERROR(J80/J148, "NA")</f>
        <v>0</v>
      </c>
      <c r="L80" s="28">
        <v>0.0</v>
      </c>
      <c r="M80" s="15">
        <f>IFERROR(L80/L148, "NA")</f>
        <v>0</v>
      </c>
      <c r="N80" s="28">
        <v>0.0</v>
      </c>
      <c r="O80" s="15">
        <f>IFERROR(N80/N148, "NA")</f>
        <v>0</v>
      </c>
      <c r="P80" s="28">
        <v>0.0</v>
      </c>
      <c r="Q80" s="15">
        <f>IFERROR(P80/P148, "NA")</f>
        <v>0</v>
      </c>
      <c r="R80" s="28">
        <v>0.0</v>
      </c>
      <c r="S80" s="15">
        <f>IFERROR(R80/R148, "NA")</f>
        <v>0</v>
      </c>
      <c r="T80" s="28">
        <v>0.0</v>
      </c>
      <c r="U80" s="15">
        <f>IFERROR(T80/T148, "NA")</f>
        <v>0</v>
      </c>
      <c r="V80" s="28">
        <v>0.0</v>
      </c>
      <c r="W80" s="15">
        <f>IFERROR(V80/V148, "NA")</f>
        <v>0</v>
      </c>
      <c r="X80" s="28">
        <v>0.0</v>
      </c>
      <c r="Y80" s="15">
        <f>IFERROR(X80/X148, "NA")</f>
        <v>0</v>
      </c>
      <c r="Z80" s="28">
        <v>0.0</v>
      </c>
      <c r="AA80" s="15">
        <f>IFERROR(Z80/Z148, "NA")</f>
        <v>0</v>
      </c>
      <c r="AB80" s="57">
        <f t="shared" si="37"/>
        <v>0</v>
      </c>
      <c r="AC80" s="15">
        <f>IFERROR(AB80/AB148, "NA")</f>
        <v>0</v>
      </c>
      <c r="AD80" s="61">
        <f t="shared" si="38"/>
        <v>0</v>
      </c>
      <c r="AE80" s="62">
        <f>IFERROR(AD80/AD148, "NA")</f>
        <v>0</v>
      </c>
      <c r="AF80" s="61" t="str">
        <f t="shared" si="39"/>
        <v>NA</v>
      </c>
      <c r="AG80" s="57">
        <f t="shared" si="40"/>
        <v>0</v>
      </c>
      <c r="AH80" s="15">
        <f>IFERROR(AG80/AG148, "NA")</f>
        <v>0</v>
      </c>
      <c r="AI80" s="61">
        <f t="shared" si="41"/>
        <v>0</v>
      </c>
      <c r="AJ80" s="62">
        <f>IFERROR(AI80/AI148, "NA")</f>
        <v>0</v>
      </c>
      <c r="AK80" s="61" t="str">
        <f t="shared" si="42"/>
        <v>NA</v>
      </c>
      <c r="AL80" s="62" t="str">
        <f>IFERROR(AK80/AK148, "NA")</f>
        <v>NA</v>
      </c>
    </row>
    <row r="81" ht="16.5" customHeight="1">
      <c r="A81" s="67" t="s">
        <v>176</v>
      </c>
      <c r="B81" s="70">
        <f>IFERROR(B74+B75+B76+B77+B78+B79+B80, "NA")</f>
        <v>351.72</v>
      </c>
      <c r="C81" s="71">
        <f>IFERROR(B81/B148, "NA")</f>
        <v>0.03071913806</v>
      </c>
      <c r="D81" s="70">
        <f>IFERROR(D74+D75+D76+D77+D78+D79+D80, "NA")</f>
        <v>438.7</v>
      </c>
      <c r="E81" s="71">
        <f>IFERROR(D81/D148, "NA")</f>
        <v>0.02449717141</v>
      </c>
      <c r="F81" s="70">
        <f>IFERROR(F74+F75+F76+F77+F78+F79+F80, "NA")</f>
        <v>477.63</v>
      </c>
      <c r="G81" s="71">
        <f>IFERROR(F81/F148, "NA")</f>
        <v>0.02068198637</v>
      </c>
      <c r="H81" s="70">
        <f>IFERROR(H74+H75+H76+H77+H78+H79+H80, "NA")</f>
        <v>493.81</v>
      </c>
      <c r="I81" s="71">
        <f>IFERROR(H81/H148, "NA")</f>
        <v>0.01910253187</v>
      </c>
      <c r="J81" s="70">
        <f>IFERROR(J74+J75+J76+J77+J78+J79+J80, "NA")</f>
        <v>588.8</v>
      </c>
      <c r="K81" s="71">
        <f>IFERROR(J81/J148, "NA")</f>
        <v>0.0245040102</v>
      </c>
      <c r="L81" s="70">
        <f>IFERROR(L74+L75+L76+L77+L78+L79+L80, "NA")</f>
        <v>553.61</v>
      </c>
      <c r="M81" s="71">
        <f>IFERROR(L81/L148, "NA")</f>
        <v>0.02049951863</v>
      </c>
      <c r="N81" s="70">
        <f>IFERROR(N74+N75+N76+N77+N78+N79+N80, "NA")</f>
        <v>549.79</v>
      </c>
      <c r="O81" s="71">
        <f>IFERROR(N81/N148, "NA")</f>
        <v>0.01830304576</v>
      </c>
      <c r="P81" s="70">
        <f>IFERROR(P74+P75+P76+P77+P78+P79+P80, "NA")</f>
        <v>616.6</v>
      </c>
      <c r="Q81" s="71">
        <f>IFERROR(P81/P148, "NA")</f>
        <v>0.02333785884</v>
      </c>
      <c r="R81" s="70">
        <f>IFERROR(R74+R75+R76+R77+R78+R79+R80, "NA")</f>
        <v>601.61</v>
      </c>
      <c r="S81" s="71">
        <f>IFERROR(R81/R148, "NA")</f>
        <v>0.01837568488</v>
      </c>
      <c r="T81" s="70">
        <f>IFERROR(T74+T75+T76+T77+T78+T79+T80, "NA")</f>
        <v>562.54</v>
      </c>
      <c r="U81" s="71">
        <f>IFERROR(T81/T148, "NA")</f>
        <v>0.0229949145</v>
      </c>
      <c r="V81" s="70">
        <f>IFERROR(V74+V75+V76+V77+V78+V79+V80, "NA")</f>
        <v>553.77</v>
      </c>
      <c r="W81" s="71">
        <f>IFERROR(V81/V148, "NA")</f>
        <v>0.02167480397</v>
      </c>
      <c r="X81" s="70">
        <f>IFERROR(X74+X75+X76+X77+X78+X79+X80, "NA")</f>
        <v>608.25</v>
      </c>
      <c r="Y81" s="71">
        <f>IFERROR(X81/X148, "NA")</f>
        <v>0.0206775857</v>
      </c>
      <c r="Z81" s="70">
        <f>IFERROR(Z74+Z75+Z76+Z77+Z78+Z79+Z80, "NA")</f>
        <v>1724.56</v>
      </c>
      <c r="AA81" s="71">
        <f>IFERROR(Z81/Z148, "NA")</f>
        <v>0.02171207852</v>
      </c>
      <c r="AB81" s="70">
        <f t="shared" si="37"/>
        <v>581.5425</v>
      </c>
      <c r="AC81" s="71">
        <f>IFERROR(AB81/AB148, "NA")</f>
        <v>0.02073825651</v>
      </c>
      <c r="AD81" s="75">
        <f t="shared" si="38"/>
        <v>26.7075</v>
      </c>
      <c r="AE81" s="76">
        <f>IFERROR(AD81/AD148, "NA")</f>
        <v>0.01943925846</v>
      </c>
      <c r="AF81" s="75">
        <f t="shared" si="39"/>
        <v>0.04592527631</v>
      </c>
      <c r="AG81" s="70">
        <f t="shared" si="40"/>
        <v>579.37125</v>
      </c>
      <c r="AH81" s="71">
        <f>IFERROR(AG81/AG148, "NA")</f>
        <v>0.02110050763</v>
      </c>
      <c r="AI81" s="75">
        <f t="shared" si="41"/>
        <v>28.87875</v>
      </c>
      <c r="AJ81" s="76">
        <f>IFERROR(AI81/AI148, "NA")</f>
        <v>0.01474746804</v>
      </c>
      <c r="AK81" s="75">
        <f t="shared" si="42"/>
        <v>0.04984498282</v>
      </c>
      <c r="AL81" s="76">
        <f>IFERROR(AK81/AK148, "NA")</f>
        <v>0.6989153201</v>
      </c>
    </row>
    <row r="82" ht="16.5" customHeight="1">
      <c r="A82" s="26" t="s">
        <v>179</v>
      </c>
      <c r="B82" s="28">
        <v>373.0</v>
      </c>
      <c r="C82" s="15">
        <f>IFERROR(B82/B148, "NA")</f>
        <v>0.03257772801</v>
      </c>
      <c r="D82" s="28">
        <v>0.0</v>
      </c>
      <c r="E82" s="15">
        <f>IFERROR(D82/D148, "NA")</f>
        <v>0</v>
      </c>
      <c r="F82" s="28">
        <v>0.0</v>
      </c>
      <c r="G82" s="15">
        <f>IFERROR(F82/F148, "NA")</f>
        <v>0</v>
      </c>
      <c r="H82" s="28">
        <v>0.0</v>
      </c>
      <c r="I82" s="15">
        <f>IFERROR(H82/H148, "NA")</f>
        <v>0</v>
      </c>
      <c r="J82" s="28">
        <v>199.92</v>
      </c>
      <c r="K82" s="15">
        <f>IFERROR(J82/J148, "NA")</f>
        <v>0.008320043681</v>
      </c>
      <c r="L82" s="28">
        <v>0.0</v>
      </c>
      <c r="M82" s="15">
        <f>IFERROR(L82/L148, "NA")</f>
        <v>0</v>
      </c>
      <c r="N82" s="28">
        <v>0.0</v>
      </c>
      <c r="O82" s="15">
        <f>IFERROR(N82/N148, "NA")</f>
        <v>0</v>
      </c>
      <c r="P82" s="28">
        <v>0.0</v>
      </c>
      <c r="Q82" s="15">
        <f>IFERROR(P82/P148, "NA")</f>
        <v>0</v>
      </c>
      <c r="R82" s="28">
        <v>0.0</v>
      </c>
      <c r="S82" s="15">
        <f>IFERROR(R82/R148, "NA")</f>
        <v>0</v>
      </c>
      <c r="T82" s="28">
        <v>249.9</v>
      </c>
      <c r="U82" s="15">
        <f>IFERROR(T82/T148, "NA")</f>
        <v>0.0102151476</v>
      </c>
      <c r="V82" s="28">
        <v>0.0</v>
      </c>
      <c r="W82" s="15">
        <f>IFERROR(V82/V148, "NA")</f>
        <v>0</v>
      </c>
      <c r="X82" s="28">
        <v>0.0</v>
      </c>
      <c r="Y82" s="15">
        <f>IFERROR(X82/X148, "NA")</f>
        <v>0</v>
      </c>
      <c r="Z82" s="28">
        <v>249.9</v>
      </c>
      <c r="AA82" s="15">
        <f>IFERROR(Z82/Z148, "NA")</f>
        <v>0.00314622189</v>
      </c>
      <c r="AB82" s="57">
        <f t="shared" si="37"/>
        <v>62.475</v>
      </c>
      <c r="AC82" s="15">
        <f>IFERROR(AB82/AB148, "NA")</f>
        <v>0.002227906946</v>
      </c>
      <c r="AD82" s="61">
        <f t="shared" si="38"/>
        <v>-62.475</v>
      </c>
      <c r="AE82" s="62">
        <f>IFERROR(AD82/AD148, "NA")</f>
        <v>-0.04547290732</v>
      </c>
      <c r="AF82" s="61">
        <f t="shared" si="39"/>
        <v>-1</v>
      </c>
      <c r="AG82" s="57">
        <f t="shared" si="40"/>
        <v>56.2275</v>
      </c>
      <c r="AH82" s="15">
        <f>IFERROR(AG82/AG148, "NA")</f>
        <v>0.002047786791</v>
      </c>
      <c r="AI82" s="61">
        <f t="shared" si="41"/>
        <v>-56.2275</v>
      </c>
      <c r="AJ82" s="62">
        <f>IFERROR(AI82/AI148, "NA")</f>
        <v>-0.02871361327</v>
      </c>
      <c r="AK82" s="61">
        <f t="shared" si="42"/>
        <v>-1</v>
      </c>
      <c r="AL82" s="62">
        <f>IFERROR(AK82/AK148, "NA")</f>
        <v>-14.02177873</v>
      </c>
    </row>
    <row r="83" ht="16.5" hidden="1" customHeight="1">
      <c r="A83" s="26" t="s">
        <v>181</v>
      </c>
      <c r="B83" s="28">
        <v>0.0</v>
      </c>
      <c r="C83" s="15">
        <f>IFERROR(B83/B148, "NA")</f>
        <v>0</v>
      </c>
      <c r="D83" s="28">
        <v>0.0</v>
      </c>
      <c r="E83" s="15">
        <f>IFERROR(D83/D148, "NA")</f>
        <v>0</v>
      </c>
      <c r="F83" s="28">
        <v>0.0</v>
      </c>
      <c r="G83" s="15">
        <f>IFERROR(F83/F148, "NA")</f>
        <v>0</v>
      </c>
      <c r="H83" s="28">
        <v>0.0</v>
      </c>
      <c r="I83" s="15">
        <f>IFERROR(H83/H148, "NA")</f>
        <v>0</v>
      </c>
      <c r="J83" s="28">
        <v>0.0</v>
      </c>
      <c r="K83" s="15">
        <f>IFERROR(J83/J148, "NA")</f>
        <v>0</v>
      </c>
      <c r="L83" s="28">
        <v>0.0</v>
      </c>
      <c r="M83" s="15">
        <f>IFERROR(L83/L148, "NA")</f>
        <v>0</v>
      </c>
      <c r="N83" s="28">
        <v>0.0</v>
      </c>
      <c r="O83" s="15">
        <f>IFERROR(N83/N148, "NA")</f>
        <v>0</v>
      </c>
      <c r="P83" s="28">
        <v>0.0</v>
      </c>
      <c r="Q83" s="15">
        <f>IFERROR(P83/P148, "NA")</f>
        <v>0</v>
      </c>
      <c r="R83" s="28">
        <v>0.0</v>
      </c>
      <c r="S83" s="15">
        <f>IFERROR(R83/R148, "NA")</f>
        <v>0</v>
      </c>
      <c r="T83" s="28">
        <v>0.0</v>
      </c>
      <c r="U83" s="15">
        <f>IFERROR(T83/T148, "NA")</f>
        <v>0</v>
      </c>
      <c r="V83" s="28">
        <v>0.0</v>
      </c>
      <c r="W83" s="15">
        <f>IFERROR(V83/V148, "NA")</f>
        <v>0</v>
      </c>
      <c r="X83" s="28">
        <v>0.0</v>
      </c>
      <c r="Y83" s="15">
        <f>IFERROR(X83/X148, "NA")</f>
        <v>0</v>
      </c>
      <c r="Z83" s="28">
        <v>0.0</v>
      </c>
      <c r="AA83" s="15">
        <f>IFERROR(Z83/Z148, "NA")</f>
        <v>0</v>
      </c>
      <c r="AB83" s="57">
        <f t="shared" si="37"/>
        <v>0</v>
      </c>
      <c r="AC83" s="15">
        <f>IFERROR(AB83/AB148, "NA")</f>
        <v>0</v>
      </c>
      <c r="AD83" s="61">
        <f t="shared" si="38"/>
        <v>0</v>
      </c>
      <c r="AE83" s="62">
        <f>IFERROR(AD83/AD148, "NA")</f>
        <v>0</v>
      </c>
      <c r="AF83" s="61" t="str">
        <f t="shared" si="39"/>
        <v>NA</v>
      </c>
      <c r="AG83" s="57">
        <f t="shared" si="40"/>
        <v>0</v>
      </c>
      <c r="AH83" s="15">
        <f>IFERROR(AG83/AG148, "NA")</f>
        <v>0</v>
      </c>
      <c r="AI83" s="61">
        <f t="shared" si="41"/>
        <v>0</v>
      </c>
      <c r="AJ83" s="62">
        <f>IFERROR(AI83/AI148, "NA")</f>
        <v>0</v>
      </c>
      <c r="AK83" s="61" t="str">
        <f t="shared" si="42"/>
        <v>NA</v>
      </c>
      <c r="AL83" s="62" t="str">
        <f>IFERROR(AK83/AK148, "NA")</f>
        <v>NA</v>
      </c>
    </row>
    <row r="84" ht="16.5" customHeight="1">
      <c r="A84" s="67" t="s">
        <v>55</v>
      </c>
      <c r="B84" s="70">
        <f>IFERROR(B63+B65+B66+B67+B68+B69+B71+B72+B74+B75+B76+B77+B78+B79+B80+B82+B83, "NA")</f>
        <v>4733.8</v>
      </c>
      <c r="C84" s="71">
        <f>IFERROR(B84/B148, "NA")</f>
        <v>0.4134489246</v>
      </c>
      <c r="D84" s="70">
        <f>IFERROR(D63+D65+D66+D67+D68+D69+D71+D72+D74+D75+D76+D77+D78+D79+D80+D82+D83, "NA")</f>
        <v>5362.7</v>
      </c>
      <c r="E84" s="71">
        <f>IFERROR(D84/D148, "NA")</f>
        <v>0.2994551655</v>
      </c>
      <c r="F84" s="70">
        <f>IFERROR(F63+F65+F66+F67+F68+F69+F71+F72+F74+F75+F76+F77+F78+F79+F80+F82+F83, "NA")</f>
        <v>5613.7</v>
      </c>
      <c r="G84" s="71">
        <f>IFERROR(F84/F148, "NA")</f>
        <v>0.2430803485</v>
      </c>
      <c r="H84" s="70">
        <f>IFERROR(H63+H65+H66+H67+H68+H69+H71+H72+H74+H75+H76+H77+H78+H79+H80+H82+H83, "NA")</f>
        <v>6044.76</v>
      </c>
      <c r="I84" s="71">
        <f>IFERROR(H84/H148, "NA")</f>
        <v>0.2338353223</v>
      </c>
      <c r="J84" s="70">
        <f>IFERROR(J63+J65+J66+J67+J68+J69+J71+J72+J74+J75+J76+J77+J78+J79+J80+J82+J83, "NA")</f>
        <v>6474.38</v>
      </c>
      <c r="K84" s="71">
        <f>IFERROR(J84/J148, "NA")</f>
        <v>0.2694433994</v>
      </c>
      <c r="L84" s="70">
        <f>IFERROR(L63+L65+L66+L67+L68+L69+L71+L72+L74+L75+L76+L77+L78+L79+L80+L82+L83, "NA")</f>
        <v>6602.76</v>
      </c>
      <c r="M84" s="71">
        <f>IFERROR(L84/L148, "NA")</f>
        <v>0.244492335</v>
      </c>
      <c r="N84" s="70">
        <f>IFERROR(N63+N65+N66+N67+N68+N69+N71+N72+N74+N75+N76+N77+N78+N79+N80+N82+N83, "NA")</f>
        <v>6394.03</v>
      </c>
      <c r="O84" s="71">
        <f>IFERROR(N84/N148, "NA")</f>
        <v>0.2128635</v>
      </c>
      <c r="P84" s="70">
        <f>IFERROR(P63+P65+P66+P67+P68+P69+P71+P72+P74+P75+P76+P77+P78+P79+P80+P82+P83, "NA")</f>
        <v>6984.8</v>
      </c>
      <c r="Q84" s="71">
        <f>IFERROR(P84/P148, "NA")</f>
        <v>0.2643695693</v>
      </c>
      <c r="R84" s="70">
        <f>IFERROR(R63+R65+R66+R67+R68+R69+R71+R72+R74+R75+R76+R77+R78+R79+R80+R82+R83, "NA")</f>
        <v>6805.9</v>
      </c>
      <c r="S84" s="71">
        <f>IFERROR(R84/R148, "NA")</f>
        <v>0.2078806431</v>
      </c>
      <c r="T84" s="70">
        <f>IFERROR(T63+T65+T66+T67+T68+T69+T71+T72+T74+T75+T76+T77+T78+T79+T80+T82+T83, "NA")</f>
        <v>7217.73</v>
      </c>
      <c r="U84" s="71">
        <f>IFERROR(T84/T148, "NA")</f>
        <v>0.2950387248</v>
      </c>
      <c r="V84" s="70">
        <f>IFERROR(V63+V65+V66+V67+V68+V69+V71+V72+V74+V75+V76+V77+V78+V79+V80+V82+V83, "NA")</f>
        <v>7193.59</v>
      </c>
      <c r="W84" s="71">
        <f>IFERROR(V84/V148, "NA")</f>
        <v>0.2815603103</v>
      </c>
      <c r="X84" s="70">
        <f>IFERROR(X63+X65+X66+X67+X68+X69+X71+X72+X74+X75+X76+X77+X78+X79+X80+X82+X83, "NA")</f>
        <v>7559.16</v>
      </c>
      <c r="Y84" s="71">
        <f>IFERROR(X84/X148, "NA")</f>
        <v>0.2569752219</v>
      </c>
      <c r="Z84" s="70">
        <f>IFERROR(Z63+Z65+Z66+Z67+Z68+Z69+Z71+Z72+Z74+Z75+Z76+Z77+Z78+Z79+Z80+Z82+Z83, "NA")</f>
        <v>21970.48</v>
      </c>
      <c r="AA84" s="71">
        <f>IFERROR(Z84/Z148, "NA")</f>
        <v>0.2766066631</v>
      </c>
      <c r="AB84" s="70">
        <f t="shared" si="37"/>
        <v>7194.095</v>
      </c>
      <c r="AC84" s="71">
        <f>IFERROR(AB84/AB148, "NA")</f>
        <v>0.2565470063</v>
      </c>
      <c r="AD84" s="75">
        <f t="shared" si="38"/>
        <v>365.065</v>
      </c>
      <c r="AE84" s="76">
        <f>IFERROR(AD84/AD148, "NA")</f>
        <v>0.2657153567</v>
      </c>
      <c r="AF84" s="75">
        <f t="shared" si="39"/>
        <v>0.05074509024</v>
      </c>
      <c r="AG84" s="70">
        <f t="shared" si="40"/>
        <v>6904.04375</v>
      </c>
      <c r="AH84" s="71">
        <f>IFERROR(AG84/AG148, "NA")</f>
        <v>0.2514429699</v>
      </c>
      <c r="AI84" s="75">
        <f t="shared" si="41"/>
        <v>655.11625</v>
      </c>
      <c r="AJ84" s="76">
        <f>IFERROR(AI84/AI148, "NA")</f>
        <v>0.3345472349</v>
      </c>
      <c r="AK84" s="75">
        <f t="shared" si="42"/>
        <v>0.09488877442</v>
      </c>
      <c r="AL84" s="76">
        <f>IFERROR(AK84/AK148, "NA")</f>
        <v>1.330509399</v>
      </c>
    </row>
    <row r="85" ht="16.5" customHeight="1">
      <c r="A85" s="67" t="s">
        <v>55</v>
      </c>
      <c r="B85" s="118">
        <f>IFERROR(B63+B65+B66+B67+B68+B69+B71+B72+B74+B75+B76+B77+B78+B79+B80+B82+B83, "NA")</f>
        <v>4733.8</v>
      </c>
      <c r="C85" s="94">
        <f>IFERROR(B85/B148, "NA")</f>
        <v>0.4134489246</v>
      </c>
      <c r="D85" s="118">
        <f>IFERROR(D63+D65+D66+D67+D68+D69+D71+D72+D74+D75+D76+D77+D78+D79+D80+D82+D83, "NA")</f>
        <v>5362.7</v>
      </c>
      <c r="E85" s="94">
        <f>IFERROR(D85/D148, "NA")</f>
        <v>0.2994551655</v>
      </c>
      <c r="F85" s="118">
        <f>IFERROR(F63+F65+F66+F67+F68+F69+F71+F72+F74+F75+F76+F77+F78+F79+F80+F82+F83, "NA")</f>
        <v>5613.7</v>
      </c>
      <c r="G85" s="94">
        <f>IFERROR(F85/F148, "NA")</f>
        <v>0.2430803485</v>
      </c>
      <c r="H85" s="118">
        <f>IFERROR(H63+H65+H66+H67+H68+H69+H71+H72+H74+H75+H76+H77+H78+H79+H80+H82+H83, "NA")</f>
        <v>6044.76</v>
      </c>
      <c r="I85" s="94">
        <f>IFERROR(H85/H148, "NA")</f>
        <v>0.2338353223</v>
      </c>
      <c r="J85" s="118">
        <f>IFERROR(J63+J65+J66+J67+J68+J69+J71+J72+J74+J75+J76+J77+J78+J79+J80+J82+J83, "NA")</f>
        <v>6474.38</v>
      </c>
      <c r="K85" s="94">
        <f>IFERROR(J85/J148, "NA")</f>
        <v>0.2694433994</v>
      </c>
      <c r="L85" s="118">
        <f>IFERROR(L63+L65+L66+L67+L68+L69+L71+L72+L74+L75+L76+L77+L78+L79+L80+L82+L83, "NA")</f>
        <v>6602.76</v>
      </c>
      <c r="M85" s="94">
        <f>IFERROR(L85/L148, "NA")</f>
        <v>0.244492335</v>
      </c>
      <c r="N85" s="118">
        <f>IFERROR(N63+N65+N66+N67+N68+N69+N71+N72+N74+N75+N76+N77+N78+N79+N80+N82+N83, "NA")</f>
        <v>6394.03</v>
      </c>
      <c r="O85" s="94">
        <f>IFERROR(N85/N148, "NA")</f>
        <v>0.2128635</v>
      </c>
      <c r="P85" s="118">
        <f>IFERROR(P63+P65+P66+P67+P68+P69+P71+P72+P74+P75+P76+P77+P78+P79+P80+P82+P83, "NA")</f>
        <v>6984.8</v>
      </c>
      <c r="Q85" s="94">
        <f>IFERROR(P85/P148, "NA")</f>
        <v>0.2643695693</v>
      </c>
      <c r="R85" s="118">
        <f>IFERROR(R63+R65+R66+R67+R68+R69+R71+R72+R74+R75+R76+R77+R78+R79+R80+R82+R83, "NA")</f>
        <v>6805.9</v>
      </c>
      <c r="S85" s="94">
        <f>IFERROR(R85/R148, "NA")</f>
        <v>0.2078806431</v>
      </c>
      <c r="T85" s="118">
        <f>IFERROR(T63+T65+T66+T67+T68+T69+T71+T72+T74+T75+T76+T77+T78+T79+T80+T82+T83, "NA")</f>
        <v>7217.73</v>
      </c>
      <c r="U85" s="94">
        <f>IFERROR(T85/T148, "NA")</f>
        <v>0.2950387248</v>
      </c>
      <c r="V85" s="118">
        <f>IFERROR(V63+V65+V66+V67+V68+V69+V71+V72+V74+V75+V76+V77+V78+V79+V80+V82+V83, "NA")</f>
        <v>7193.59</v>
      </c>
      <c r="W85" s="94">
        <f>IFERROR(V85/V148, "NA")</f>
        <v>0.2815603103</v>
      </c>
      <c r="X85" s="118">
        <f>IFERROR(X63+X65+X66+X67+X68+X69+X71+X72+X74+X75+X76+X77+X78+X79+X80+X82+X83, "NA")</f>
        <v>7559.16</v>
      </c>
      <c r="Y85" s="94">
        <f>IFERROR(X85/X148, "NA")</f>
        <v>0.2569752219</v>
      </c>
      <c r="Z85" s="118">
        <f>IFERROR(Z63+Z65+Z66+Z67+Z68+Z69+Z71+Z72+Z74+Z75+Z76+Z77+Z78+Z79+Z80+Z82+Z83, "NA")</f>
        <v>21970.48</v>
      </c>
      <c r="AA85" s="94">
        <f>IFERROR(Z85/Z148, "NA")</f>
        <v>0.2766066631</v>
      </c>
      <c r="AB85" s="118">
        <f t="shared" si="37"/>
        <v>7194.095</v>
      </c>
      <c r="AC85" s="94">
        <f>IFERROR(AB85/AB148, "NA")</f>
        <v>0.2565470063</v>
      </c>
      <c r="AD85" s="119">
        <f t="shared" si="38"/>
        <v>365.065</v>
      </c>
      <c r="AE85" s="120">
        <f>IFERROR(AD85/AD148, "NA")</f>
        <v>0.2657153567</v>
      </c>
      <c r="AF85" s="119">
        <f t="shared" si="39"/>
        <v>0.05074509024</v>
      </c>
      <c r="AG85" s="118">
        <f t="shared" si="40"/>
        <v>6904.04375</v>
      </c>
      <c r="AH85" s="94">
        <f>IFERROR(AG85/AG148, "NA")</f>
        <v>0.2514429699</v>
      </c>
      <c r="AI85" s="119">
        <f t="shared" si="41"/>
        <v>655.11625</v>
      </c>
      <c r="AJ85" s="120">
        <f>IFERROR(AI85/AI148, "NA")</f>
        <v>0.3345472349</v>
      </c>
      <c r="AK85" s="119">
        <f t="shared" si="42"/>
        <v>0.09488877442</v>
      </c>
      <c r="AL85" s="120">
        <f>IFERROR(AK85/AK148, "NA")</f>
        <v>1.330509399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2"/>
      <c r="AF86" s="125"/>
      <c r="AG86" s="124"/>
      <c r="AH86" s="74"/>
      <c r="AI86" s="125"/>
      <c r="AJ86" s="82"/>
      <c r="AK86" s="125"/>
      <c r="AL86" s="82"/>
    </row>
    <row r="87" ht="16.5" customHeight="1">
      <c r="A87" s="121" t="s">
        <v>56</v>
      </c>
      <c r="B87" s="122">
        <f>IFERROR(B59-B85, "NA")</f>
        <v>3072.97</v>
      </c>
      <c r="C87" s="98">
        <f>IFERROR(B87/B148, "NA")</f>
        <v>0.268392442</v>
      </c>
      <c r="D87" s="122">
        <f>IFERROR(D59-D85, "NA")</f>
        <v>8110.78</v>
      </c>
      <c r="E87" s="98">
        <f>IFERROR(D87/D148, "NA")</f>
        <v>0.4529089763</v>
      </c>
      <c r="F87" s="122">
        <f>IFERROR(F59-F85, "NA")</f>
        <v>11000.49</v>
      </c>
      <c r="G87" s="98">
        <f>IFERROR(F87/F148, "NA")</f>
        <v>0.4763352055</v>
      </c>
      <c r="H87" s="122">
        <f>IFERROR(H59-H85, "NA")</f>
        <v>13165.33</v>
      </c>
      <c r="I87" s="98">
        <f>IFERROR(H87/H148, "NA")</f>
        <v>0.5092872478</v>
      </c>
      <c r="J87" s="122">
        <f>IFERROR(J59-J85, "NA")</f>
        <v>11609.3</v>
      </c>
      <c r="K87" s="98">
        <f>IFERROR(J87/J148, "NA")</f>
        <v>0.4831426726</v>
      </c>
      <c r="L87" s="122">
        <f>IFERROR(L59-L85, "NA")</f>
        <v>13185.28</v>
      </c>
      <c r="M87" s="98">
        <f>IFERROR(L87/L148, "NA")</f>
        <v>0.488235207</v>
      </c>
      <c r="N87" s="122">
        <f>IFERROR(N59-N85, "NA")</f>
        <v>16054.38</v>
      </c>
      <c r="O87" s="98">
        <f>IFERROR(N87/N148, "NA")</f>
        <v>0.5344659811</v>
      </c>
      <c r="P87" s="122">
        <f>IFERROR(P59-P85, "NA")</f>
        <v>12307.25</v>
      </c>
      <c r="Q87" s="98">
        <f>IFERROR(P87/P148, "NA")</f>
        <v>0.4658204075</v>
      </c>
      <c r="R87" s="122">
        <f>IFERROR(R59-R85, "NA")</f>
        <v>17122.04</v>
      </c>
      <c r="S87" s="98">
        <f>IFERROR(R87/R148, "NA")</f>
        <v>0.522978693</v>
      </c>
      <c r="T87" s="122">
        <f>IFERROR(T59-T85, "NA")</f>
        <v>10781.18</v>
      </c>
      <c r="U87" s="98">
        <f>IFERROR(T87/T148, "NA")</f>
        <v>0.4407016609</v>
      </c>
      <c r="V87" s="122">
        <f>IFERROR(V59-V85, "NA")</f>
        <v>11197.51</v>
      </c>
      <c r="W87" s="98">
        <f>IFERROR(V87/V148, "NA")</f>
        <v>0.438275519</v>
      </c>
      <c r="X87" s="122">
        <f>IFERROR(X59-X85, "NA")</f>
        <v>14077.97</v>
      </c>
      <c r="Y87" s="98">
        <f>IFERROR(X87/X148, "NA")</f>
        <v>0.4785835284</v>
      </c>
      <c r="Z87" s="122">
        <f>IFERROR(Z59-Z85, "NA")</f>
        <v>36056.66</v>
      </c>
      <c r="AA87" s="98">
        <f>IFERROR(Z87/Z148, "NA")</f>
        <v>0.4539505921</v>
      </c>
      <c r="AB87" s="122">
        <f>IFERROR((R87+T87+V87+X87)/4, "NA")</f>
        <v>13294.675</v>
      </c>
      <c r="AC87" s="98">
        <f>IFERROR(AB87/AB148, "NA")</f>
        <v>0.4740984198</v>
      </c>
      <c r="AD87" s="75">
        <f>IFERROR(X87-AB87, "NA")</f>
        <v>783.295</v>
      </c>
      <c r="AE87" s="76">
        <f>IFERROR(AD87/AD148, "NA")</f>
        <v>0.5701272659</v>
      </c>
      <c r="AF87" s="75">
        <f>IFERROR((X87-AB87)/AB87, "NA")</f>
        <v>0.05891795023</v>
      </c>
      <c r="AG87" s="122">
        <f>IFERROR((J87+L87+N87+P87+R87+T87+V87+X87)/8, "NA")</f>
        <v>13291.86375</v>
      </c>
      <c r="AH87" s="98">
        <f>IFERROR(AG87/AG148, "NA")</f>
        <v>0.4840852431</v>
      </c>
      <c r="AI87" s="75">
        <f>IFERROR(X87-AG87, "NA")</f>
        <v>786.10625</v>
      </c>
      <c r="AJ87" s="76">
        <f>IFERROR(AI87/AI148, "NA")</f>
        <v>0.4014397022</v>
      </c>
      <c r="AK87" s="75">
        <f>IFERROR((X87-AG87)/AG87, "NA")</f>
        <v>0.05914191304</v>
      </c>
      <c r="AL87" s="76">
        <f>IFERROR(AK87/AK148, "NA")</f>
        <v>0.8292748186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2"/>
      <c r="AF88" s="125"/>
      <c r="AG88" s="124"/>
      <c r="AH88" s="74"/>
      <c r="AI88" s="125"/>
      <c r="AJ88" s="82"/>
      <c r="AK88" s="125"/>
      <c r="AL88" s="82"/>
    </row>
    <row r="89" ht="16.5" hidden="1" customHeight="1">
      <c r="A89" s="22" t="s">
        <v>206</v>
      </c>
      <c r="B89" s="23"/>
      <c r="C89" s="10"/>
      <c r="D89" s="23"/>
      <c r="E89" s="10"/>
      <c r="F89" s="23"/>
      <c r="G89" s="10"/>
      <c r="H89" s="23"/>
      <c r="I89" s="10"/>
      <c r="J89" s="23"/>
      <c r="K89" s="10"/>
      <c r="L89" s="23"/>
      <c r="M89" s="10"/>
      <c r="N89" s="23"/>
      <c r="O89" s="10"/>
      <c r="P89" s="23"/>
      <c r="Q89" s="10"/>
      <c r="R89" s="23"/>
      <c r="S89" s="10"/>
      <c r="T89" s="23"/>
      <c r="U89" s="10"/>
      <c r="V89" s="23"/>
      <c r="W89" s="10"/>
      <c r="X89" s="23"/>
      <c r="Y89" s="10"/>
      <c r="Z89" s="23"/>
      <c r="AA89" s="10"/>
      <c r="AB89" s="23"/>
      <c r="AC89" s="10"/>
      <c r="AD89" s="24"/>
      <c r="AE89" s="25"/>
      <c r="AF89" s="24"/>
      <c r="AG89" s="23"/>
      <c r="AH89" s="10"/>
      <c r="AI89" s="24"/>
      <c r="AJ89" s="25"/>
      <c r="AK89" s="24"/>
      <c r="AL89" s="25"/>
    </row>
    <row r="90" ht="16.5" hidden="1" customHeight="1">
      <c r="A90" s="26" t="s">
        <v>207</v>
      </c>
      <c r="B90" s="28">
        <v>225.86</v>
      </c>
      <c r="C90" s="15">
        <f>IFERROR(B90/B148, "NA")</f>
        <v>0.0197265567</v>
      </c>
      <c r="D90" s="28">
        <v>421.35</v>
      </c>
      <c r="E90" s="15">
        <f>IFERROR(D90/D148, "NA")</f>
        <v>0.02352834094</v>
      </c>
      <c r="F90" s="28">
        <v>436.51</v>
      </c>
      <c r="G90" s="15">
        <f>IFERROR(F90/F148, "NA")</f>
        <v>0.01890143808</v>
      </c>
      <c r="H90" s="28">
        <v>463.84</v>
      </c>
      <c r="I90" s="15">
        <f>IFERROR(H90/H148, "NA")</f>
        <v>0.01794317325</v>
      </c>
      <c r="J90" s="28">
        <v>662.6</v>
      </c>
      <c r="K90" s="15">
        <f>IFERROR(J90/J148, "NA")</f>
        <v>0.02757533485</v>
      </c>
      <c r="L90" s="28">
        <v>945.84</v>
      </c>
      <c r="M90" s="15">
        <f>IFERROR(L90/L148, "NA")</f>
        <v>0.03502332815</v>
      </c>
      <c r="N90" s="28">
        <v>704.55</v>
      </c>
      <c r="O90" s="15">
        <f>IFERROR(N90/N148, "NA")</f>
        <v>0.02345515722</v>
      </c>
      <c r="P90" s="28">
        <v>512.74</v>
      </c>
      <c r="Q90" s="15">
        <f>IFERROR(P90/P148, "NA")</f>
        <v>0.01940683384</v>
      </c>
      <c r="R90" s="28">
        <v>373.93</v>
      </c>
      <c r="S90" s="15">
        <f>IFERROR(R90/R148, "NA")</f>
        <v>0.01142138569</v>
      </c>
      <c r="T90" s="28">
        <v>820.41</v>
      </c>
      <c r="U90" s="15">
        <f>IFERROR(T90/T148, "NA")</f>
        <v>0.03353585133</v>
      </c>
      <c r="V90" s="28">
        <v>548.78</v>
      </c>
      <c r="W90" s="15">
        <f>IFERROR(V90/V148, "NA")</f>
        <v>0.02147949315</v>
      </c>
      <c r="X90" s="28">
        <v>560.22</v>
      </c>
      <c r="Y90" s="15">
        <f>IFERROR(X90/X148, "NA")</f>
        <v>0.01904479583</v>
      </c>
      <c r="Z90" s="28">
        <v>1929.41</v>
      </c>
      <c r="AA90" s="15">
        <f>IFERROR(Z90/Z148, "NA")</f>
        <v>0.02429112436</v>
      </c>
      <c r="AB90" s="57">
        <f t="shared" ref="AB90:AB99" si="43">IFERROR((R90+T90+V90+X90)/4, "NA")</f>
        <v>575.835</v>
      </c>
      <c r="AC90" s="15">
        <f>IFERROR(AB90/AB148, "NA")</f>
        <v>0.02053472263</v>
      </c>
      <c r="AD90" s="61">
        <f t="shared" ref="AD90:AD99" si="44">IFERROR(X90-AB90, "NA")</f>
        <v>-15.615</v>
      </c>
      <c r="AE90" s="62">
        <f>IFERROR(AD90/AD148, "NA")</f>
        <v>-0.01136549736</v>
      </c>
      <c r="AF90" s="61">
        <f t="shared" ref="AF90:AF99" si="45">IFERROR((X90-AB90)/AB90, "NA")</f>
        <v>-0.02711714293</v>
      </c>
      <c r="AG90" s="57">
        <f t="shared" ref="AG90:AG99" si="46">IFERROR((J90+L90+N90+P90+R90+T90+V90+X90)/8, "NA")</f>
        <v>641.13375</v>
      </c>
      <c r="AH90" s="15">
        <f>IFERROR(AG90/AG148, "NA")</f>
        <v>0.02334987727</v>
      </c>
      <c r="AI90" s="61">
        <f t="shared" ref="AI90:AI99" si="47">IFERROR(X90-AG90, "NA")</f>
        <v>-80.91375</v>
      </c>
      <c r="AJ90" s="62">
        <f>IFERROR(AI90/AI148, "NA")</f>
        <v>-0.04132010361</v>
      </c>
      <c r="AK90" s="61">
        <f t="shared" ref="AK90:AK99" si="48">IFERROR((X90-AG90)/AG90, "NA")</f>
        <v>-0.1262041657</v>
      </c>
      <c r="AL90" s="62">
        <f>IFERROR(AK90/AK148, "NA")</f>
        <v>-1.769606886</v>
      </c>
    </row>
    <row r="91" ht="16.5" hidden="1" customHeight="1">
      <c r="A91" s="26" t="s">
        <v>208</v>
      </c>
      <c r="B91" s="28">
        <v>884.13</v>
      </c>
      <c r="C91" s="15">
        <f>IFERROR(B91/B148, "NA")</f>
        <v>0.07721969616</v>
      </c>
      <c r="D91" s="28">
        <v>1251.63</v>
      </c>
      <c r="E91" s="15">
        <f>IFERROR(D91/D148, "NA")</f>
        <v>0.0698914854</v>
      </c>
      <c r="F91" s="28">
        <v>1542.83</v>
      </c>
      <c r="G91" s="15">
        <f>IFERROR(F91/F148, "NA")</f>
        <v>0.06680650091</v>
      </c>
      <c r="H91" s="28">
        <v>1818.7</v>
      </c>
      <c r="I91" s="15">
        <f>IFERROR(H91/H148, "NA")</f>
        <v>0.0703545386</v>
      </c>
      <c r="J91" s="28">
        <v>1303.43</v>
      </c>
      <c r="K91" s="15">
        <f>IFERROR(J91/J148, "NA")</f>
        <v>0.05424467054</v>
      </c>
      <c r="L91" s="28">
        <v>1335.74</v>
      </c>
      <c r="M91" s="15">
        <f>IFERROR(L91/L148, "NA")</f>
        <v>0.04946086055</v>
      </c>
      <c r="N91" s="28">
        <v>1687.9</v>
      </c>
      <c r="O91" s="15">
        <f>IFERROR(N91/N148, "NA")</f>
        <v>0.05619183858</v>
      </c>
      <c r="P91" s="28">
        <v>1478.09</v>
      </c>
      <c r="Q91" s="15">
        <f>IFERROR(P91/P148, "NA")</f>
        <v>0.05594462501</v>
      </c>
      <c r="R91" s="28">
        <v>2210.74</v>
      </c>
      <c r="S91" s="15">
        <f>IFERROR(R91/R148, "NA")</f>
        <v>0.06752524324</v>
      </c>
      <c r="T91" s="28">
        <v>1696.09</v>
      </c>
      <c r="U91" s="15">
        <f>IFERROR(T91/T148, "NA")</f>
        <v>0.06933097119</v>
      </c>
      <c r="V91" s="28">
        <v>1148.82</v>
      </c>
      <c r="W91" s="15">
        <f>IFERROR(V91/V148, "NA")</f>
        <v>0.04496532548</v>
      </c>
      <c r="X91" s="28">
        <v>1383.55</v>
      </c>
      <c r="Y91" s="15">
        <f>IFERROR(X91/X148, "NA")</f>
        <v>0.04703407102</v>
      </c>
      <c r="Z91" s="28">
        <v>4228.46</v>
      </c>
      <c r="AA91" s="15">
        <f>IFERROR(Z91/Z148, "NA")</f>
        <v>0.05323598804</v>
      </c>
      <c r="AB91" s="57">
        <f t="shared" si="43"/>
        <v>1609.8</v>
      </c>
      <c r="AC91" s="15">
        <f>IFERROR(AB91/AB148, "NA")</f>
        <v>0.05740671631</v>
      </c>
      <c r="AD91" s="61">
        <f t="shared" si="44"/>
        <v>-226.25</v>
      </c>
      <c r="AE91" s="62">
        <f>IFERROR(AD91/AD148, "NA")</f>
        <v>-0.1646777956</v>
      </c>
      <c r="AF91" s="61">
        <f t="shared" si="45"/>
        <v>-0.1405454094</v>
      </c>
      <c r="AG91" s="57">
        <f t="shared" si="46"/>
        <v>1530.545</v>
      </c>
      <c r="AH91" s="15">
        <f>IFERROR(AG91/AG148, "NA")</f>
        <v>0.05574193826</v>
      </c>
      <c r="AI91" s="61">
        <f t="shared" si="47"/>
        <v>-146.995</v>
      </c>
      <c r="AJ91" s="62">
        <f>IFERROR(AI91/AI148, "NA")</f>
        <v>-0.07506571665</v>
      </c>
      <c r="AK91" s="61">
        <f t="shared" si="48"/>
        <v>-0.09604095273</v>
      </c>
      <c r="AL91" s="62">
        <f>IFERROR(AK91/AK148, "NA")</f>
        <v>-1.346664989</v>
      </c>
    </row>
    <row r="92" ht="16.5" hidden="1" customHeight="1">
      <c r="A92" s="26" t="s">
        <v>209</v>
      </c>
      <c r="B92" s="28">
        <v>283.06</v>
      </c>
      <c r="C92" s="15">
        <f>IFERROR(B92/B148, "NA")</f>
        <v>0.02472239059</v>
      </c>
      <c r="D92" s="28">
        <v>312.97</v>
      </c>
      <c r="E92" s="15">
        <f>IFERROR(D92/D148, "NA")</f>
        <v>0.01747636137</v>
      </c>
      <c r="F92" s="28">
        <v>496.74</v>
      </c>
      <c r="G92" s="15">
        <f>IFERROR(F92/F148, "NA")</f>
        <v>0.02150947367</v>
      </c>
      <c r="H92" s="28">
        <v>479.91</v>
      </c>
      <c r="I92" s="15">
        <f>IFERROR(H92/H148, "NA")</f>
        <v>0.01856482466</v>
      </c>
      <c r="J92" s="28">
        <v>520.78</v>
      </c>
      <c r="K92" s="15">
        <f>IFERROR(J92/J148, "NA")</f>
        <v>0.02167323103</v>
      </c>
      <c r="L92" s="28">
        <v>298.45</v>
      </c>
      <c r="M92" s="15">
        <f>IFERROR(L92/L148, "NA")</f>
        <v>0.01105124787</v>
      </c>
      <c r="N92" s="28">
        <v>402.7</v>
      </c>
      <c r="O92" s="15">
        <f>IFERROR(N92/N148, "NA")</f>
        <v>0.01340627608</v>
      </c>
      <c r="P92" s="28">
        <v>352.35</v>
      </c>
      <c r="Q92" s="15">
        <f>IFERROR(P92/P148, "NA")</f>
        <v>0.01333618969</v>
      </c>
      <c r="R92" s="28">
        <v>555.25</v>
      </c>
      <c r="S92" s="15">
        <f>IFERROR(R92/R148, "NA")</f>
        <v>0.01695965663</v>
      </c>
      <c r="T92" s="28">
        <v>343.33</v>
      </c>
      <c r="U92" s="15">
        <f>IFERROR(T92/T148, "NA")</f>
        <v>0.01403428022</v>
      </c>
      <c r="V92" s="28">
        <v>392.18</v>
      </c>
      <c r="W92" s="15">
        <f>IFERROR(V92/V148, "NA")</f>
        <v>0.01535009953</v>
      </c>
      <c r="X92" s="28">
        <v>4.47</v>
      </c>
      <c r="Y92" s="15">
        <f>IFERROR(X92/X148, "NA")</f>
        <v>0.000151958583</v>
      </c>
      <c r="Z92" s="28">
        <v>739.98</v>
      </c>
      <c r="AA92" s="15">
        <f>IFERROR(Z92/Z148, "NA")</f>
        <v>0.009316291613</v>
      </c>
      <c r="AB92" s="57">
        <f t="shared" si="43"/>
        <v>323.8075</v>
      </c>
      <c r="AC92" s="15">
        <f>IFERROR(AB92/AB148, "NA")</f>
        <v>0.01154722655</v>
      </c>
      <c r="AD92" s="61">
        <f t="shared" si="44"/>
        <v>-319.3375</v>
      </c>
      <c r="AE92" s="62">
        <f>IFERROR(AD92/AD148, "NA")</f>
        <v>-0.2324322456</v>
      </c>
      <c r="AF92" s="61">
        <f t="shared" si="45"/>
        <v>-0.986195502</v>
      </c>
      <c r="AG92" s="57">
        <f t="shared" si="46"/>
        <v>358.68875</v>
      </c>
      <c r="AH92" s="15">
        <f>IFERROR(AG92/AG148, "NA")</f>
        <v>0.0130633246</v>
      </c>
      <c r="AI92" s="61">
        <f t="shared" si="47"/>
        <v>-354.21875</v>
      </c>
      <c r="AJ92" s="62">
        <f>IFERROR(AI92/AI148, "NA")</f>
        <v>-0.1808883589</v>
      </c>
      <c r="AK92" s="61">
        <f t="shared" si="48"/>
        <v>-0.987537942</v>
      </c>
      <c r="AL92" s="62">
        <f>IFERROR(AK92/AK148, "NA")</f>
        <v>-13.84703852</v>
      </c>
    </row>
    <row r="93" ht="16.5" hidden="1" customHeight="1">
      <c r="A93" s="26" t="s">
        <v>210</v>
      </c>
      <c r="B93" s="28">
        <v>1041.63</v>
      </c>
      <c r="C93" s="15">
        <f>IFERROR(B93/B148, "NA")</f>
        <v>0.09097570732</v>
      </c>
      <c r="D93" s="28">
        <v>1479.12</v>
      </c>
      <c r="E93" s="15">
        <f>IFERROR(D93/D148, "NA")</f>
        <v>0.08259461174</v>
      </c>
      <c r="F93" s="28">
        <v>1980.34</v>
      </c>
      <c r="G93" s="15">
        <f>IFERROR(F93/F148, "NA")</f>
        <v>0.08575124026</v>
      </c>
      <c r="H93" s="28">
        <v>2473.09</v>
      </c>
      <c r="I93" s="15">
        <f>IFERROR(H93/H148, "NA")</f>
        <v>0.09566894257</v>
      </c>
      <c r="J93" s="28">
        <v>1928.86</v>
      </c>
      <c r="K93" s="15">
        <f>IFERROR(J93/J148, "NA")</f>
        <v>0.08027310652</v>
      </c>
      <c r="L93" s="28">
        <v>2951.36</v>
      </c>
      <c r="M93" s="15">
        <f>IFERROR(L93/L148, "NA")</f>
        <v>0.109285344</v>
      </c>
      <c r="N93" s="28">
        <v>2139.35</v>
      </c>
      <c r="O93" s="15">
        <f>IFERROR(N93/N148, "NA")</f>
        <v>0.07122104975</v>
      </c>
      <c r="P93" s="28">
        <v>1655.03</v>
      </c>
      <c r="Q93" s="15">
        <f>IFERROR(P93/P148, "NA")</f>
        <v>0.06264167454</v>
      </c>
      <c r="R93" s="28">
        <v>2462.6</v>
      </c>
      <c r="S93" s="15">
        <f>IFERROR(R93/R148, "NA")</f>
        <v>0.07521810073</v>
      </c>
      <c r="T93" s="28">
        <v>1842.4</v>
      </c>
      <c r="U93" s="15">
        <f>IFERROR(T93/T148, "NA")</f>
        <v>0.07531167646</v>
      </c>
      <c r="V93" s="28">
        <v>1937.73</v>
      </c>
      <c r="W93" s="15">
        <f>IFERROR(V93/V148, "NA")</f>
        <v>0.07584361357</v>
      </c>
      <c r="X93" s="28">
        <v>2414.92</v>
      </c>
      <c r="Y93" s="15">
        <f>IFERROR(X93/X148, "NA")</f>
        <v>0.08209570943</v>
      </c>
      <c r="Z93" s="28">
        <v>6195.05</v>
      </c>
      <c r="AA93" s="15">
        <f>IFERROR(Z93/Z148, "NA")</f>
        <v>0.07799520576</v>
      </c>
      <c r="AB93" s="57">
        <f t="shared" si="43"/>
        <v>2164.4125</v>
      </c>
      <c r="AC93" s="15">
        <f>IFERROR(AB93/AB148, "NA")</f>
        <v>0.07718462814</v>
      </c>
      <c r="AD93" s="61">
        <f t="shared" si="44"/>
        <v>250.5075</v>
      </c>
      <c r="AE93" s="62">
        <f>IFERROR(AD93/AD148, "NA")</f>
        <v>0.1823338028</v>
      </c>
      <c r="AF93" s="61">
        <f t="shared" si="45"/>
        <v>0.1157392595</v>
      </c>
      <c r="AG93" s="57">
        <f t="shared" si="46"/>
        <v>2166.53125</v>
      </c>
      <c r="AH93" s="15">
        <f>IFERROR(AG93/AG148, "NA")</f>
        <v>0.07890434529</v>
      </c>
      <c r="AI93" s="61">
        <f t="shared" si="47"/>
        <v>248.38875</v>
      </c>
      <c r="AJ93" s="62">
        <f>IFERROR(AI93/AI148, "NA")</f>
        <v>0.1268443112</v>
      </c>
      <c r="AK93" s="61">
        <f t="shared" si="48"/>
        <v>0.114648127</v>
      </c>
      <c r="AL93" s="62">
        <f>IFERROR(AK93/AK148, "NA")</f>
        <v>1.60757067</v>
      </c>
    </row>
    <row r="94" ht="16.5" hidden="1" customHeight="1">
      <c r="A94" s="26" t="s">
        <v>211</v>
      </c>
      <c r="B94" s="28">
        <v>301.55</v>
      </c>
      <c r="C94" s="15">
        <f>IFERROR(B94/B148, "NA")</f>
        <v>0.02633730263</v>
      </c>
      <c r="D94" s="28">
        <v>451.95</v>
      </c>
      <c r="E94" s="15">
        <f>IFERROR(D94/D148, "NA")</f>
        <v>0.02523705634</v>
      </c>
      <c r="F94" s="28">
        <v>684.81</v>
      </c>
      <c r="G94" s="15">
        <f>IFERROR(F94/F148, "NA")</f>
        <v>0.02965314382</v>
      </c>
      <c r="H94" s="28">
        <v>581.32</v>
      </c>
      <c r="I94" s="15">
        <f>IFERROR(H94/H148, "NA")</f>
        <v>0.02248776619</v>
      </c>
      <c r="J94" s="28">
        <v>714.09</v>
      </c>
      <c r="K94" s="15">
        <f>IFERROR(J94/J148, "NA")</f>
        <v>0.02971818724</v>
      </c>
      <c r="L94" s="28">
        <v>624.18</v>
      </c>
      <c r="M94" s="15">
        <f>IFERROR(L94/L148, "NA")</f>
        <v>0.02311264164</v>
      </c>
      <c r="N94" s="28">
        <v>822.55</v>
      </c>
      <c r="O94" s="15">
        <f>IFERROR(N94/N148, "NA")</f>
        <v>0.0273834924</v>
      </c>
      <c r="P94" s="28">
        <v>686.97</v>
      </c>
      <c r="Q94" s="15">
        <f>IFERROR(P94/P148, "NA")</f>
        <v>0.02600131186</v>
      </c>
      <c r="R94" s="28">
        <v>804.61</v>
      </c>
      <c r="S94" s="15">
        <f>IFERROR(R94/R148, "NA")</f>
        <v>0.02457615367</v>
      </c>
      <c r="T94" s="28">
        <v>699.64</v>
      </c>
      <c r="U94" s="15">
        <f>IFERROR(T94/T148, "NA")</f>
        <v>0.02859914314</v>
      </c>
      <c r="V94" s="28">
        <v>655.21</v>
      </c>
      <c r="W94" s="15">
        <f>IFERROR(V94/V148, "NA")</f>
        <v>0.02564521066</v>
      </c>
      <c r="X94" s="28">
        <v>740.53</v>
      </c>
      <c r="Y94" s="15">
        <f>IFERROR(X94/X148, "NA")</f>
        <v>0.02517447191</v>
      </c>
      <c r="Z94" s="28">
        <v>2095.38</v>
      </c>
      <c r="AA94" s="15">
        <f>IFERROR(Z94/Z148, "NA")</f>
        <v>0.02638067396</v>
      </c>
      <c r="AB94" s="57">
        <f t="shared" si="43"/>
        <v>724.9975</v>
      </c>
      <c r="AC94" s="15">
        <f>IFERROR(AB94/AB148, "NA")</f>
        <v>0.02585397305</v>
      </c>
      <c r="AD94" s="61">
        <f t="shared" si="44"/>
        <v>15.5325</v>
      </c>
      <c r="AE94" s="62">
        <f>IFERROR(AD94/AD148, "NA")</f>
        <v>0.01130544911</v>
      </c>
      <c r="AF94" s="61">
        <f t="shared" si="45"/>
        <v>0.02142421181</v>
      </c>
      <c r="AG94" s="57">
        <f t="shared" si="46"/>
        <v>718.4725</v>
      </c>
      <c r="AH94" s="15">
        <f>IFERROR(AG94/AG148, "NA")</f>
        <v>0.02616652874</v>
      </c>
      <c r="AI94" s="61">
        <f t="shared" si="47"/>
        <v>22.0575</v>
      </c>
      <c r="AJ94" s="62">
        <f>IFERROR(AI94/AI148, "NA")</f>
        <v>0.01126407051</v>
      </c>
      <c r="AK94" s="61">
        <f t="shared" si="48"/>
        <v>0.03070054873</v>
      </c>
      <c r="AL94" s="62">
        <f>IFERROR(AK94/AK148, "NA")</f>
        <v>0.4304763014</v>
      </c>
    </row>
    <row r="95" ht="16.5" hidden="1" customHeight="1">
      <c r="A95" s="26" t="s">
        <v>212</v>
      </c>
      <c r="B95" s="28">
        <v>0.0</v>
      </c>
      <c r="C95" s="15">
        <f>IFERROR(B95/B148, "NA")</f>
        <v>0</v>
      </c>
      <c r="D95" s="28">
        <v>0.0</v>
      </c>
      <c r="E95" s="15">
        <f>IFERROR(D95/D148, "NA")</f>
        <v>0</v>
      </c>
      <c r="F95" s="28">
        <v>0.0</v>
      </c>
      <c r="G95" s="15">
        <f>IFERROR(F95/F148, "NA")</f>
        <v>0</v>
      </c>
      <c r="H95" s="28">
        <v>1103.83</v>
      </c>
      <c r="I95" s="15">
        <f>IFERROR(H95/H148, "NA")</f>
        <v>0.04270052804</v>
      </c>
      <c r="J95" s="28">
        <v>0.0</v>
      </c>
      <c r="K95" s="15">
        <f>IFERROR(J95/J148, "NA")</f>
        <v>0</v>
      </c>
      <c r="L95" s="28">
        <v>0.0</v>
      </c>
      <c r="M95" s="15">
        <f>IFERROR(L95/L148, "NA")</f>
        <v>0</v>
      </c>
      <c r="N95" s="28">
        <v>0.0</v>
      </c>
      <c r="O95" s="15">
        <f>IFERROR(N95/N148, "NA")</f>
        <v>0</v>
      </c>
      <c r="P95" s="28">
        <v>0.0</v>
      </c>
      <c r="Q95" s="15">
        <f>IFERROR(P95/P148, "NA")</f>
        <v>0</v>
      </c>
      <c r="R95" s="28">
        <v>1101.83</v>
      </c>
      <c r="S95" s="15">
        <f>IFERROR(R95/R148, "NA")</f>
        <v>0.03365449522</v>
      </c>
      <c r="T95" s="28">
        <v>0.0</v>
      </c>
      <c r="U95" s="15">
        <f>IFERROR(T95/T148, "NA")</f>
        <v>0</v>
      </c>
      <c r="V95" s="28">
        <v>0.0</v>
      </c>
      <c r="W95" s="15">
        <f>IFERROR(V95/V148, "NA")</f>
        <v>0</v>
      </c>
      <c r="X95" s="28">
        <v>0.0</v>
      </c>
      <c r="Y95" s="15">
        <f>IFERROR(X95/X148, "NA")</f>
        <v>0</v>
      </c>
      <c r="Z95" s="28">
        <v>0.0</v>
      </c>
      <c r="AA95" s="15">
        <f>IFERROR(Z95/Z148, "NA")</f>
        <v>0</v>
      </c>
      <c r="AB95" s="57">
        <f t="shared" si="43"/>
        <v>275.4575</v>
      </c>
      <c r="AC95" s="15">
        <f>IFERROR(AB95/AB148, "NA")</f>
        <v>0.009823028053</v>
      </c>
      <c r="AD95" s="61">
        <f t="shared" si="44"/>
        <v>-275.4575</v>
      </c>
      <c r="AE95" s="62">
        <f>IFERROR(AD95/AD148, "NA")</f>
        <v>-0.2004938514</v>
      </c>
      <c r="AF95" s="61">
        <f t="shared" si="45"/>
        <v>-1</v>
      </c>
      <c r="AG95" s="57">
        <f t="shared" si="46"/>
        <v>137.72875</v>
      </c>
      <c r="AH95" s="15">
        <f>IFERROR(AG95/AG148, "NA")</f>
        <v>0.005016035124</v>
      </c>
      <c r="AI95" s="61">
        <f t="shared" si="47"/>
        <v>-137.72875</v>
      </c>
      <c r="AJ95" s="62">
        <f>IFERROR(AI95/AI148, "NA")</f>
        <v>-0.07033373463</v>
      </c>
      <c r="AK95" s="61">
        <f t="shared" si="48"/>
        <v>-1</v>
      </c>
      <c r="AL95" s="62">
        <f>IFERROR(AK95/AK148, "NA")</f>
        <v>-14.02177873</v>
      </c>
    </row>
    <row r="96" ht="16.5" hidden="1" customHeight="1">
      <c r="A96" s="26" t="s">
        <v>213</v>
      </c>
      <c r="B96" s="28">
        <v>0.0</v>
      </c>
      <c r="C96" s="15">
        <f>IFERROR(B96/B148, "NA")</f>
        <v>0</v>
      </c>
      <c r="D96" s="28">
        <v>0.0</v>
      </c>
      <c r="E96" s="15">
        <f>IFERROR(D96/D148, "NA")</f>
        <v>0</v>
      </c>
      <c r="F96" s="28">
        <v>0.0</v>
      </c>
      <c r="G96" s="15">
        <f>IFERROR(F96/F148, "NA")</f>
        <v>0</v>
      </c>
      <c r="H96" s="28">
        <v>0.0</v>
      </c>
      <c r="I96" s="15">
        <f>IFERROR(H96/H148, "NA")</f>
        <v>0</v>
      </c>
      <c r="J96" s="28">
        <v>0.0</v>
      </c>
      <c r="K96" s="15">
        <f>IFERROR(J96/J148, "NA")</f>
        <v>0</v>
      </c>
      <c r="L96" s="28">
        <v>0.0</v>
      </c>
      <c r="M96" s="15">
        <f>IFERROR(L96/L148, "NA")</f>
        <v>0</v>
      </c>
      <c r="N96" s="28">
        <v>0.0</v>
      </c>
      <c r="O96" s="15">
        <f>IFERROR(N96/N148, "NA")</f>
        <v>0</v>
      </c>
      <c r="P96" s="28">
        <v>0.0</v>
      </c>
      <c r="Q96" s="15">
        <f>IFERROR(P96/P148, "NA")</f>
        <v>0</v>
      </c>
      <c r="R96" s="28">
        <v>0.0</v>
      </c>
      <c r="S96" s="15">
        <f>IFERROR(R96/R148, "NA")</f>
        <v>0</v>
      </c>
      <c r="T96" s="28">
        <v>0.0</v>
      </c>
      <c r="U96" s="15">
        <f>IFERROR(T96/T148, "NA")</f>
        <v>0</v>
      </c>
      <c r="V96" s="28">
        <v>0.0</v>
      </c>
      <c r="W96" s="15">
        <f>IFERROR(V96/V148, "NA")</f>
        <v>0</v>
      </c>
      <c r="X96" s="28">
        <v>0.0</v>
      </c>
      <c r="Y96" s="15">
        <f>IFERROR(X96/X148, "NA")</f>
        <v>0</v>
      </c>
      <c r="Z96" s="28">
        <v>0.0</v>
      </c>
      <c r="AA96" s="15">
        <f>IFERROR(Z96/Z148, "NA")</f>
        <v>0</v>
      </c>
      <c r="AB96" s="57">
        <f t="shared" si="43"/>
        <v>0</v>
      </c>
      <c r="AC96" s="15">
        <f>IFERROR(AB96/AB148, "NA")</f>
        <v>0</v>
      </c>
      <c r="AD96" s="61">
        <f t="shared" si="44"/>
        <v>0</v>
      </c>
      <c r="AE96" s="62">
        <f>IFERROR(AD96/AD148, "NA")</f>
        <v>0</v>
      </c>
      <c r="AF96" s="61" t="str">
        <f t="shared" si="45"/>
        <v>NA</v>
      </c>
      <c r="AG96" s="57">
        <f t="shared" si="46"/>
        <v>0</v>
      </c>
      <c r="AH96" s="15">
        <f>IFERROR(AG96/AG148, "NA")</f>
        <v>0</v>
      </c>
      <c r="AI96" s="61">
        <f t="shared" si="47"/>
        <v>0</v>
      </c>
      <c r="AJ96" s="62">
        <f>IFERROR(AI96/AI148, "NA")</f>
        <v>0</v>
      </c>
      <c r="AK96" s="61" t="str">
        <f t="shared" si="48"/>
        <v>NA</v>
      </c>
      <c r="AL96" s="62" t="str">
        <f>IFERROR(AK96/AK148, "NA")</f>
        <v>NA</v>
      </c>
    </row>
    <row r="97" ht="16.5" hidden="1" customHeight="1">
      <c r="A97" s="26" t="s">
        <v>214</v>
      </c>
      <c r="B97" s="28">
        <v>545.58</v>
      </c>
      <c r="C97" s="15">
        <f>IFERROR(B97/B148, "NA")</f>
        <v>0.04765082265</v>
      </c>
      <c r="D97" s="28">
        <v>333.28</v>
      </c>
      <c r="E97" s="15">
        <f>IFERROR(D97/D148, "NA")</f>
        <v>0.01861047934</v>
      </c>
      <c r="F97" s="28">
        <v>1458.21</v>
      </c>
      <c r="G97" s="15">
        <f>IFERROR(F97/F148, "NA")</f>
        <v>0.0631423473</v>
      </c>
      <c r="H97" s="28">
        <v>956.39</v>
      </c>
      <c r="I97" s="15">
        <f>IFERROR(H97/H148, "NA")</f>
        <v>0.03699696331</v>
      </c>
      <c r="J97" s="28">
        <v>0.0</v>
      </c>
      <c r="K97" s="15">
        <f>IFERROR(J97/J148, "NA")</f>
        <v>0</v>
      </c>
      <c r="L97" s="28">
        <v>2141.44</v>
      </c>
      <c r="M97" s="15">
        <f>IFERROR(L97/L148, "NA")</f>
        <v>0.07929497149</v>
      </c>
      <c r="N97" s="28">
        <v>-179.97</v>
      </c>
      <c r="O97" s="15">
        <f>IFERROR(N97/N148, "NA")</f>
        <v>-0.005991376971</v>
      </c>
      <c r="P97" s="28">
        <v>561.07</v>
      </c>
      <c r="Q97" s="15">
        <f>IFERROR(P97/P148, "NA")</f>
        <v>0.02123608897</v>
      </c>
      <c r="R97" s="28">
        <v>773.98</v>
      </c>
      <c r="S97" s="15">
        <f>IFERROR(R97/R148, "NA")</f>
        <v>0.0236405854</v>
      </c>
      <c r="T97" s="28">
        <v>971.81</v>
      </c>
      <c r="U97" s="15">
        <f>IFERROR(T97/T148, "NA")</f>
        <v>0.03972462022</v>
      </c>
      <c r="V97" s="28">
        <v>0.0</v>
      </c>
      <c r="W97" s="15">
        <f>IFERROR(V97/V148, "NA")</f>
        <v>0</v>
      </c>
      <c r="X97" s="28">
        <v>599.25</v>
      </c>
      <c r="Y97" s="15">
        <f>IFERROR(X97/X148, "NA")</f>
        <v>0.02037162882</v>
      </c>
      <c r="Z97" s="28">
        <v>1571.06</v>
      </c>
      <c r="AA97" s="15">
        <f>IFERROR(Z97/Z148, "NA")</f>
        <v>0.01977952526</v>
      </c>
      <c r="AB97" s="57">
        <f t="shared" si="43"/>
        <v>586.26</v>
      </c>
      <c r="AC97" s="15">
        <f>IFERROR(AB97/AB148, "NA")</f>
        <v>0.02090648621</v>
      </c>
      <c r="AD97" s="61">
        <f t="shared" si="44"/>
        <v>12.99</v>
      </c>
      <c r="AE97" s="62">
        <f>IFERROR(AD97/AD148, "NA")</f>
        <v>0.009454871005</v>
      </c>
      <c r="AF97" s="61">
        <f t="shared" si="45"/>
        <v>0.02215740456</v>
      </c>
      <c r="AG97" s="57">
        <f t="shared" si="46"/>
        <v>608.4475</v>
      </c>
      <c r="AH97" s="15">
        <f>IFERROR(AG97/AG148, "NA")</f>
        <v>0.02215945495</v>
      </c>
      <c r="AI97" s="61">
        <f t="shared" si="47"/>
        <v>-9.1975</v>
      </c>
      <c r="AJ97" s="62">
        <f>IFERROR(AI97/AI148, "NA")</f>
        <v>-0.00469687356</v>
      </c>
      <c r="AK97" s="61">
        <f t="shared" si="48"/>
        <v>-0.01511634118</v>
      </c>
      <c r="AL97" s="62">
        <f>IFERROR(AK97/AK148, "NA")</f>
        <v>-0.2119579913</v>
      </c>
    </row>
    <row r="98" ht="16.5" hidden="1" customHeight="1">
      <c r="A98" s="26" t="s">
        <v>215</v>
      </c>
      <c r="B98" s="28">
        <v>195.08</v>
      </c>
      <c r="C98" s="15">
        <f>IFERROR(B98/B148, "NA")</f>
        <v>0.01703823909</v>
      </c>
      <c r="D98" s="28">
        <v>232.89</v>
      </c>
      <c r="E98" s="15">
        <f>IFERROR(D98/D148, "NA")</f>
        <v>0.01300466435</v>
      </c>
      <c r="F98" s="28">
        <v>2283.18</v>
      </c>
      <c r="G98" s="15">
        <f>IFERROR(F98/F148, "NA")</f>
        <v>0.09886459736</v>
      </c>
      <c r="H98" s="28">
        <v>891.07</v>
      </c>
      <c r="I98" s="15">
        <f>IFERROR(H98/H148, "NA")</f>
        <v>0.0344701263</v>
      </c>
      <c r="J98" s="28">
        <v>198.42</v>
      </c>
      <c r="K98" s="15">
        <f>IFERROR(J98/J148, "NA")</f>
        <v>0.008257618383</v>
      </c>
      <c r="L98" s="28">
        <v>330.99</v>
      </c>
      <c r="M98" s="15">
        <f>IFERROR(L98/L148, "NA")</f>
        <v>0.0122561653</v>
      </c>
      <c r="N98" s="28">
        <v>2151.4</v>
      </c>
      <c r="O98" s="15">
        <f>IFERROR(N98/N148, "NA")</f>
        <v>0.07162220601</v>
      </c>
      <c r="P98" s="28">
        <v>207.2</v>
      </c>
      <c r="Q98" s="15">
        <f>IFERROR(P98/P148, "NA")</f>
        <v>0.007842368395</v>
      </c>
      <c r="R98" s="28">
        <v>1255.75</v>
      </c>
      <c r="S98" s="15">
        <f>IFERROR(R98/R148, "NA")</f>
        <v>0.03835585559</v>
      </c>
      <c r="T98" s="28">
        <v>160.04</v>
      </c>
      <c r="U98" s="15">
        <f>IFERROR(T98/T148, "NA")</f>
        <v>0.006541945669</v>
      </c>
      <c r="V98" s="28">
        <v>305.8</v>
      </c>
      <c r="W98" s="15">
        <f>IFERROR(V98/V148, "NA")</f>
        <v>0.01196914794</v>
      </c>
      <c r="X98" s="28">
        <v>2221.41</v>
      </c>
      <c r="Y98" s="15">
        <f>IFERROR(X98/X148, "NA")</f>
        <v>0.07551729659</v>
      </c>
      <c r="Z98" s="28">
        <v>2687.25</v>
      </c>
      <c r="AA98" s="15">
        <f>IFERROR(Z98/Z148, "NA")</f>
        <v>0.033832272</v>
      </c>
      <c r="AB98" s="57">
        <f t="shared" si="43"/>
        <v>985.75</v>
      </c>
      <c r="AC98" s="15">
        <f>IFERROR(AB98/AB148, "NA")</f>
        <v>0.0351526094</v>
      </c>
      <c r="AD98" s="61">
        <f t="shared" si="44"/>
        <v>1235.66</v>
      </c>
      <c r="AE98" s="62">
        <f>IFERROR(AD98/AD148, "NA")</f>
        <v>0.8993845963</v>
      </c>
      <c r="AF98" s="61">
        <f t="shared" si="45"/>
        <v>1.253522698</v>
      </c>
      <c r="AG98" s="57">
        <f t="shared" si="46"/>
        <v>853.87625</v>
      </c>
      <c r="AH98" s="15">
        <f>IFERROR(AG98/AG148, "NA")</f>
        <v>0.03109788814</v>
      </c>
      <c r="AI98" s="61">
        <f t="shared" si="47"/>
        <v>1367.53375</v>
      </c>
      <c r="AJ98" s="62">
        <f>IFERROR(AI98/AI148, "NA")</f>
        <v>0.6983564134</v>
      </c>
      <c r="AK98" s="61">
        <f t="shared" si="48"/>
        <v>1.601559652</v>
      </c>
      <c r="AL98" s="62">
        <f>IFERROR(AK98/AK148, "NA")</f>
        <v>22.45671507</v>
      </c>
    </row>
    <row r="99" ht="16.5" hidden="1" customHeight="1">
      <c r="A99" s="67" t="s">
        <v>216</v>
      </c>
      <c r="B99" s="70">
        <f>IFERROR(B90+B91+B92+B93+B94+B95+B96+B97+B98, "NA")</f>
        <v>3476.89</v>
      </c>
      <c r="C99" s="71">
        <f>IFERROR(B99/B148, "NA")</f>
        <v>0.3036707152</v>
      </c>
      <c r="D99" s="70">
        <f>IFERROR(D90+D91+D92+D93+D94+D95+D96+D97+D98, "NA")</f>
        <v>4483.19</v>
      </c>
      <c r="E99" s="71">
        <f>IFERROR(D99/D148, "NA")</f>
        <v>0.2503429995</v>
      </c>
      <c r="F99" s="70">
        <f>IFERROR(F90+F91+F92+F93+F94+F95+F96+F97+F98, "NA")</f>
        <v>8882.62</v>
      </c>
      <c r="G99" s="71">
        <f>IFERROR(F99/F148, "NA")</f>
        <v>0.3846287414</v>
      </c>
      <c r="H99" s="70">
        <f>IFERROR(H90+H91+H92+H93+H94+H95+H96+H97+H98, "NA")</f>
        <v>8768.15</v>
      </c>
      <c r="I99" s="71">
        <f>IFERROR(H99/H148, "NA")</f>
        <v>0.3391868629</v>
      </c>
      <c r="J99" s="70">
        <f>IFERROR(J90+J91+J92+J93+J94+J95+J96+J97+J98, "NA")</f>
        <v>5328.18</v>
      </c>
      <c r="K99" s="71">
        <f>IFERROR(J99/J148, "NA")</f>
        <v>0.2217421486</v>
      </c>
      <c r="L99" s="70">
        <f>IFERROR(L90+L91+L92+L93+L94+L95+L96+L97+L98, "NA")</f>
        <v>8628</v>
      </c>
      <c r="M99" s="71">
        <f>IFERROR(L99/L148, "NA")</f>
        <v>0.319484559</v>
      </c>
      <c r="N99" s="70">
        <f>IFERROR(N90+N91+N92+N93+N94+N95+N96+N97+N98, "NA")</f>
        <v>7728.48</v>
      </c>
      <c r="O99" s="71">
        <f>IFERROR(N99/N148, "NA")</f>
        <v>0.2572886431</v>
      </c>
      <c r="P99" s="70">
        <f>IFERROR(P90+P91+P92+P93+P94+P95+P96+P97+P98, "NA")</f>
        <v>5453.45</v>
      </c>
      <c r="Q99" s="71">
        <f>IFERROR(P99/P148, "NA")</f>
        <v>0.2064090923</v>
      </c>
      <c r="R99" s="70">
        <f>IFERROR(R90+R91+R92+R93+R94+R95+R96+R97+R98, "NA")</f>
        <v>9538.69</v>
      </c>
      <c r="S99" s="71">
        <f>IFERROR(R99/R148, "NA")</f>
        <v>0.2913514762</v>
      </c>
      <c r="T99" s="70">
        <f>IFERROR(T90+T91+T92+T93+T94+T95+T96+T97+T98, "NA")</f>
        <v>6533.72</v>
      </c>
      <c r="U99" s="71">
        <f>IFERROR(T99/T148, "NA")</f>
        <v>0.2670784882</v>
      </c>
      <c r="V99" s="70">
        <f>IFERROR(V90+V91+V92+V93+V94+V95+V96+V97+V98, "NA")</f>
        <v>4988.52</v>
      </c>
      <c r="W99" s="71">
        <f>IFERROR(V99/V148, "NA")</f>
        <v>0.1952528903</v>
      </c>
      <c r="X99" s="70">
        <f>IFERROR(X90+X91+X92+X93+X94+X95+X96+X97+X98, "NA")</f>
        <v>7924.35</v>
      </c>
      <c r="Y99" s="71">
        <f>IFERROR(X99/X148, "NA")</f>
        <v>0.2693899322</v>
      </c>
      <c r="Z99" s="70">
        <f>IFERROR(Z90+Z91+Z92+Z93+Z94+Z95+Z96+Z97+Z98, "NA")</f>
        <v>19446.59</v>
      </c>
      <c r="AA99" s="71">
        <f>IFERROR(Z99/Z148, "NA")</f>
        <v>0.244831081</v>
      </c>
      <c r="AB99" s="70">
        <f t="shared" si="43"/>
        <v>7246.32</v>
      </c>
      <c r="AC99" s="71">
        <f>IFERROR(AB99/AB148, "NA")</f>
        <v>0.2584093903</v>
      </c>
      <c r="AD99" s="75">
        <f t="shared" si="44"/>
        <v>678.03</v>
      </c>
      <c r="AE99" s="76">
        <f>IFERROR(AD99/AD148, "NA")</f>
        <v>0.4935093293</v>
      </c>
      <c r="AF99" s="75">
        <f t="shared" si="45"/>
        <v>0.09356887358</v>
      </c>
      <c r="AG99" s="70">
        <f t="shared" si="46"/>
        <v>7015.42375</v>
      </c>
      <c r="AH99" s="71">
        <f>IFERROR(AG99/AG148, "NA")</f>
        <v>0.2554993924</v>
      </c>
      <c r="AI99" s="75">
        <f t="shared" si="47"/>
        <v>908.92625</v>
      </c>
      <c r="AJ99" s="76">
        <f>IFERROR(AI99/AI148, "NA")</f>
        <v>0.4641600078</v>
      </c>
      <c r="AK99" s="75">
        <f t="shared" si="48"/>
        <v>0.1295611331</v>
      </c>
      <c r="AL99" s="76">
        <f>IFERROR(AK99/AK148, "NA")</f>
        <v>1.816677541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2"/>
      <c r="AF100" s="125"/>
      <c r="AG100" s="124"/>
      <c r="AH100" s="74"/>
      <c r="AI100" s="125"/>
      <c r="AJ100" s="82"/>
      <c r="AK100" s="125"/>
      <c r="AL100" s="82"/>
    </row>
    <row r="101" ht="16.5" hidden="1" customHeight="1">
      <c r="A101" s="121" t="s">
        <v>217</v>
      </c>
      <c r="B101" s="122">
        <f>IFERROR(B87-B99, "NA")</f>
        <v>-403.92</v>
      </c>
      <c r="C101" s="98">
        <f>IFERROR(B101/B148, "NA")</f>
        <v>-0.03527827319</v>
      </c>
      <c r="D101" s="122">
        <f>IFERROR(D87-D99, "NA")</f>
        <v>3627.59</v>
      </c>
      <c r="E101" s="98">
        <f>IFERROR(D101/D148, "NA")</f>
        <v>0.2025659768</v>
      </c>
      <c r="F101" s="122">
        <f>IFERROR(F87-F99, "NA")</f>
        <v>2117.87</v>
      </c>
      <c r="G101" s="98">
        <f>IFERROR(F101/F148, "NA")</f>
        <v>0.09170646414</v>
      </c>
      <c r="H101" s="122">
        <f>IFERROR(H87-H99, "NA")</f>
        <v>4397.18</v>
      </c>
      <c r="I101" s="98">
        <f>IFERROR(H101/H148, "NA")</f>
        <v>0.1701003849</v>
      </c>
      <c r="J101" s="122">
        <f>IFERROR(J87-J99, "NA")</f>
        <v>6281.12</v>
      </c>
      <c r="K101" s="98">
        <f>IFERROR(J101/J148, "NA")</f>
        <v>0.261400524</v>
      </c>
      <c r="L101" s="122">
        <f>IFERROR(L87-L99, "NA")</f>
        <v>4557.28</v>
      </c>
      <c r="M101" s="98">
        <f>IFERROR(L101/L148, "NA")</f>
        <v>0.168750648</v>
      </c>
      <c r="N101" s="122">
        <f>IFERROR(N87-N99, "NA")</f>
        <v>8325.9</v>
      </c>
      <c r="O101" s="98">
        <f>IFERROR(N101/N148, "NA")</f>
        <v>0.277177338</v>
      </c>
      <c r="P101" s="122">
        <f>IFERROR(P87-P99, "NA")</f>
        <v>6853.8</v>
      </c>
      <c r="Q101" s="98">
        <f>IFERROR(P101/P148, "NA")</f>
        <v>0.2594113152</v>
      </c>
      <c r="R101" s="122">
        <f>IFERROR(R87-R99, "NA")</f>
        <v>7583.35</v>
      </c>
      <c r="S101" s="98">
        <f>IFERROR(R101/R148, "NA")</f>
        <v>0.2316272168</v>
      </c>
      <c r="T101" s="122">
        <f>IFERROR(T87-T99, "NA")</f>
        <v>4247.46</v>
      </c>
      <c r="U101" s="98">
        <f>IFERROR(T101/T148, "NA")</f>
        <v>0.1736231726</v>
      </c>
      <c r="V101" s="122">
        <f>IFERROR(V87-V99, "NA")</f>
        <v>6208.99</v>
      </c>
      <c r="W101" s="98">
        <f>IFERROR(V101/V148, "NA")</f>
        <v>0.2430226287</v>
      </c>
      <c r="X101" s="122">
        <f>IFERROR(X87-X99, "NA")</f>
        <v>6153.62</v>
      </c>
      <c r="Y101" s="98">
        <f>IFERROR(X101/X148, "NA")</f>
        <v>0.2091935963</v>
      </c>
      <c r="Z101" s="122">
        <f>IFERROR(Z87-Z99, "NA")</f>
        <v>16610.07</v>
      </c>
      <c r="AA101" s="98">
        <f>IFERROR(Z101/Z148, "NA")</f>
        <v>0.2091195111</v>
      </c>
      <c r="AB101" s="122">
        <f>IFERROR((R101+T101+V101+X101)/4, "NA")</f>
        <v>6048.355</v>
      </c>
      <c r="AC101" s="98">
        <f>IFERROR(AB101/AB148, "NA")</f>
        <v>0.2156890295</v>
      </c>
      <c r="AD101" s="75">
        <f>IFERROR(X101-AB101, "NA")</f>
        <v>105.265</v>
      </c>
      <c r="AE101" s="76">
        <f>IFERROR(AD101/AD148, "NA")</f>
        <v>0.0766179366</v>
      </c>
      <c r="AF101" s="75">
        <f>IFERROR((X101-AB101)/AB101, "NA")</f>
        <v>0.01740390569</v>
      </c>
      <c r="AG101" s="122">
        <f>IFERROR((J101+L101+N101+P101+R101+T101+V101+X101)/8, "NA")</f>
        <v>6276.44</v>
      </c>
      <c r="AH101" s="98">
        <f>IFERROR(AG101/AG148, "NA")</f>
        <v>0.2285858508</v>
      </c>
      <c r="AI101" s="75">
        <f>IFERROR(X101-AG101, "NA")</f>
        <v>-122.82</v>
      </c>
      <c r="AJ101" s="76">
        <f>IFERROR(AI101/AI148, "NA")</f>
        <v>-0.06272030558</v>
      </c>
      <c r="AK101" s="75">
        <f>IFERROR((X101-AG101)/AG101, "NA")</f>
        <v>-0.01956841777</v>
      </c>
      <c r="AL101" s="76">
        <f>IFERROR(AK101/AK148, "NA")</f>
        <v>-0.2743840241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2"/>
      <c r="AF102" s="125"/>
      <c r="AG102" s="124"/>
      <c r="AH102" s="74"/>
      <c r="AI102" s="125"/>
      <c r="AJ102" s="82"/>
      <c r="AK102" s="125"/>
      <c r="AL102" s="82"/>
    </row>
    <row r="103" ht="16.5" hidden="1" customHeight="1">
      <c r="A103" s="22" t="s">
        <v>218</v>
      </c>
      <c r="B103" s="23"/>
      <c r="C103" s="10"/>
      <c r="D103" s="23"/>
      <c r="E103" s="10"/>
      <c r="F103" s="23"/>
      <c r="G103" s="10"/>
      <c r="H103" s="23"/>
      <c r="I103" s="10"/>
      <c r="J103" s="23"/>
      <c r="K103" s="10"/>
      <c r="L103" s="23"/>
      <c r="M103" s="10"/>
      <c r="N103" s="23"/>
      <c r="O103" s="10"/>
      <c r="P103" s="23"/>
      <c r="Q103" s="10"/>
      <c r="R103" s="23"/>
      <c r="S103" s="10"/>
      <c r="T103" s="23"/>
      <c r="U103" s="10"/>
      <c r="V103" s="23"/>
      <c r="W103" s="10"/>
      <c r="X103" s="23"/>
      <c r="Y103" s="10"/>
      <c r="Z103" s="23"/>
      <c r="AA103" s="10"/>
      <c r="AB103" s="23"/>
      <c r="AC103" s="10"/>
      <c r="AD103" s="24"/>
      <c r="AE103" s="25"/>
      <c r="AF103" s="24"/>
      <c r="AG103" s="23"/>
      <c r="AH103" s="10"/>
      <c r="AI103" s="24"/>
      <c r="AJ103" s="25"/>
      <c r="AK103" s="24"/>
      <c r="AL103" s="25"/>
    </row>
    <row r="104" ht="16.5" hidden="1" customHeight="1">
      <c r="A104" s="126" t="s">
        <v>219</v>
      </c>
      <c r="B104" s="127">
        <v>766.94</v>
      </c>
      <c r="C104" s="98">
        <f>IFERROR(B104/B148, "NA")</f>
        <v>0.06698435046</v>
      </c>
      <c r="D104" s="127">
        <v>0.0</v>
      </c>
      <c r="E104" s="98">
        <f>IFERROR(D104/D148, "NA")</f>
        <v>0</v>
      </c>
      <c r="F104" s="127">
        <v>1713.97</v>
      </c>
      <c r="G104" s="98">
        <f>IFERROR(F104/F148, "NA")</f>
        <v>0.07421708053</v>
      </c>
      <c r="H104" s="127">
        <v>12526.02</v>
      </c>
      <c r="I104" s="98">
        <f>IFERROR(H104/H148, "NA")</f>
        <v>0.4845561981</v>
      </c>
      <c r="J104" s="127">
        <v>-755.22</v>
      </c>
      <c r="K104" s="98">
        <f>IFERROR(J104/J148, "NA")</f>
        <v>-0.0314298889</v>
      </c>
      <c r="L104" s="127">
        <v>0.0</v>
      </c>
      <c r="M104" s="98">
        <f>IFERROR(L104/L148, "NA")</f>
        <v>0</v>
      </c>
      <c r="N104" s="127">
        <v>1550.36</v>
      </c>
      <c r="O104" s="98">
        <f>IFERROR(N104/N148, "NA")</f>
        <v>0.05161299773</v>
      </c>
      <c r="P104" s="127">
        <v>0.0</v>
      </c>
      <c r="Q104" s="98">
        <f>IFERROR(P104/P148, "NA")</f>
        <v>0</v>
      </c>
      <c r="R104" s="127">
        <v>15169.11</v>
      </c>
      <c r="S104" s="98">
        <f>IFERROR(R104/R148, "NA")</f>
        <v>0.4633280451</v>
      </c>
      <c r="T104" s="127">
        <v>0.0</v>
      </c>
      <c r="U104" s="98">
        <f>IFERROR(T104/T148, "NA")</f>
        <v>0</v>
      </c>
      <c r="V104" s="127">
        <v>0.0</v>
      </c>
      <c r="W104" s="98">
        <f>IFERROR(V104/V148, "NA")</f>
        <v>0</v>
      </c>
      <c r="X104" s="127">
        <v>1247.54</v>
      </c>
      <c r="Y104" s="98">
        <f>IFERROR(X104/X148, "NA")</f>
        <v>0.04241038268</v>
      </c>
      <c r="Z104" s="127">
        <v>1247.54</v>
      </c>
      <c r="AA104" s="98">
        <f>IFERROR(Z104/Z148, "NA")</f>
        <v>0.0157064332</v>
      </c>
      <c r="AB104" s="122">
        <f t="shared" ref="AB104:AB105" si="49">IFERROR((R104+T104+V104+X104)/4, "NA")</f>
        <v>4104.1625</v>
      </c>
      <c r="AC104" s="98">
        <f>IFERROR(AB104/AB148, "NA")</f>
        <v>0.1463576173</v>
      </c>
      <c r="AD104" s="75">
        <f t="shared" ref="AD104:AD105" si="50">IFERROR(X104-AB104, "NA")</f>
        <v>-2856.6225</v>
      </c>
      <c r="AE104" s="76">
        <f>IFERROR(AD104/AD148, "NA")</f>
        <v>-2.079214569</v>
      </c>
      <c r="AF104" s="75">
        <f t="shared" ref="AF104:AF105" si="51">IFERROR((X104-AB104)/AB104, "NA")</f>
        <v>-0.6960305543</v>
      </c>
      <c r="AG104" s="122">
        <f t="shared" ref="AG104:AG105" si="52">IFERROR((J104+L104+N104+P104+R104+T104+V104+X104)/8, "NA")</f>
        <v>2151.47375</v>
      </c>
      <c r="AH104" s="98">
        <f>IFERROR(AG104/AG148, "NA")</f>
        <v>0.07835595617</v>
      </c>
      <c r="AI104" s="75">
        <f t="shared" ref="AI104:AI105" si="53">IFERROR(X104-AG104, "NA")</f>
        <v>-903.93375</v>
      </c>
      <c r="AJ104" s="76">
        <f>IFERROR(AI104/AI148, "NA")</f>
        <v>-0.4616104953</v>
      </c>
      <c r="AK104" s="75">
        <f t="shared" ref="AK104:AK105" si="54">IFERROR((X104-AG104)/AG104, "NA")</f>
        <v>-0.4201463067</v>
      </c>
      <c r="AL104" s="76">
        <f>IFERROR(AK104/AK148, "NA")</f>
        <v>-5.891198549</v>
      </c>
    </row>
    <row r="105" ht="16.5" hidden="1" customHeight="1">
      <c r="A105" s="67" t="s">
        <v>220</v>
      </c>
      <c r="B105" s="70">
        <f>IFERROR(B104, "NA")</f>
        <v>766.94</v>
      </c>
      <c r="C105" s="71">
        <f>IFERROR(B105/B148, "NA")</f>
        <v>0.06698435046</v>
      </c>
      <c r="D105" s="70">
        <f>IFERROR(D104, "NA")</f>
        <v>0</v>
      </c>
      <c r="E105" s="71">
        <f>IFERROR(D105/D148, "NA")</f>
        <v>0</v>
      </c>
      <c r="F105" s="70">
        <f>IFERROR(F104, "NA")</f>
        <v>1713.97</v>
      </c>
      <c r="G105" s="71">
        <f>IFERROR(F105/F148, "NA")</f>
        <v>0.07421708053</v>
      </c>
      <c r="H105" s="70">
        <f>IFERROR(H104, "NA")</f>
        <v>12526.02</v>
      </c>
      <c r="I105" s="71">
        <f>IFERROR(H105/H148, "NA")</f>
        <v>0.4845561981</v>
      </c>
      <c r="J105" s="70">
        <f>IFERROR(J104, "NA")</f>
        <v>-755.22</v>
      </c>
      <c r="K105" s="71">
        <f>IFERROR(J105/J148, "NA")</f>
        <v>-0.0314298889</v>
      </c>
      <c r="L105" s="70">
        <f>IFERROR(L104, "NA")</f>
        <v>0</v>
      </c>
      <c r="M105" s="71">
        <f>IFERROR(L105/L148, "NA")</f>
        <v>0</v>
      </c>
      <c r="N105" s="70">
        <f>IFERROR(N104, "NA")</f>
        <v>1550.36</v>
      </c>
      <c r="O105" s="71">
        <f>IFERROR(N105/N148, "NA")</f>
        <v>0.05161299773</v>
      </c>
      <c r="P105" s="70">
        <f>IFERROR(P104, "NA")</f>
        <v>0</v>
      </c>
      <c r="Q105" s="71">
        <f>IFERROR(P105/P148, "NA")</f>
        <v>0</v>
      </c>
      <c r="R105" s="70">
        <f>IFERROR(R104, "NA")</f>
        <v>15169.11</v>
      </c>
      <c r="S105" s="71">
        <f>IFERROR(R105/R148, "NA")</f>
        <v>0.4633280451</v>
      </c>
      <c r="T105" s="70">
        <f>IFERROR(T104, "NA")</f>
        <v>0</v>
      </c>
      <c r="U105" s="71">
        <f>IFERROR(T105/T148, "NA")</f>
        <v>0</v>
      </c>
      <c r="V105" s="70">
        <f>IFERROR(V104, "NA")</f>
        <v>0</v>
      </c>
      <c r="W105" s="71">
        <f>IFERROR(V105/V148, "NA")</f>
        <v>0</v>
      </c>
      <c r="X105" s="70">
        <f>IFERROR(X104, "NA")</f>
        <v>1247.54</v>
      </c>
      <c r="Y105" s="71">
        <f>IFERROR(X105/X148, "NA")</f>
        <v>0.04241038268</v>
      </c>
      <c r="Z105" s="70">
        <f>IFERROR(Z104, "NA")</f>
        <v>1247.54</v>
      </c>
      <c r="AA105" s="71">
        <f>IFERROR(Z105/Z148, "NA")</f>
        <v>0.0157064332</v>
      </c>
      <c r="AB105" s="70">
        <f t="shared" si="49"/>
        <v>4104.1625</v>
      </c>
      <c r="AC105" s="71">
        <f>IFERROR(AB105/AB148, "NA")</f>
        <v>0.1463576173</v>
      </c>
      <c r="AD105" s="75">
        <f t="shared" si="50"/>
        <v>-2856.6225</v>
      </c>
      <c r="AE105" s="76">
        <f>IFERROR(AD105/AD148, "NA")</f>
        <v>-2.079214569</v>
      </c>
      <c r="AF105" s="75">
        <f t="shared" si="51"/>
        <v>-0.6960305543</v>
      </c>
      <c r="AG105" s="70">
        <f t="shared" si="52"/>
        <v>2151.47375</v>
      </c>
      <c r="AH105" s="71">
        <f>IFERROR(AG105/AG148, "NA")</f>
        <v>0.07835595617</v>
      </c>
      <c r="AI105" s="75">
        <f t="shared" si="53"/>
        <v>-903.93375</v>
      </c>
      <c r="AJ105" s="76">
        <f>IFERROR(AI105/AI148, "NA")</f>
        <v>-0.4616104953</v>
      </c>
      <c r="AK105" s="75">
        <f t="shared" si="54"/>
        <v>-0.4201463067</v>
      </c>
      <c r="AL105" s="76">
        <f>IFERROR(AK105/AK148, "NA")</f>
        <v>-5.891198549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2"/>
      <c r="AF106" s="125"/>
      <c r="AG106" s="124"/>
      <c r="AH106" s="74"/>
      <c r="AI106" s="125"/>
      <c r="AJ106" s="82"/>
      <c r="AK106" s="125"/>
      <c r="AL106" s="82"/>
    </row>
    <row r="107" ht="16.5" hidden="1" customHeight="1">
      <c r="A107" s="121" t="s">
        <v>221</v>
      </c>
      <c r="B107" s="122">
        <f>IFERROR(B87-B99-B105, "NA")</f>
        <v>-1170.86</v>
      </c>
      <c r="C107" s="98">
        <f>IFERROR(B107/B148, "NA")</f>
        <v>-0.1022626237</v>
      </c>
      <c r="D107" s="122">
        <f>IFERROR(D87-D99-D105, "NA")</f>
        <v>3627.59</v>
      </c>
      <c r="E107" s="98">
        <f>IFERROR(D107/D148, "NA")</f>
        <v>0.2025659768</v>
      </c>
      <c r="F107" s="122">
        <f>IFERROR(F87-F99-F105, "NA")</f>
        <v>403.9</v>
      </c>
      <c r="G107" s="98">
        <f>IFERROR(F107/F148, "NA")</f>
        <v>0.01748938361</v>
      </c>
      <c r="H107" s="122">
        <f>IFERROR(H87-H99-H105, "NA")</f>
        <v>-8128.84</v>
      </c>
      <c r="I107" s="98">
        <f>IFERROR(H107/H148, "NA")</f>
        <v>-0.3144558132</v>
      </c>
      <c r="J107" s="122">
        <f>IFERROR(J87-J99-J105, "NA")</f>
        <v>7036.34</v>
      </c>
      <c r="K107" s="98">
        <f>IFERROR(J107/J148, "NA")</f>
        <v>0.2928304129</v>
      </c>
      <c r="L107" s="122">
        <f>IFERROR(L87-L99-L105, "NA")</f>
        <v>4557.28</v>
      </c>
      <c r="M107" s="98">
        <f>IFERROR(L107/L148, "NA")</f>
        <v>0.168750648</v>
      </c>
      <c r="N107" s="122">
        <f>IFERROR(N87-N99-N105, "NA")</f>
        <v>6775.54</v>
      </c>
      <c r="O107" s="98">
        <f>IFERROR(N107/N148, "NA")</f>
        <v>0.2255643403</v>
      </c>
      <c r="P107" s="122">
        <f>IFERROR(P87-P99-P105, "NA")</f>
        <v>6853.8</v>
      </c>
      <c r="Q107" s="98">
        <f>IFERROR(P107/P148, "NA")</f>
        <v>0.2594113152</v>
      </c>
      <c r="R107" s="122">
        <f>IFERROR(R87-R99-R105, "NA")</f>
        <v>-7585.76</v>
      </c>
      <c r="S107" s="98">
        <f>IFERROR(R107/R148, "NA")</f>
        <v>-0.2317008283</v>
      </c>
      <c r="T107" s="122">
        <f>IFERROR(T87-T99-T105, "NA")</f>
        <v>4247.46</v>
      </c>
      <c r="U107" s="98">
        <f>IFERROR(T107/T148, "NA")</f>
        <v>0.1736231726</v>
      </c>
      <c r="V107" s="122">
        <f>IFERROR(V87-V99-V105, "NA")</f>
        <v>6208.99</v>
      </c>
      <c r="W107" s="98">
        <f>IFERROR(V107/V148, "NA")</f>
        <v>0.2430226287</v>
      </c>
      <c r="X107" s="122">
        <f>IFERROR(X87-X99-X105, "NA")</f>
        <v>4906.08</v>
      </c>
      <c r="Y107" s="98">
        <f>IFERROR(X107/X148, "NA")</f>
        <v>0.1667832136</v>
      </c>
      <c r="Z107" s="122">
        <f>IFERROR(Z87-Z99-Z105, "NA")</f>
        <v>15362.53</v>
      </c>
      <c r="AA107" s="98">
        <f>IFERROR(Z107/Z148, "NA")</f>
        <v>0.1934130779</v>
      </c>
      <c r="AB107" s="122">
        <f>IFERROR((R107+T107+V107+X107)/4, "NA")</f>
        <v>1944.1925</v>
      </c>
      <c r="AC107" s="98">
        <f>IFERROR(AB107/AB148, "NA")</f>
        <v>0.06933141217</v>
      </c>
      <c r="AD107" s="75">
        <f>IFERROR(X107-AB107, "NA")</f>
        <v>2961.8875</v>
      </c>
      <c r="AE107" s="76">
        <f>IFERROR(AD107/AD148, "NA")</f>
        <v>2.155832505</v>
      </c>
      <c r="AF107" s="75">
        <f>IFERROR((X107-AB107)/AB107, "NA")</f>
        <v>1.523453825</v>
      </c>
      <c r="AG107" s="122">
        <f>IFERROR((J107+L107+N107+P107+R107+T107+V107+X107)/8, "NA")</f>
        <v>4124.96625</v>
      </c>
      <c r="AH107" s="98">
        <f>IFERROR(AG107/AG148, "NA")</f>
        <v>0.1502298946</v>
      </c>
      <c r="AI107" s="75">
        <f>IFERROR(X107-AG107, "NA")</f>
        <v>781.11375</v>
      </c>
      <c r="AJ107" s="76">
        <f>IFERROR(AI107/AI148, "NA")</f>
        <v>0.3988901897</v>
      </c>
      <c r="AK107" s="75">
        <f>IFERROR((X107-AG107)/AG107, "NA")</f>
        <v>0.1893624584</v>
      </c>
      <c r="AL107" s="76">
        <f>IFERROR(AK107/AK148, "NA")</f>
        <v>2.655198493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2"/>
      <c r="AF108" s="125"/>
      <c r="AG108" s="124"/>
      <c r="AH108" s="74"/>
      <c r="AI108" s="125"/>
      <c r="AJ108" s="82"/>
      <c r="AK108" s="125"/>
      <c r="AL108" s="82"/>
    </row>
    <row r="109" ht="16.5" hidden="1" customHeight="1">
      <c r="A109" s="22" t="s">
        <v>222</v>
      </c>
      <c r="B109" s="23"/>
      <c r="C109" s="10"/>
      <c r="D109" s="23"/>
      <c r="E109" s="10"/>
      <c r="F109" s="23"/>
      <c r="G109" s="10"/>
      <c r="H109" s="23"/>
      <c r="I109" s="10"/>
      <c r="J109" s="23"/>
      <c r="K109" s="10"/>
      <c r="L109" s="23"/>
      <c r="M109" s="10"/>
      <c r="N109" s="23"/>
      <c r="O109" s="10"/>
      <c r="P109" s="23"/>
      <c r="Q109" s="10"/>
      <c r="R109" s="23"/>
      <c r="S109" s="10"/>
      <c r="T109" s="23"/>
      <c r="U109" s="10"/>
      <c r="V109" s="23"/>
      <c r="W109" s="10"/>
      <c r="X109" s="23"/>
      <c r="Y109" s="10"/>
      <c r="Z109" s="23"/>
      <c r="AA109" s="10"/>
      <c r="AB109" s="23"/>
      <c r="AC109" s="10"/>
      <c r="AD109" s="24"/>
      <c r="AE109" s="25"/>
      <c r="AF109" s="24"/>
      <c r="AG109" s="23"/>
      <c r="AH109" s="10"/>
      <c r="AI109" s="24"/>
      <c r="AJ109" s="25"/>
      <c r="AK109" s="24"/>
      <c r="AL109" s="25"/>
    </row>
    <row r="110" ht="16.5" hidden="1" customHeight="1">
      <c r="A110" s="26" t="s">
        <v>223</v>
      </c>
      <c r="B110" s="28">
        <v>0.0</v>
      </c>
      <c r="C110" s="15">
        <f>IFERROR(B110/B148, "NA")</f>
        <v>0</v>
      </c>
      <c r="D110" s="28">
        <v>0.0</v>
      </c>
      <c r="E110" s="15">
        <f>IFERROR(D110/D148, "NA")</f>
        <v>0</v>
      </c>
      <c r="F110" s="28">
        <v>0.0</v>
      </c>
      <c r="G110" s="15">
        <f>IFERROR(F110/F148, "NA")</f>
        <v>0</v>
      </c>
      <c r="H110" s="28">
        <v>0.0</v>
      </c>
      <c r="I110" s="15">
        <f>IFERROR(H110/H148, "NA")</f>
        <v>0</v>
      </c>
      <c r="J110" s="28">
        <v>0.0</v>
      </c>
      <c r="K110" s="15">
        <f>IFERROR(J110/J148, "NA")</f>
        <v>0</v>
      </c>
      <c r="L110" s="28">
        <v>0.0</v>
      </c>
      <c r="M110" s="15">
        <f>IFERROR(L110/L148, "NA")</f>
        <v>0</v>
      </c>
      <c r="N110" s="28">
        <v>0.0</v>
      </c>
      <c r="O110" s="15">
        <f>IFERROR(N110/N148, "NA")</f>
        <v>0</v>
      </c>
      <c r="P110" s="28">
        <v>0.0</v>
      </c>
      <c r="Q110" s="15">
        <f>IFERROR(P110/P148, "NA")</f>
        <v>0</v>
      </c>
      <c r="R110" s="28">
        <v>0.0</v>
      </c>
      <c r="S110" s="15">
        <f>IFERROR(R110/R148, "NA")</f>
        <v>0</v>
      </c>
      <c r="T110" s="28">
        <v>0.0</v>
      </c>
      <c r="U110" s="15">
        <f>IFERROR(T110/T148, "NA")</f>
        <v>0</v>
      </c>
      <c r="V110" s="28">
        <v>0.0</v>
      </c>
      <c r="W110" s="15">
        <f>IFERROR(V110/V148, "NA")</f>
        <v>0</v>
      </c>
      <c r="X110" s="28">
        <v>0.0</v>
      </c>
      <c r="Y110" s="15">
        <f>IFERROR(X110/X148, "NA")</f>
        <v>0</v>
      </c>
      <c r="Z110" s="28">
        <v>0.0</v>
      </c>
      <c r="AA110" s="15">
        <f>IFERROR(Z110/Z148, "NA")</f>
        <v>0</v>
      </c>
      <c r="AB110" s="57">
        <f t="shared" ref="AB110:AB135" si="55">IFERROR((R110+T110+V110+X110)/4, "NA")</f>
        <v>0</v>
      </c>
      <c r="AC110" s="15">
        <f>IFERROR(AB110/AB148, "NA")</f>
        <v>0</v>
      </c>
      <c r="AD110" s="61">
        <f t="shared" ref="AD110:AD135" si="56">IFERROR(X110-AB110, "NA")</f>
        <v>0</v>
      </c>
      <c r="AE110" s="62">
        <f>IFERROR(AD110/AD148, "NA")</f>
        <v>0</v>
      </c>
      <c r="AF110" s="61" t="str">
        <f t="shared" ref="AF110:AF135" si="57">IFERROR((X110-AB110)/AB110, "NA")</f>
        <v>NA</v>
      </c>
      <c r="AG110" s="57">
        <f t="shared" ref="AG110:AG135" si="58">IFERROR((J110+L110+N110+P110+R110+T110+V110+X110)/8, "NA")</f>
        <v>0</v>
      </c>
      <c r="AH110" s="15">
        <f>IFERROR(AG110/AG148, "NA")</f>
        <v>0</v>
      </c>
      <c r="AI110" s="61">
        <f t="shared" ref="AI110:AI135" si="59">IFERROR(X110-AG110, "NA")</f>
        <v>0</v>
      </c>
      <c r="AJ110" s="62">
        <f>IFERROR(AI110/AI148, "NA")</f>
        <v>0</v>
      </c>
      <c r="AK110" s="61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6" t="s">
        <v>224</v>
      </c>
      <c r="B111" s="28">
        <v>0.0</v>
      </c>
      <c r="C111" s="15">
        <f>IFERROR(B111/B148, "NA")</f>
        <v>0</v>
      </c>
      <c r="D111" s="28">
        <v>0.0</v>
      </c>
      <c r="E111" s="15">
        <f>IFERROR(D111/D148, "NA")</f>
        <v>0</v>
      </c>
      <c r="F111" s="28">
        <v>0.0</v>
      </c>
      <c r="G111" s="15">
        <f>IFERROR(F111/F148, "NA")</f>
        <v>0</v>
      </c>
      <c r="H111" s="28">
        <v>0.0</v>
      </c>
      <c r="I111" s="15">
        <f>IFERROR(H111/H148, "NA")</f>
        <v>0</v>
      </c>
      <c r="J111" s="28">
        <v>0.0</v>
      </c>
      <c r="K111" s="15">
        <f>IFERROR(J111/J148, "NA")</f>
        <v>0</v>
      </c>
      <c r="L111" s="28">
        <v>0.0</v>
      </c>
      <c r="M111" s="15">
        <f>IFERROR(L111/L148, "NA")</f>
        <v>0</v>
      </c>
      <c r="N111" s="28">
        <v>0.0</v>
      </c>
      <c r="O111" s="15">
        <f>IFERROR(N111/N148, "NA")</f>
        <v>0</v>
      </c>
      <c r="P111" s="28">
        <v>0.0</v>
      </c>
      <c r="Q111" s="15">
        <f>IFERROR(P111/P148, "NA")</f>
        <v>0</v>
      </c>
      <c r="R111" s="28">
        <v>0.0</v>
      </c>
      <c r="S111" s="15">
        <f>IFERROR(R111/R148, "NA")</f>
        <v>0</v>
      </c>
      <c r="T111" s="28">
        <v>0.0</v>
      </c>
      <c r="U111" s="15">
        <f>IFERROR(T111/T148, "NA")</f>
        <v>0</v>
      </c>
      <c r="V111" s="28">
        <v>0.0</v>
      </c>
      <c r="W111" s="15">
        <f>IFERROR(V111/V148, "NA")</f>
        <v>0</v>
      </c>
      <c r="X111" s="28">
        <v>0.0</v>
      </c>
      <c r="Y111" s="15">
        <f>IFERROR(X111/X148, "NA")</f>
        <v>0</v>
      </c>
      <c r="Z111" s="28">
        <v>0.0</v>
      </c>
      <c r="AA111" s="15">
        <f>IFERROR(Z111/Z148, "NA")</f>
        <v>0</v>
      </c>
      <c r="AB111" s="57">
        <f t="shared" si="55"/>
        <v>0</v>
      </c>
      <c r="AC111" s="15">
        <f>IFERROR(AB111/AB148, "NA")</f>
        <v>0</v>
      </c>
      <c r="AD111" s="61">
        <f t="shared" si="56"/>
        <v>0</v>
      </c>
      <c r="AE111" s="62">
        <f>IFERROR(AD111/AD148, "NA")</f>
        <v>0</v>
      </c>
      <c r="AF111" s="61" t="str">
        <f t="shared" si="57"/>
        <v>NA</v>
      </c>
      <c r="AG111" s="57">
        <f t="shared" si="58"/>
        <v>0</v>
      </c>
      <c r="AH111" s="15">
        <f>IFERROR(AG111/AG148, "NA")</f>
        <v>0</v>
      </c>
      <c r="AI111" s="61">
        <f t="shared" si="59"/>
        <v>0</v>
      </c>
      <c r="AJ111" s="62">
        <f>IFERROR(AI111/AI148, "NA")</f>
        <v>0</v>
      </c>
      <c r="AK111" s="61" t="str">
        <f t="shared" si="60"/>
        <v>NA</v>
      </c>
      <c r="AL111" s="62" t="str">
        <f>IFERROR(AK111/AK148, "NA")</f>
        <v>NA</v>
      </c>
    </row>
    <row r="112" ht="16.5" hidden="1" customHeight="1">
      <c r="A112" s="26" t="s">
        <v>225</v>
      </c>
      <c r="B112" s="28">
        <v>0.0</v>
      </c>
      <c r="C112" s="15">
        <f>IFERROR(B112/B148, "NA")</f>
        <v>0</v>
      </c>
      <c r="D112" s="28">
        <v>0.0</v>
      </c>
      <c r="E112" s="15">
        <f>IFERROR(D112/D148, "NA")</f>
        <v>0</v>
      </c>
      <c r="F112" s="28">
        <v>0.0</v>
      </c>
      <c r="G112" s="15">
        <f>IFERROR(F112/F148, "NA")</f>
        <v>0</v>
      </c>
      <c r="H112" s="28">
        <v>0.0</v>
      </c>
      <c r="I112" s="15">
        <f>IFERROR(H112/H148, "NA")</f>
        <v>0</v>
      </c>
      <c r="J112" s="28">
        <v>0.0</v>
      </c>
      <c r="K112" s="15">
        <f>IFERROR(J112/J148, "NA")</f>
        <v>0</v>
      </c>
      <c r="L112" s="28">
        <v>0.0</v>
      </c>
      <c r="M112" s="15">
        <f>IFERROR(L112/L148, "NA")</f>
        <v>0</v>
      </c>
      <c r="N112" s="28">
        <v>0.0</v>
      </c>
      <c r="O112" s="15">
        <f>IFERROR(N112/N148, "NA")</f>
        <v>0</v>
      </c>
      <c r="P112" s="28">
        <v>0.0</v>
      </c>
      <c r="Q112" s="15">
        <f>IFERROR(P112/P148, "NA")</f>
        <v>0</v>
      </c>
      <c r="R112" s="28">
        <v>0.0</v>
      </c>
      <c r="S112" s="15">
        <f>IFERROR(R112/R148, "NA")</f>
        <v>0</v>
      </c>
      <c r="T112" s="28">
        <v>0.0</v>
      </c>
      <c r="U112" s="15">
        <f>IFERROR(T112/T148, "NA")</f>
        <v>0</v>
      </c>
      <c r="V112" s="28">
        <v>0.0</v>
      </c>
      <c r="W112" s="15">
        <f>IFERROR(V112/V148, "NA")</f>
        <v>0</v>
      </c>
      <c r="X112" s="28">
        <v>0.0</v>
      </c>
      <c r="Y112" s="15">
        <f>IFERROR(X112/X148, "NA")</f>
        <v>0</v>
      </c>
      <c r="Z112" s="28">
        <v>0.0</v>
      </c>
      <c r="AA112" s="15">
        <f>IFERROR(Z112/Z148, "NA")</f>
        <v>0</v>
      </c>
      <c r="AB112" s="57">
        <f t="shared" si="55"/>
        <v>0</v>
      </c>
      <c r="AC112" s="15">
        <f>IFERROR(AB112/AB148, "NA")</f>
        <v>0</v>
      </c>
      <c r="AD112" s="61">
        <f t="shared" si="56"/>
        <v>0</v>
      </c>
      <c r="AE112" s="62">
        <f>IFERROR(AD112/AD148, "NA")</f>
        <v>0</v>
      </c>
      <c r="AF112" s="61" t="str">
        <f t="shared" si="57"/>
        <v>NA</v>
      </c>
      <c r="AG112" s="57">
        <f t="shared" si="58"/>
        <v>0</v>
      </c>
      <c r="AH112" s="15">
        <f>IFERROR(AG112/AG148, "NA")</f>
        <v>0</v>
      </c>
      <c r="AI112" s="61">
        <f t="shared" si="59"/>
        <v>0</v>
      </c>
      <c r="AJ112" s="62">
        <f>IFERROR(AI112/AI148, "NA")</f>
        <v>0</v>
      </c>
      <c r="AK112" s="61" t="str">
        <f t="shared" si="60"/>
        <v>NA</v>
      </c>
      <c r="AL112" s="62" t="str">
        <f>IFERROR(AK112/AK148, "NA")</f>
        <v>NA</v>
      </c>
    </row>
    <row r="113" ht="16.5" hidden="1" customHeight="1">
      <c r="A113" s="26" t="s">
        <v>226</v>
      </c>
      <c r="B113" s="28">
        <v>0.0</v>
      </c>
      <c r="C113" s="15">
        <f>IFERROR(B113/B148, "NA")</f>
        <v>0</v>
      </c>
      <c r="D113" s="28">
        <v>0.0</v>
      </c>
      <c r="E113" s="15">
        <f>IFERROR(D113/D148, "NA")</f>
        <v>0</v>
      </c>
      <c r="F113" s="28">
        <v>0.0</v>
      </c>
      <c r="G113" s="15">
        <f>IFERROR(F113/F148, "NA")</f>
        <v>0</v>
      </c>
      <c r="H113" s="28">
        <v>0.0</v>
      </c>
      <c r="I113" s="15">
        <f>IFERROR(H113/H148, "NA")</f>
        <v>0</v>
      </c>
      <c r="J113" s="28">
        <v>0.0</v>
      </c>
      <c r="K113" s="15">
        <f>IFERROR(J113/J148, "NA")</f>
        <v>0</v>
      </c>
      <c r="L113" s="28">
        <v>0.0</v>
      </c>
      <c r="M113" s="15">
        <f>IFERROR(L113/L148, "NA")</f>
        <v>0</v>
      </c>
      <c r="N113" s="28">
        <v>0.0</v>
      </c>
      <c r="O113" s="15">
        <f>IFERROR(N113/N148, "NA")</f>
        <v>0</v>
      </c>
      <c r="P113" s="28">
        <v>0.0</v>
      </c>
      <c r="Q113" s="15">
        <f>IFERROR(P113/P148, "NA")</f>
        <v>0</v>
      </c>
      <c r="R113" s="28">
        <v>0.0</v>
      </c>
      <c r="S113" s="15">
        <f>IFERROR(R113/R148, "NA")</f>
        <v>0</v>
      </c>
      <c r="T113" s="28">
        <v>0.0</v>
      </c>
      <c r="U113" s="15">
        <f>IFERROR(T113/T148, "NA")</f>
        <v>0</v>
      </c>
      <c r="V113" s="28">
        <v>0.0</v>
      </c>
      <c r="W113" s="15">
        <f>IFERROR(V113/V148, "NA")</f>
        <v>0</v>
      </c>
      <c r="X113" s="28">
        <v>0.0</v>
      </c>
      <c r="Y113" s="15">
        <f>IFERROR(X113/X148, "NA")</f>
        <v>0</v>
      </c>
      <c r="Z113" s="28">
        <v>0.0</v>
      </c>
      <c r="AA113" s="15">
        <f>IFERROR(Z113/Z148, "NA")</f>
        <v>0</v>
      </c>
      <c r="AB113" s="57">
        <f t="shared" si="55"/>
        <v>0</v>
      </c>
      <c r="AC113" s="15">
        <f>IFERROR(AB113/AB148, "NA")</f>
        <v>0</v>
      </c>
      <c r="AD113" s="61">
        <f t="shared" si="56"/>
        <v>0</v>
      </c>
      <c r="AE113" s="62">
        <f>IFERROR(AD113/AD148, "NA")</f>
        <v>0</v>
      </c>
      <c r="AF113" s="61" t="str">
        <f t="shared" si="57"/>
        <v>NA</v>
      </c>
      <c r="AG113" s="57">
        <f t="shared" si="58"/>
        <v>0</v>
      </c>
      <c r="AH113" s="15">
        <f>IFERROR(AG113/AG148, "NA")</f>
        <v>0</v>
      </c>
      <c r="AI113" s="61">
        <f t="shared" si="59"/>
        <v>0</v>
      </c>
      <c r="AJ113" s="62">
        <f>IFERROR(AI113/AI148, "NA")</f>
        <v>0</v>
      </c>
      <c r="AK113" s="61" t="str">
        <f t="shared" si="60"/>
        <v>NA</v>
      </c>
      <c r="AL113" s="62" t="str">
        <f>IFERROR(AK113/AK148, "NA")</f>
        <v>NA</v>
      </c>
    </row>
    <row r="114" ht="16.5" hidden="1" customHeight="1">
      <c r="A114" s="26" t="s">
        <v>227</v>
      </c>
      <c r="B114" s="28">
        <v>0.0</v>
      </c>
      <c r="C114" s="15">
        <f>IFERROR(B114/B148, "NA")</f>
        <v>0</v>
      </c>
      <c r="D114" s="28">
        <v>0.0</v>
      </c>
      <c r="E114" s="15">
        <f>IFERROR(D114/D148, "NA")</f>
        <v>0</v>
      </c>
      <c r="F114" s="28">
        <v>0.0</v>
      </c>
      <c r="G114" s="15">
        <f>IFERROR(F114/F148, "NA")</f>
        <v>0</v>
      </c>
      <c r="H114" s="28">
        <v>0.0</v>
      </c>
      <c r="I114" s="15">
        <f>IFERROR(H114/H148, "NA")</f>
        <v>0</v>
      </c>
      <c r="J114" s="28">
        <v>0.0</v>
      </c>
      <c r="K114" s="15">
        <f>IFERROR(J114/J148, "NA")</f>
        <v>0</v>
      </c>
      <c r="L114" s="28">
        <v>0.0</v>
      </c>
      <c r="M114" s="15">
        <f>IFERROR(L114/L148, "NA")</f>
        <v>0</v>
      </c>
      <c r="N114" s="28">
        <v>0.0</v>
      </c>
      <c r="O114" s="15">
        <f>IFERROR(N114/N148, "NA")</f>
        <v>0</v>
      </c>
      <c r="P114" s="28">
        <v>0.0</v>
      </c>
      <c r="Q114" s="15">
        <f>IFERROR(P114/P148, "NA")</f>
        <v>0</v>
      </c>
      <c r="R114" s="28">
        <v>0.0</v>
      </c>
      <c r="S114" s="15">
        <f>IFERROR(R114/R148, "NA")</f>
        <v>0</v>
      </c>
      <c r="T114" s="28">
        <v>0.0</v>
      </c>
      <c r="U114" s="15">
        <f>IFERROR(T114/T148, "NA")</f>
        <v>0</v>
      </c>
      <c r="V114" s="28">
        <v>0.0</v>
      </c>
      <c r="W114" s="15">
        <f>IFERROR(V114/V148, "NA")</f>
        <v>0</v>
      </c>
      <c r="X114" s="28">
        <v>0.0</v>
      </c>
      <c r="Y114" s="15">
        <f>IFERROR(X114/X148, "NA")</f>
        <v>0</v>
      </c>
      <c r="Z114" s="28">
        <v>0.0</v>
      </c>
      <c r="AA114" s="15">
        <f>IFERROR(Z114/Z148, "NA")</f>
        <v>0</v>
      </c>
      <c r="AB114" s="57">
        <f t="shared" si="55"/>
        <v>0</v>
      </c>
      <c r="AC114" s="15">
        <f>IFERROR(AB114/AB148, "NA")</f>
        <v>0</v>
      </c>
      <c r="AD114" s="61">
        <f t="shared" si="56"/>
        <v>0</v>
      </c>
      <c r="AE114" s="62">
        <f>IFERROR(AD114/AD148, "NA")</f>
        <v>0</v>
      </c>
      <c r="AF114" s="61" t="str">
        <f t="shared" si="57"/>
        <v>NA</v>
      </c>
      <c r="AG114" s="57">
        <f t="shared" si="58"/>
        <v>0</v>
      </c>
      <c r="AH114" s="15">
        <f>IFERROR(AG114/AG148, "NA")</f>
        <v>0</v>
      </c>
      <c r="AI114" s="61">
        <f t="shared" si="59"/>
        <v>0</v>
      </c>
      <c r="AJ114" s="62">
        <f>IFERROR(AI114/AI148, "NA")</f>
        <v>0</v>
      </c>
      <c r="AK114" s="61" t="str">
        <f t="shared" si="60"/>
        <v>NA</v>
      </c>
      <c r="AL114" s="62" t="str">
        <f>IFERROR(AK114/AK148, "NA")</f>
        <v>NA</v>
      </c>
    </row>
    <row r="115" ht="16.5" hidden="1" customHeight="1">
      <c r="A115" s="26" t="s">
        <v>228</v>
      </c>
      <c r="B115" s="28">
        <v>0.0</v>
      </c>
      <c r="C115" s="15">
        <f>IFERROR(B115/B148, "NA")</f>
        <v>0</v>
      </c>
      <c r="D115" s="28">
        <v>0.0</v>
      </c>
      <c r="E115" s="15">
        <f>IFERROR(D115/D148, "NA")</f>
        <v>0</v>
      </c>
      <c r="F115" s="28">
        <v>0.0</v>
      </c>
      <c r="G115" s="15">
        <f>IFERROR(F115/F148, "NA")</f>
        <v>0</v>
      </c>
      <c r="H115" s="28">
        <v>0.0</v>
      </c>
      <c r="I115" s="15">
        <f>IFERROR(H115/H148, "NA")</f>
        <v>0</v>
      </c>
      <c r="J115" s="28">
        <v>0.0</v>
      </c>
      <c r="K115" s="15">
        <f>IFERROR(J115/J148, "NA")</f>
        <v>0</v>
      </c>
      <c r="L115" s="28">
        <v>0.0</v>
      </c>
      <c r="M115" s="15">
        <f>IFERROR(L115/L148, "NA")</f>
        <v>0</v>
      </c>
      <c r="N115" s="28">
        <v>0.0</v>
      </c>
      <c r="O115" s="15">
        <f>IFERROR(N115/N148, "NA")</f>
        <v>0</v>
      </c>
      <c r="P115" s="28">
        <v>0.0</v>
      </c>
      <c r="Q115" s="15">
        <f>IFERROR(P115/P148, "NA")</f>
        <v>0</v>
      </c>
      <c r="R115" s="28">
        <v>0.0</v>
      </c>
      <c r="S115" s="15">
        <f>IFERROR(R115/R148, "NA")</f>
        <v>0</v>
      </c>
      <c r="T115" s="28">
        <v>0.0</v>
      </c>
      <c r="U115" s="15">
        <f>IFERROR(T115/T148, "NA")</f>
        <v>0</v>
      </c>
      <c r="V115" s="28">
        <v>0.0</v>
      </c>
      <c r="W115" s="15">
        <f>IFERROR(V115/V148, "NA")</f>
        <v>0</v>
      </c>
      <c r="X115" s="28">
        <v>0.0</v>
      </c>
      <c r="Y115" s="15">
        <f>IFERROR(X115/X148, "NA")</f>
        <v>0</v>
      </c>
      <c r="Z115" s="28">
        <v>0.0</v>
      </c>
      <c r="AA115" s="15">
        <f>IFERROR(Z115/Z148, "NA")</f>
        <v>0</v>
      </c>
      <c r="AB115" s="57">
        <f t="shared" si="55"/>
        <v>0</v>
      </c>
      <c r="AC115" s="15">
        <f>IFERROR(AB115/AB148, "NA")</f>
        <v>0</v>
      </c>
      <c r="AD115" s="61">
        <f t="shared" si="56"/>
        <v>0</v>
      </c>
      <c r="AE115" s="62">
        <f>IFERROR(AD115/AD148, "NA")</f>
        <v>0</v>
      </c>
      <c r="AF115" s="61" t="str">
        <f t="shared" si="57"/>
        <v>NA</v>
      </c>
      <c r="AG115" s="57">
        <f t="shared" si="58"/>
        <v>0</v>
      </c>
      <c r="AH115" s="15">
        <f>IFERROR(AG115/AG148, "NA")</f>
        <v>0</v>
      </c>
      <c r="AI115" s="61">
        <f t="shared" si="59"/>
        <v>0</v>
      </c>
      <c r="AJ115" s="62">
        <f>IFERROR(AI115/AI148, "NA")</f>
        <v>0</v>
      </c>
      <c r="AK115" s="61" t="str">
        <f t="shared" si="60"/>
        <v>NA</v>
      </c>
      <c r="AL115" s="62" t="str">
        <f>IFERROR(AK115/AK148, "NA")</f>
        <v>NA</v>
      </c>
    </row>
    <row r="116" ht="16.5" hidden="1" customHeight="1">
      <c r="A116" s="26" t="s">
        <v>229</v>
      </c>
      <c r="B116" s="28">
        <v>0.0</v>
      </c>
      <c r="C116" s="15">
        <f>IFERROR(B116/B148, "NA")</f>
        <v>0</v>
      </c>
      <c r="D116" s="28">
        <v>0.0</v>
      </c>
      <c r="E116" s="15">
        <f>IFERROR(D116/D148, "NA")</f>
        <v>0</v>
      </c>
      <c r="F116" s="28">
        <v>0.0</v>
      </c>
      <c r="G116" s="15">
        <f>IFERROR(F116/F148, "NA")</f>
        <v>0</v>
      </c>
      <c r="H116" s="28">
        <v>0.0</v>
      </c>
      <c r="I116" s="15">
        <f>IFERROR(H116/H148, "NA")</f>
        <v>0</v>
      </c>
      <c r="J116" s="28">
        <v>0.0</v>
      </c>
      <c r="K116" s="15">
        <f>IFERROR(J116/J148, "NA")</f>
        <v>0</v>
      </c>
      <c r="L116" s="28">
        <v>0.0</v>
      </c>
      <c r="M116" s="15">
        <f>IFERROR(L116/L148, "NA")</f>
        <v>0</v>
      </c>
      <c r="N116" s="28">
        <v>0.0</v>
      </c>
      <c r="O116" s="15">
        <f>IFERROR(N116/N148, "NA")</f>
        <v>0</v>
      </c>
      <c r="P116" s="28">
        <v>0.0</v>
      </c>
      <c r="Q116" s="15">
        <f>IFERROR(P116/P148, "NA")</f>
        <v>0</v>
      </c>
      <c r="R116" s="28">
        <v>0.0</v>
      </c>
      <c r="S116" s="15">
        <f>IFERROR(R116/R148, "NA")</f>
        <v>0</v>
      </c>
      <c r="T116" s="28">
        <v>0.0</v>
      </c>
      <c r="U116" s="15">
        <f>IFERROR(T116/T148, "NA")</f>
        <v>0</v>
      </c>
      <c r="V116" s="28">
        <v>0.0</v>
      </c>
      <c r="W116" s="15">
        <f>IFERROR(V116/V148, "NA")</f>
        <v>0</v>
      </c>
      <c r="X116" s="28">
        <v>0.0</v>
      </c>
      <c r="Y116" s="15">
        <f>IFERROR(X116/X148, "NA")</f>
        <v>0</v>
      </c>
      <c r="Z116" s="28">
        <v>0.0</v>
      </c>
      <c r="AA116" s="15">
        <f>IFERROR(Z116/Z148, "NA")</f>
        <v>0</v>
      </c>
      <c r="AB116" s="57">
        <f t="shared" si="55"/>
        <v>0</v>
      </c>
      <c r="AC116" s="15">
        <f>IFERROR(AB116/AB148, "NA")</f>
        <v>0</v>
      </c>
      <c r="AD116" s="61">
        <f t="shared" si="56"/>
        <v>0</v>
      </c>
      <c r="AE116" s="62">
        <f>IFERROR(AD116/AD148, "NA")</f>
        <v>0</v>
      </c>
      <c r="AF116" s="61" t="str">
        <f t="shared" si="57"/>
        <v>NA</v>
      </c>
      <c r="AG116" s="57">
        <f t="shared" si="58"/>
        <v>0</v>
      </c>
      <c r="AH116" s="15">
        <f>IFERROR(AG116/AG148, "NA")</f>
        <v>0</v>
      </c>
      <c r="AI116" s="61">
        <f t="shared" si="59"/>
        <v>0</v>
      </c>
      <c r="AJ116" s="62">
        <f>IFERROR(AI116/AI148, "NA")</f>
        <v>0</v>
      </c>
      <c r="AK116" s="61" t="str">
        <f t="shared" si="60"/>
        <v>NA</v>
      </c>
      <c r="AL116" s="62" t="str">
        <f>IFERROR(AK116/AK148, "NA")</f>
        <v>NA</v>
      </c>
    </row>
    <row r="117" ht="16.5" hidden="1" customHeight="1">
      <c r="A117" s="26" t="s">
        <v>230</v>
      </c>
      <c r="B117" s="28">
        <v>0.0</v>
      </c>
      <c r="C117" s="15">
        <f>IFERROR(B117/B148, "NA")</f>
        <v>0</v>
      </c>
      <c r="D117" s="28">
        <v>0.0</v>
      </c>
      <c r="E117" s="15">
        <f>IFERROR(D117/D148, "NA")</f>
        <v>0</v>
      </c>
      <c r="F117" s="28">
        <v>0.0</v>
      </c>
      <c r="G117" s="15">
        <f>IFERROR(F117/F148, "NA")</f>
        <v>0</v>
      </c>
      <c r="H117" s="28">
        <v>0.0</v>
      </c>
      <c r="I117" s="15">
        <f>IFERROR(H117/H148, "NA")</f>
        <v>0</v>
      </c>
      <c r="J117" s="28">
        <v>0.0</v>
      </c>
      <c r="K117" s="15">
        <f>IFERROR(J117/J148, "NA")</f>
        <v>0</v>
      </c>
      <c r="L117" s="28">
        <v>0.0</v>
      </c>
      <c r="M117" s="15">
        <f>IFERROR(L117/L148, "NA")</f>
        <v>0</v>
      </c>
      <c r="N117" s="28">
        <v>0.0</v>
      </c>
      <c r="O117" s="15">
        <f>IFERROR(N117/N148, "NA")</f>
        <v>0</v>
      </c>
      <c r="P117" s="28">
        <v>0.0</v>
      </c>
      <c r="Q117" s="15">
        <f>IFERROR(P117/P148, "NA")</f>
        <v>0</v>
      </c>
      <c r="R117" s="28">
        <v>0.0</v>
      </c>
      <c r="S117" s="15">
        <f>IFERROR(R117/R148, "NA")</f>
        <v>0</v>
      </c>
      <c r="T117" s="28">
        <v>0.0</v>
      </c>
      <c r="U117" s="15">
        <f>IFERROR(T117/T148, "NA")</f>
        <v>0</v>
      </c>
      <c r="V117" s="28">
        <v>0.0</v>
      </c>
      <c r="W117" s="15">
        <f>IFERROR(V117/V148, "NA")</f>
        <v>0</v>
      </c>
      <c r="X117" s="28">
        <v>0.0</v>
      </c>
      <c r="Y117" s="15">
        <f>IFERROR(X117/X148, "NA")</f>
        <v>0</v>
      </c>
      <c r="Z117" s="28">
        <v>0.0</v>
      </c>
      <c r="AA117" s="15">
        <f>IFERROR(Z117/Z148, "NA")</f>
        <v>0</v>
      </c>
      <c r="AB117" s="57">
        <f t="shared" si="55"/>
        <v>0</v>
      </c>
      <c r="AC117" s="15">
        <f>IFERROR(AB117/AB148, "NA")</f>
        <v>0</v>
      </c>
      <c r="AD117" s="61">
        <f t="shared" si="56"/>
        <v>0</v>
      </c>
      <c r="AE117" s="62">
        <f>IFERROR(AD117/AD148, "NA")</f>
        <v>0</v>
      </c>
      <c r="AF117" s="61" t="str">
        <f t="shared" si="57"/>
        <v>NA</v>
      </c>
      <c r="AG117" s="57">
        <f t="shared" si="58"/>
        <v>0</v>
      </c>
      <c r="AH117" s="15">
        <f>IFERROR(AG117/AG148, "NA")</f>
        <v>0</v>
      </c>
      <c r="AI117" s="61">
        <f t="shared" si="59"/>
        <v>0</v>
      </c>
      <c r="AJ117" s="62">
        <f>IFERROR(AI117/AI148, "NA")</f>
        <v>0</v>
      </c>
      <c r="AK117" s="61" t="str">
        <f t="shared" si="60"/>
        <v>NA</v>
      </c>
      <c r="AL117" s="62" t="str">
        <f>IFERROR(AK117/AK148, "NA")</f>
        <v>NA</v>
      </c>
    </row>
    <row r="118" ht="16.5" hidden="1" customHeight="1">
      <c r="A118" s="26" t="s">
        <v>231</v>
      </c>
      <c r="B118" s="28">
        <v>0.0</v>
      </c>
      <c r="C118" s="15">
        <f>IFERROR(B118/B148, "NA")</f>
        <v>0</v>
      </c>
      <c r="D118" s="28">
        <v>0.0</v>
      </c>
      <c r="E118" s="15">
        <f>IFERROR(D118/D148, "NA")</f>
        <v>0</v>
      </c>
      <c r="F118" s="28">
        <v>0.0</v>
      </c>
      <c r="G118" s="15">
        <f>IFERROR(F118/F148, "NA")</f>
        <v>0</v>
      </c>
      <c r="H118" s="28">
        <v>0.0</v>
      </c>
      <c r="I118" s="15">
        <f>IFERROR(H118/H148, "NA")</f>
        <v>0</v>
      </c>
      <c r="J118" s="28">
        <v>0.0</v>
      </c>
      <c r="K118" s="15">
        <f>IFERROR(J118/J148, "NA")</f>
        <v>0</v>
      </c>
      <c r="L118" s="28">
        <v>0.0</v>
      </c>
      <c r="M118" s="15">
        <f>IFERROR(L118/L148, "NA")</f>
        <v>0</v>
      </c>
      <c r="N118" s="28">
        <v>0.0</v>
      </c>
      <c r="O118" s="15">
        <f>IFERROR(N118/N148, "NA")</f>
        <v>0</v>
      </c>
      <c r="P118" s="28">
        <v>0.0</v>
      </c>
      <c r="Q118" s="15">
        <f>IFERROR(P118/P148, "NA")</f>
        <v>0</v>
      </c>
      <c r="R118" s="28">
        <v>0.0</v>
      </c>
      <c r="S118" s="15">
        <f>IFERROR(R118/R148, "NA")</f>
        <v>0</v>
      </c>
      <c r="T118" s="28">
        <v>0.0</v>
      </c>
      <c r="U118" s="15">
        <f>IFERROR(T118/T148, "NA")</f>
        <v>0</v>
      </c>
      <c r="V118" s="28">
        <v>0.0</v>
      </c>
      <c r="W118" s="15">
        <f>IFERROR(V118/V148, "NA")</f>
        <v>0</v>
      </c>
      <c r="X118" s="28">
        <v>0.0</v>
      </c>
      <c r="Y118" s="15">
        <f>IFERROR(X118/X148, "NA")</f>
        <v>0</v>
      </c>
      <c r="Z118" s="28">
        <v>0.0</v>
      </c>
      <c r="AA118" s="15">
        <f>IFERROR(Z118/Z148, "NA")</f>
        <v>0</v>
      </c>
      <c r="AB118" s="57">
        <f t="shared" si="55"/>
        <v>0</v>
      </c>
      <c r="AC118" s="15">
        <f>IFERROR(AB118/AB148, "NA")</f>
        <v>0</v>
      </c>
      <c r="AD118" s="61">
        <f t="shared" si="56"/>
        <v>0</v>
      </c>
      <c r="AE118" s="62">
        <f>IFERROR(AD118/AD148, "NA")</f>
        <v>0</v>
      </c>
      <c r="AF118" s="61" t="str">
        <f t="shared" si="57"/>
        <v>NA</v>
      </c>
      <c r="AG118" s="57">
        <f t="shared" si="58"/>
        <v>0</v>
      </c>
      <c r="AH118" s="15">
        <f>IFERROR(AG118/AG148, "NA")</f>
        <v>0</v>
      </c>
      <c r="AI118" s="61">
        <f t="shared" si="59"/>
        <v>0</v>
      </c>
      <c r="AJ118" s="62">
        <f>IFERROR(AI118/AI148, "NA")</f>
        <v>0</v>
      </c>
      <c r="AK118" s="61" t="str">
        <f t="shared" si="60"/>
        <v>NA</v>
      </c>
      <c r="AL118" s="62" t="str">
        <f>IFERROR(AK118/AK148, "NA")</f>
        <v>NA</v>
      </c>
    </row>
    <row r="119" ht="16.5" hidden="1" customHeight="1">
      <c r="A119" s="26" t="s">
        <v>232</v>
      </c>
      <c r="B119" s="28">
        <v>0.0</v>
      </c>
      <c r="C119" s="15">
        <f>IFERROR(B119/B148, "NA")</f>
        <v>0</v>
      </c>
      <c r="D119" s="28">
        <v>0.0</v>
      </c>
      <c r="E119" s="15">
        <f>IFERROR(D119/D148, "NA")</f>
        <v>0</v>
      </c>
      <c r="F119" s="28">
        <v>0.0</v>
      </c>
      <c r="G119" s="15">
        <f>IFERROR(F119/F148, "NA")</f>
        <v>0</v>
      </c>
      <c r="H119" s="28">
        <v>0.0</v>
      </c>
      <c r="I119" s="15">
        <f>IFERROR(H119/H148, "NA")</f>
        <v>0</v>
      </c>
      <c r="J119" s="28">
        <v>0.0</v>
      </c>
      <c r="K119" s="15">
        <f>IFERROR(J119/J148, "NA")</f>
        <v>0</v>
      </c>
      <c r="L119" s="28">
        <v>0.0</v>
      </c>
      <c r="M119" s="15">
        <f>IFERROR(L119/L148, "NA")</f>
        <v>0</v>
      </c>
      <c r="N119" s="28">
        <v>0.0</v>
      </c>
      <c r="O119" s="15">
        <f>IFERROR(N119/N148, "NA")</f>
        <v>0</v>
      </c>
      <c r="P119" s="28">
        <v>0.0</v>
      </c>
      <c r="Q119" s="15">
        <f>IFERROR(P119/P148, "NA")</f>
        <v>0</v>
      </c>
      <c r="R119" s="28">
        <v>0.0</v>
      </c>
      <c r="S119" s="15">
        <f>IFERROR(R119/R148, "NA")</f>
        <v>0</v>
      </c>
      <c r="T119" s="28">
        <v>0.0</v>
      </c>
      <c r="U119" s="15">
        <f>IFERROR(T119/T148, "NA")</f>
        <v>0</v>
      </c>
      <c r="V119" s="28">
        <v>0.0</v>
      </c>
      <c r="W119" s="15">
        <f>IFERROR(V119/V148, "NA")</f>
        <v>0</v>
      </c>
      <c r="X119" s="28">
        <v>0.0</v>
      </c>
      <c r="Y119" s="15">
        <f>IFERROR(X119/X148, "NA")</f>
        <v>0</v>
      </c>
      <c r="Z119" s="28">
        <v>0.0</v>
      </c>
      <c r="AA119" s="15">
        <f>IFERROR(Z119/Z148, "NA")</f>
        <v>0</v>
      </c>
      <c r="AB119" s="57">
        <f t="shared" si="55"/>
        <v>0</v>
      </c>
      <c r="AC119" s="15">
        <f>IFERROR(AB119/AB148, "NA")</f>
        <v>0</v>
      </c>
      <c r="AD119" s="61">
        <f t="shared" si="56"/>
        <v>0</v>
      </c>
      <c r="AE119" s="62">
        <f>IFERROR(AD119/AD148, "NA")</f>
        <v>0</v>
      </c>
      <c r="AF119" s="61" t="str">
        <f t="shared" si="57"/>
        <v>NA</v>
      </c>
      <c r="AG119" s="57">
        <f t="shared" si="58"/>
        <v>0</v>
      </c>
      <c r="AH119" s="15">
        <f>IFERROR(AG119/AG148, "NA")</f>
        <v>0</v>
      </c>
      <c r="AI119" s="61">
        <f t="shared" si="59"/>
        <v>0</v>
      </c>
      <c r="AJ119" s="62">
        <f>IFERROR(AI119/AI148, "NA")</f>
        <v>0</v>
      </c>
      <c r="AK119" s="61" t="str">
        <f t="shared" si="60"/>
        <v>NA</v>
      </c>
      <c r="AL119" s="62" t="str">
        <f>IFERROR(AK119/AK148, "NA")</f>
        <v>NA</v>
      </c>
    </row>
    <row r="120" ht="16.5" hidden="1" customHeight="1">
      <c r="A120" s="26" t="s">
        <v>233</v>
      </c>
      <c r="B120" s="28">
        <v>0.0</v>
      </c>
      <c r="C120" s="15">
        <f>IFERROR(B120/B148, "NA")</f>
        <v>0</v>
      </c>
      <c r="D120" s="28">
        <v>0.0</v>
      </c>
      <c r="E120" s="15">
        <f>IFERROR(D120/D148, "NA")</f>
        <v>0</v>
      </c>
      <c r="F120" s="28">
        <v>0.0</v>
      </c>
      <c r="G120" s="15">
        <f>IFERROR(F120/F148, "NA")</f>
        <v>0</v>
      </c>
      <c r="H120" s="28">
        <v>0.0</v>
      </c>
      <c r="I120" s="15">
        <f>IFERROR(H120/H148, "NA")</f>
        <v>0</v>
      </c>
      <c r="J120" s="28">
        <v>0.0</v>
      </c>
      <c r="K120" s="15">
        <f>IFERROR(J120/J148, "NA")</f>
        <v>0</v>
      </c>
      <c r="L120" s="28">
        <v>0.0</v>
      </c>
      <c r="M120" s="15">
        <f>IFERROR(L120/L148, "NA")</f>
        <v>0</v>
      </c>
      <c r="N120" s="28">
        <v>0.0</v>
      </c>
      <c r="O120" s="15">
        <f>IFERROR(N120/N148, "NA")</f>
        <v>0</v>
      </c>
      <c r="P120" s="28">
        <v>0.0</v>
      </c>
      <c r="Q120" s="15">
        <f>IFERROR(P120/P148, "NA")</f>
        <v>0</v>
      </c>
      <c r="R120" s="28">
        <v>0.0</v>
      </c>
      <c r="S120" s="15">
        <f>IFERROR(R120/R148, "NA")</f>
        <v>0</v>
      </c>
      <c r="T120" s="28">
        <v>0.0</v>
      </c>
      <c r="U120" s="15">
        <f>IFERROR(T120/T148, "NA")</f>
        <v>0</v>
      </c>
      <c r="V120" s="28">
        <v>0.0</v>
      </c>
      <c r="W120" s="15">
        <f>IFERROR(V120/V148, "NA")</f>
        <v>0</v>
      </c>
      <c r="X120" s="28">
        <v>0.0</v>
      </c>
      <c r="Y120" s="15">
        <f>IFERROR(X120/X148, "NA")</f>
        <v>0</v>
      </c>
      <c r="Z120" s="28">
        <v>0.0</v>
      </c>
      <c r="AA120" s="15">
        <f>IFERROR(Z120/Z148, "NA")</f>
        <v>0</v>
      </c>
      <c r="AB120" s="57">
        <f t="shared" si="55"/>
        <v>0</v>
      </c>
      <c r="AC120" s="15">
        <f>IFERROR(AB120/AB148, "NA")</f>
        <v>0</v>
      </c>
      <c r="AD120" s="61">
        <f t="shared" si="56"/>
        <v>0</v>
      </c>
      <c r="AE120" s="62">
        <f>IFERROR(AD120/AD148, "NA")</f>
        <v>0</v>
      </c>
      <c r="AF120" s="61" t="str">
        <f t="shared" si="57"/>
        <v>NA</v>
      </c>
      <c r="AG120" s="57">
        <f t="shared" si="58"/>
        <v>0</v>
      </c>
      <c r="AH120" s="15">
        <f>IFERROR(AG120/AG148, "NA")</f>
        <v>0</v>
      </c>
      <c r="AI120" s="61">
        <f t="shared" si="59"/>
        <v>0</v>
      </c>
      <c r="AJ120" s="62">
        <f>IFERROR(AI120/AI148, "NA")</f>
        <v>0</v>
      </c>
      <c r="AK120" s="61" t="str">
        <f t="shared" si="60"/>
        <v>NA</v>
      </c>
      <c r="AL120" s="62" t="str">
        <f>IFERROR(AK120/AK148, "NA")</f>
        <v>NA</v>
      </c>
    </row>
    <row r="121" ht="16.5" hidden="1" customHeight="1">
      <c r="A121" s="26" t="s">
        <v>234</v>
      </c>
      <c r="B121" s="28">
        <v>0.0</v>
      </c>
      <c r="C121" s="15">
        <f>IFERROR(B121/B148, "NA")</f>
        <v>0</v>
      </c>
      <c r="D121" s="28">
        <v>0.0</v>
      </c>
      <c r="E121" s="15">
        <f>IFERROR(D121/D148, "NA")</f>
        <v>0</v>
      </c>
      <c r="F121" s="28">
        <v>0.0</v>
      </c>
      <c r="G121" s="15">
        <f>IFERROR(F121/F148, "NA")</f>
        <v>0</v>
      </c>
      <c r="H121" s="28">
        <v>0.0</v>
      </c>
      <c r="I121" s="15">
        <f>IFERROR(H121/H148, "NA")</f>
        <v>0</v>
      </c>
      <c r="J121" s="28">
        <v>0.0</v>
      </c>
      <c r="K121" s="15">
        <f>IFERROR(J121/J148, "NA")</f>
        <v>0</v>
      </c>
      <c r="L121" s="28">
        <v>0.0</v>
      </c>
      <c r="M121" s="15">
        <f>IFERROR(L121/L148, "NA")</f>
        <v>0</v>
      </c>
      <c r="N121" s="28">
        <v>0.0</v>
      </c>
      <c r="O121" s="15">
        <f>IFERROR(N121/N148, "NA")</f>
        <v>0</v>
      </c>
      <c r="P121" s="28">
        <v>0.0</v>
      </c>
      <c r="Q121" s="15">
        <f>IFERROR(P121/P148, "NA")</f>
        <v>0</v>
      </c>
      <c r="R121" s="28">
        <v>0.0</v>
      </c>
      <c r="S121" s="15">
        <f>IFERROR(R121/R148, "NA")</f>
        <v>0</v>
      </c>
      <c r="T121" s="28">
        <v>0.0</v>
      </c>
      <c r="U121" s="15">
        <f>IFERROR(T121/T148, "NA")</f>
        <v>0</v>
      </c>
      <c r="V121" s="28">
        <v>0.0</v>
      </c>
      <c r="W121" s="15">
        <f>IFERROR(V121/V148, "NA")</f>
        <v>0</v>
      </c>
      <c r="X121" s="28">
        <v>0.0</v>
      </c>
      <c r="Y121" s="15">
        <f>IFERROR(X121/X148, "NA")</f>
        <v>0</v>
      </c>
      <c r="Z121" s="28">
        <v>0.0</v>
      </c>
      <c r="AA121" s="15">
        <f>IFERROR(Z121/Z148, "NA")</f>
        <v>0</v>
      </c>
      <c r="AB121" s="57">
        <f t="shared" si="55"/>
        <v>0</v>
      </c>
      <c r="AC121" s="15">
        <f>IFERROR(AB121/AB148, "NA")</f>
        <v>0</v>
      </c>
      <c r="AD121" s="61">
        <f t="shared" si="56"/>
        <v>0</v>
      </c>
      <c r="AE121" s="62">
        <f>IFERROR(AD121/AD148, "NA")</f>
        <v>0</v>
      </c>
      <c r="AF121" s="61" t="str">
        <f t="shared" si="57"/>
        <v>NA</v>
      </c>
      <c r="AG121" s="57">
        <f t="shared" si="58"/>
        <v>0</v>
      </c>
      <c r="AH121" s="15">
        <f>IFERROR(AG121/AG148, "NA")</f>
        <v>0</v>
      </c>
      <c r="AI121" s="61">
        <f t="shared" si="59"/>
        <v>0</v>
      </c>
      <c r="AJ121" s="62">
        <f>IFERROR(AI121/AI148, "NA")</f>
        <v>0</v>
      </c>
      <c r="AK121" s="61" t="str">
        <f t="shared" si="60"/>
        <v>NA</v>
      </c>
      <c r="AL121" s="62" t="str">
        <f>IFERROR(AK121/AK148, "NA")</f>
        <v>NA</v>
      </c>
    </row>
    <row r="122" ht="16.5" hidden="1" customHeight="1">
      <c r="A122" s="26" t="s">
        <v>235</v>
      </c>
      <c r="B122" s="28">
        <v>0.0</v>
      </c>
      <c r="C122" s="15">
        <f>IFERROR(B122/B148, "NA")</f>
        <v>0</v>
      </c>
      <c r="D122" s="28">
        <v>0.0</v>
      </c>
      <c r="E122" s="15">
        <f>IFERROR(D122/D148, "NA")</f>
        <v>0</v>
      </c>
      <c r="F122" s="28">
        <v>0.0</v>
      </c>
      <c r="G122" s="15">
        <f>IFERROR(F122/F148, "NA")</f>
        <v>0</v>
      </c>
      <c r="H122" s="28">
        <v>0.0</v>
      </c>
      <c r="I122" s="15">
        <f>IFERROR(H122/H148, "NA")</f>
        <v>0</v>
      </c>
      <c r="J122" s="28">
        <v>0.0</v>
      </c>
      <c r="K122" s="15">
        <f>IFERROR(J122/J148, "NA")</f>
        <v>0</v>
      </c>
      <c r="L122" s="28">
        <v>0.0</v>
      </c>
      <c r="M122" s="15">
        <f>IFERROR(L122/L148, "NA")</f>
        <v>0</v>
      </c>
      <c r="N122" s="28">
        <v>0.0</v>
      </c>
      <c r="O122" s="15">
        <f>IFERROR(N122/N148, "NA")</f>
        <v>0</v>
      </c>
      <c r="P122" s="28">
        <v>0.0</v>
      </c>
      <c r="Q122" s="15">
        <f>IFERROR(P122/P148, "NA")</f>
        <v>0</v>
      </c>
      <c r="R122" s="28">
        <v>0.0</v>
      </c>
      <c r="S122" s="15">
        <f>IFERROR(R122/R148, "NA")</f>
        <v>0</v>
      </c>
      <c r="T122" s="28">
        <v>0.0</v>
      </c>
      <c r="U122" s="15">
        <f>IFERROR(T122/T148, "NA")</f>
        <v>0</v>
      </c>
      <c r="V122" s="28">
        <v>0.0</v>
      </c>
      <c r="W122" s="15">
        <f>IFERROR(V122/V148, "NA")</f>
        <v>0</v>
      </c>
      <c r="X122" s="28">
        <v>0.0</v>
      </c>
      <c r="Y122" s="15">
        <f>IFERROR(X122/X148, "NA")</f>
        <v>0</v>
      </c>
      <c r="Z122" s="28">
        <v>0.0</v>
      </c>
      <c r="AA122" s="15">
        <f>IFERROR(Z122/Z148, "NA")</f>
        <v>0</v>
      </c>
      <c r="AB122" s="57">
        <f t="shared" si="55"/>
        <v>0</v>
      </c>
      <c r="AC122" s="15">
        <f>IFERROR(AB122/AB148, "NA")</f>
        <v>0</v>
      </c>
      <c r="AD122" s="61">
        <f t="shared" si="56"/>
        <v>0</v>
      </c>
      <c r="AE122" s="62">
        <f>IFERROR(AD122/AD148, "NA")</f>
        <v>0</v>
      </c>
      <c r="AF122" s="61" t="str">
        <f t="shared" si="57"/>
        <v>NA</v>
      </c>
      <c r="AG122" s="57">
        <f t="shared" si="58"/>
        <v>0</v>
      </c>
      <c r="AH122" s="15">
        <f>IFERROR(AG122/AG148, "NA")</f>
        <v>0</v>
      </c>
      <c r="AI122" s="61">
        <f t="shared" si="59"/>
        <v>0</v>
      </c>
      <c r="AJ122" s="62">
        <f>IFERROR(AI122/AI148, "NA")</f>
        <v>0</v>
      </c>
      <c r="AK122" s="61" t="str">
        <f t="shared" si="60"/>
        <v>NA</v>
      </c>
      <c r="AL122" s="62" t="str">
        <f>IFERROR(AK122/AK148, "NA")</f>
        <v>NA</v>
      </c>
    </row>
    <row r="123" ht="16.5" hidden="1" customHeight="1">
      <c r="A123" s="26" t="s">
        <v>236</v>
      </c>
      <c r="B123" s="28">
        <v>0.0</v>
      </c>
      <c r="C123" s="15">
        <f>IFERROR(B123/B148, "NA")</f>
        <v>0</v>
      </c>
      <c r="D123" s="28">
        <v>0.0</v>
      </c>
      <c r="E123" s="15">
        <f>IFERROR(D123/D148, "NA")</f>
        <v>0</v>
      </c>
      <c r="F123" s="28">
        <v>0.0</v>
      </c>
      <c r="G123" s="15">
        <f>IFERROR(F123/F148, "NA")</f>
        <v>0</v>
      </c>
      <c r="H123" s="28">
        <v>0.0</v>
      </c>
      <c r="I123" s="15">
        <f>IFERROR(H123/H148, "NA")</f>
        <v>0</v>
      </c>
      <c r="J123" s="28">
        <v>0.0</v>
      </c>
      <c r="K123" s="15">
        <f>IFERROR(J123/J148, "NA")</f>
        <v>0</v>
      </c>
      <c r="L123" s="28">
        <v>0.0</v>
      </c>
      <c r="M123" s="15">
        <f>IFERROR(L123/L148, "NA")</f>
        <v>0</v>
      </c>
      <c r="N123" s="28">
        <v>0.0</v>
      </c>
      <c r="O123" s="15">
        <f>IFERROR(N123/N148, "NA")</f>
        <v>0</v>
      </c>
      <c r="P123" s="28">
        <v>0.0</v>
      </c>
      <c r="Q123" s="15">
        <f>IFERROR(P123/P148, "NA")</f>
        <v>0</v>
      </c>
      <c r="R123" s="28">
        <v>0.0</v>
      </c>
      <c r="S123" s="15">
        <f>IFERROR(R123/R148, "NA")</f>
        <v>0</v>
      </c>
      <c r="T123" s="28">
        <v>0.0</v>
      </c>
      <c r="U123" s="15">
        <f>IFERROR(T123/T148, "NA")</f>
        <v>0</v>
      </c>
      <c r="V123" s="28">
        <v>0.0</v>
      </c>
      <c r="W123" s="15">
        <f>IFERROR(V123/V148, "NA")</f>
        <v>0</v>
      </c>
      <c r="X123" s="28">
        <v>0.0</v>
      </c>
      <c r="Y123" s="15">
        <f>IFERROR(X123/X148, "NA")</f>
        <v>0</v>
      </c>
      <c r="Z123" s="28">
        <v>0.0</v>
      </c>
      <c r="AA123" s="15">
        <f>IFERROR(Z123/Z148, "NA")</f>
        <v>0</v>
      </c>
      <c r="AB123" s="57">
        <f t="shared" si="55"/>
        <v>0</v>
      </c>
      <c r="AC123" s="15">
        <f>IFERROR(AB123/AB148, "NA")</f>
        <v>0</v>
      </c>
      <c r="AD123" s="61">
        <f t="shared" si="56"/>
        <v>0</v>
      </c>
      <c r="AE123" s="62">
        <f>IFERROR(AD123/AD148, "NA")</f>
        <v>0</v>
      </c>
      <c r="AF123" s="61" t="str">
        <f t="shared" si="57"/>
        <v>NA</v>
      </c>
      <c r="AG123" s="57">
        <f t="shared" si="58"/>
        <v>0</v>
      </c>
      <c r="AH123" s="15">
        <f>IFERROR(AG123/AG148, "NA")</f>
        <v>0</v>
      </c>
      <c r="AI123" s="61">
        <f t="shared" si="59"/>
        <v>0</v>
      </c>
      <c r="AJ123" s="62">
        <f>IFERROR(AI123/AI148, "NA")</f>
        <v>0</v>
      </c>
      <c r="AK123" s="61" t="str">
        <f t="shared" si="60"/>
        <v>NA</v>
      </c>
      <c r="AL123" s="62" t="str">
        <f>IFERROR(AK123/AK148, "NA")</f>
        <v>NA</v>
      </c>
    </row>
    <row r="124" ht="16.5" hidden="1" customHeight="1">
      <c r="A124" s="26" t="s">
        <v>237</v>
      </c>
      <c r="B124" s="28">
        <v>0.0</v>
      </c>
      <c r="C124" s="15">
        <f>IFERROR(B124/B148, "NA")</f>
        <v>0</v>
      </c>
      <c r="D124" s="28">
        <v>0.0</v>
      </c>
      <c r="E124" s="15">
        <f>IFERROR(D124/D148, "NA")</f>
        <v>0</v>
      </c>
      <c r="F124" s="28">
        <v>0.0</v>
      </c>
      <c r="G124" s="15">
        <f>IFERROR(F124/F148, "NA")</f>
        <v>0</v>
      </c>
      <c r="H124" s="28">
        <v>0.0</v>
      </c>
      <c r="I124" s="15">
        <f>IFERROR(H124/H148, "NA")</f>
        <v>0</v>
      </c>
      <c r="J124" s="28">
        <v>0.0</v>
      </c>
      <c r="K124" s="15">
        <f>IFERROR(J124/J148, "NA")</f>
        <v>0</v>
      </c>
      <c r="L124" s="28">
        <v>0.0</v>
      </c>
      <c r="M124" s="15">
        <f>IFERROR(L124/L148, "NA")</f>
        <v>0</v>
      </c>
      <c r="N124" s="28">
        <v>0.0</v>
      </c>
      <c r="O124" s="15">
        <f>IFERROR(N124/N148, "NA")</f>
        <v>0</v>
      </c>
      <c r="P124" s="28">
        <v>0.0</v>
      </c>
      <c r="Q124" s="15">
        <f>IFERROR(P124/P148, "NA")</f>
        <v>0</v>
      </c>
      <c r="R124" s="28">
        <v>0.0</v>
      </c>
      <c r="S124" s="15">
        <f>IFERROR(R124/R148, "NA")</f>
        <v>0</v>
      </c>
      <c r="T124" s="28">
        <v>0.0</v>
      </c>
      <c r="U124" s="15">
        <f>IFERROR(T124/T148, "NA")</f>
        <v>0</v>
      </c>
      <c r="V124" s="28">
        <v>0.0</v>
      </c>
      <c r="W124" s="15">
        <f>IFERROR(V124/V148, "NA")</f>
        <v>0</v>
      </c>
      <c r="X124" s="28">
        <v>2500.0</v>
      </c>
      <c r="Y124" s="15">
        <f>IFERROR(X124/X148, "NA")</f>
        <v>0.08498802179</v>
      </c>
      <c r="Z124" s="28">
        <v>2500.0</v>
      </c>
      <c r="AA124" s="15">
        <f>IFERROR(Z124/Z148, "NA")</f>
        <v>0.03147480882</v>
      </c>
      <c r="AB124" s="57">
        <f t="shared" si="55"/>
        <v>625</v>
      </c>
      <c r="AC124" s="15">
        <f>IFERROR(AB124/AB148, "NA")</f>
        <v>0.02228798465</v>
      </c>
      <c r="AD124" s="61">
        <f t="shared" si="56"/>
        <v>1875</v>
      </c>
      <c r="AE124" s="62">
        <f>IFERROR(AD124/AD148, "NA")</f>
        <v>1.364733113</v>
      </c>
      <c r="AF124" s="61">
        <f t="shared" si="57"/>
        <v>3</v>
      </c>
      <c r="AG124" s="57">
        <f t="shared" si="58"/>
        <v>312.5</v>
      </c>
      <c r="AH124" s="15">
        <f>IFERROR(AG124/AG148, "NA")</f>
        <v>0.01138114574</v>
      </c>
      <c r="AI124" s="61">
        <f t="shared" si="59"/>
        <v>2187.5</v>
      </c>
      <c r="AJ124" s="62">
        <f>IFERROR(AI124/AI148, "NA")</f>
        <v>1.117087351</v>
      </c>
      <c r="AK124" s="61">
        <f t="shared" si="60"/>
        <v>7</v>
      </c>
      <c r="AL124" s="62">
        <f>IFERROR(AK124/AK148, "NA")</f>
        <v>98.15245114</v>
      </c>
    </row>
    <row r="125" ht="16.5" hidden="1" customHeight="1">
      <c r="A125" s="26" t="s">
        <v>238</v>
      </c>
      <c r="B125" s="28">
        <v>0.0</v>
      </c>
      <c r="C125" s="15">
        <f>IFERROR(B125/B148, "NA")</f>
        <v>0</v>
      </c>
      <c r="D125" s="28">
        <v>0.0</v>
      </c>
      <c r="E125" s="15">
        <f>IFERROR(D125/D148, "NA")</f>
        <v>0</v>
      </c>
      <c r="F125" s="28">
        <v>0.0</v>
      </c>
      <c r="G125" s="15">
        <f>IFERROR(F125/F148, "NA")</f>
        <v>0</v>
      </c>
      <c r="H125" s="28">
        <v>0.0</v>
      </c>
      <c r="I125" s="15">
        <f>IFERROR(H125/H148, "NA")</f>
        <v>0</v>
      </c>
      <c r="J125" s="28">
        <v>0.0</v>
      </c>
      <c r="K125" s="15">
        <f>IFERROR(J125/J148, "NA")</f>
        <v>0</v>
      </c>
      <c r="L125" s="28">
        <v>0.0</v>
      </c>
      <c r="M125" s="15">
        <f>IFERROR(L125/L148, "NA")</f>
        <v>0</v>
      </c>
      <c r="N125" s="28">
        <v>0.0</v>
      </c>
      <c r="O125" s="15">
        <f>IFERROR(N125/N148, "NA")</f>
        <v>0</v>
      </c>
      <c r="P125" s="28">
        <v>0.0</v>
      </c>
      <c r="Q125" s="15">
        <f>IFERROR(P125/P148, "NA")</f>
        <v>0</v>
      </c>
      <c r="R125" s="28">
        <v>0.0</v>
      </c>
      <c r="S125" s="15">
        <f>IFERROR(R125/R148, "NA")</f>
        <v>0</v>
      </c>
      <c r="T125" s="28">
        <v>0.0</v>
      </c>
      <c r="U125" s="15">
        <f>IFERROR(T125/T148, "NA")</f>
        <v>0</v>
      </c>
      <c r="V125" s="28">
        <v>0.0</v>
      </c>
      <c r="W125" s="15">
        <f>IFERROR(V125/V148, "NA")</f>
        <v>0</v>
      </c>
      <c r="X125" s="28">
        <v>0.0</v>
      </c>
      <c r="Y125" s="15">
        <f>IFERROR(X125/X148, "NA")</f>
        <v>0</v>
      </c>
      <c r="Z125" s="28">
        <v>0.0</v>
      </c>
      <c r="AA125" s="15">
        <f>IFERROR(Z125/Z148, "NA")</f>
        <v>0</v>
      </c>
      <c r="AB125" s="57">
        <f t="shared" si="55"/>
        <v>0</v>
      </c>
      <c r="AC125" s="15">
        <f>IFERROR(AB125/AB148, "NA")</f>
        <v>0</v>
      </c>
      <c r="AD125" s="61">
        <f t="shared" si="56"/>
        <v>0</v>
      </c>
      <c r="AE125" s="62">
        <f>IFERROR(AD125/AD148, "NA")</f>
        <v>0</v>
      </c>
      <c r="AF125" s="61" t="str">
        <f t="shared" si="57"/>
        <v>NA</v>
      </c>
      <c r="AG125" s="57">
        <f t="shared" si="58"/>
        <v>0</v>
      </c>
      <c r="AH125" s="15">
        <f>IFERROR(AG125/AG148, "NA")</f>
        <v>0</v>
      </c>
      <c r="AI125" s="61">
        <f t="shared" si="59"/>
        <v>0</v>
      </c>
      <c r="AJ125" s="62">
        <f>IFERROR(AI125/AI148, "NA")</f>
        <v>0</v>
      </c>
      <c r="AK125" s="61" t="str">
        <f t="shared" si="60"/>
        <v>NA</v>
      </c>
      <c r="AL125" s="62" t="str">
        <f>IFERROR(AK125/AK148, "NA")</f>
        <v>NA</v>
      </c>
    </row>
    <row r="126" ht="16.5" hidden="1" customHeight="1">
      <c r="A126" s="26" t="s">
        <v>239</v>
      </c>
      <c r="B126" s="28">
        <v>0.0</v>
      </c>
      <c r="C126" s="15">
        <f>IFERROR(B126/B148, "NA")</f>
        <v>0</v>
      </c>
      <c r="D126" s="28">
        <v>0.0</v>
      </c>
      <c r="E126" s="15">
        <f>IFERROR(D126/D148, "NA")</f>
        <v>0</v>
      </c>
      <c r="F126" s="28">
        <v>0.0</v>
      </c>
      <c r="G126" s="15">
        <f>IFERROR(F126/F148, "NA")</f>
        <v>0</v>
      </c>
      <c r="H126" s="28">
        <v>0.0</v>
      </c>
      <c r="I126" s="15">
        <f>IFERROR(H126/H148, "NA")</f>
        <v>0</v>
      </c>
      <c r="J126" s="28">
        <v>0.0</v>
      </c>
      <c r="K126" s="15">
        <f>IFERROR(J126/J148, "NA")</f>
        <v>0</v>
      </c>
      <c r="L126" s="28">
        <v>0.0</v>
      </c>
      <c r="M126" s="15">
        <f>IFERROR(L126/L148, "NA")</f>
        <v>0</v>
      </c>
      <c r="N126" s="28">
        <v>0.0</v>
      </c>
      <c r="O126" s="15">
        <f>IFERROR(N126/N148, "NA")</f>
        <v>0</v>
      </c>
      <c r="P126" s="28">
        <v>0.0</v>
      </c>
      <c r="Q126" s="15">
        <f>IFERROR(P126/P148, "NA")</f>
        <v>0</v>
      </c>
      <c r="R126" s="28">
        <v>0.0</v>
      </c>
      <c r="S126" s="15">
        <f>IFERROR(R126/R148, "NA")</f>
        <v>0</v>
      </c>
      <c r="T126" s="28">
        <v>0.0</v>
      </c>
      <c r="U126" s="15">
        <f>IFERROR(T126/T148, "NA")</f>
        <v>0</v>
      </c>
      <c r="V126" s="28">
        <v>0.0</v>
      </c>
      <c r="W126" s="15">
        <f>IFERROR(V126/V148, "NA")</f>
        <v>0</v>
      </c>
      <c r="X126" s="28">
        <v>0.0</v>
      </c>
      <c r="Y126" s="15">
        <f>IFERROR(X126/X148, "NA")</f>
        <v>0</v>
      </c>
      <c r="Z126" s="28">
        <v>0.0</v>
      </c>
      <c r="AA126" s="15">
        <f>IFERROR(Z126/Z148, "NA")</f>
        <v>0</v>
      </c>
      <c r="AB126" s="57">
        <f t="shared" si="55"/>
        <v>0</v>
      </c>
      <c r="AC126" s="15">
        <f>IFERROR(AB126/AB148, "NA")</f>
        <v>0</v>
      </c>
      <c r="AD126" s="61">
        <f t="shared" si="56"/>
        <v>0</v>
      </c>
      <c r="AE126" s="62">
        <f>IFERROR(AD126/AD148, "NA")</f>
        <v>0</v>
      </c>
      <c r="AF126" s="61" t="str">
        <f t="shared" si="57"/>
        <v>NA</v>
      </c>
      <c r="AG126" s="57">
        <f t="shared" si="58"/>
        <v>0</v>
      </c>
      <c r="AH126" s="15">
        <f>IFERROR(AG126/AG148, "NA")</f>
        <v>0</v>
      </c>
      <c r="AI126" s="61">
        <f t="shared" si="59"/>
        <v>0</v>
      </c>
      <c r="AJ126" s="62">
        <f>IFERROR(AI126/AI148, "NA")</f>
        <v>0</v>
      </c>
      <c r="AK126" s="61" t="str">
        <f t="shared" si="60"/>
        <v>NA</v>
      </c>
      <c r="AL126" s="62" t="str">
        <f>IFERROR(AK126/AK148, "NA")</f>
        <v>NA</v>
      </c>
    </row>
    <row r="127" ht="16.5" hidden="1" customHeight="1">
      <c r="A127" s="26" t="s">
        <v>240</v>
      </c>
      <c r="B127" s="28">
        <v>0.0</v>
      </c>
      <c r="C127" s="15">
        <f>IFERROR(B127/B148, "NA")</f>
        <v>0</v>
      </c>
      <c r="D127" s="28">
        <v>0.0</v>
      </c>
      <c r="E127" s="15">
        <f>IFERROR(D127/D148, "NA")</f>
        <v>0</v>
      </c>
      <c r="F127" s="28">
        <v>0.0</v>
      </c>
      <c r="G127" s="15">
        <f>IFERROR(F127/F148, "NA")</f>
        <v>0</v>
      </c>
      <c r="H127" s="28">
        <v>0.0</v>
      </c>
      <c r="I127" s="15">
        <f>IFERROR(H127/H148, "NA")</f>
        <v>0</v>
      </c>
      <c r="J127" s="28">
        <v>0.0</v>
      </c>
      <c r="K127" s="15">
        <f>IFERROR(J127/J148, "NA")</f>
        <v>0</v>
      </c>
      <c r="L127" s="28">
        <v>0.0</v>
      </c>
      <c r="M127" s="15">
        <f>IFERROR(L127/L148, "NA")</f>
        <v>0</v>
      </c>
      <c r="N127" s="28">
        <v>0.0</v>
      </c>
      <c r="O127" s="15">
        <f>IFERROR(N127/N148, "NA")</f>
        <v>0</v>
      </c>
      <c r="P127" s="28">
        <v>0.0</v>
      </c>
      <c r="Q127" s="15">
        <f>IFERROR(P127/P148, "NA")</f>
        <v>0</v>
      </c>
      <c r="R127" s="28">
        <v>0.0</v>
      </c>
      <c r="S127" s="15">
        <f>IFERROR(R127/R148, "NA")</f>
        <v>0</v>
      </c>
      <c r="T127" s="28">
        <v>0.0</v>
      </c>
      <c r="U127" s="15">
        <f>IFERROR(T127/T148, "NA")</f>
        <v>0</v>
      </c>
      <c r="V127" s="28">
        <v>0.0</v>
      </c>
      <c r="W127" s="15">
        <f>IFERROR(V127/V148, "NA")</f>
        <v>0</v>
      </c>
      <c r="X127" s="28">
        <v>0.0</v>
      </c>
      <c r="Y127" s="15">
        <f>IFERROR(X127/X148, "NA")</f>
        <v>0</v>
      </c>
      <c r="Z127" s="28">
        <v>0.0</v>
      </c>
      <c r="AA127" s="15">
        <f>IFERROR(Z127/Z148, "NA")</f>
        <v>0</v>
      </c>
      <c r="AB127" s="57">
        <f t="shared" si="55"/>
        <v>0</v>
      </c>
      <c r="AC127" s="15">
        <f>IFERROR(AB127/AB148, "NA")</f>
        <v>0</v>
      </c>
      <c r="AD127" s="61">
        <f t="shared" si="56"/>
        <v>0</v>
      </c>
      <c r="AE127" s="62">
        <f>IFERROR(AD127/AD148, "NA")</f>
        <v>0</v>
      </c>
      <c r="AF127" s="61" t="str">
        <f t="shared" si="57"/>
        <v>NA</v>
      </c>
      <c r="AG127" s="57">
        <f t="shared" si="58"/>
        <v>0</v>
      </c>
      <c r="AH127" s="15">
        <f>IFERROR(AG127/AG148, "NA")</f>
        <v>0</v>
      </c>
      <c r="AI127" s="61">
        <f t="shared" si="59"/>
        <v>0</v>
      </c>
      <c r="AJ127" s="62">
        <f>IFERROR(AI127/AI148, "NA")</f>
        <v>0</v>
      </c>
      <c r="AK127" s="61" t="str">
        <f t="shared" si="60"/>
        <v>NA</v>
      </c>
      <c r="AL127" s="62" t="str">
        <f>IFERROR(AK127/AK148, "NA")</f>
        <v>NA</v>
      </c>
    </row>
    <row r="128" ht="16.5" hidden="1" customHeight="1">
      <c r="A128" s="26" t="s">
        <v>241</v>
      </c>
      <c r="B128" s="28">
        <v>348.89</v>
      </c>
      <c r="C128" s="15">
        <f>IFERROR(B128/B148, "NA")</f>
        <v>0.03047196656</v>
      </c>
      <c r="D128" s="28">
        <v>599.76</v>
      </c>
      <c r="E128" s="15">
        <f>IFERROR(D128/D148, "NA")</f>
        <v>0.0334908218</v>
      </c>
      <c r="F128" s="28">
        <v>647.31</v>
      </c>
      <c r="G128" s="15">
        <f>IFERROR(F128/F148, "NA")</f>
        <v>0.02802934614</v>
      </c>
      <c r="H128" s="28">
        <v>-1595.96</v>
      </c>
      <c r="I128" s="15">
        <f>IFERROR(H128/H148, "NA")</f>
        <v>-0.06173807083</v>
      </c>
      <c r="J128" s="28">
        <v>1138.21</v>
      </c>
      <c r="K128" s="15">
        <f>IFERROR(J128/J148, "NA")</f>
        <v>0.04736873208</v>
      </c>
      <c r="L128" s="28">
        <v>256.67</v>
      </c>
      <c r="M128" s="15">
        <f>IFERROR(L128/L148, "NA")</f>
        <v>0.009504184255</v>
      </c>
      <c r="N128" s="28">
        <v>360.63</v>
      </c>
      <c r="O128" s="15">
        <f>IFERROR(N128/N148, "NA")</f>
        <v>0.01200572472</v>
      </c>
      <c r="P128" s="28">
        <v>457.26</v>
      </c>
      <c r="Q128" s="15">
        <f>IFERROR(P128/P148, "NA")</f>
        <v>0.01730695643</v>
      </c>
      <c r="R128" s="28">
        <v>-2212.77</v>
      </c>
      <c r="S128" s="15">
        <f>IFERROR(R128/R148, "NA")</f>
        <v>-0.06758724793</v>
      </c>
      <c r="T128" s="28">
        <v>402.72</v>
      </c>
      <c r="U128" s="15">
        <f>IFERROR(T128/T148, "NA")</f>
        <v>0.01646196176</v>
      </c>
      <c r="V128" s="28">
        <v>442.35</v>
      </c>
      <c r="W128" s="15">
        <f>IFERROR(V128/V148, "NA")</f>
        <v>0.01731377564</v>
      </c>
      <c r="X128" s="28">
        <v>546.98</v>
      </c>
      <c r="Y128" s="15">
        <f>IFERROR(X128/X148, "NA")</f>
        <v>0.01859469926</v>
      </c>
      <c r="Z128" s="28">
        <v>1392.05</v>
      </c>
      <c r="AA128" s="15">
        <f>IFERROR(Z128/Z148, "NA")</f>
        <v>0.01752580305</v>
      </c>
      <c r="AB128" s="57">
        <f t="shared" si="55"/>
        <v>-205.18</v>
      </c>
      <c r="AC128" s="15">
        <f>IFERROR(AB128/AB148, "NA")</f>
        <v>-0.007316877906</v>
      </c>
      <c r="AD128" s="61">
        <f t="shared" si="56"/>
        <v>752.16</v>
      </c>
      <c r="AE128" s="62">
        <f>IFERROR(AD128/AD148, "NA")</f>
        <v>0.5474654177</v>
      </c>
      <c r="AF128" s="61">
        <f t="shared" si="57"/>
        <v>-3.665854372</v>
      </c>
      <c r="AG128" s="57">
        <f t="shared" si="58"/>
        <v>174.00625</v>
      </c>
      <c r="AH128" s="15">
        <f>IFERROR(AG128/AG148, "NA")</f>
        <v>0.00633724957</v>
      </c>
      <c r="AI128" s="61">
        <f t="shared" si="59"/>
        <v>372.97375</v>
      </c>
      <c r="AJ128" s="62">
        <f>IFERROR(AI128/AI148, "NA")</f>
        <v>0.1904659467</v>
      </c>
      <c r="AK128" s="61">
        <f t="shared" si="60"/>
        <v>2.143450307</v>
      </c>
      <c r="AL128" s="62">
        <f>IFERROR(AK128/AK148, "NA")</f>
        <v>30.05498594</v>
      </c>
    </row>
    <row r="129" ht="16.5" hidden="1" customHeight="1">
      <c r="A129" s="26" t="s">
        <v>242</v>
      </c>
      <c r="B129" s="28">
        <v>0.0</v>
      </c>
      <c r="C129" s="15">
        <f>IFERROR(B129/B148, "NA")</f>
        <v>0</v>
      </c>
      <c r="D129" s="28">
        <v>0.0</v>
      </c>
      <c r="E129" s="15">
        <f>IFERROR(D129/D148, "NA")</f>
        <v>0</v>
      </c>
      <c r="F129" s="28">
        <v>0.0</v>
      </c>
      <c r="G129" s="15">
        <f>IFERROR(F129/F148, "NA")</f>
        <v>0</v>
      </c>
      <c r="H129" s="28">
        <v>0.0</v>
      </c>
      <c r="I129" s="15">
        <f>IFERROR(H129/H148, "NA")</f>
        <v>0</v>
      </c>
      <c r="J129" s="28">
        <v>0.0</v>
      </c>
      <c r="K129" s="15">
        <f>IFERROR(J129/J148, "NA")</f>
        <v>0</v>
      </c>
      <c r="L129" s="28">
        <v>0.0</v>
      </c>
      <c r="M129" s="15">
        <f>IFERROR(L129/L148, "NA")</f>
        <v>0</v>
      </c>
      <c r="N129" s="28">
        <v>0.0</v>
      </c>
      <c r="O129" s="15">
        <f>IFERROR(N129/N148, "NA")</f>
        <v>0</v>
      </c>
      <c r="P129" s="28">
        <v>0.0</v>
      </c>
      <c r="Q129" s="15">
        <f>IFERROR(P129/P148, "NA")</f>
        <v>0</v>
      </c>
      <c r="R129" s="28">
        <v>0.0</v>
      </c>
      <c r="S129" s="15">
        <f>IFERROR(R129/R148, "NA")</f>
        <v>0</v>
      </c>
      <c r="T129" s="28">
        <v>0.0</v>
      </c>
      <c r="U129" s="15">
        <f>IFERROR(T129/T148, "NA")</f>
        <v>0</v>
      </c>
      <c r="V129" s="28">
        <v>0.0</v>
      </c>
      <c r="W129" s="15">
        <f>IFERROR(V129/V148, "NA")</f>
        <v>0</v>
      </c>
      <c r="X129" s="28">
        <v>0.0</v>
      </c>
      <c r="Y129" s="15">
        <f>IFERROR(X129/X148, "NA")</f>
        <v>0</v>
      </c>
      <c r="Z129" s="28">
        <v>0.0</v>
      </c>
      <c r="AA129" s="15">
        <f>IFERROR(Z129/Z148, "NA")</f>
        <v>0</v>
      </c>
      <c r="AB129" s="57">
        <f t="shared" si="55"/>
        <v>0</v>
      </c>
      <c r="AC129" s="15">
        <f>IFERROR(AB129/AB148, "NA")</f>
        <v>0</v>
      </c>
      <c r="AD129" s="61">
        <f t="shared" si="56"/>
        <v>0</v>
      </c>
      <c r="AE129" s="62">
        <f>IFERROR(AD129/AD148, "NA")</f>
        <v>0</v>
      </c>
      <c r="AF129" s="61" t="str">
        <f t="shared" si="57"/>
        <v>NA</v>
      </c>
      <c r="AG129" s="57">
        <f t="shared" si="58"/>
        <v>0</v>
      </c>
      <c r="AH129" s="15">
        <f>IFERROR(AG129/AG148, "NA")</f>
        <v>0</v>
      </c>
      <c r="AI129" s="61">
        <f t="shared" si="59"/>
        <v>0</v>
      </c>
      <c r="AJ129" s="62">
        <f>IFERROR(AI129/AI148, "NA")</f>
        <v>0</v>
      </c>
      <c r="AK129" s="61" t="str">
        <f t="shared" si="60"/>
        <v>NA</v>
      </c>
      <c r="AL129" s="62" t="str">
        <f>IFERROR(AK129/AK148, "NA")</f>
        <v>NA</v>
      </c>
    </row>
    <row r="130" ht="16.5" hidden="1" customHeight="1">
      <c r="A130" s="26" t="s">
        <v>243</v>
      </c>
      <c r="B130" s="28">
        <v>0.0</v>
      </c>
      <c r="C130" s="15">
        <f>IFERROR(B130/B148, "NA")</f>
        <v>0</v>
      </c>
      <c r="D130" s="28">
        <v>0.0</v>
      </c>
      <c r="E130" s="15">
        <f>IFERROR(D130/D148, "NA")</f>
        <v>0</v>
      </c>
      <c r="F130" s="28">
        <v>0.0</v>
      </c>
      <c r="G130" s="15">
        <f>IFERROR(F130/F148, "NA")</f>
        <v>0</v>
      </c>
      <c r="H130" s="28">
        <v>0.0</v>
      </c>
      <c r="I130" s="15">
        <f>IFERROR(H130/H148, "NA")</f>
        <v>0</v>
      </c>
      <c r="J130" s="28">
        <v>0.0</v>
      </c>
      <c r="K130" s="15">
        <f>IFERROR(J130/J148, "NA")</f>
        <v>0</v>
      </c>
      <c r="L130" s="28">
        <v>0.0</v>
      </c>
      <c r="M130" s="15">
        <f>IFERROR(L130/L148, "NA")</f>
        <v>0</v>
      </c>
      <c r="N130" s="28">
        <v>0.0</v>
      </c>
      <c r="O130" s="15">
        <f>IFERROR(N130/N148, "NA")</f>
        <v>0</v>
      </c>
      <c r="P130" s="28">
        <v>0.0</v>
      </c>
      <c r="Q130" s="15">
        <f>IFERROR(P130/P148, "NA")</f>
        <v>0</v>
      </c>
      <c r="R130" s="28">
        <v>0.0</v>
      </c>
      <c r="S130" s="15">
        <f>IFERROR(R130/R148, "NA")</f>
        <v>0</v>
      </c>
      <c r="T130" s="28">
        <v>0.0</v>
      </c>
      <c r="U130" s="15">
        <f>IFERROR(T130/T148, "NA")</f>
        <v>0</v>
      </c>
      <c r="V130" s="28">
        <v>0.0</v>
      </c>
      <c r="W130" s="15">
        <f>IFERROR(V130/V148, "NA")</f>
        <v>0</v>
      </c>
      <c r="X130" s="28">
        <v>0.0</v>
      </c>
      <c r="Y130" s="15">
        <f>IFERROR(X130/X148, "NA")</f>
        <v>0</v>
      </c>
      <c r="Z130" s="28">
        <v>0.0</v>
      </c>
      <c r="AA130" s="15">
        <f>IFERROR(Z130/Z148, "NA")</f>
        <v>0</v>
      </c>
      <c r="AB130" s="57">
        <f t="shared" si="55"/>
        <v>0</v>
      </c>
      <c r="AC130" s="15">
        <f>IFERROR(AB130/AB148, "NA")</f>
        <v>0</v>
      </c>
      <c r="AD130" s="61">
        <f t="shared" si="56"/>
        <v>0</v>
      </c>
      <c r="AE130" s="62">
        <f>IFERROR(AD130/AD148, "NA")</f>
        <v>0</v>
      </c>
      <c r="AF130" s="61" t="str">
        <f t="shared" si="57"/>
        <v>NA</v>
      </c>
      <c r="AG130" s="57">
        <f t="shared" si="58"/>
        <v>0</v>
      </c>
      <c r="AH130" s="15">
        <f>IFERROR(AG130/AG148, "NA")</f>
        <v>0</v>
      </c>
      <c r="AI130" s="61">
        <f t="shared" si="59"/>
        <v>0</v>
      </c>
      <c r="AJ130" s="62">
        <f>IFERROR(AI130/AI148, "NA")</f>
        <v>0</v>
      </c>
      <c r="AK130" s="61" t="str">
        <f t="shared" si="60"/>
        <v>NA</v>
      </c>
      <c r="AL130" s="62" t="str">
        <f>IFERROR(AK130/AK148, "NA")</f>
        <v>NA</v>
      </c>
    </row>
    <row r="131" ht="16.5" hidden="1" customHeight="1">
      <c r="A131" s="26" t="s">
        <v>244</v>
      </c>
      <c r="B131" s="28">
        <v>0.0</v>
      </c>
      <c r="C131" s="15">
        <f>IFERROR(B131/B148, "NA")</f>
        <v>0</v>
      </c>
      <c r="D131" s="28">
        <v>0.0</v>
      </c>
      <c r="E131" s="15">
        <f>IFERROR(D131/D148, "NA")</f>
        <v>0</v>
      </c>
      <c r="F131" s="28">
        <v>0.0</v>
      </c>
      <c r="G131" s="15">
        <f>IFERROR(F131/F148, "NA")</f>
        <v>0</v>
      </c>
      <c r="H131" s="28">
        <v>0.0</v>
      </c>
      <c r="I131" s="15">
        <f>IFERROR(H131/H148, "NA")</f>
        <v>0</v>
      </c>
      <c r="J131" s="28">
        <v>0.0</v>
      </c>
      <c r="K131" s="15">
        <f>IFERROR(J131/J148, "NA")</f>
        <v>0</v>
      </c>
      <c r="L131" s="28">
        <v>0.0</v>
      </c>
      <c r="M131" s="15">
        <f>IFERROR(L131/L148, "NA")</f>
        <v>0</v>
      </c>
      <c r="N131" s="28">
        <v>0.0</v>
      </c>
      <c r="O131" s="15">
        <f>IFERROR(N131/N148, "NA")</f>
        <v>0</v>
      </c>
      <c r="P131" s="28">
        <v>0.0</v>
      </c>
      <c r="Q131" s="15">
        <f>IFERROR(P131/P148, "NA")</f>
        <v>0</v>
      </c>
      <c r="R131" s="28">
        <v>0.0</v>
      </c>
      <c r="S131" s="15">
        <f>IFERROR(R131/R148, "NA")</f>
        <v>0</v>
      </c>
      <c r="T131" s="28">
        <v>0.0</v>
      </c>
      <c r="U131" s="15">
        <f>IFERROR(T131/T148, "NA")</f>
        <v>0</v>
      </c>
      <c r="V131" s="28">
        <v>0.0</v>
      </c>
      <c r="W131" s="15">
        <f>IFERROR(V131/V148, "NA")</f>
        <v>0</v>
      </c>
      <c r="X131" s="28">
        <v>0.0</v>
      </c>
      <c r="Y131" s="15">
        <f>IFERROR(X131/X148, "NA")</f>
        <v>0</v>
      </c>
      <c r="Z131" s="28">
        <v>0.0</v>
      </c>
      <c r="AA131" s="15">
        <f>IFERROR(Z131/Z148, "NA")</f>
        <v>0</v>
      </c>
      <c r="AB131" s="57">
        <f t="shared" si="55"/>
        <v>0</v>
      </c>
      <c r="AC131" s="15">
        <f>IFERROR(AB131/AB148, "NA")</f>
        <v>0</v>
      </c>
      <c r="AD131" s="61">
        <f t="shared" si="56"/>
        <v>0</v>
      </c>
      <c r="AE131" s="62">
        <f>IFERROR(AD131/AD148, "NA")</f>
        <v>0</v>
      </c>
      <c r="AF131" s="61" t="str">
        <f t="shared" si="57"/>
        <v>NA</v>
      </c>
      <c r="AG131" s="57">
        <f t="shared" si="58"/>
        <v>0</v>
      </c>
      <c r="AH131" s="15">
        <f>IFERROR(AG131/AG148, "NA")</f>
        <v>0</v>
      </c>
      <c r="AI131" s="61">
        <f t="shared" si="59"/>
        <v>0</v>
      </c>
      <c r="AJ131" s="62">
        <f>IFERROR(AI131/AI148, "NA")</f>
        <v>0</v>
      </c>
      <c r="AK131" s="61" t="str">
        <f t="shared" si="60"/>
        <v>NA</v>
      </c>
      <c r="AL131" s="62" t="str">
        <f>IFERROR(AK131/AK148, "NA")</f>
        <v>NA</v>
      </c>
    </row>
    <row r="132" ht="16.5" hidden="1" customHeight="1">
      <c r="A132" s="26" t="s">
        <v>245</v>
      </c>
      <c r="B132" s="28">
        <v>0.0</v>
      </c>
      <c r="C132" s="15">
        <f>IFERROR(B132/B148, "NA")</f>
        <v>0</v>
      </c>
      <c r="D132" s="28">
        <v>0.0</v>
      </c>
      <c r="E132" s="15">
        <f>IFERROR(D132/D148, "NA")</f>
        <v>0</v>
      </c>
      <c r="F132" s="28">
        <v>0.0</v>
      </c>
      <c r="G132" s="15">
        <f>IFERROR(F132/F148, "NA")</f>
        <v>0</v>
      </c>
      <c r="H132" s="28">
        <v>0.0</v>
      </c>
      <c r="I132" s="15">
        <f>IFERROR(H132/H148, "NA")</f>
        <v>0</v>
      </c>
      <c r="J132" s="28">
        <v>0.0</v>
      </c>
      <c r="K132" s="15">
        <f>IFERROR(J132/J148, "NA")</f>
        <v>0</v>
      </c>
      <c r="L132" s="28">
        <v>0.0</v>
      </c>
      <c r="M132" s="15">
        <f>IFERROR(L132/L148, "NA")</f>
        <v>0</v>
      </c>
      <c r="N132" s="28">
        <v>0.0</v>
      </c>
      <c r="O132" s="15">
        <f>IFERROR(N132/N148, "NA")</f>
        <v>0</v>
      </c>
      <c r="P132" s="28">
        <v>0.0</v>
      </c>
      <c r="Q132" s="15">
        <f>IFERROR(P132/P148, "NA")</f>
        <v>0</v>
      </c>
      <c r="R132" s="28">
        <v>0.0</v>
      </c>
      <c r="S132" s="15">
        <f>IFERROR(R132/R148, "NA")</f>
        <v>0</v>
      </c>
      <c r="T132" s="28">
        <v>0.0</v>
      </c>
      <c r="U132" s="15">
        <f>IFERROR(T132/T148, "NA")</f>
        <v>0</v>
      </c>
      <c r="V132" s="28">
        <v>0.0</v>
      </c>
      <c r="W132" s="15">
        <f>IFERROR(V132/V148, "NA")</f>
        <v>0</v>
      </c>
      <c r="X132" s="28">
        <v>0.0</v>
      </c>
      <c r="Y132" s="15">
        <f>IFERROR(X132/X148, "NA")</f>
        <v>0</v>
      </c>
      <c r="Z132" s="28">
        <v>0.0</v>
      </c>
      <c r="AA132" s="15">
        <f>IFERROR(Z132/Z148, "NA")</f>
        <v>0</v>
      </c>
      <c r="AB132" s="57">
        <f t="shared" si="55"/>
        <v>0</v>
      </c>
      <c r="AC132" s="15">
        <f>IFERROR(AB132/AB148, "NA")</f>
        <v>0</v>
      </c>
      <c r="AD132" s="61">
        <f t="shared" si="56"/>
        <v>0</v>
      </c>
      <c r="AE132" s="62">
        <f>IFERROR(AD132/AD148, "NA")</f>
        <v>0</v>
      </c>
      <c r="AF132" s="61" t="str">
        <f t="shared" si="57"/>
        <v>NA</v>
      </c>
      <c r="AG132" s="57">
        <f t="shared" si="58"/>
        <v>0</v>
      </c>
      <c r="AH132" s="15">
        <f>IFERROR(AG132/AG148, "NA")</f>
        <v>0</v>
      </c>
      <c r="AI132" s="61">
        <f t="shared" si="59"/>
        <v>0</v>
      </c>
      <c r="AJ132" s="62">
        <f>IFERROR(AI132/AI148, "NA")</f>
        <v>0</v>
      </c>
      <c r="AK132" s="61" t="str">
        <f t="shared" si="60"/>
        <v>NA</v>
      </c>
      <c r="AL132" s="62" t="str">
        <f>IFERROR(AK132/AK148, "NA")</f>
        <v>NA</v>
      </c>
    </row>
    <row r="133" ht="16.5" hidden="1" customHeight="1">
      <c r="A133" s="26" t="s">
        <v>246</v>
      </c>
      <c r="B133" s="28">
        <v>0.0</v>
      </c>
      <c r="C133" s="15">
        <f>IFERROR(B133/B148, "NA")</f>
        <v>0</v>
      </c>
      <c r="D133" s="28">
        <v>0.0</v>
      </c>
      <c r="E133" s="15">
        <f>IFERROR(D133/D148, "NA")</f>
        <v>0</v>
      </c>
      <c r="F133" s="28">
        <v>0.0</v>
      </c>
      <c r="G133" s="15">
        <f>IFERROR(F133/F148, "NA")</f>
        <v>0</v>
      </c>
      <c r="H133" s="28">
        <v>0.0</v>
      </c>
      <c r="I133" s="15">
        <f>IFERROR(H133/H148, "NA")</f>
        <v>0</v>
      </c>
      <c r="J133" s="28">
        <v>0.0</v>
      </c>
      <c r="K133" s="15">
        <f>IFERROR(J133/J148, "NA")</f>
        <v>0</v>
      </c>
      <c r="L133" s="28">
        <v>0.0</v>
      </c>
      <c r="M133" s="15">
        <f>IFERROR(L133/L148, "NA")</f>
        <v>0</v>
      </c>
      <c r="N133" s="28">
        <v>0.0</v>
      </c>
      <c r="O133" s="15">
        <f>IFERROR(N133/N148, "NA")</f>
        <v>0</v>
      </c>
      <c r="P133" s="28">
        <v>0.0</v>
      </c>
      <c r="Q133" s="15">
        <f>IFERROR(P133/P148, "NA")</f>
        <v>0</v>
      </c>
      <c r="R133" s="28">
        <v>0.0</v>
      </c>
      <c r="S133" s="15">
        <f>IFERROR(R133/R148, "NA")</f>
        <v>0</v>
      </c>
      <c r="T133" s="28">
        <v>0.0</v>
      </c>
      <c r="U133" s="15">
        <f>IFERROR(T133/T148, "NA")</f>
        <v>0</v>
      </c>
      <c r="V133" s="28">
        <v>0.0</v>
      </c>
      <c r="W133" s="15">
        <f>IFERROR(V133/V148, "NA")</f>
        <v>0</v>
      </c>
      <c r="X133" s="28">
        <v>0.0</v>
      </c>
      <c r="Y133" s="15">
        <f>IFERROR(X133/X148, "NA")</f>
        <v>0</v>
      </c>
      <c r="Z133" s="28">
        <v>0.0</v>
      </c>
      <c r="AA133" s="15">
        <f>IFERROR(Z133/Z148, "NA")</f>
        <v>0</v>
      </c>
      <c r="AB133" s="57">
        <f t="shared" si="55"/>
        <v>0</v>
      </c>
      <c r="AC133" s="15">
        <f>IFERROR(AB133/AB148, "NA")</f>
        <v>0</v>
      </c>
      <c r="AD133" s="61">
        <f t="shared" si="56"/>
        <v>0</v>
      </c>
      <c r="AE133" s="62">
        <f>IFERROR(AD133/AD148, "NA")</f>
        <v>0</v>
      </c>
      <c r="AF133" s="61" t="str">
        <f t="shared" si="57"/>
        <v>NA</v>
      </c>
      <c r="AG133" s="57">
        <f t="shared" si="58"/>
        <v>0</v>
      </c>
      <c r="AH133" s="15">
        <f>IFERROR(AG133/AG148, "NA")</f>
        <v>0</v>
      </c>
      <c r="AI133" s="61">
        <f t="shared" si="59"/>
        <v>0</v>
      </c>
      <c r="AJ133" s="62">
        <f>IFERROR(AI133/AI148, "NA")</f>
        <v>0</v>
      </c>
      <c r="AK133" s="61" t="str">
        <f t="shared" si="60"/>
        <v>NA</v>
      </c>
      <c r="AL133" s="62" t="str">
        <f>IFERROR(AK133/AK148, "NA")</f>
        <v>NA</v>
      </c>
    </row>
    <row r="134" ht="16.5" hidden="1" customHeight="1">
      <c r="A134" s="26" t="s">
        <v>247</v>
      </c>
      <c r="B134" s="28">
        <v>0.0</v>
      </c>
      <c r="C134" s="15">
        <f>IFERROR(B134/B148, "NA")</f>
        <v>0</v>
      </c>
      <c r="D134" s="28">
        <v>0.0</v>
      </c>
      <c r="E134" s="15">
        <f>IFERROR(D134/D148, "NA")</f>
        <v>0</v>
      </c>
      <c r="F134" s="28">
        <v>0.0</v>
      </c>
      <c r="G134" s="15">
        <f>IFERROR(F134/F148, "NA")</f>
        <v>0</v>
      </c>
      <c r="H134" s="28">
        <v>0.0</v>
      </c>
      <c r="I134" s="15">
        <f>IFERROR(H134/H148, "NA")</f>
        <v>0</v>
      </c>
      <c r="J134" s="28">
        <v>0.0</v>
      </c>
      <c r="K134" s="15">
        <f>IFERROR(J134/J148, "NA")</f>
        <v>0</v>
      </c>
      <c r="L134" s="28">
        <v>0.0</v>
      </c>
      <c r="M134" s="15">
        <f>IFERROR(L134/L148, "NA")</f>
        <v>0</v>
      </c>
      <c r="N134" s="28">
        <v>0.0</v>
      </c>
      <c r="O134" s="15">
        <f>IFERROR(N134/N148, "NA")</f>
        <v>0</v>
      </c>
      <c r="P134" s="28">
        <v>0.0</v>
      </c>
      <c r="Q134" s="15">
        <f>IFERROR(P134/P148, "NA")</f>
        <v>0</v>
      </c>
      <c r="R134" s="28">
        <v>0.0</v>
      </c>
      <c r="S134" s="15">
        <f>IFERROR(R134/R148, "NA")</f>
        <v>0</v>
      </c>
      <c r="T134" s="28">
        <v>0.0</v>
      </c>
      <c r="U134" s="15">
        <f>IFERROR(T134/T148, "NA")</f>
        <v>0</v>
      </c>
      <c r="V134" s="28">
        <v>0.0</v>
      </c>
      <c r="W134" s="15">
        <f>IFERROR(V134/V148, "NA")</f>
        <v>0</v>
      </c>
      <c r="X134" s="28">
        <v>0.0</v>
      </c>
      <c r="Y134" s="15">
        <f>IFERROR(X134/X148, "NA")</f>
        <v>0</v>
      </c>
      <c r="Z134" s="28">
        <v>0.0</v>
      </c>
      <c r="AA134" s="15">
        <f>IFERROR(Z134/Z148, "NA")</f>
        <v>0</v>
      </c>
      <c r="AB134" s="57">
        <f t="shared" si="55"/>
        <v>0</v>
      </c>
      <c r="AC134" s="15">
        <f>IFERROR(AB134/AB148, "NA")</f>
        <v>0</v>
      </c>
      <c r="AD134" s="61">
        <f t="shared" si="56"/>
        <v>0</v>
      </c>
      <c r="AE134" s="62">
        <f>IFERROR(AD134/AD148, "NA")</f>
        <v>0</v>
      </c>
      <c r="AF134" s="61" t="str">
        <f t="shared" si="57"/>
        <v>NA</v>
      </c>
      <c r="AG134" s="57">
        <f t="shared" si="58"/>
        <v>0</v>
      </c>
      <c r="AH134" s="15">
        <f>IFERROR(AG134/AG148, "NA")</f>
        <v>0</v>
      </c>
      <c r="AI134" s="61">
        <f t="shared" si="59"/>
        <v>0</v>
      </c>
      <c r="AJ134" s="62">
        <f>IFERROR(AI134/AI148, "NA")</f>
        <v>0</v>
      </c>
      <c r="AK134" s="61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248</v>
      </c>
      <c r="B135" s="70">
        <f>IFERROR(B110+B111+B112+B113+B114+B115+B116+B117+B118+B119+B120+B121+B122+B123+B124+B125+B126+B127+B128+B129+B130+B131+B132+B133+B134, "NA")</f>
        <v>348.89</v>
      </c>
      <c r="C135" s="71">
        <f>IFERROR(B135/B148, "NA")</f>
        <v>0.03047196656</v>
      </c>
      <c r="D135" s="70">
        <f>IFERROR(D110+D111+D112+D113+D114+D115+D116+D117+D118+D119+D120+D121+D122+D123+D124+D125+D126+D127+D128+D129+D130+D131+D132+D133+D134, "NA")</f>
        <v>599.76</v>
      </c>
      <c r="E135" s="71">
        <f>IFERROR(D135/D148, "NA")</f>
        <v>0.0334908218</v>
      </c>
      <c r="F135" s="70">
        <f>IFERROR(F110+F111+F112+F113+F114+F115+F116+F117+F118+F119+F120+F121+F122+F123+F124+F125+F126+F127+F128+F129+F130+F131+F132+F133+F134, "NA")</f>
        <v>647.31</v>
      </c>
      <c r="G135" s="71">
        <f>IFERROR(F135/F148, "NA")</f>
        <v>0.02802934614</v>
      </c>
      <c r="H135" s="70">
        <f>IFERROR(H110+H111+H112+H113+H114+H115+H116+H117+H118+H119+H120+H121+H122+H123+H124+H125+H126+H127+H128+H129+H130+H131+H132+H133+H134, "NA")</f>
        <v>-1595.96</v>
      </c>
      <c r="I135" s="71">
        <f>IFERROR(H135/H148, "NA")</f>
        <v>-0.06173807083</v>
      </c>
      <c r="J135" s="70">
        <f>IFERROR(J110+J111+J112+J113+J114+J115+J116+J117+J118+J119+J120+J121+J122+J123+J124+J125+J126+J127+J128+J129+J130+J131+J132+J133+J134, "NA")</f>
        <v>1138.21</v>
      </c>
      <c r="K135" s="71">
        <f>IFERROR(J135/J148, "NA")</f>
        <v>0.04736873208</v>
      </c>
      <c r="L135" s="70">
        <f>IFERROR(L110+L111+L112+L113+L114+L115+L116+L117+L118+L119+L120+L121+L122+L123+L124+L125+L126+L127+L128+L129+L130+L131+L132+L133+L134, "NA")</f>
        <v>256.67</v>
      </c>
      <c r="M135" s="71">
        <f>IFERROR(L135/L148, "NA")</f>
        <v>0.009504184255</v>
      </c>
      <c r="N135" s="70">
        <f>IFERROR(N110+N111+N112+N113+N114+N115+N116+N117+N118+N119+N120+N121+N122+N123+N124+N125+N126+N127+N128+N129+N130+N131+N132+N133+N134, "NA")</f>
        <v>360.63</v>
      </c>
      <c r="O135" s="71">
        <f>IFERROR(N135/N148, "NA")</f>
        <v>0.01200572472</v>
      </c>
      <c r="P135" s="70">
        <f>IFERROR(P110+P111+P112+P113+P114+P115+P116+P117+P118+P119+P120+P121+P122+P123+P124+P125+P126+P127+P128+P129+P130+P131+P132+P133+P134, "NA")</f>
        <v>457.26</v>
      </c>
      <c r="Q135" s="71">
        <f>IFERROR(P135/P148, "NA")</f>
        <v>0.01730695643</v>
      </c>
      <c r="R135" s="70">
        <f>IFERROR(R110+R111+R112+R113+R114+R115+R116+R117+R118+R119+R120+R121+R122+R123+R124+R125+R126+R127+R128+R129+R130+R131+R132+R133+R134, "NA")</f>
        <v>-2212.77</v>
      </c>
      <c r="S135" s="71">
        <f>IFERROR(R135/R148, "NA")</f>
        <v>-0.06758724793</v>
      </c>
      <c r="T135" s="70">
        <f>IFERROR(T110+T111+T112+T113+T114+T115+T116+T117+T118+T119+T120+T121+T122+T123+T124+T125+T126+T127+T128+T129+T130+T131+T132+T133+T134, "NA")</f>
        <v>402.72</v>
      </c>
      <c r="U135" s="71">
        <f>IFERROR(T135/T148, "NA")</f>
        <v>0.01646196176</v>
      </c>
      <c r="V135" s="70">
        <f>IFERROR(V110+V111+V112+V113+V114+V115+V116+V117+V118+V119+V120+V121+V122+V123+V124+V125+V126+V127+V128+V129+V130+V131+V132+V133+V134, "NA")</f>
        <v>442.35</v>
      </c>
      <c r="W135" s="71">
        <f>IFERROR(V135/V148, "NA")</f>
        <v>0.01731377564</v>
      </c>
      <c r="X135" s="70">
        <f>IFERROR(X110+X111+X112+X113+X114+X115+X116+X117+X118+X119+X120+X121+X122+X123+X124+X125+X126+X127+X128+X129+X130+X131+X132+X133+X134, "NA")</f>
        <v>3046.98</v>
      </c>
      <c r="Y135" s="71">
        <f>IFERROR(X135/X148, "NA")</f>
        <v>0.1035827211</v>
      </c>
      <c r="Z135" s="70">
        <f>IFERROR(Z110+Z111+Z112+Z113+Z114+Z115+Z116+Z117+Z118+Z119+Z120+Z121+Z122+Z123+Z124+Z125+Z126+Z127+Z128+Z129+Z130+Z131+Z132+Z133+Z134, "NA")</f>
        <v>3892.05</v>
      </c>
      <c r="AA135" s="71">
        <f>IFERROR(Z135/Z148, "NA")</f>
        <v>0.04900061187</v>
      </c>
      <c r="AB135" s="70">
        <f t="shared" si="55"/>
        <v>419.82</v>
      </c>
      <c r="AC135" s="71">
        <f>IFERROR(AB135/AB148, "NA")</f>
        <v>0.01497110675</v>
      </c>
      <c r="AD135" s="75">
        <f t="shared" si="56"/>
        <v>2627.16</v>
      </c>
      <c r="AE135" s="76">
        <f>IFERROR(AD135/AD148, "NA")</f>
        <v>1.91219853</v>
      </c>
      <c r="AF135" s="75">
        <f t="shared" si="57"/>
        <v>6.257824782</v>
      </c>
      <c r="AG135" s="70">
        <f t="shared" si="58"/>
        <v>486.50625</v>
      </c>
      <c r="AH135" s="71">
        <f>IFERROR(AG135/AG148, "NA")</f>
        <v>0.01771839531</v>
      </c>
      <c r="AI135" s="75">
        <f t="shared" si="59"/>
        <v>2560.47375</v>
      </c>
      <c r="AJ135" s="76">
        <f>IFERROR(AI135/AI148, "NA")</f>
        <v>1.307553298</v>
      </c>
      <c r="AK135" s="75">
        <f t="shared" si="60"/>
        <v>5.262982233</v>
      </c>
      <c r="AL135" s="76">
        <f>IFERROR(AK135/AK148, "NA")</f>
        <v>73.79637236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2"/>
      <c r="AF136" s="125"/>
      <c r="AG136" s="124"/>
      <c r="AH136" s="74"/>
      <c r="AI136" s="125"/>
      <c r="AJ136" s="82"/>
      <c r="AK136" s="125"/>
      <c r="AL136" s="82"/>
    </row>
    <row r="137" ht="16.5" hidden="1" customHeight="1">
      <c r="A137" s="121" t="s">
        <v>249</v>
      </c>
      <c r="B137" s="122">
        <f>IFERROR(B107-B135, "NA")</f>
        <v>-1519.75</v>
      </c>
      <c r="C137" s="98">
        <f>IFERROR(B137/B148, "NA")</f>
        <v>-0.1327345902</v>
      </c>
      <c r="D137" s="122">
        <f>IFERROR(D107-D135, "NA")</f>
        <v>3027.83</v>
      </c>
      <c r="E137" s="98">
        <f>IFERROR(D137/D148, "NA")</f>
        <v>0.169075155</v>
      </c>
      <c r="F137" s="122">
        <f>IFERROR(F107-F135, "NA")</f>
        <v>-243.41</v>
      </c>
      <c r="G137" s="98">
        <f>IFERROR(F137/F148, "NA")</f>
        <v>-0.01053996253</v>
      </c>
      <c r="H137" s="122">
        <f>IFERROR(H107-H135, "NA")</f>
        <v>-6532.88</v>
      </c>
      <c r="I137" s="98">
        <f>IFERROR(H137/H148, "NA")</f>
        <v>-0.2527177424</v>
      </c>
      <c r="J137" s="122">
        <f>IFERROR(J107-J135, "NA")</f>
        <v>5898.13</v>
      </c>
      <c r="K137" s="98">
        <f>IFERROR(J137/J148, "NA")</f>
        <v>0.2454616809</v>
      </c>
      <c r="L137" s="122">
        <f>IFERROR(L107-L135, "NA")</f>
        <v>4300.61</v>
      </c>
      <c r="M137" s="98">
        <f>IFERROR(L137/L148, "NA")</f>
        <v>0.1592464637</v>
      </c>
      <c r="N137" s="122">
        <f>IFERROR(N107-N135, "NA")</f>
        <v>6414.91</v>
      </c>
      <c r="O137" s="98">
        <f>IFERROR(N137/N148, "NA")</f>
        <v>0.2135586156</v>
      </c>
      <c r="P137" s="122">
        <f>IFERROR(P107-P135, "NA")</f>
        <v>6396.54</v>
      </c>
      <c r="Q137" s="98">
        <f>IFERROR(P137/P148, "NA")</f>
        <v>0.2421043588</v>
      </c>
      <c r="R137" s="122">
        <f>IFERROR(R107-R135, "NA")</f>
        <v>-5372.99</v>
      </c>
      <c r="S137" s="98">
        <f>IFERROR(R137/R148, "NA")</f>
        <v>-0.1641135804</v>
      </c>
      <c r="T137" s="122">
        <f>IFERROR(T107-T135, "NA")</f>
        <v>3844.74</v>
      </c>
      <c r="U137" s="98">
        <f>IFERROR(T137/T148, "NA")</f>
        <v>0.1571612109</v>
      </c>
      <c r="V137" s="122">
        <f>IFERROR(V107-V135, "NA")</f>
        <v>5766.64</v>
      </c>
      <c r="W137" s="98">
        <f>IFERROR(V137/V148, "NA")</f>
        <v>0.225708853</v>
      </c>
      <c r="X137" s="122">
        <f>IFERROR(X107-X135, "NA")</f>
        <v>1859.1</v>
      </c>
      <c r="Y137" s="98">
        <f>IFERROR(X137/X148, "NA")</f>
        <v>0.06320049252</v>
      </c>
      <c r="Z137" s="122">
        <f>IFERROR(Z107-Z135, "NA")</f>
        <v>11470.48</v>
      </c>
      <c r="AA137" s="98">
        <f>IFERROR(Z137/Z148, "NA")</f>
        <v>0.144412466</v>
      </c>
      <c r="AB137" s="122">
        <f>IFERROR((R137+T137+V137+X137)/4, "NA")</f>
        <v>1524.3725</v>
      </c>
      <c r="AC137" s="98">
        <f>IFERROR(AB137/AB148, "NA")</f>
        <v>0.05436030542</v>
      </c>
      <c r="AD137" s="75">
        <f>IFERROR(X137-AB137, "NA")</f>
        <v>334.7275</v>
      </c>
      <c r="AE137" s="76">
        <f>IFERROR(AD137/AD148, "NA")</f>
        <v>0.2436339749</v>
      </c>
      <c r="AF137" s="75">
        <f>IFERROR((X137-AB137)/AB137, "NA")</f>
        <v>0.219583796</v>
      </c>
      <c r="AG137" s="122">
        <f>IFERROR((J137+L137+N137+P137+R137+T137+V137+X137)/8, "NA")</f>
        <v>3638.46</v>
      </c>
      <c r="AH137" s="98">
        <f>IFERROR(AG137/AG148, "NA")</f>
        <v>0.1325114993</v>
      </c>
      <c r="AI137" s="75">
        <f>IFERROR(X137-AG137, "NA")</f>
        <v>-1779.36</v>
      </c>
      <c r="AJ137" s="76">
        <f>IFERROR(AI137/AI148, "NA")</f>
        <v>-0.9086631082</v>
      </c>
      <c r="AK137" s="75">
        <f>IFERROR((X137-AG137)/AG137, "NA")</f>
        <v>-0.4890420672</v>
      </c>
      <c r="AL137" s="76">
        <f>IFERROR(AK137/AK148, "NA")</f>
        <v>-6.857239659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2"/>
      <c r="AF138" s="125"/>
      <c r="AG138" s="124"/>
      <c r="AH138" s="74"/>
      <c r="AI138" s="125"/>
      <c r="AJ138" s="82"/>
      <c r="AK138" s="125"/>
      <c r="AL138" s="82"/>
    </row>
    <row r="139" ht="16.5" hidden="1" customHeight="1">
      <c r="A139" s="22" t="s">
        <v>250</v>
      </c>
      <c r="B139" s="23"/>
      <c r="C139" s="10"/>
      <c r="D139" s="23"/>
      <c r="E139" s="10"/>
      <c r="F139" s="23"/>
      <c r="G139" s="10"/>
      <c r="H139" s="23"/>
      <c r="I139" s="10"/>
      <c r="J139" s="23"/>
      <c r="K139" s="10"/>
      <c r="L139" s="23"/>
      <c r="M139" s="10"/>
      <c r="N139" s="23"/>
      <c r="O139" s="10"/>
      <c r="P139" s="23"/>
      <c r="Q139" s="10"/>
      <c r="R139" s="23"/>
      <c r="S139" s="10"/>
      <c r="T139" s="23"/>
      <c r="U139" s="10"/>
      <c r="V139" s="23"/>
      <c r="W139" s="10"/>
      <c r="X139" s="23"/>
      <c r="Y139" s="10"/>
      <c r="Z139" s="23"/>
      <c r="AA139" s="10"/>
      <c r="AB139" s="23"/>
      <c r="AC139" s="10"/>
      <c r="AD139" s="24"/>
      <c r="AE139" s="25"/>
      <c r="AF139" s="24"/>
      <c r="AG139" s="23"/>
      <c r="AH139" s="10"/>
      <c r="AI139" s="24"/>
      <c r="AJ139" s="25"/>
      <c r="AK139" s="24"/>
      <c r="AL139" s="25"/>
    </row>
    <row r="140" ht="16.5" hidden="1" customHeight="1">
      <c r="A140" s="26" t="s">
        <v>251</v>
      </c>
      <c r="B140" s="28">
        <v>23.49</v>
      </c>
      <c r="C140" s="15">
        <f>IFERROR(B140/B148, "NA")</f>
        <v>0.002051610807</v>
      </c>
      <c r="D140" s="28">
        <v>0.0</v>
      </c>
      <c r="E140" s="15">
        <f>IFERROR(D140/D148, "NA")</f>
        <v>0</v>
      </c>
      <c r="F140" s="28">
        <v>0.0</v>
      </c>
      <c r="G140" s="15">
        <f>IFERROR(F140/F148, "NA")</f>
        <v>0</v>
      </c>
      <c r="H140" s="28">
        <v>3305.74</v>
      </c>
      <c r="I140" s="15">
        <f>IFERROR(H140/H148, "NA")</f>
        <v>0.1278791513</v>
      </c>
      <c r="J140" s="28">
        <v>0.0</v>
      </c>
      <c r="K140" s="15">
        <f>IFERROR(J140/J148, "NA")</f>
        <v>0</v>
      </c>
      <c r="L140" s="28">
        <v>0.0</v>
      </c>
      <c r="M140" s="15">
        <f>IFERROR(L140/L148, "NA")</f>
        <v>0</v>
      </c>
      <c r="N140" s="28">
        <v>0.0</v>
      </c>
      <c r="O140" s="15">
        <f>IFERROR(N140/N148, "NA")</f>
        <v>0</v>
      </c>
      <c r="P140" s="28">
        <v>-56.52</v>
      </c>
      <c r="Q140" s="15">
        <f>IFERROR(P140/P148, "NA")</f>
        <v>-0.002139240645</v>
      </c>
      <c r="R140" s="28">
        <v>3309.82</v>
      </c>
      <c r="S140" s="15">
        <f>IFERROR(R140/R148, "NA")</f>
        <v>0.101095742</v>
      </c>
      <c r="T140" s="28">
        <v>0.0</v>
      </c>
      <c r="U140" s="15">
        <f>IFERROR(T140/T148, "NA")</f>
        <v>0</v>
      </c>
      <c r="V140" s="28">
        <v>0.0</v>
      </c>
      <c r="W140" s="15">
        <f>IFERROR(V140/V148, "NA")</f>
        <v>0</v>
      </c>
      <c r="X140" s="28">
        <v>0.0</v>
      </c>
      <c r="Y140" s="15">
        <f>IFERROR(X140/X148, "NA")</f>
        <v>0</v>
      </c>
      <c r="Z140" s="28">
        <v>0.0</v>
      </c>
      <c r="AA140" s="15">
        <f>IFERROR(Z140/Z148, "NA")</f>
        <v>0</v>
      </c>
      <c r="AB140" s="57">
        <f t="shared" ref="AB140:AB141" si="61">IFERROR((R140+T140+V140+X140)/4, "NA")</f>
        <v>827.455</v>
      </c>
      <c r="AC140" s="15">
        <f>IFERROR(AB140/AB148, "NA")</f>
        <v>0.02950768695</v>
      </c>
      <c r="AD140" s="61">
        <f t="shared" ref="AD140:AD141" si="62">IFERROR(X140-AB140, "NA")</f>
        <v>-827.455</v>
      </c>
      <c r="AE140" s="62">
        <f>IFERROR(AD140/AD148, "NA")</f>
        <v>-0.6022694602</v>
      </c>
      <c r="AF140" s="61">
        <f t="shared" ref="AF140:AF141" si="63">IFERROR((X140-AB140)/AB140, "NA")</f>
        <v>-1</v>
      </c>
      <c r="AG140" s="57">
        <f t="shared" ref="AG140:AG141" si="64">IFERROR((J140+L140+N140+P140+R140+T140+V140+X140)/8, "NA")</f>
        <v>406.6625</v>
      </c>
      <c r="AH140" s="15">
        <f>IFERROR(AG140/AG148, "NA")</f>
        <v>0.01481051257</v>
      </c>
      <c r="AI140" s="61">
        <f t="shared" ref="AI140:AI141" si="65">IFERROR(X140-AG140, "NA")</f>
        <v>-406.6625</v>
      </c>
      <c r="AJ140" s="62">
        <f>IFERROR(AI140/AI148, "NA")</f>
        <v>-0.2076697303</v>
      </c>
      <c r="AK140" s="61">
        <f t="shared" ref="AK140:AK141" si="66">IFERROR((X140-AG140)/AG140, "NA")</f>
        <v>-1</v>
      </c>
      <c r="AL140" s="62">
        <f>IFERROR(AK140/AK148, "NA")</f>
        <v>-14.02177873</v>
      </c>
    </row>
    <row r="141" ht="16.5" hidden="1" customHeight="1">
      <c r="A141" s="67" t="s">
        <v>252</v>
      </c>
      <c r="B141" s="70">
        <f>IFERROR(B140, "NA")</f>
        <v>23.49</v>
      </c>
      <c r="C141" s="71">
        <f>IFERROR(B141/B148, "NA")</f>
        <v>0.002051610807</v>
      </c>
      <c r="D141" s="70">
        <f>IFERROR(D140, "NA")</f>
        <v>0</v>
      </c>
      <c r="E141" s="71">
        <f>IFERROR(D141/D148, "NA")</f>
        <v>0</v>
      </c>
      <c r="F141" s="70">
        <f>IFERROR(F140, "NA")</f>
        <v>0</v>
      </c>
      <c r="G141" s="71">
        <f>IFERROR(F141/F148, "NA")</f>
        <v>0</v>
      </c>
      <c r="H141" s="70">
        <f>IFERROR(H140, "NA")</f>
        <v>3305.74</v>
      </c>
      <c r="I141" s="71">
        <f>IFERROR(H141/H148, "NA")</f>
        <v>0.1278791513</v>
      </c>
      <c r="J141" s="70">
        <f>IFERROR(J140, "NA")</f>
        <v>0</v>
      </c>
      <c r="K141" s="71">
        <f>IFERROR(J141/J148, "NA")</f>
        <v>0</v>
      </c>
      <c r="L141" s="70">
        <f>IFERROR(L140, "NA")</f>
        <v>0</v>
      </c>
      <c r="M141" s="71">
        <f>IFERROR(L141/L148, "NA")</f>
        <v>0</v>
      </c>
      <c r="N141" s="70">
        <f>IFERROR(N140, "NA")</f>
        <v>0</v>
      </c>
      <c r="O141" s="71">
        <f>IFERROR(N141/N148, "NA")</f>
        <v>0</v>
      </c>
      <c r="P141" s="70">
        <f>IFERROR(P140, "NA")</f>
        <v>-56.52</v>
      </c>
      <c r="Q141" s="71">
        <f>IFERROR(P141/P148, "NA")</f>
        <v>-0.002139240645</v>
      </c>
      <c r="R141" s="70">
        <f>IFERROR(R140, "NA")</f>
        <v>3309.82</v>
      </c>
      <c r="S141" s="71">
        <f>IFERROR(R141/R148, "NA")</f>
        <v>0.101095742</v>
      </c>
      <c r="T141" s="70">
        <f>IFERROR(T140, "NA")</f>
        <v>0</v>
      </c>
      <c r="U141" s="71">
        <f>IFERROR(T141/T148, "NA")</f>
        <v>0</v>
      </c>
      <c r="V141" s="70">
        <f>IFERROR(V140, "NA")</f>
        <v>0</v>
      </c>
      <c r="W141" s="71">
        <f>IFERROR(V141/V148, "NA")</f>
        <v>0</v>
      </c>
      <c r="X141" s="70">
        <f>IFERROR(X140, "NA")</f>
        <v>0</v>
      </c>
      <c r="Y141" s="71">
        <f>IFERROR(X141/X148, "NA")</f>
        <v>0</v>
      </c>
      <c r="Z141" s="70">
        <f>IFERROR(Z140, "NA")</f>
        <v>0</v>
      </c>
      <c r="AA141" s="71">
        <f>IFERROR(Z141/Z148, "NA")</f>
        <v>0</v>
      </c>
      <c r="AB141" s="70">
        <f t="shared" si="61"/>
        <v>827.455</v>
      </c>
      <c r="AC141" s="71">
        <f>IFERROR(AB141/AB148, "NA")</f>
        <v>0.02950768695</v>
      </c>
      <c r="AD141" s="75">
        <f t="shared" si="62"/>
        <v>-827.455</v>
      </c>
      <c r="AE141" s="76">
        <f>IFERROR(AD141/AD148, "NA")</f>
        <v>-0.6022694602</v>
      </c>
      <c r="AF141" s="75">
        <f t="shared" si="63"/>
        <v>-1</v>
      </c>
      <c r="AG141" s="70">
        <f t="shared" si="64"/>
        <v>406.6625</v>
      </c>
      <c r="AH141" s="71">
        <f>IFERROR(AG141/AG148, "NA")</f>
        <v>0.01481051257</v>
      </c>
      <c r="AI141" s="75">
        <f t="shared" si="65"/>
        <v>-406.6625</v>
      </c>
      <c r="AJ141" s="76">
        <f>IFERROR(AI141/AI148, "NA")</f>
        <v>-0.2076697303</v>
      </c>
      <c r="AK141" s="75">
        <f t="shared" si="66"/>
        <v>-1</v>
      </c>
      <c r="AL141" s="76">
        <f>IFERROR(AK141/AK148, "NA")</f>
        <v>-14.02177873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2"/>
      <c r="AF142" s="125"/>
      <c r="AG142" s="124"/>
      <c r="AH142" s="74"/>
      <c r="AI142" s="125"/>
      <c r="AJ142" s="82"/>
      <c r="AK142" s="125"/>
      <c r="AL142" s="82"/>
    </row>
    <row r="143" ht="16.5" hidden="1" customHeight="1">
      <c r="A143" s="22" t="s">
        <v>253</v>
      </c>
      <c r="B143" s="23"/>
      <c r="C143" s="10"/>
      <c r="D143" s="23"/>
      <c r="E143" s="10"/>
      <c r="F143" s="23"/>
      <c r="G143" s="10"/>
      <c r="H143" s="23"/>
      <c r="I143" s="10"/>
      <c r="J143" s="23"/>
      <c r="K143" s="10"/>
      <c r="L143" s="23"/>
      <c r="M143" s="10"/>
      <c r="N143" s="23"/>
      <c r="O143" s="10"/>
      <c r="P143" s="23"/>
      <c r="Q143" s="10"/>
      <c r="R143" s="23"/>
      <c r="S143" s="10"/>
      <c r="T143" s="23"/>
      <c r="U143" s="10"/>
      <c r="V143" s="23"/>
      <c r="W143" s="10"/>
      <c r="X143" s="23"/>
      <c r="Y143" s="10"/>
      <c r="Z143" s="23"/>
      <c r="AA143" s="10"/>
      <c r="AB143" s="23"/>
      <c r="AC143" s="10"/>
      <c r="AD143" s="24"/>
      <c r="AE143" s="25"/>
      <c r="AF143" s="24"/>
      <c r="AG143" s="23"/>
      <c r="AH143" s="10"/>
      <c r="AI143" s="24"/>
      <c r="AJ143" s="25"/>
      <c r="AK143" s="24"/>
      <c r="AL143" s="25"/>
    </row>
    <row r="144" ht="16.5" hidden="1" customHeight="1">
      <c r="A144" s="26" t="s">
        <v>254</v>
      </c>
      <c r="B144" s="28">
        <v>0.0</v>
      </c>
      <c r="C144" s="15">
        <f>IFERROR(B144/B148, "NA")</f>
        <v>0</v>
      </c>
      <c r="D144" s="28">
        <v>0.0</v>
      </c>
      <c r="E144" s="15">
        <f>IFERROR(D144/D148, "NA")</f>
        <v>0</v>
      </c>
      <c r="F144" s="28">
        <v>0.0</v>
      </c>
      <c r="G144" s="15">
        <f>IFERROR(F144/F148, "NA")</f>
        <v>0</v>
      </c>
      <c r="H144" s="28">
        <v>0.0</v>
      </c>
      <c r="I144" s="15">
        <f>IFERROR(H144/H148, "NA")</f>
        <v>0</v>
      </c>
      <c r="J144" s="28">
        <v>0.0</v>
      </c>
      <c r="K144" s="15">
        <f>IFERROR(J144/J148, "NA")</f>
        <v>0</v>
      </c>
      <c r="L144" s="28">
        <v>0.0</v>
      </c>
      <c r="M144" s="15">
        <f>IFERROR(L144/L148, "NA")</f>
        <v>0</v>
      </c>
      <c r="N144" s="28">
        <v>0.0</v>
      </c>
      <c r="O144" s="15">
        <f>IFERROR(N144/N148, "NA")</f>
        <v>0</v>
      </c>
      <c r="P144" s="28">
        <v>0.0</v>
      </c>
      <c r="Q144" s="15">
        <f>IFERROR(P144/P148, "NA")</f>
        <v>0</v>
      </c>
      <c r="R144" s="28">
        <v>0.0</v>
      </c>
      <c r="S144" s="15">
        <f>IFERROR(R144/R148, "NA")</f>
        <v>0</v>
      </c>
      <c r="T144" s="28">
        <v>0.0</v>
      </c>
      <c r="U144" s="15">
        <f>IFERROR(T144/T148, "NA")</f>
        <v>0</v>
      </c>
      <c r="V144" s="28">
        <v>0.0</v>
      </c>
      <c r="W144" s="15">
        <f>IFERROR(V144/V148, "NA")</f>
        <v>0</v>
      </c>
      <c r="X144" s="28">
        <v>0.0</v>
      </c>
      <c r="Y144" s="15">
        <f>IFERROR(X144/X148, "NA")</f>
        <v>0</v>
      </c>
      <c r="Z144" s="28">
        <v>0.0</v>
      </c>
      <c r="AA144" s="15">
        <f>IFERROR(Z144/Z148, "NA")</f>
        <v>0</v>
      </c>
      <c r="AB144" s="57">
        <f t="shared" ref="AB144:AB145" si="67">IFERROR((R144+T144+V144+X144)/4, "NA")</f>
        <v>0</v>
      </c>
      <c r="AC144" s="15">
        <f>IFERROR(AB144/AB148, "NA")</f>
        <v>0</v>
      </c>
      <c r="AD144" s="61">
        <f t="shared" ref="AD144:AD145" si="68">IFERROR(X144-AB144, "NA")</f>
        <v>0</v>
      </c>
      <c r="AE144" s="62">
        <f>IFERROR(AD144/AD148, "NA")</f>
        <v>0</v>
      </c>
      <c r="AF144" s="61" t="str">
        <f t="shared" ref="AF144:AF145" si="69">IFERROR((X144-AB144)/AB144, "NA")</f>
        <v>NA</v>
      </c>
      <c r="AG144" s="57">
        <f t="shared" ref="AG144:AG145" si="70">IFERROR((J144+L144+N144+P144+R144+T144+V144+X144)/8, "NA")</f>
        <v>0</v>
      </c>
      <c r="AH144" s="15">
        <f>IFERROR(AG144/AG148, "NA")</f>
        <v>0</v>
      </c>
      <c r="AI144" s="61">
        <f t="shared" ref="AI144:AI145" si="71">IFERROR(X144-AG144, "NA")</f>
        <v>0</v>
      </c>
      <c r="AJ144" s="62">
        <f>IFERROR(AI144/AI148, "NA")</f>
        <v>0</v>
      </c>
      <c r="AK144" s="61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255</v>
      </c>
      <c r="B145" s="70">
        <f>IFERROR(B144, "NA")</f>
        <v>0</v>
      </c>
      <c r="C145" s="71">
        <f>IFERROR(B145/B148, "NA")</f>
        <v>0</v>
      </c>
      <c r="D145" s="70">
        <f>IFERROR(D144, "NA")</f>
        <v>0</v>
      </c>
      <c r="E145" s="71">
        <f>IFERROR(D145/D148, "NA")</f>
        <v>0</v>
      </c>
      <c r="F145" s="70">
        <f>IFERROR(F144, "NA")</f>
        <v>0</v>
      </c>
      <c r="G145" s="71">
        <f>IFERROR(F145/F148, "NA")</f>
        <v>0</v>
      </c>
      <c r="H145" s="70">
        <f>IFERROR(H144, "NA")</f>
        <v>0</v>
      </c>
      <c r="I145" s="71">
        <f>IFERROR(H145/H148, "NA")</f>
        <v>0</v>
      </c>
      <c r="J145" s="70">
        <f>IFERROR(J144, "NA")</f>
        <v>0</v>
      </c>
      <c r="K145" s="71">
        <f>IFERROR(J145/J148, "NA")</f>
        <v>0</v>
      </c>
      <c r="L145" s="70">
        <f>IFERROR(L144, "NA")</f>
        <v>0</v>
      </c>
      <c r="M145" s="71">
        <f>IFERROR(L145/L148, "NA")</f>
        <v>0</v>
      </c>
      <c r="N145" s="70">
        <f>IFERROR(N144, "NA")</f>
        <v>0</v>
      </c>
      <c r="O145" s="71">
        <f>IFERROR(N145/N148, "NA")</f>
        <v>0</v>
      </c>
      <c r="P145" s="70">
        <f>IFERROR(P144, "NA")</f>
        <v>0</v>
      </c>
      <c r="Q145" s="71">
        <f>IFERROR(P145/P148, "NA")</f>
        <v>0</v>
      </c>
      <c r="R145" s="70">
        <f>IFERROR(R144, "NA")</f>
        <v>0</v>
      </c>
      <c r="S145" s="71">
        <f>IFERROR(R145/R148, "NA")</f>
        <v>0</v>
      </c>
      <c r="T145" s="70">
        <f>IFERROR(T144, "NA")</f>
        <v>0</v>
      </c>
      <c r="U145" s="71">
        <f>IFERROR(T145/T148, "NA")</f>
        <v>0</v>
      </c>
      <c r="V145" s="70">
        <f>IFERROR(V144, "NA")</f>
        <v>0</v>
      </c>
      <c r="W145" s="71">
        <f>IFERROR(V145/V148, "NA")</f>
        <v>0</v>
      </c>
      <c r="X145" s="70">
        <f>IFERROR(X144, "NA")</f>
        <v>0</v>
      </c>
      <c r="Y145" s="71">
        <f>IFERROR(X145/X148, "NA")</f>
        <v>0</v>
      </c>
      <c r="Z145" s="70">
        <f>IFERROR(Z144, "NA")</f>
        <v>0</v>
      </c>
      <c r="AA145" s="71">
        <f>IFERROR(Z145/Z148, "NA")</f>
        <v>0</v>
      </c>
      <c r="AB145" s="70">
        <f t="shared" si="67"/>
        <v>0</v>
      </c>
      <c r="AC145" s="71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70">
        <f t="shared" si="70"/>
        <v>0</v>
      </c>
      <c r="AH145" s="71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2"/>
      <c r="AF146" s="125"/>
      <c r="AG146" s="124"/>
      <c r="AH146" s="74"/>
      <c r="AI146" s="125"/>
      <c r="AJ146" s="82"/>
      <c r="AK146" s="125"/>
      <c r="AL146" s="82"/>
    </row>
    <row r="147" ht="16.5" hidden="1" customHeight="1">
      <c r="A147" s="121" t="s">
        <v>256</v>
      </c>
      <c r="B147" s="122">
        <f>IFERROR(B137-B141-B145, "NA")</f>
        <v>-1543.24</v>
      </c>
      <c r="C147" s="98">
        <f>IFERROR(B147/B148, "NA")</f>
        <v>-0.134786201</v>
      </c>
      <c r="D147" s="122">
        <f>IFERROR(D137-D141-D145, "NA")</f>
        <v>3027.83</v>
      </c>
      <c r="E147" s="98">
        <f>IFERROR(D147/D148, "NA")</f>
        <v>0.169075155</v>
      </c>
      <c r="F147" s="122">
        <f>IFERROR(F137-F141-F145, "NA")</f>
        <v>-243.41</v>
      </c>
      <c r="G147" s="98">
        <f>IFERROR(F147/F148, "NA")</f>
        <v>-0.01053996253</v>
      </c>
      <c r="H147" s="122">
        <f>IFERROR(H137-H141-H145, "NA")</f>
        <v>-9838.62</v>
      </c>
      <c r="I147" s="98">
        <f>IFERROR(H147/H148, "NA")</f>
        <v>-0.3805968937</v>
      </c>
      <c r="J147" s="122">
        <f>IFERROR(J137-J141-J145, "NA")</f>
        <v>5898.13</v>
      </c>
      <c r="K147" s="98">
        <f>IFERROR(J147/J148, "NA")</f>
        <v>0.2454616809</v>
      </c>
      <c r="L147" s="122">
        <f>IFERROR(L137-L141-L145, "NA")</f>
        <v>4300.61</v>
      </c>
      <c r="M147" s="98">
        <f>IFERROR(L147/L148, "NA")</f>
        <v>0.1592464637</v>
      </c>
      <c r="N147" s="122">
        <f>IFERROR(N137-N141-N145, "NA")</f>
        <v>6414.91</v>
      </c>
      <c r="O147" s="98">
        <f>IFERROR(N147/N148, "NA")</f>
        <v>0.2135586156</v>
      </c>
      <c r="P147" s="122">
        <f>IFERROR(P137-P141-P145, "NA")</f>
        <v>6453.06</v>
      </c>
      <c r="Q147" s="98">
        <f>IFERROR(P147/P148, "NA")</f>
        <v>0.2442435994</v>
      </c>
      <c r="R147" s="122">
        <f>IFERROR(R137-R141-R145, "NA")</f>
        <v>-8682.81</v>
      </c>
      <c r="S147" s="98">
        <f>IFERROR(R147/R148, "NA")</f>
        <v>-0.2652093223</v>
      </c>
      <c r="T147" s="122">
        <f>IFERROR(T137-T141-T145, "NA")</f>
        <v>3844.74</v>
      </c>
      <c r="U147" s="98">
        <f>IFERROR(T147/T148, "NA")</f>
        <v>0.1571612109</v>
      </c>
      <c r="V147" s="122">
        <f>IFERROR(V137-V141-V145, "NA")</f>
        <v>5766.64</v>
      </c>
      <c r="W147" s="98">
        <f>IFERROR(V147/V148, "NA")</f>
        <v>0.225708853</v>
      </c>
      <c r="X147" s="122">
        <f>IFERROR(X137-X141-X145, "NA")</f>
        <v>1859.1</v>
      </c>
      <c r="Y147" s="98">
        <f>IFERROR(X147/X148, "NA")</f>
        <v>0.06320049252</v>
      </c>
      <c r="Z147" s="122">
        <f>IFERROR(Z137-Z141-Z145, "NA")</f>
        <v>11470.48</v>
      </c>
      <c r="AA147" s="98">
        <f>IFERROR(Z147/Z148, "NA")</f>
        <v>0.144412466</v>
      </c>
      <c r="AB147" s="122">
        <f t="shared" ref="AB147:AB148" si="73">IFERROR((R147+T147+V147+X147)/4, "NA")</f>
        <v>696.9175</v>
      </c>
      <c r="AC147" s="98">
        <f>IFERROR(AB147/AB148, "NA")</f>
        <v>0.02485261847</v>
      </c>
      <c r="AD147" s="75">
        <f t="shared" ref="AD147:AD148" si="74">IFERROR(X147-AB147, "NA")</f>
        <v>1162.1825</v>
      </c>
      <c r="AE147" s="76">
        <f>IFERROR(AD147/AD148, "NA")</f>
        <v>0.8459034351</v>
      </c>
      <c r="AF147" s="75">
        <f t="shared" ref="AF147:AF148" si="75">IFERROR((X147-AB147)/AB147, "NA")</f>
        <v>1.667604128</v>
      </c>
      <c r="AG147" s="122">
        <f t="shared" ref="AG147:AG148" si="76">IFERROR((J147+L147+N147+P147+R147+T147+V147+X147)/8, "NA")</f>
        <v>3231.7975</v>
      </c>
      <c r="AH147" s="98">
        <f>IFERROR(AG147/AG148, "NA")</f>
        <v>0.1177009867</v>
      </c>
      <c r="AI147" s="75">
        <f t="shared" ref="AI147:AI148" si="77">IFERROR(X147-AG147, "NA")</f>
        <v>-1372.6975</v>
      </c>
      <c r="AJ147" s="76">
        <f>IFERROR(AI147/AI148, "NA")</f>
        <v>-0.7009933779</v>
      </c>
      <c r="AK147" s="75">
        <f t="shared" ref="AK147:AK148" si="78">IFERROR((X147-AG147)/AG147, "NA")</f>
        <v>-0.4247473736</v>
      </c>
      <c r="AL147" s="76">
        <f>IFERROR(AK147/AK148, "NA")</f>
        <v>-5.95571369</v>
      </c>
    </row>
    <row r="148" ht="14.25" hidden="1" customHeight="1">
      <c r="A148" s="26" t="s">
        <v>53</v>
      </c>
      <c r="B148" s="28">
        <v>11449.54</v>
      </c>
      <c r="C148" s="128"/>
      <c r="D148" s="28">
        <v>17908.19</v>
      </c>
      <c r="E148" s="128"/>
      <c r="F148" s="28">
        <v>23094.01</v>
      </c>
      <c r="G148" s="128"/>
      <c r="H148" s="28">
        <v>25850.5</v>
      </c>
      <c r="I148" s="128"/>
      <c r="J148" s="28">
        <v>24028.72</v>
      </c>
      <c r="K148" s="128"/>
      <c r="L148" s="28">
        <v>27006.0</v>
      </c>
      <c r="M148" s="128"/>
      <c r="N148" s="28">
        <v>30038.17</v>
      </c>
      <c r="O148" s="128"/>
      <c r="P148" s="28">
        <v>26420.59</v>
      </c>
      <c r="Q148" s="128"/>
      <c r="R148" s="28">
        <v>32739.46</v>
      </c>
      <c r="S148" s="128"/>
      <c r="T148" s="28">
        <v>24463.67</v>
      </c>
      <c r="U148" s="128"/>
      <c r="V148" s="28">
        <v>25549.02</v>
      </c>
      <c r="W148" s="128"/>
      <c r="X148" s="28">
        <v>29415.91</v>
      </c>
      <c r="Y148" s="128"/>
      <c r="Z148" s="28">
        <v>79428.6</v>
      </c>
      <c r="AA148" s="128"/>
      <c r="AB148" s="57">
        <f t="shared" si="73"/>
        <v>28042.015</v>
      </c>
      <c r="AC148" s="128"/>
      <c r="AD148" s="61">
        <f t="shared" si="74"/>
        <v>1373.895</v>
      </c>
      <c r="AE148" s="129"/>
      <c r="AF148" s="61">
        <f t="shared" si="75"/>
        <v>0.04899416108</v>
      </c>
      <c r="AG148" s="57">
        <f t="shared" si="76"/>
        <v>27457.6925</v>
      </c>
      <c r="AH148" s="128"/>
      <c r="AI148" s="61">
        <f t="shared" si="77"/>
        <v>1958.2175</v>
      </c>
      <c r="AJ148" s="129"/>
      <c r="AK148" s="61">
        <f t="shared" si="78"/>
        <v>0.07131762802</v>
      </c>
      <c r="AL148" s="129"/>
    </row>
    <row r="149" ht="14.25" customHeight="1"/>
    <row r="150" ht="14.25" customHeight="1"/>
    <row r="151" ht="14.25" customHeight="1">
      <c r="A151" s="130" t="s">
        <v>257</v>
      </c>
    </row>
    <row r="152" ht="14.25" customHeight="1">
      <c r="A152" s="130" t="s">
        <v>258</v>
      </c>
    </row>
    <row r="153" ht="14.25" customHeight="1">
      <c r="A153" s="130" t="s">
        <v>259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5" t="s">
        <v>12</v>
      </c>
    </row>
    <row r="3" ht="14.25" customHeight="1">
      <c r="A3" s="6" t="s">
        <v>99</v>
      </c>
    </row>
    <row r="4" ht="14.25" customHeight="1"/>
    <row r="5" ht="13.5" customHeight="1">
      <c r="A5" s="17"/>
      <c r="B5" s="1" t="s">
        <v>16</v>
      </c>
      <c r="D5" s="1" t="s">
        <v>17</v>
      </c>
      <c r="F5" s="1" t="s">
        <v>18</v>
      </c>
      <c r="H5" s="1" t="s">
        <v>19</v>
      </c>
      <c r="J5" s="1" t="s">
        <v>20</v>
      </c>
      <c r="L5" s="1" t="s">
        <v>21</v>
      </c>
      <c r="N5" s="1" t="s">
        <v>22</v>
      </c>
      <c r="P5" s="1" t="s">
        <v>23</v>
      </c>
      <c r="R5" s="1" t="s">
        <v>25</v>
      </c>
      <c r="T5" s="1" t="s">
        <v>26</v>
      </c>
      <c r="V5" s="1" t="s">
        <v>27</v>
      </c>
      <c r="X5" s="1" t="s">
        <v>13</v>
      </c>
      <c r="Z5" s="1" t="s">
        <v>28</v>
      </c>
      <c r="AB5" s="1" t="s">
        <v>29</v>
      </c>
      <c r="AD5" s="21" t="s">
        <v>30</v>
      </c>
      <c r="AF5" s="21" t="s">
        <v>32</v>
      </c>
      <c r="AG5" s="1" t="s">
        <v>33</v>
      </c>
      <c r="AI5" s="21" t="s">
        <v>34</v>
      </c>
      <c r="AK5" s="21" t="s">
        <v>35</v>
      </c>
    </row>
    <row r="6" ht="16.5" customHeight="1">
      <c r="A6" s="22" t="s">
        <v>8</v>
      </c>
      <c r="B6" s="23"/>
      <c r="C6" s="10"/>
      <c r="D6" s="23"/>
      <c r="E6" s="10"/>
      <c r="F6" s="23"/>
      <c r="G6" s="10"/>
      <c r="H6" s="23"/>
      <c r="I6" s="10"/>
      <c r="J6" s="23"/>
      <c r="K6" s="10"/>
      <c r="L6" s="23"/>
      <c r="M6" s="10"/>
      <c r="N6" s="23"/>
      <c r="O6" s="10"/>
      <c r="P6" s="23"/>
      <c r="Q6" s="10"/>
      <c r="R6" s="23"/>
      <c r="S6" s="10"/>
      <c r="T6" s="23"/>
      <c r="U6" s="10"/>
      <c r="V6" s="23"/>
      <c r="W6" s="10"/>
      <c r="X6" s="23"/>
      <c r="Y6" s="10"/>
      <c r="Z6" s="23"/>
      <c r="AA6" s="10"/>
      <c r="AB6" s="23"/>
      <c r="AC6" s="10"/>
      <c r="AD6" s="24"/>
      <c r="AE6" s="25"/>
      <c r="AF6" s="24"/>
      <c r="AG6" s="23"/>
      <c r="AH6" s="10"/>
      <c r="AI6" s="24"/>
      <c r="AJ6" s="25"/>
      <c r="AK6" s="24"/>
      <c r="AL6" s="25"/>
    </row>
    <row r="7" ht="16.5" customHeight="1">
      <c r="A7" s="26" t="s">
        <v>8</v>
      </c>
      <c r="B7" s="28">
        <v>14454.19</v>
      </c>
      <c r="C7" s="15">
        <f>IFERROR(B7/B148, "NA")</f>
        <v>1</v>
      </c>
      <c r="D7" s="28">
        <v>19360.23</v>
      </c>
      <c r="E7" s="15">
        <f>IFERROR(D7/D148, "NA")</f>
        <v>1</v>
      </c>
      <c r="F7" s="28">
        <v>21707.49</v>
      </c>
      <c r="G7" s="15">
        <f>IFERROR(F7/F148, "NA")</f>
        <v>1</v>
      </c>
      <c r="H7" s="28">
        <v>20405.99</v>
      </c>
      <c r="I7" s="15">
        <f>IFERROR(H7/H148, "NA")</f>
        <v>1</v>
      </c>
      <c r="J7" s="28">
        <v>21459.38</v>
      </c>
      <c r="K7" s="15">
        <f>IFERROR(J7/J148, "NA")</f>
        <v>1</v>
      </c>
      <c r="L7" s="28">
        <v>29711.93</v>
      </c>
      <c r="M7" s="15">
        <f>IFERROR(L7/L148, "NA")</f>
        <v>1</v>
      </c>
      <c r="N7" s="28">
        <v>29028.69</v>
      </c>
      <c r="O7" s="15">
        <f>IFERROR(N7/N148, "NA")</f>
        <v>1</v>
      </c>
      <c r="P7" s="28">
        <v>30298.1</v>
      </c>
      <c r="Q7" s="15">
        <f>IFERROR(P7/P148, "NA")</f>
        <v>1</v>
      </c>
      <c r="R7" s="28">
        <v>26946.77</v>
      </c>
      <c r="S7" s="15">
        <f>IFERROR(R7/R148, "NA")</f>
        <v>1</v>
      </c>
      <c r="T7" s="28">
        <v>28065.1</v>
      </c>
      <c r="U7" s="15">
        <f>IFERROR(T7/T148, "NA")</f>
        <v>1</v>
      </c>
      <c r="V7" s="28">
        <v>30600.98</v>
      </c>
      <c r="W7" s="15">
        <f>IFERROR(V7/V148, "NA")</f>
        <v>1</v>
      </c>
      <c r="X7" s="28">
        <v>29632.43</v>
      </c>
      <c r="Y7" s="15">
        <f>IFERROR(X7/X148, "NA")</f>
        <v>1</v>
      </c>
      <c r="Z7" s="28">
        <v>88298.51</v>
      </c>
      <c r="AA7" s="15">
        <f>IFERROR(Z7/Z148, "NA")</f>
        <v>1</v>
      </c>
      <c r="AB7" s="57">
        <f t="shared" ref="AB7:AB9" si="1">IFERROR((R7+T7+V7+X7)/4, "NA")</f>
        <v>28811.32</v>
      </c>
      <c r="AC7" s="15">
        <f>IFERROR(AB7/AB148, "NA")</f>
        <v>1</v>
      </c>
      <c r="AD7" s="61">
        <f t="shared" ref="AD7:AD9" si="2">IFERROR(X7-AB7, "NA")</f>
        <v>821.11</v>
      </c>
      <c r="AE7" s="62">
        <f>IFERROR(AD7/AD148, "NA")</f>
        <v>1</v>
      </c>
      <c r="AF7" s="61">
        <f t="shared" ref="AF7:AF9" si="3">IFERROR((X7-AB7)/AB7, "NA")</f>
        <v>0.02849956198</v>
      </c>
      <c r="AG7" s="57">
        <f t="shared" ref="AG7:AG9" si="4">IFERROR((J7+L7+N7+P7+R7+T7+V7+X7)/8, "NA")</f>
        <v>28217.9225</v>
      </c>
      <c r="AH7" s="15">
        <f>IFERROR(AG7/AG148, "NA")</f>
        <v>1</v>
      </c>
      <c r="AI7" s="61">
        <f t="shared" ref="AI7:AI9" si="5">IFERROR(X7-AG7, "NA")</f>
        <v>1414.5075</v>
      </c>
      <c r="AJ7" s="62">
        <f>IFERROR(AI7/AI148, "NA")</f>
        <v>1</v>
      </c>
      <c r="AK7" s="61">
        <f t="shared" ref="AK7:AK9" si="6">IFERROR((X7-AG7)/AG7, "NA")</f>
        <v>0.0501279816</v>
      </c>
      <c r="AL7" s="62">
        <f>IFERROR(AK7/AK148, "NA")</f>
        <v>1</v>
      </c>
    </row>
    <row r="8" ht="30.75" hidden="1" customHeight="1">
      <c r="A8" s="26" t="s">
        <v>61</v>
      </c>
      <c r="B8" s="28">
        <v>0.0</v>
      </c>
      <c r="C8" s="15">
        <f>IFERROR(B8/B148, "NA")</f>
        <v>0</v>
      </c>
      <c r="D8" s="28">
        <v>0.0</v>
      </c>
      <c r="E8" s="15">
        <f>IFERROR(D8/D148, "NA")</f>
        <v>0</v>
      </c>
      <c r="F8" s="28">
        <v>0.0</v>
      </c>
      <c r="G8" s="15">
        <f>IFERROR(F8/F148, "NA")</f>
        <v>0</v>
      </c>
      <c r="H8" s="28">
        <v>0.0</v>
      </c>
      <c r="I8" s="15">
        <f>IFERROR(H8/H148, "NA")</f>
        <v>0</v>
      </c>
      <c r="J8" s="28">
        <v>0.0</v>
      </c>
      <c r="K8" s="15">
        <f>IFERROR(J8/J148, "NA")</f>
        <v>0</v>
      </c>
      <c r="L8" s="28">
        <v>0.0</v>
      </c>
      <c r="M8" s="15">
        <f>IFERROR(L8/L148, "NA")</f>
        <v>0</v>
      </c>
      <c r="N8" s="28">
        <v>0.0</v>
      </c>
      <c r="O8" s="15">
        <f>IFERROR(N8/N148, "NA")</f>
        <v>0</v>
      </c>
      <c r="P8" s="28">
        <v>0.0</v>
      </c>
      <c r="Q8" s="15">
        <f>IFERROR(P8/P148, "NA")</f>
        <v>0</v>
      </c>
      <c r="R8" s="28">
        <v>0.0</v>
      </c>
      <c r="S8" s="15">
        <f>IFERROR(R8/R148, "NA")</f>
        <v>0</v>
      </c>
      <c r="T8" s="28">
        <v>0.0</v>
      </c>
      <c r="U8" s="15">
        <f>IFERROR(T8/T148, "NA")</f>
        <v>0</v>
      </c>
      <c r="V8" s="28">
        <v>0.0</v>
      </c>
      <c r="W8" s="15">
        <f>IFERROR(V8/V148, "NA")</f>
        <v>0</v>
      </c>
      <c r="X8" s="28">
        <v>0.0</v>
      </c>
      <c r="Y8" s="15">
        <f>IFERROR(X8/X148, "NA")</f>
        <v>0</v>
      </c>
      <c r="Z8" s="28">
        <v>0.0</v>
      </c>
      <c r="AA8" s="15">
        <f>IFERROR(Z8/Z148, "NA")</f>
        <v>0</v>
      </c>
      <c r="AB8" s="57">
        <f t="shared" si="1"/>
        <v>0</v>
      </c>
      <c r="AC8" s="15">
        <f>IFERROR(AB8/AB148, "NA")</f>
        <v>0</v>
      </c>
      <c r="AD8" s="61">
        <f t="shared" si="2"/>
        <v>0</v>
      </c>
      <c r="AE8" s="62">
        <f>IFERROR(AD8/AD148, "NA")</f>
        <v>0</v>
      </c>
      <c r="AF8" s="61" t="str">
        <f t="shared" si="3"/>
        <v>NA</v>
      </c>
      <c r="AG8" s="57">
        <f t="shared" si="4"/>
        <v>0</v>
      </c>
      <c r="AH8" s="15">
        <f>IFERROR(AG8/AG148, "NA")</f>
        <v>0</v>
      </c>
      <c r="AI8" s="61">
        <f t="shared" si="5"/>
        <v>0</v>
      </c>
      <c r="AJ8" s="62">
        <f>IFERROR(AI8/AI148, "NA")</f>
        <v>0</v>
      </c>
      <c r="AK8" s="61" t="str">
        <f t="shared" si="6"/>
        <v>NA</v>
      </c>
      <c r="AL8" s="62" t="str">
        <f>IFERROR(AK8/AK148, "NA")</f>
        <v>NA</v>
      </c>
    </row>
    <row r="9" ht="16.5" customHeight="1">
      <c r="A9" s="67" t="s">
        <v>53</v>
      </c>
      <c r="B9" s="70">
        <f>IFERROR(B7+B8, "NA")</f>
        <v>14454.19</v>
      </c>
      <c r="C9" s="71">
        <f>IFERROR(B9/B148, "NA")</f>
        <v>1</v>
      </c>
      <c r="D9" s="70">
        <f>IFERROR(D7+D8, "NA")</f>
        <v>19360.23</v>
      </c>
      <c r="E9" s="71">
        <f>IFERROR(D9/D148, "NA")</f>
        <v>1</v>
      </c>
      <c r="F9" s="70">
        <f>IFERROR(F7+F8, "NA")</f>
        <v>21707.49</v>
      </c>
      <c r="G9" s="71">
        <f>IFERROR(F9/F148, "NA")</f>
        <v>1</v>
      </c>
      <c r="H9" s="70">
        <f>IFERROR(H7+H8, "NA")</f>
        <v>20405.99</v>
      </c>
      <c r="I9" s="71">
        <f>IFERROR(H9/H148, "NA")</f>
        <v>1</v>
      </c>
      <c r="J9" s="70">
        <f>IFERROR(J7+J8, "NA")</f>
        <v>21459.38</v>
      </c>
      <c r="K9" s="71">
        <f>IFERROR(J9/J148, "NA")</f>
        <v>1</v>
      </c>
      <c r="L9" s="70">
        <f>IFERROR(L7+L8, "NA")</f>
        <v>29711.93</v>
      </c>
      <c r="M9" s="71">
        <f>IFERROR(L9/L148, "NA")</f>
        <v>1</v>
      </c>
      <c r="N9" s="70">
        <f>IFERROR(N7+N8, "NA")</f>
        <v>29028.69</v>
      </c>
      <c r="O9" s="71">
        <f>IFERROR(N9/N148, "NA")</f>
        <v>1</v>
      </c>
      <c r="P9" s="70">
        <f>IFERROR(P7+P8, "NA")</f>
        <v>30298.1</v>
      </c>
      <c r="Q9" s="71">
        <f>IFERROR(P9/P148, "NA")</f>
        <v>1</v>
      </c>
      <c r="R9" s="70">
        <f>IFERROR(R7+R8, "NA")</f>
        <v>26946.77</v>
      </c>
      <c r="S9" s="71">
        <f>IFERROR(R9/R148, "NA")</f>
        <v>1</v>
      </c>
      <c r="T9" s="70">
        <f>IFERROR(T7+T8, "NA")</f>
        <v>28065.1</v>
      </c>
      <c r="U9" s="71">
        <f>IFERROR(T9/T148, "NA")</f>
        <v>1</v>
      </c>
      <c r="V9" s="70">
        <f>IFERROR(V7+V8, "NA")</f>
        <v>30600.98</v>
      </c>
      <c r="W9" s="71">
        <f>IFERROR(V9/V148, "NA")</f>
        <v>1</v>
      </c>
      <c r="X9" s="70">
        <f>IFERROR(X7+X8, "NA")</f>
        <v>29632.43</v>
      </c>
      <c r="Y9" s="71">
        <f>IFERROR(X9/X148, "NA")</f>
        <v>1</v>
      </c>
      <c r="Z9" s="70">
        <f>IFERROR(Z7+Z8, "NA")</f>
        <v>88298.51</v>
      </c>
      <c r="AA9" s="71">
        <f>IFERROR(Z9/Z148, "NA")</f>
        <v>1</v>
      </c>
      <c r="AB9" s="70">
        <f t="shared" si="1"/>
        <v>28811.32</v>
      </c>
      <c r="AC9" s="71">
        <f>IFERROR(AB9/AB148, "NA")</f>
        <v>1</v>
      </c>
      <c r="AD9" s="75">
        <f t="shared" si="2"/>
        <v>821.11</v>
      </c>
      <c r="AE9" s="76">
        <f>IFERROR(AD9/AD148, "NA")</f>
        <v>1</v>
      </c>
      <c r="AF9" s="75">
        <f t="shared" si="3"/>
        <v>0.02849956198</v>
      </c>
      <c r="AG9" s="70">
        <f t="shared" si="4"/>
        <v>28217.9225</v>
      </c>
      <c r="AH9" s="71">
        <f>IFERROR(AG9/AG148, "NA")</f>
        <v>1</v>
      </c>
      <c r="AI9" s="75">
        <f t="shared" si="5"/>
        <v>1414.5075</v>
      </c>
      <c r="AJ9" s="76">
        <f>IFERROR(AI9/AI148, "NA")</f>
        <v>1</v>
      </c>
      <c r="AK9" s="75">
        <f t="shared" si="6"/>
        <v>0.0501279816</v>
      </c>
      <c r="AL9" s="76">
        <f>IFERROR(AK9/AK148, "NA")</f>
        <v>1</v>
      </c>
    </row>
    <row r="10" ht="3.75" customHeight="1">
      <c r="A10" s="79"/>
      <c r="B10" s="80"/>
      <c r="C10" s="74"/>
      <c r="D10" s="80"/>
      <c r="E10" s="74"/>
      <c r="F10" s="80"/>
      <c r="G10" s="74"/>
      <c r="H10" s="80"/>
      <c r="I10" s="74"/>
      <c r="J10" s="80"/>
      <c r="K10" s="74"/>
      <c r="L10" s="80"/>
      <c r="M10" s="74"/>
      <c r="N10" s="80"/>
      <c r="O10" s="74"/>
      <c r="P10" s="80"/>
      <c r="Q10" s="74"/>
      <c r="R10" s="80"/>
      <c r="S10" s="74"/>
      <c r="T10" s="80"/>
      <c r="U10" s="74"/>
      <c r="V10" s="80"/>
      <c r="W10" s="74"/>
      <c r="X10" s="80"/>
      <c r="Y10" s="74"/>
      <c r="Z10" s="80"/>
      <c r="AA10" s="74"/>
      <c r="AB10" s="80"/>
      <c r="AC10" s="74"/>
      <c r="AD10" s="81"/>
      <c r="AE10" s="82"/>
      <c r="AF10" s="81"/>
      <c r="AG10" s="80"/>
      <c r="AH10" s="74"/>
      <c r="AI10" s="81"/>
      <c r="AJ10" s="82"/>
      <c r="AK10" s="81"/>
      <c r="AL10" s="82"/>
    </row>
    <row r="11" ht="16.5" customHeight="1">
      <c r="A11" s="22" t="s">
        <v>65</v>
      </c>
      <c r="B11" s="23"/>
      <c r="C11" s="10"/>
      <c r="D11" s="23"/>
      <c r="E11" s="10"/>
      <c r="F11" s="23"/>
      <c r="G11" s="10"/>
      <c r="H11" s="23"/>
      <c r="I11" s="10"/>
      <c r="J11" s="23"/>
      <c r="K11" s="10"/>
      <c r="L11" s="23"/>
      <c r="M11" s="10"/>
      <c r="N11" s="23"/>
      <c r="O11" s="10"/>
      <c r="P11" s="23"/>
      <c r="Q11" s="10"/>
      <c r="R11" s="23"/>
      <c r="S11" s="10"/>
      <c r="T11" s="23"/>
      <c r="U11" s="10"/>
      <c r="V11" s="23"/>
      <c r="W11" s="10"/>
      <c r="X11" s="23"/>
      <c r="Y11" s="10"/>
      <c r="Z11" s="23"/>
      <c r="AA11" s="10"/>
      <c r="AB11" s="23"/>
      <c r="AC11" s="10"/>
      <c r="AD11" s="24"/>
      <c r="AE11" s="25"/>
      <c r="AF11" s="24"/>
      <c r="AG11" s="23"/>
      <c r="AH11" s="10"/>
      <c r="AI11" s="24"/>
      <c r="AJ11" s="25"/>
      <c r="AK11" s="24"/>
      <c r="AL11" s="25"/>
    </row>
    <row r="12" ht="16.5" customHeight="1">
      <c r="A12" s="22" t="s">
        <v>66</v>
      </c>
      <c r="B12" s="23"/>
      <c r="C12" s="10"/>
      <c r="D12" s="23"/>
      <c r="E12" s="10"/>
      <c r="F12" s="23"/>
      <c r="G12" s="10"/>
      <c r="H12" s="23"/>
      <c r="I12" s="10"/>
      <c r="J12" s="23"/>
      <c r="K12" s="10"/>
      <c r="L12" s="23"/>
      <c r="M12" s="10"/>
      <c r="N12" s="23"/>
      <c r="O12" s="10"/>
      <c r="P12" s="23"/>
      <c r="Q12" s="10"/>
      <c r="R12" s="23"/>
      <c r="S12" s="10"/>
      <c r="T12" s="23"/>
      <c r="U12" s="10"/>
      <c r="V12" s="23"/>
      <c r="W12" s="10"/>
      <c r="X12" s="23"/>
      <c r="Y12" s="10"/>
      <c r="Z12" s="23"/>
      <c r="AA12" s="10"/>
      <c r="AB12" s="23"/>
      <c r="AC12" s="10"/>
      <c r="AD12" s="24"/>
      <c r="AE12" s="25"/>
      <c r="AF12" s="24"/>
      <c r="AG12" s="23"/>
      <c r="AH12" s="10"/>
      <c r="AI12" s="24"/>
      <c r="AJ12" s="25"/>
      <c r="AK12" s="24"/>
      <c r="AL12" s="25"/>
    </row>
    <row r="13" ht="16.5" hidden="1" customHeight="1">
      <c r="A13" s="26" t="s">
        <v>67</v>
      </c>
      <c r="B13" s="28">
        <v>0.0</v>
      </c>
      <c r="C13" s="15">
        <f>IFERROR(B13/B148, "NA")</f>
        <v>0</v>
      </c>
      <c r="D13" s="28">
        <v>0.0</v>
      </c>
      <c r="E13" s="15">
        <f>IFERROR(D13/D148, "NA")</f>
        <v>0</v>
      </c>
      <c r="F13" s="28">
        <v>0.0</v>
      </c>
      <c r="G13" s="15">
        <f>IFERROR(F13/F148, "NA")</f>
        <v>0</v>
      </c>
      <c r="H13" s="28">
        <v>0.0</v>
      </c>
      <c r="I13" s="15">
        <f>IFERROR(H13/H148, "NA")</f>
        <v>0</v>
      </c>
      <c r="J13" s="28">
        <v>0.0</v>
      </c>
      <c r="K13" s="15">
        <f>IFERROR(J13/J148, "NA")</f>
        <v>0</v>
      </c>
      <c r="L13" s="28">
        <v>0.0</v>
      </c>
      <c r="M13" s="15">
        <f>IFERROR(L13/L148, "NA")</f>
        <v>0</v>
      </c>
      <c r="N13" s="28">
        <v>0.0</v>
      </c>
      <c r="O13" s="15">
        <f>IFERROR(N13/N148, "NA")</f>
        <v>0</v>
      </c>
      <c r="P13" s="28">
        <v>0.0</v>
      </c>
      <c r="Q13" s="15">
        <f>IFERROR(P13/P148, "NA")</f>
        <v>0</v>
      </c>
      <c r="R13" s="28">
        <v>0.0</v>
      </c>
      <c r="S13" s="15">
        <f>IFERROR(R13/R148, "NA")</f>
        <v>0</v>
      </c>
      <c r="T13" s="28">
        <v>0.0</v>
      </c>
      <c r="U13" s="15">
        <f>IFERROR(T13/T148, "NA")</f>
        <v>0</v>
      </c>
      <c r="V13" s="28">
        <v>0.0</v>
      </c>
      <c r="W13" s="15">
        <f>IFERROR(V13/V148, "NA")</f>
        <v>0</v>
      </c>
      <c r="X13" s="28">
        <v>0.0</v>
      </c>
      <c r="Y13" s="15">
        <f>IFERROR(X13/X148, "NA")</f>
        <v>0</v>
      </c>
      <c r="Z13" s="28">
        <v>0.0</v>
      </c>
      <c r="AA13" s="15">
        <f>IFERROR(Z13/Z148, "NA")</f>
        <v>0</v>
      </c>
      <c r="AB13" s="57">
        <f>IFERROR((R13+T13+V13+X13)/4, "NA")</f>
        <v>0</v>
      </c>
      <c r="AC13" s="15">
        <f>IFERROR(AB13/AB148, "NA")</f>
        <v>0</v>
      </c>
      <c r="AD13" s="61">
        <f>IFERROR(X13-AB13, "NA")</f>
        <v>0</v>
      </c>
      <c r="AE13" s="62">
        <f>IFERROR(AD13/AD148, "NA")</f>
        <v>0</v>
      </c>
      <c r="AF13" s="61" t="str">
        <f>IFERROR((X13-AB13)/AB13, "NA")</f>
        <v>NA</v>
      </c>
      <c r="AG13" s="57">
        <f>IFERROR((J13+L13+N13+P13+R13+T13+V13+X13)/8, "NA")</f>
        <v>0</v>
      </c>
      <c r="AH13" s="15">
        <f>IFERROR(AG13/AG148, "NA")</f>
        <v>0</v>
      </c>
      <c r="AI13" s="61">
        <f>IFERROR(X13-AG13, "NA")</f>
        <v>0</v>
      </c>
      <c r="AJ13" s="62">
        <f>IFERROR(AI13/AI148, "NA")</f>
        <v>0</v>
      </c>
      <c r="AK13" s="61" t="str">
        <f>IFERROR((X13-AG13)/AG13, "NA")</f>
        <v>NA</v>
      </c>
      <c r="AL13" s="62" t="str">
        <f>IFERROR(AK13/AK148, "NA")</f>
        <v>NA</v>
      </c>
    </row>
    <row r="14" ht="16.5" customHeight="1">
      <c r="A14" s="22" t="s">
        <v>68</v>
      </c>
      <c r="B14" s="23"/>
      <c r="C14" s="10"/>
      <c r="D14" s="23"/>
      <c r="E14" s="10"/>
      <c r="F14" s="23"/>
      <c r="G14" s="10"/>
      <c r="H14" s="23"/>
      <c r="I14" s="10"/>
      <c r="J14" s="23"/>
      <c r="K14" s="10"/>
      <c r="L14" s="23"/>
      <c r="M14" s="10"/>
      <c r="N14" s="23"/>
      <c r="O14" s="10"/>
      <c r="P14" s="23"/>
      <c r="Q14" s="10"/>
      <c r="R14" s="23"/>
      <c r="S14" s="10"/>
      <c r="T14" s="23"/>
      <c r="U14" s="10"/>
      <c r="V14" s="23"/>
      <c r="W14" s="10"/>
      <c r="X14" s="23"/>
      <c r="Y14" s="10"/>
      <c r="Z14" s="23"/>
      <c r="AA14" s="10"/>
      <c r="AB14" s="23"/>
      <c r="AC14" s="10"/>
      <c r="AD14" s="24"/>
      <c r="AE14" s="25"/>
      <c r="AF14" s="24"/>
      <c r="AG14" s="23"/>
      <c r="AH14" s="10"/>
      <c r="AI14" s="24"/>
      <c r="AJ14" s="25"/>
      <c r="AK14" s="24"/>
      <c r="AL14" s="25"/>
    </row>
    <row r="15" ht="16.5" hidden="1" customHeight="1">
      <c r="A15" s="26" t="s">
        <v>69</v>
      </c>
      <c r="B15" s="28">
        <v>0.0</v>
      </c>
      <c r="C15" s="15">
        <f>IFERROR(B15/B148, "NA")</f>
        <v>0</v>
      </c>
      <c r="D15" s="28">
        <v>0.0</v>
      </c>
      <c r="E15" s="15">
        <f>IFERROR(D15/D148, "NA")</f>
        <v>0</v>
      </c>
      <c r="F15" s="28">
        <v>0.0</v>
      </c>
      <c r="G15" s="15">
        <f>IFERROR(F15/F148, "NA")</f>
        <v>0</v>
      </c>
      <c r="H15" s="28">
        <v>0.0</v>
      </c>
      <c r="I15" s="15">
        <f>IFERROR(H15/H148, "NA")</f>
        <v>0</v>
      </c>
      <c r="J15" s="28">
        <v>0.0</v>
      </c>
      <c r="K15" s="15">
        <f>IFERROR(J15/J148, "NA")</f>
        <v>0</v>
      </c>
      <c r="L15" s="28">
        <v>0.0</v>
      </c>
      <c r="M15" s="15">
        <f>IFERROR(L15/L148, "NA")</f>
        <v>0</v>
      </c>
      <c r="N15" s="28">
        <v>0.0</v>
      </c>
      <c r="O15" s="15">
        <f>IFERROR(N15/N148, "NA")</f>
        <v>0</v>
      </c>
      <c r="P15" s="28">
        <v>0.0</v>
      </c>
      <c r="Q15" s="15">
        <f>IFERROR(P15/P148, "NA")</f>
        <v>0</v>
      </c>
      <c r="R15" s="28">
        <v>0.0</v>
      </c>
      <c r="S15" s="15">
        <f>IFERROR(R15/R148, "NA")</f>
        <v>0</v>
      </c>
      <c r="T15" s="28">
        <v>0.0</v>
      </c>
      <c r="U15" s="15">
        <f>IFERROR(T15/T148, "NA")</f>
        <v>0</v>
      </c>
      <c r="V15" s="28">
        <v>0.0</v>
      </c>
      <c r="W15" s="15">
        <f>IFERROR(V15/V148, "NA")</f>
        <v>0</v>
      </c>
      <c r="X15" s="28">
        <v>0.0</v>
      </c>
      <c r="Y15" s="15">
        <f>IFERROR(X15/X148, "NA")</f>
        <v>0</v>
      </c>
      <c r="Z15" s="28">
        <v>0.0</v>
      </c>
      <c r="AA15" s="15">
        <f>IFERROR(Z15/Z148, "NA")</f>
        <v>0</v>
      </c>
      <c r="AB15" s="57">
        <f t="shared" ref="AB15:AB27" si="7">IFERROR((R15+T15+V15+X15)/4, "NA")</f>
        <v>0</v>
      </c>
      <c r="AC15" s="15">
        <f>IFERROR(AB15/AB148, "NA")</f>
        <v>0</v>
      </c>
      <c r="AD15" s="61">
        <f t="shared" ref="AD15:AD27" si="8">IFERROR(X15-AB15, "NA")</f>
        <v>0</v>
      </c>
      <c r="AE15" s="62">
        <f>IFERROR(AD15/AD148, "NA")</f>
        <v>0</v>
      </c>
      <c r="AF15" s="61" t="str">
        <f t="shared" ref="AF15:AF27" si="9">IFERROR((X15-AB15)/AB15, "NA")</f>
        <v>NA</v>
      </c>
      <c r="AG15" s="57">
        <f t="shared" ref="AG15:AG27" si="10">IFERROR((J15+L15+N15+P15+R15+T15+V15+X15)/8, "NA")</f>
        <v>0</v>
      </c>
      <c r="AH15" s="15">
        <f>IFERROR(AG15/AG148, "NA")</f>
        <v>0</v>
      </c>
      <c r="AI15" s="61">
        <f t="shared" ref="AI15:AI27" si="11">IFERROR(X15-AG15, "NA")</f>
        <v>0</v>
      </c>
      <c r="AJ15" s="62">
        <f>IFERROR(AI15/AI148, "NA")</f>
        <v>0</v>
      </c>
      <c r="AK15" s="61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6" t="s">
        <v>70</v>
      </c>
      <c r="B16" s="28">
        <v>1040.44</v>
      </c>
      <c r="C16" s="15">
        <f>IFERROR(B16/B148, "NA")</f>
        <v>0.07198189591</v>
      </c>
      <c r="D16" s="28">
        <v>1063.67</v>
      </c>
      <c r="E16" s="15">
        <f>IFERROR(D16/D148, "NA")</f>
        <v>0.05494097952</v>
      </c>
      <c r="F16" s="28">
        <v>875.41</v>
      </c>
      <c r="G16" s="15">
        <f>IFERROR(F16/F148, "NA")</f>
        <v>0.04032755514</v>
      </c>
      <c r="H16" s="28">
        <v>1197.97</v>
      </c>
      <c r="I16" s="15">
        <f>IFERROR(H16/H148, "NA")</f>
        <v>0.05870678169</v>
      </c>
      <c r="J16" s="28">
        <v>1192.55</v>
      </c>
      <c r="K16" s="15">
        <f>IFERROR(J16/J148, "NA")</f>
        <v>0.05557243499</v>
      </c>
      <c r="L16" s="28">
        <v>1483.19</v>
      </c>
      <c r="M16" s="15">
        <f>IFERROR(L16/L148, "NA")</f>
        <v>0.0499190056</v>
      </c>
      <c r="N16" s="28">
        <v>1428.54</v>
      </c>
      <c r="O16" s="15">
        <f>IFERROR(N16/N148, "NA")</f>
        <v>0.04921131474</v>
      </c>
      <c r="P16" s="28">
        <v>1535.22</v>
      </c>
      <c r="Q16" s="15">
        <f>IFERROR(P16/P148, "NA")</f>
        <v>0.05067050409</v>
      </c>
      <c r="R16" s="28">
        <v>1331.05</v>
      </c>
      <c r="S16" s="15">
        <f>IFERROR(R16/R148, "NA")</f>
        <v>0.04939553052</v>
      </c>
      <c r="T16" s="28">
        <v>1394.02</v>
      </c>
      <c r="U16" s="15">
        <f>IFERROR(T16/T148, "NA")</f>
        <v>0.04967094363</v>
      </c>
      <c r="V16" s="28">
        <v>1621.51</v>
      </c>
      <c r="W16" s="15">
        <f>IFERROR(V16/V148, "NA")</f>
        <v>0.05298882585</v>
      </c>
      <c r="X16" s="28">
        <v>1428.09</v>
      </c>
      <c r="Y16" s="15">
        <f>IFERROR(X16/X148, "NA")</f>
        <v>0.04819348261</v>
      </c>
      <c r="Z16" s="28">
        <v>4443.62</v>
      </c>
      <c r="AA16" s="15">
        <f>IFERROR(Z16/Z148, "NA")</f>
        <v>0.05032497151</v>
      </c>
      <c r="AB16" s="57">
        <f t="shared" si="7"/>
        <v>1443.6675</v>
      </c>
      <c r="AC16" s="15">
        <f>IFERROR(AB16/AB148, "NA")</f>
        <v>0.05010764866</v>
      </c>
      <c r="AD16" s="61">
        <f t="shared" si="8"/>
        <v>-15.5775</v>
      </c>
      <c r="AE16" s="62">
        <f>IFERROR(AD16/AD148, "NA")</f>
        <v>-0.0189712706</v>
      </c>
      <c r="AF16" s="61">
        <f t="shared" si="9"/>
        <v>-0.01079022697</v>
      </c>
      <c r="AG16" s="57">
        <f t="shared" si="10"/>
        <v>1426.77125</v>
      </c>
      <c r="AH16" s="15">
        <f>IFERROR(AG16/AG148, "NA")</f>
        <v>0.05056259014</v>
      </c>
      <c r="AI16" s="61">
        <f t="shared" si="11"/>
        <v>1.31875</v>
      </c>
      <c r="AJ16" s="62">
        <f>IFERROR(AI16/AI148, "NA")</f>
        <v>0.0009323032928</v>
      </c>
      <c r="AK16" s="61">
        <f t="shared" si="12"/>
        <v>0.0009242897206</v>
      </c>
      <c r="AL16" s="62">
        <f>IFERROR(AK16/AK148, "NA")</f>
        <v>0.01843859838</v>
      </c>
    </row>
    <row r="17" ht="16.5" customHeight="1">
      <c r="A17" s="26" t="s">
        <v>71</v>
      </c>
      <c r="B17" s="28">
        <v>379.37</v>
      </c>
      <c r="C17" s="15">
        <f>IFERROR(B17/B148, "NA")</f>
        <v>0.0262463687</v>
      </c>
      <c r="D17" s="28">
        <v>683.21</v>
      </c>
      <c r="E17" s="15">
        <f>IFERROR(D17/D148, "NA")</f>
        <v>0.03528935348</v>
      </c>
      <c r="F17" s="28">
        <v>524.31</v>
      </c>
      <c r="G17" s="15">
        <f>IFERROR(F17/F148, "NA")</f>
        <v>0.02415341433</v>
      </c>
      <c r="H17" s="28">
        <v>641.96</v>
      </c>
      <c r="I17" s="15">
        <f>IFERROR(H17/H148, "NA")</f>
        <v>0.03145939011</v>
      </c>
      <c r="J17" s="28">
        <v>872.34</v>
      </c>
      <c r="K17" s="15">
        <f>IFERROR(J17/J148, "NA")</f>
        <v>0.04065075505</v>
      </c>
      <c r="L17" s="28">
        <v>730.13</v>
      </c>
      <c r="M17" s="15">
        <f>IFERROR(L17/L148, "NA")</f>
        <v>0.02457363086</v>
      </c>
      <c r="N17" s="28">
        <v>879.65</v>
      </c>
      <c r="O17" s="15">
        <f>IFERROR(N17/N148, "NA")</f>
        <v>0.03030277977</v>
      </c>
      <c r="P17" s="28">
        <v>756.77</v>
      </c>
      <c r="Q17" s="15">
        <f>IFERROR(P17/P148, "NA")</f>
        <v>0.02497747383</v>
      </c>
      <c r="R17" s="28">
        <v>733.3</v>
      </c>
      <c r="S17" s="15">
        <f>IFERROR(R17/R148, "NA")</f>
        <v>0.02721290901</v>
      </c>
      <c r="T17" s="28">
        <v>895.0</v>
      </c>
      <c r="U17" s="15">
        <f>IFERROR(T17/T148, "NA")</f>
        <v>0.03189014114</v>
      </c>
      <c r="V17" s="28">
        <v>879.21</v>
      </c>
      <c r="W17" s="15">
        <f>IFERROR(V17/V148, "NA")</f>
        <v>0.02873143278</v>
      </c>
      <c r="X17" s="28">
        <v>875.66</v>
      </c>
      <c r="Y17" s="15">
        <f>IFERROR(X17/X148, "NA")</f>
        <v>0.02955073209</v>
      </c>
      <c r="Z17" s="28">
        <v>2649.87</v>
      </c>
      <c r="AA17" s="15">
        <f>IFERROR(Z17/Z148, "NA")</f>
        <v>0.03001035918</v>
      </c>
      <c r="AB17" s="57">
        <f t="shared" si="7"/>
        <v>845.7925</v>
      </c>
      <c r="AC17" s="15">
        <f>IFERROR(AB17/AB148, "NA")</f>
        <v>0.0293562565</v>
      </c>
      <c r="AD17" s="61">
        <f t="shared" si="8"/>
        <v>29.8675</v>
      </c>
      <c r="AE17" s="62">
        <f>IFERROR(AD17/AD148, "NA")</f>
        <v>0.03637454178</v>
      </c>
      <c r="AF17" s="61">
        <f t="shared" si="9"/>
        <v>0.03531303482</v>
      </c>
      <c r="AG17" s="57">
        <f t="shared" si="10"/>
        <v>827.7575</v>
      </c>
      <c r="AH17" s="15">
        <f>IFERROR(AG17/AG148, "NA")</f>
        <v>0.02933445933</v>
      </c>
      <c r="AI17" s="61">
        <f t="shared" si="11"/>
        <v>47.9025</v>
      </c>
      <c r="AJ17" s="62">
        <f>IFERROR(AI17/AI148, "NA")</f>
        <v>0.03386514388</v>
      </c>
      <c r="AK17" s="61">
        <f t="shared" si="12"/>
        <v>0.05787020957</v>
      </c>
      <c r="AL17" s="62">
        <f>IFERROR(AK17/AK148, "NA")</f>
        <v>1.154449226</v>
      </c>
    </row>
    <row r="18" ht="16.5" customHeight="1">
      <c r="A18" s="26" t="s">
        <v>72</v>
      </c>
      <c r="B18" s="28">
        <v>534.34</v>
      </c>
      <c r="C18" s="15">
        <f>IFERROR(B18/B148, "NA")</f>
        <v>0.03696782732</v>
      </c>
      <c r="D18" s="28">
        <v>567.14</v>
      </c>
      <c r="E18" s="15">
        <f>IFERROR(D18/D148, "NA")</f>
        <v>0.02929407347</v>
      </c>
      <c r="F18" s="28">
        <v>638.05</v>
      </c>
      <c r="G18" s="15">
        <f>IFERROR(F18/F148, "NA")</f>
        <v>0.02939308045</v>
      </c>
      <c r="H18" s="28">
        <v>702.11</v>
      </c>
      <c r="I18" s="15">
        <f>IFERROR(H18/H148, "NA")</f>
        <v>0.03440705401</v>
      </c>
      <c r="J18" s="28">
        <v>857.29</v>
      </c>
      <c r="K18" s="15">
        <f>IFERROR(J18/J148, "NA")</f>
        <v>0.03994943004</v>
      </c>
      <c r="L18" s="28">
        <v>1125.92</v>
      </c>
      <c r="M18" s="15">
        <f>IFERROR(L18/L148, "NA")</f>
        <v>0.0378945427</v>
      </c>
      <c r="N18" s="28">
        <v>1017.03</v>
      </c>
      <c r="O18" s="15">
        <f>IFERROR(N18/N148, "NA")</f>
        <v>0.03503533918</v>
      </c>
      <c r="P18" s="28">
        <v>1373.86</v>
      </c>
      <c r="Q18" s="15">
        <f>IFERROR(P18/P148, "NA")</f>
        <v>0.04534475759</v>
      </c>
      <c r="R18" s="28">
        <v>1001.67</v>
      </c>
      <c r="S18" s="15">
        <f>IFERROR(R18/R148, "NA")</f>
        <v>0.03717217314</v>
      </c>
      <c r="T18" s="28">
        <v>1223.42</v>
      </c>
      <c r="U18" s="15">
        <f>IFERROR(T18/T148, "NA")</f>
        <v>0.04359221952</v>
      </c>
      <c r="V18" s="28">
        <v>1235.25</v>
      </c>
      <c r="W18" s="15">
        <f>IFERROR(V18/V148, "NA")</f>
        <v>0.04036635428</v>
      </c>
      <c r="X18" s="28">
        <v>1248.4</v>
      </c>
      <c r="Y18" s="15">
        <f>IFERROR(X18/X148, "NA")</f>
        <v>0.04212951823</v>
      </c>
      <c r="Z18" s="28">
        <v>3707.07</v>
      </c>
      <c r="AA18" s="15">
        <f>IFERROR(Z18/Z148, "NA")</f>
        <v>0.04198338115</v>
      </c>
      <c r="AB18" s="57">
        <f t="shared" si="7"/>
        <v>1177.185</v>
      </c>
      <c r="AC18" s="15">
        <f>IFERROR(AB18/AB148, "NA")</f>
        <v>0.04085841954</v>
      </c>
      <c r="AD18" s="61">
        <f t="shared" si="8"/>
        <v>71.215</v>
      </c>
      <c r="AE18" s="62">
        <f>IFERROR(AD18/AD148, "NA")</f>
        <v>0.08673015796</v>
      </c>
      <c r="AF18" s="61">
        <f t="shared" si="9"/>
        <v>0.0604960138</v>
      </c>
      <c r="AG18" s="57">
        <f t="shared" si="10"/>
        <v>1135.355</v>
      </c>
      <c r="AH18" s="15">
        <f>IFERROR(AG18/AG148, "NA")</f>
        <v>0.04023524411</v>
      </c>
      <c r="AI18" s="61">
        <f t="shared" si="11"/>
        <v>113.045</v>
      </c>
      <c r="AJ18" s="62">
        <f>IFERROR(AI18/AI148, "NA")</f>
        <v>0.07991827544</v>
      </c>
      <c r="AK18" s="61">
        <f t="shared" si="12"/>
        <v>0.09956797654</v>
      </c>
      <c r="AL18" s="62">
        <f>IFERROR(AK18/AK148, "NA")</f>
        <v>1.986275396</v>
      </c>
    </row>
    <row r="19" ht="16.5" customHeight="1">
      <c r="A19" s="26" t="s">
        <v>74</v>
      </c>
      <c r="B19" s="28">
        <v>323.73</v>
      </c>
      <c r="C19" s="15">
        <f>IFERROR(B19/B148, "NA")</f>
        <v>0.02239696586</v>
      </c>
      <c r="D19" s="28">
        <v>612.28</v>
      </c>
      <c r="E19" s="15">
        <f>IFERROR(D19/D148, "NA")</f>
        <v>0.03162565734</v>
      </c>
      <c r="F19" s="28">
        <v>475.13</v>
      </c>
      <c r="G19" s="15">
        <f>IFERROR(F19/F148, "NA")</f>
        <v>0.02188783687</v>
      </c>
      <c r="H19" s="28">
        <v>428.35</v>
      </c>
      <c r="I19" s="15">
        <f>IFERROR(H19/H148, "NA")</f>
        <v>0.02099138537</v>
      </c>
      <c r="J19" s="28">
        <v>364.87</v>
      </c>
      <c r="K19" s="15">
        <f>IFERROR(J19/J148, "NA")</f>
        <v>0.01700282114</v>
      </c>
      <c r="L19" s="28">
        <v>855.64</v>
      </c>
      <c r="M19" s="15">
        <f>IFERROR(L19/L148, "NA")</f>
        <v>0.02879785998</v>
      </c>
      <c r="N19" s="28">
        <v>654.72</v>
      </c>
      <c r="O19" s="15">
        <f>IFERROR(N19/N148, "NA")</f>
        <v>0.02255423858</v>
      </c>
      <c r="P19" s="28">
        <v>809.59</v>
      </c>
      <c r="Q19" s="15">
        <f>IFERROR(P19/P148, "NA")</f>
        <v>0.02672081748</v>
      </c>
      <c r="R19" s="28">
        <v>630.62</v>
      </c>
      <c r="S19" s="15">
        <f>IFERROR(R19/R148, "NA")</f>
        <v>0.02340243376</v>
      </c>
      <c r="T19" s="28">
        <v>543.2</v>
      </c>
      <c r="U19" s="15">
        <f>IFERROR(T19/T148, "NA")</f>
        <v>0.01935499963</v>
      </c>
      <c r="V19" s="28">
        <v>809.3</v>
      </c>
      <c r="W19" s="15">
        <f>IFERROR(V19/V148, "NA")</f>
        <v>0.02644686543</v>
      </c>
      <c r="X19" s="28">
        <v>802.59</v>
      </c>
      <c r="Y19" s="15">
        <f>IFERROR(X19/X148, "NA")</f>
        <v>0.02708485264</v>
      </c>
      <c r="Z19" s="28">
        <v>2155.09</v>
      </c>
      <c r="AA19" s="15">
        <f>IFERROR(Z19/Z148, "NA")</f>
        <v>0.02440686711</v>
      </c>
      <c r="AB19" s="57">
        <f t="shared" si="7"/>
        <v>696.4275</v>
      </c>
      <c r="AC19" s="15">
        <f>IFERROR(AB19/AB148, "NA")</f>
        <v>0.02417200947</v>
      </c>
      <c r="AD19" s="61">
        <f t="shared" si="8"/>
        <v>106.1625</v>
      </c>
      <c r="AE19" s="62">
        <f>IFERROR(AD19/AD148, "NA")</f>
        <v>0.1292914469</v>
      </c>
      <c r="AF19" s="61">
        <f t="shared" si="9"/>
        <v>0.1524386961</v>
      </c>
      <c r="AG19" s="57">
        <f t="shared" si="10"/>
        <v>683.81625</v>
      </c>
      <c r="AH19" s="15">
        <f>IFERROR(AG19/AG148, "NA")</f>
        <v>0.02423340166</v>
      </c>
      <c r="AI19" s="61">
        <f t="shared" si="11"/>
        <v>118.77375</v>
      </c>
      <c r="AJ19" s="62">
        <f>IFERROR(AI19/AI148, "NA")</f>
        <v>0.08396827164</v>
      </c>
      <c r="AK19" s="61">
        <f t="shared" si="12"/>
        <v>0.1736924941</v>
      </c>
      <c r="AL19" s="62">
        <f>IFERROR(AK19/AK148, "NA")</f>
        <v>3.464980807</v>
      </c>
    </row>
    <row r="20" ht="16.5" customHeight="1">
      <c r="A20" s="26" t="s">
        <v>76</v>
      </c>
      <c r="B20" s="28">
        <v>182.29</v>
      </c>
      <c r="C20" s="15">
        <f>IFERROR(B20/B148, "NA")</f>
        <v>0.012611568</v>
      </c>
      <c r="D20" s="28">
        <v>230.6</v>
      </c>
      <c r="E20" s="15">
        <f>IFERROR(D20/D148, "NA")</f>
        <v>0.01191101552</v>
      </c>
      <c r="F20" s="28">
        <v>281.33</v>
      </c>
      <c r="G20" s="15">
        <f>IFERROR(F20/F148, "NA")</f>
        <v>0.01296004282</v>
      </c>
      <c r="H20" s="28">
        <v>211.85</v>
      </c>
      <c r="I20" s="15">
        <f>IFERROR(H20/H148, "NA")</f>
        <v>0.01038175555</v>
      </c>
      <c r="J20" s="28">
        <v>316.91</v>
      </c>
      <c r="K20" s="15">
        <f>IFERROR(J20/J148, "NA")</f>
        <v>0.01476790103</v>
      </c>
      <c r="L20" s="28">
        <v>175.88</v>
      </c>
      <c r="M20" s="15">
        <f>IFERROR(L20/L148, "NA")</f>
        <v>0.005919507753</v>
      </c>
      <c r="N20" s="28">
        <v>276.74</v>
      </c>
      <c r="O20" s="15">
        <f>IFERROR(N20/N148, "NA")</f>
        <v>0.009533327201</v>
      </c>
      <c r="P20" s="28">
        <v>300.31</v>
      </c>
      <c r="Q20" s="15">
        <f>IFERROR(P20/P148, "NA")</f>
        <v>0.009911842657</v>
      </c>
      <c r="R20" s="28">
        <v>314.79</v>
      </c>
      <c r="S20" s="15">
        <f>IFERROR(R20/R148, "NA")</f>
        <v>0.01168191958</v>
      </c>
      <c r="T20" s="28">
        <v>342.39</v>
      </c>
      <c r="U20" s="15">
        <f>IFERROR(T20/T148, "NA")</f>
        <v>0.01219984964</v>
      </c>
      <c r="V20" s="28">
        <v>394.3</v>
      </c>
      <c r="W20" s="15">
        <f>IFERROR(V20/V148, "NA")</f>
        <v>0.01288520825</v>
      </c>
      <c r="X20" s="28">
        <v>30.76</v>
      </c>
      <c r="Y20" s="15">
        <f>IFERROR(X20/X148, "NA")</f>
        <v>0.001038051891</v>
      </c>
      <c r="Z20" s="28">
        <v>767.45</v>
      </c>
      <c r="AA20" s="15">
        <f>IFERROR(Z20/Z148, "NA")</f>
        <v>0.008691539642</v>
      </c>
      <c r="AB20" s="57">
        <f t="shared" si="7"/>
        <v>270.56</v>
      </c>
      <c r="AC20" s="15">
        <f>IFERROR(AB20/AB148, "NA")</f>
        <v>0.009390753357</v>
      </c>
      <c r="AD20" s="61">
        <f t="shared" si="8"/>
        <v>-239.8</v>
      </c>
      <c r="AE20" s="62">
        <f>IFERROR(AD20/AD148, "NA")</f>
        <v>-0.2920436969</v>
      </c>
      <c r="AF20" s="61">
        <f t="shared" si="9"/>
        <v>-0.8863098758</v>
      </c>
      <c r="AG20" s="57">
        <f t="shared" si="10"/>
        <v>269.01</v>
      </c>
      <c r="AH20" s="15">
        <f>IFERROR(AG20/AG148, "NA")</f>
        <v>0.009533302815</v>
      </c>
      <c r="AI20" s="61">
        <f t="shared" si="11"/>
        <v>-238.25</v>
      </c>
      <c r="AJ20" s="62">
        <f>IFERROR(AI20/AI148, "NA")</f>
        <v>-0.1684331826</v>
      </c>
      <c r="AK20" s="61">
        <f t="shared" si="12"/>
        <v>-0.8856548084</v>
      </c>
      <c r="AL20" s="62">
        <f>IFERROR(AK20/AK148, "NA")</f>
        <v>-17.66787291</v>
      </c>
    </row>
    <row r="21" ht="16.5" customHeight="1">
      <c r="A21" s="26" t="s">
        <v>77</v>
      </c>
      <c r="B21" s="28">
        <v>76.39</v>
      </c>
      <c r="C21" s="15">
        <f>IFERROR(B21/B148, "NA")</f>
        <v>0.005284972731</v>
      </c>
      <c r="D21" s="28">
        <v>21.17</v>
      </c>
      <c r="E21" s="15">
        <f>IFERROR(D21/D148, "NA")</f>
        <v>0.001093478745</v>
      </c>
      <c r="F21" s="28">
        <v>209.43</v>
      </c>
      <c r="G21" s="15">
        <f>IFERROR(F21/F148, "NA")</f>
        <v>0.009647822019</v>
      </c>
      <c r="H21" s="28">
        <v>178.19</v>
      </c>
      <c r="I21" s="15">
        <f>IFERROR(H21/H148, "NA")</f>
        <v>0.008732239896</v>
      </c>
      <c r="J21" s="28">
        <v>176.97</v>
      </c>
      <c r="K21" s="15">
        <f>IFERROR(J21/J148, "NA")</f>
        <v>0.008246743382</v>
      </c>
      <c r="L21" s="28">
        <v>269.78</v>
      </c>
      <c r="M21" s="15">
        <f>IFERROR(L21/L148, "NA")</f>
        <v>0.009079854456</v>
      </c>
      <c r="N21" s="28">
        <v>150.87</v>
      </c>
      <c r="O21" s="15">
        <f>IFERROR(N21/N148, "NA")</f>
        <v>0.005197272078</v>
      </c>
      <c r="P21" s="28">
        <v>176.55</v>
      </c>
      <c r="Q21" s="15">
        <f>IFERROR(P21/P148, "NA")</f>
        <v>0.005827098069</v>
      </c>
      <c r="R21" s="28">
        <v>96.16</v>
      </c>
      <c r="S21" s="15">
        <f>IFERROR(R21/R148, "NA")</f>
        <v>0.003568516746</v>
      </c>
      <c r="T21" s="28">
        <v>159.43</v>
      </c>
      <c r="U21" s="15">
        <f>IFERROR(T21/T148, "NA")</f>
        <v>0.005680720895</v>
      </c>
      <c r="V21" s="28">
        <v>293.12</v>
      </c>
      <c r="W21" s="15">
        <f>IFERROR(V21/V148, "NA")</f>
        <v>0.009578778196</v>
      </c>
      <c r="X21" s="28">
        <v>180.83</v>
      </c>
      <c r="Y21" s="15">
        <f>IFERROR(X21/X148, "NA")</f>
        <v>0.006102435744</v>
      </c>
      <c r="Z21" s="28">
        <v>633.38</v>
      </c>
      <c r="AA21" s="15">
        <f>IFERROR(Z21/Z148, "NA")</f>
        <v>0.007173167475</v>
      </c>
      <c r="AB21" s="57">
        <f t="shared" si="7"/>
        <v>182.385</v>
      </c>
      <c r="AC21" s="15">
        <f>IFERROR(AB21/AB148, "NA")</f>
        <v>0.006330324331</v>
      </c>
      <c r="AD21" s="61">
        <f t="shared" si="8"/>
        <v>-1.555</v>
      </c>
      <c r="AE21" s="62">
        <f>IFERROR(AD21/AD148, "NA")</f>
        <v>-0.001893777935</v>
      </c>
      <c r="AF21" s="61">
        <f t="shared" si="9"/>
        <v>-0.008525920443</v>
      </c>
      <c r="AG21" s="57">
        <f t="shared" si="10"/>
        <v>187.96375</v>
      </c>
      <c r="AH21" s="15">
        <f>IFERROR(AG21/AG148, "NA")</f>
        <v>0.006661147716</v>
      </c>
      <c r="AI21" s="61">
        <f t="shared" si="11"/>
        <v>-7.13375</v>
      </c>
      <c r="AJ21" s="62">
        <f>IFERROR(AI21/AI148, "NA")</f>
        <v>-0.005043274779</v>
      </c>
      <c r="AK21" s="61">
        <f t="shared" si="12"/>
        <v>-0.03795279675</v>
      </c>
      <c r="AL21" s="62">
        <f>IFERROR(AK21/AK148, "NA")</f>
        <v>-0.7571179915</v>
      </c>
    </row>
    <row r="22" ht="16.5" hidden="1" customHeight="1">
      <c r="A22" s="26" t="s">
        <v>78</v>
      </c>
      <c r="B22" s="28">
        <v>0.0</v>
      </c>
      <c r="C22" s="15">
        <f>IFERROR(B22/B148, "NA")</f>
        <v>0</v>
      </c>
      <c r="D22" s="28">
        <v>0.0</v>
      </c>
      <c r="E22" s="15">
        <f>IFERROR(D22/D148, "NA")</f>
        <v>0</v>
      </c>
      <c r="F22" s="28">
        <v>0.0</v>
      </c>
      <c r="G22" s="15">
        <f>IFERROR(F22/F148, "NA")</f>
        <v>0</v>
      </c>
      <c r="H22" s="28">
        <v>0.0</v>
      </c>
      <c r="I22" s="15">
        <f>IFERROR(H22/H148, "NA")</f>
        <v>0</v>
      </c>
      <c r="J22" s="28">
        <v>0.0</v>
      </c>
      <c r="K22" s="15">
        <f>IFERROR(J22/J148, "NA")</f>
        <v>0</v>
      </c>
      <c r="L22" s="28">
        <v>0.0</v>
      </c>
      <c r="M22" s="15">
        <f>IFERROR(L22/L148, "NA")</f>
        <v>0</v>
      </c>
      <c r="N22" s="28">
        <v>0.0</v>
      </c>
      <c r="O22" s="15">
        <f>IFERROR(N22/N148, "NA")</f>
        <v>0</v>
      </c>
      <c r="P22" s="28">
        <v>0.0</v>
      </c>
      <c r="Q22" s="15">
        <f>IFERROR(P22/P148, "NA")</f>
        <v>0</v>
      </c>
      <c r="R22" s="28">
        <v>0.0</v>
      </c>
      <c r="S22" s="15">
        <f>IFERROR(R22/R148, "NA")</f>
        <v>0</v>
      </c>
      <c r="T22" s="28">
        <v>0.0</v>
      </c>
      <c r="U22" s="15">
        <f>IFERROR(T22/T148, "NA")</f>
        <v>0</v>
      </c>
      <c r="V22" s="28">
        <v>0.0</v>
      </c>
      <c r="W22" s="15">
        <f>IFERROR(V22/V148, "NA")</f>
        <v>0</v>
      </c>
      <c r="X22" s="28">
        <v>0.0</v>
      </c>
      <c r="Y22" s="15">
        <f>IFERROR(X22/X148, "NA")</f>
        <v>0</v>
      </c>
      <c r="Z22" s="28">
        <v>0.0</v>
      </c>
      <c r="AA22" s="15">
        <f>IFERROR(Z22/Z148, "NA")</f>
        <v>0</v>
      </c>
      <c r="AB22" s="57">
        <f t="shared" si="7"/>
        <v>0</v>
      </c>
      <c r="AC22" s="15">
        <f>IFERROR(AB22/AB148, "NA")</f>
        <v>0</v>
      </c>
      <c r="AD22" s="61">
        <f t="shared" si="8"/>
        <v>0</v>
      </c>
      <c r="AE22" s="62">
        <f>IFERROR(AD22/AD148, "NA")</f>
        <v>0</v>
      </c>
      <c r="AF22" s="61" t="str">
        <f t="shared" si="9"/>
        <v>NA</v>
      </c>
      <c r="AG22" s="57">
        <f t="shared" si="10"/>
        <v>0</v>
      </c>
      <c r="AH22" s="15">
        <f>IFERROR(AG22/AG148, "NA")</f>
        <v>0</v>
      </c>
      <c r="AI22" s="61">
        <f t="shared" si="11"/>
        <v>0</v>
      </c>
      <c r="AJ22" s="62">
        <f>IFERROR(AI22/AI148, "NA")</f>
        <v>0</v>
      </c>
      <c r="AK22" s="61" t="str">
        <f t="shared" si="12"/>
        <v>NA</v>
      </c>
      <c r="AL22" s="62" t="str">
        <f>IFERROR(AK22/AK148, "NA")</f>
        <v>NA</v>
      </c>
    </row>
    <row r="23" ht="16.5" customHeight="1">
      <c r="A23" s="26" t="s">
        <v>79</v>
      </c>
      <c r="B23" s="28">
        <v>99.99</v>
      </c>
      <c r="C23" s="15">
        <f>IFERROR(B23/B148, "NA")</f>
        <v>0.006917717285</v>
      </c>
      <c r="D23" s="28">
        <v>79.49</v>
      </c>
      <c r="E23" s="15">
        <f>IFERROR(D23/D148, "NA")</f>
        <v>0.004105839652</v>
      </c>
      <c r="F23" s="28">
        <v>148.21</v>
      </c>
      <c r="G23" s="15">
        <f>IFERROR(F23/F148, "NA")</f>
        <v>0.006827597295</v>
      </c>
      <c r="H23" s="28">
        <v>156.78</v>
      </c>
      <c r="I23" s="15">
        <f>IFERROR(H23/H148, "NA")</f>
        <v>0.007683038167</v>
      </c>
      <c r="J23" s="28">
        <v>187.09</v>
      </c>
      <c r="K23" s="15">
        <f>IFERROR(J23/J148, "NA")</f>
        <v>0.00871833203</v>
      </c>
      <c r="L23" s="28">
        <v>105.32</v>
      </c>
      <c r="M23" s="15">
        <f>IFERROR(L23/L148, "NA")</f>
        <v>0.003544704097</v>
      </c>
      <c r="N23" s="28">
        <v>133.62</v>
      </c>
      <c r="O23" s="15">
        <f>IFERROR(N23/N148, "NA")</f>
        <v>0.004603032379</v>
      </c>
      <c r="P23" s="28">
        <v>165.77</v>
      </c>
      <c r="Q23" s="15">
        <f>IFERROR(P23/P148, "NA")</f>
        <v>0.005471300181</v>
      </c>
      <c r="R23" s="28">
        <v>113.39</v>
      </c>
      <c r="S23" s="15">
        <f>IFERROR(R23/R148, "NA")</f>
        <v>0.004207925477</v>
      </c>
      <c r="T23" s="28">
        <v>106.4</v>
      </c>
      <c r="U23" s="15">
        <f>IFERROR(T23/T148, "NA")</f>
        <v>0.003791185494</v>
      </c>
      <c r="V23" s="28">
        <v>228.87</v>
      </c>
      <c r="W23" s="15">
        <f>IFERROR(V23/V148, "NA")</f>
        <v>0.007479172236</v>
      </c>
      <c r="X23" s="28">
        <v>138.65</v>
      </c>
      <c r="Y23" s="15">
        <f>IFERROR(X23/X148, "NA")</f>
        <v>0.004678995276</v>
      </c>
      <c r="Z23" s="28">
        <v>473.92</v>
      </c>
      <c r="AA23" s="15">
        <f>IFERROR(Z23/Z148, "NA")</f>
        <v>0.005367247986</v>
      </c>
      <c r="AB23" s="57">
        <f t="shared" si="7"/>
        <v>146.8275</v>
      </c>
      <c r="AC23" s="15">
        <f>IFERROR(AB23/AB148, "NA")</f>
        <v>0.005096174004</v>
      </c>
      <c r="AD23" s="61">
        <f t="shared" si="8"/>
        <v>-8.1775</v>
      </c>
      <c r="AE23" s="62">
        <f>IFERROR(AD23/AD148, "NA")</f>
        <v>-0.009959079782</v>
      </c>
      <c r="AF23" s="61">
        <f t="shared" si="9"/>
        <v>-0.05569460762</v>
      </c>
      <c r="AG23" s="57">
        <f t="shared" si="10"/>
        <v>147.38875</v>
      </c>
      <c r="AH23" s="15">
        <f>IFERROR(AG23/AG148, "NA")</f>
        <v>0.005223231795</v>
      </c>
      <c r="AI23" s="61">
        <f t="shared" si="11"/>
        <v>-8.73875</v>
      </c>
      <c r="AJ23" s="62">
        <f>IFERROR(AI23/AI148, "NA")</f>
        <v>-0.006177945327</v>
      </c>
      <c r="AK23" s="61">
        <f t="shared" si="12"/>
        <v>-0.0592904818</v>
      </c>
      <c r="AL23" s="62">
        <f>IFERROR(AK23/AK148, "NA")</f>
        <v>-1.182782149</v>
      </c>
    </row>
    <row r="24" ht="16.5" customHeight="1">
      <c r="A24" s="26" t="s">
        <v>80</v>
      </c>
      <c r="B24" s="28">
        <v>992.76</v>
      </c>
      <c r="C24" s="15">
        <f>IFERROR(B24/B148, "NA")</f>
        <v>0.06868319844</v>
      </c>
      <c r="D24" s="28">
        <v>1482.31</v>
      </c>
      <c r="E24" s="15">
        <f>IFERROR(D24/D148, "NA")</f>
        <v>0.07656468957</v>
      </c>
      <c r="F24" s="28">
        <v>1233.09</v>
      </c>
      <c r="G24" s="15">
        <f>IFERROR(F24/F148, "NA")</f>
        <v>0.05680481714</v>
      </c>
      <c r="H24" s="28">
        <v>1683.1</v>
      </c>
      <c r="I24" s="15">
        <f>IFERROR(H24/H148, "NA")</f>
        <v>0.08248068337</v>
      </c>
      <c r="J24" s="28">
        <v>1411.37</v>
      </c>
      <c r="K24" s="15">
        <f>IFERROR(J24/J148, "NA")</f>
        <v>0.06576937451</v>
      </c>
      <c r="L24" s="28">
        <v>1825.24</v>
      </c>
      <c r="M24" s="15">
        <f>IFERROR(L24/L148, "NA")</f>
        <v>0.06143121635</v>
      </c>
      <c r="N24" s="28">
        <v>1716.16</v>
      </c>
      <c r="O24" s="15">
        <f>IFERROR(N24/N148, "NA")</f>
        <v>0.05911944356</v>
      </c>
      <c r="P24" s="28">
        <v>1852.25</v>
      </c>
      <c r="Q24" s="15">
        <f>IFERROR(P24/P148, "NA")</f>
        <v>0.06113419653</v>
      </c>
      <c r="R24" s="28">
        <v>1768.79</v>
      </c>
      <c r="S24" s="15">
        <f>IFERROR(R24/R148, "NA")</f>
        <v>0.06564014908</v>
      </c>
      <c r="T24" s="28">
        <v>2243.09</v>
      </c>
      <c r="U24" s="15">
        <f>IFERROR(T24/T148, "NA")</f>
        <v>0.0799245326</v>
      </c>
      <c r="V24" s="28">
        <v>2039.43</v>
      </c>
      <c r="W24" s="15">
        <f>IFERROR(V24/V148, "NA")</f>
        <v>0.0666459048</v>
      </c>
      <c r="X24" s="28">
        <v>1659.16</v>
      </c>
      <c r="Y24" s="15">
        <f>IFERROR(X24/X148, "NA")</f>
        <v>0.05599135812</v>
      </c>
      <c r="Z24" s="28">
        <v>5941.68</v>
      </c>
      <c r="AA24" s="15">
        <f>IFERROR(Z24/Z148, "NA")</f>
        <v>0.06729082971</v>
      </c>
      <c r="AB24" s="57">
        <f t="shared" si="7"/>
        <v>1927.6175</v>
      </c>
      <c r="AC24" s="15">
        <f>IFERROR(AB24/AB148, "NA")</f>
        <v>0.06690486587</v>
      </c>
      <c r="AD24" s="61">
        <f t="shared" si="8"/>
        <v>-268.4575</v>
      </c>
      <c r="AE24" s="62">
        <f>IFERROR(AD24/AD148, "NA")</f>
        <v>-0.3269446237</v>
      </c>
      <c r="AF24" s="61">
        <f t="shared" si="9"/>
        <v>-0.1392690718</v>
      </c>
      <c r="AG24" s="57">
        <f t="shared" si="10"/>
        <v>1814.43625</v>
      </c>
      <c r="AH24" s="15">
        <f>IFERROR(AG24/AG148, "NA")</f>
        <v>0.06430084461</v>
      </c>
      <c r="AI24" s="61">
        <f t="shared" si="11"/>
        <v>-155.27625</v>
      </c>
      <c r="AJ24" s="62">
        <f>IFERROR(AI24/AI148, "NA")</f>
        <v>-0.1097740733</v>
      </c>
      <c r="AK24" s="61">
        <f t="shared" si="12"/>
        <v>-0.08557823401</v>
      </c>
      <c r="AL24" s="62">
        <f>IFERROR(AK24/AK148, "NA")</f>
        <v>-1.707194889</v>
      </c>
    </row>
    <row r="25" ht="16.5" hidden="1" customHeight="1">
      <c r="A25" s="26" t="s">
        <v>81</v>
      </c>
      <c r="B25" s="28">
        <v>0.0</v>
      </c>
      <c r="C25" s="15">
        <f>IFERROR(B25/B148, "NA")</f>
        <v>0</v>
      </c>
      <c r="D25" s="28">
        <v>0.0</v>
      </c>
      <c r="E25" s="15">
        <f>IFERROR(D25/D148, "NA")</f>
        <v>0</v>
      </c>
      <c r="F25" s="28">
        <v>0.0</v>
      </c>
      <c r="G25" s="15">
        <f>IFERROR(F25/F148, "NA")</f>
        <v>0</v>
      </c>
      <c r="H25" s="28">
        <v>0.0</v>
      </c>
      <c r="I25" s="15">
        <f>IFERROR(H25/H148, "NA")</f>
        <v>0</v>
      </c>
      <c r="J25" s="28">
        <v>0.0</v>
      </c>
      <c r="K25" s="15">
        <f>IFERROR(J25/J148, "NA")</f>
        <v>0</v>
      </c>
      <c r="L25" s="28">
        <v>0.0</v>
      </c>
      <c r="M25" s="15">
        <f>IFERROR(L25/L148, "NA")</f>
        <v>0</v>
      </c>
      <c r="N25" s="28">
        <v>0.0</v>
      </c>
      <c r="O25" s="15">
        <f>IFERROR(N25/N148, "NA")</f>
        <v>0</v>
      </c>
      <c r="P25" s="28">
        <v>0.0</v>
      </c>
      <c r="Q25" s="15">
        <f>IFERROR(P25/P148, "NA")</f>
        <v>0</v>
      </c>
      <c r="R25" s="28">
        <v>0.0</v>
      </c>
      <c r="S25" s="15">
        <f>IFERROR(R25/R148, "NA")</f>
        <v>0</v>
      </c>
      <c r="T25" s="28">
        <v>0.0</v>
      </c>
      <c r="U25" s="15">
        <f>IFERROR(T25/T148, "NA")</f>
        <v>0</v>
      </c>
      <c r="V25" s="28">
        <v>0.0</v>
      </c>
      <c r="W25" s="15">
        <f>IFERROR(V25/V148, "NA")</f>
        <v>0</v>
      </c>
      <c r="X25" s="28">
        <v>0.0</v>
      </c>
      <c r="Y25" s="15">
        <f>IFERROR(X25/X148, "NA")</f>
        <v>0</v>
      </c>
      <c r="Z25" s="28">
        <v>0.0</v>
      </c>
      <c r="AA25" s="15">
        <f>IFERROR(Z25/Z148, "NA")</f>
        <v>0</v>
      </c>
      <c r="AB25" s="57">
        <f t="shared" si="7"/>
        <v>0</v>
      </c>
      <c r="AC25" s="15">
        <f>IFERROR(AB25/AB148, "NA")</f>
        <v>0</v>
      </c>
      <c r="AD25" s="61">
        <f t="shared" si="8"/>
        <v>0</v>
      </c>
      <c r="AE25" s="62">
        <f>IFERROR(AD25/AD148, "NA")</f>
        <v>0</v>
      </c>
      <c r="AF25" s="61" t="str">
        <f t="shared" si="9"/>
        <v>NA</v>
      </c>
      <c r="AG25" s="57">
        <f t="shared" si="10"/>
        <v>0</v>
      </c>
      <c r="AH25" s="15">
        <f>IFERROR(AG25/AG148, "NA")</f>
        <v>0</v>
      </c>
      <c r="AI25" s="61">
        <f t="shared" si="11"/>
        <v>0</v>
      </c>
      <c r="AJ25" s="62">
        <f>IFERROR(AI25/AI148, "NA")</f>
        <v>0</v>
      </c>
      <c r="AK25" s="61" t="str">
        <f t="shared" si="12"/>
        <v>NA</v>
      </c>
      <c r="AL25" s="62" t="str">
        <f>IFERROR(AK25/AK148, "NA")</f>
        <v>NA</v>
      </c>
    </row>
    <row r="26" ht="16.5" hidden="1" customHeight="1">
      <c r="A26" s="26" t="s">
        <v>82</v>
      </c>
      <c r="B26" s="28">
        <v>0.0</v>
      </c>
      <c r="C26" s="15">
        <f>IFERROR(B26/B148, "NA")</f>
        <v>0</v>
      </c>
      <c r="D26" s="28">
        <v>0.0</v>
      </c>
      <c r="E26" s="15">
        <f>IFERROR(D26/D148, "NA")</f>
        <v>0</v>
      </c>
      <c r="F26" s="28">
        <v>0.0</v>
      </c>
      <c r="G26" s="15">
        <f>IFERROR(F26/F148, "NA")</f>
        <v>0</v>
      </c>
      <c r="H26" s="28">
        <v>0.0</v>
      </c>
      <c r="I26" s="15">
        <f>IFERROR(H26/H148, "NA")</f>
        <v>0</v>
      </c>
      <c r="J26" s="28">
        <v>0.0</v>
      </c>
      <c r="K26" s="15">
        <f>IFERROR(J26/J148, "NA")</f>
        <v>0</v>
      </c>
      <c r="L26" s="28">
        <v>0.0</v>
      </c>
      <c r="M26" s="15">
        <f>IFERROR(L26/L148, "NA")</f>
        <v>0</v>
      </c>
      <c r="N26" s="28">
        <v>0.0</v>
      </c>
      <c r="O26" s="15">
        <f>IFERROR(N26/N148, "NA")</f>
        <v>0</v>
      </c>
      <c r="P26" s="28">
        <v>0.0</v>
      </c>
      <c r="Q26" s="15">
        <f>IFERROR(P26/P148, "NA")</f>
        <v>0</v>
      </c>
      <c r="R26" s="28">
        <v>0.0</v>
      </c>
      <c r="S26" s="15">
        <f>IFERROR(R26/R148, "NA")</f>
        <v>0</v>
      </c>
      <c r="T26" s="28">
        <v>0.0</v>
      </c>
      <c r="U26" s="15">
        <f>IFERROR(T26/T148, "NA")</f>
        <v>0</v>
      </c>
      <c r="V26" s="28">
        <v>0.0</v>
      </c>
      <c r="W26" s="15">
        <f>IFERROR(V26/V148, "NA")</f>
        <v>0</v>
      </c>
      <c r="X26" s="28">
        <v>0.0</v>
      </c>
      <c r="Y26" s="15">
        <f>IFERROR(X26/X148, "NA")</f>
        <v>0</v>
      </c>
      <c r="Z26" s="28">
        <v>0.0</v>
      </c>
      <c r="AA26" s="15">
        <f>IFERROR(Z26/Z148, "NA")</f>
        <v>0</v>
      </c>
      <c r="AB26" s="57">
        <f t="shared" si="7"/>
        <v>0</v>
      </c>
      <c r="AC26" s="15">
        <f>IFERROR(AB26/AB148, "NA")</f>
        <v>0</v>
      </c>
      <c r="AD26" s="61">
        <f t="shared" si="8"/>
        <v>0</v>
      </c>
      <c r="AE26" s="62">
        <f>IFERROR(AD26/AD148, "NA")</f>
        <v>0</v>
      </c>
      <c r="AF26" s="61" t="str">
        <f t="shared" si="9"/>
        <v>NA</v>
      </c>
      <c r="AG26" s="57">
        <f t="shared" si="10"/>
        <v>0</v>
      </c>
      <c r="AH26" s="15">
        <f>IFERROR(AG26/AG148, "NA")</f>
        <v>0</v>
      </c>
      <c r="AI26" s="61">
        <f t="shared" si="11"/>
        <v>0</v>
      </c>
      <c r="AJ26" s="62">
        <f>IFERROR(AI26/AI148, "NA")</f>
        <v>0</v>
      </c>
      <c r="AK26" s="61" t="str">
        <f t="shared" si="12"/>
        <v>NA</v>
      </c>
      <c r="AL26" s="62" t="str">
        <f>IFERROR(AK26/AK148, "NA")</f>
        <v>NA</v>
      </c>
    </row>
    <row r="27" ht="16.5" customHeight="1">
      <c r="A27" s="67" t="s">
        <v>83</v>
      </c>
      <c r="B27" s="70">
        <f>IFERROR(B15+B16+B17+B18+B19+B20+B21+B22+B23+B24+B25+B26, "NA")</f>
        <v>3629.31</v>
      </c>
      <c r="C27" s="71">
        <f>IFERROR(B27/B148, "NA")</f>
        <v>0.2510905142</v>
      </c>
      <c r="D27" s="70">
        <f>IFERROR(D15+D16+D17+D18+D19+D20+D21+D22+D23+D24+D25+D26, "NA")</f>
        <v>4739.87</v>
      </c>
      <c r="E27" s="71">
        <f>IFERROR(D27/D148, "NA")</f>
        <v>0.2448250873</v>
      </c>
      <c r="F27" s="70">
        <f>IFERROR(F15+F16+F17+F18+F19+F20+F21+F22+F23+F24+F25+F26, "NA")</f>
        <v>4384.96</v>
      </c>
      <c r="G27" s="71">
        <f>IFERROR(F27/F148, "NA")</f>
        <v>0.2020021661</v>
      </c>
      <c r="H27" s="70">
        <f>IFERROR(H15+H16+H17+H18+H19+H20+H21+H22+H23+H24+H25+H26, "NA")</f>
        <v>5200.31</v>
      </c>
      <c r="I27" s="71">
        <f>IFERROR(H27/H148, "NA")</f>
        <v>0.2548423282</v>
      </c>
      <c r="J27" s="70">
        <f>IFERROR(J15+J16+J17+J18+J19+J20+J21+J22+J23+J24+J25+J26, "NA")</f>
        <v>5379.39</v>
      </c>
      <c r="K27" s="71">
        <f>IFERROR(J27/J148, "NA")</f>
        <v>0.2506777922</v>
      </c>
      <c r="L27" s="70">
        <f>IFERROR(L15+L16+L17+L18+L19+L20+L21+L22+L23+L24+L25+L26, "NA")</f>
        <v>6571.1</v>
      </c>
      <c r="M27" s="71">
        <f>IFERROR(L27/L148, "NA")</f>
        <v>0.2211603218</v>
      </c>
      <c r="N27" s="70">
        <f>IFERROR(N15+N16+N17+N18+N19+N20+N21+N22+N23+N24+N25+N26, "NA")</f>
        <v>6257.33</v>
      </c>
      <c r="O27" s="71">
        <f>IFERROR(N27/N148, "NA")</f>
        <v>0.2155567475</v>
      </c>
      <c r="P27" s="70">
        <f>IFERROR(P15+P16+P17+P18+P19+P20+P21+P22+P23+P24+P25+P26, "NA")</f>
        <v>6970.32</v>
      </c>
      <c r="Q27" s="71">
        <f>IFERROR(P27/P148, "NA")</f>
        <v>0.2300579904</v>
      </c>
      <c r="R27" s="70">
        <f>IFERROR(R15+R16+R17+R18+R19+R20+R21+R22+R23+R24+R25+R26, "NA")</f>
        <v>5989.77</v>
      </c>
      <c r="S27" s="71">
        <f>IFERROR(R27/R148, "NA")</f>
        <v>0.2222815573</v>
      </c>
      <c r="T27" s="70">
        <f>IFERROR(T15+T16+T17+T18+T19+T20+T21+T22+T23+T24+T25+T26, "NA")</f>
        <v>6906.95</v>
      </c>
      <c r="U27" s="71">
        <f>IFERROR(T27/T148, "NA")</f>
        <v>0.2461045925</v>
      </c>
      <c r="V27" s="70">
        <f>IFERROR(V15+V16+V17+V18+V19+V20+V21+V22+V23+V24+V25+V26, "NA")</f>
        <v>7500.99</v>
      </c>
      <c r="W27" s="71">
        <f>IFERROR(V27/V148, "NA")</f>
        <v>0.2451225418</v>
      </c>
      <c r="X27" s="70">
        <f>IFERROR(X15+X16+X17+X18+X19+X20+X21+X22+X23+X24+X25+X26, "NA")</f>
        <v>6364.14</v>
      </c>
      <c r="Y27" s="71">
        <f>IFERROR(X27/X148, "NA")</f>
        <v>0.2147694266</v>
      </c>
      <c r="Z27" s="70">
        <f>IFERROR(Z15+Z16+Z17+Z18+Z19+Z20+Z21+Z22+Z23+Z24+Z25+Z26, "NA")</f>
        <v>20772.08</v>
      </c>
      <c r="AA27" s="71">
        <f>IFERROR(Z27/Z148, "NA")</f>
        <v>0.2352483638</v>
      </c>
      <c r="AB27" s="70">
        <f t="shared" si="7"/>
        <v>6690.4625</v>
      </c>
      <c r="AC27" s="71">
        <f>IFERROR(AB27/AB148, "NA")</f>
        <v>0.2322164517</v>
      </c>
      <c r="AD27" s="75">
        <f t="shared" si="8"/>
        <v>-326.3225</v>
      </c>
      <c r="AE27" s="76">
        <f>IFERROR(AD27/AD148, "NA")</f>
        <v>-0.3974163023</v>
      </c>
      <c r="AF27" s="75">
        <f t="shared" si="9"/>
        <v>-0.0487742813</v>
      </c>
      <c r="AG27" s="70">
        <f t="shared" si="10"/>
        <v>6492.49875</v>
      </c>
      <c r="AH27" s="71">
        <f>IFERROR(AG27/AG148, "NA")</f>
        <v>0.2300842222</v>
      </c>
      <c r="AI27" s="75">
        <f t="shared" si="11"/>
        <v>-128.35875</v>
      </c>
      <c r="AJ27" s="76">
        <f>IFERROR(AI27/AI148, "NA")</f>
        <v>-0.09074448174</v>
      </c>
      <c r="AK27" s="75">
        <f t="shared" si="12"/>
        <v>-0.0197703157</v>
      </c>
      <c r="AL27" s="76">
        <f>IFERROR(AK27/AK148, "NA")</f>
        <v>-0.3943968034</v>
      </c>
    </row>
    <row r="28" ht="16.5" customHeight="1">
      <c r="A28" s="22" t="s">
        <v>84</v>
      </c>
      <c r="B28" s="23"/>
      <c r="C28" s="10"/>
      <c r="D28" s="23"/>
      <c r="E28" s="10"/>
      <c r="F28" s="23"/>
      <c r="G28" s="10"/>
      <c r="H28" s="23"/>
      <c r="I28" s="10"/>
      <c r="J28" s="23"/>
      <c r="K28" s="10"/>
      <c r="L28" s="23"/>
      <c r="M28" s="10"/>
      <c r="N28" s="23"/>
      <c r="O28" s="10"/>
      <c r="P28" s="23"/>
      <c r="Q28" s="10"/>
      <c r="R28" s="23"/>
      <c r="S28" s="10"/>
      <c r="T28" s="23"/>
      <c r="U28" s="10"/>
      <c r="V28" s="23"/>
      <c r="W28" s="10"/>
      <c r="X28" s="23"/>
      <c r="Y28" s="10"/>
      <c r="Z28" s="23"/>
      <c r="AA28" s="10"/>
      <c r="AB28" s="23"/>
      <c r="AC28" s="10"/>
      <c r="AD28" s="24"/>
      <c r="AE28" s="25"/>
      <c r="AF28" s="24"/>
      <c r="AG28" s="23"/>
      <c r="AH28" s="10"/>
      <c r="AI28" s="24"/>
      <c r="AJ28" s="25"/>
      <c r="AK28" s="24"/>
      <c r="AL28" s="25"/>
    </row>
    <row r="29" ht="16.5" hidden="1" customHeight="1">
      <c r="A29" s="26" t="s">
        <v>85</v>
      </c>
      <c r="B29" s="28">
        <v>0.0</v>
      </c>
      <c r="C29" s="15">
        <f>IFERROR(B29/B148, "NA")</f>
        <v>0</v>
      </c>
      <c r="D29" s="28">
        <v>0.0</v>
      </c>
      <c r="E29" s="15">
        <f>IFERROR(D29/D148, "NA")</f>
        <v>0</v>
      </c>
      <c r="F29" s="28">
        <v>0.0</v>
      </c>
      <c r="G29" s="15">
        <f>IFERROR(F29/F148, "NA")</f>
        <v>0</v>
      </c>
      <c r="H29" s="28">
        <v>0.0</v>
      </c>
      <c r="I29" s="15">
        <f>IFERROR(H29/H148, "NA")</f>
        <v>0</v>
      </c>
      <c r="J29" s="28">
        <v>0.0</v>
      </c>
      <c r="K29" s="15">
        <f>IFERROR(J29/J148, "NA")</f>
        <v>0</v>
      </c>
      <c r="L29" s="28">
        <v>0.0</v>
      </c>
      <c r="M29" s="15">
        <f>IFERROR(L29/L148, "NA")</f>
        <v>0</v>
      </c>
      <c r="N29" s="28">
        <v>0.0</v>
      </c>
      <c r="O29" s="15">
        <f>IFERROR(N29/N148, "NA")</f>
        <v>0</v>
      </c>
      <c r="P29" s="28">
        <v>0.0</v>
      </c>
      <c r="Q29" s="15">
        <f>IFERROR(P29/P148, "NA")</f>
        <v>0</v>
      </c>
      <c r="R29" s="28">
        <v>0.0</v>
      </c>
      <c r="S29" s="15">
        <f>IFERROR(R29/R148, "NA")</f>
        <v>0</v>
      </c>
      <c r="T29" s="28">
        <v>0.0</v>
      </c>
      <c r="U29" s="15">
        <f>IFERROR(T29/T148, "NA")</f>
        <v>0</v>
      </c>
      <c r="V29" s="28">
        <v>0.0</v>
      </c>
      <c r="W29" s="15">
        <f>IFERROR(V29/V148, "NA")</f>
        <v>0</v>
      </c>
      <c r="X29" s="28">
        <v>0.0</v>
      </c>
      <c r="Y29" s="15">
        <f>IFERROR(X29/X148, "NA")</f>
        <v>0</v>
      </c>
      <c r="Z29" s="28">
        <v>0.0</v>
      </c>
      <c r="AA29" s="15">
        <f>IFERROR(Z29/Z148, "NA")</f>
        <v>0</v>
      </c>
      <c r="AB29" s="57">
        <f t="shared" ref="AB29:AB35" si="13">IFERROR((R29+T29+V29+X29)/4, "NA")</f>
        <v>0</v>
      </c>
      <c r="AC29" s="15">
        <f>IFERROR(AB29/AB148, "NA")</f>
        <v>0</v>
      </c>
      <c r="AD29" s="61">
        <f t="shared" ref="AD29:AD35" si="14">IFERROR(X29-AB29, "NA")</f>
        <v>0</v>
      </c>
      <c r="AE29" s="62">
        <f>IFERROR(AD29/AD148, "NA")</f>
        <v>0</v>
      </c>
      <c r="AF29" s="61" t="str">
        <f t="shared" ref="AF29:AF35" si="15">IFERROR((X29-AB29)/AB29, "NA")</f>
        <v>NA</v>
      </c>
      <c r="AG29" s="57">
        <f t="shared" ref="AG29:AG35" si="16">IFERROR((J29+L29+N29+P29+R29+T29+V29+X29)/8, "NA")</f>
        <v>0</v>
      </c>
      <c r="AH29" s="15">
        <f>IFERROR(AG29/AG148, "NA")</f>
        <v>0</v>
      </c>
      <c r="AI29" s="61">
        <f t="shared" ref="AI29:AI35" si="17">IFERROR(X29-AG29, "NA")</f>
        <v>0</v>
      </c>
      <c r="AJ29" s="62">
        <f>IFERROR(AI29/AI148, "NA")</f>
        <v>0</v>
      </c>
      <c r="AK29" s="61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6" t="s">
        <v>88</v>
      </c>
      <c r="B30" s="28">
        <v>143.88</v>
      </c>
      <c r="C30" s="15">
        <f>IFERROR(B30/B148, "NA")</f>
        <v>0.00995420705</v>
      </c>
      <c r="D30" s="28">
        <v>231.71</v>
      </c>
      <c r="E30" s="15">
        <f>IFERROR(D30/D148, "NA")</f>
        <v>0.01196834955</v>
      </c>
      <c r="F30" s="28">
        <v>299.16</v>
      </c>
      <c r="G30" s="15">
        <f>IFERROR(F30/F148, "NA")</f>
        <v>0.0137814183</v>
      </c>
      <c r="H30" s="28">
        <v>163.16</v>
      </c>
      <c r="I30" s="15">
        <f>IFERROR(H30/H148, "NA")</f>
        <v>0.007995691461</v>
      </c>
      <c r="J30" s="28">
        <v>252.27</v>
      </c>
      <c r="K30" s="15">
        <f>IFERROR(J30/J148, "NA")</f>
        <v>0.01175569844</v>
      </c>
      <c r="L30" s="28">
        <v>201.46</v>
      </c>
      <c r="M30" s="15">
        <f>IFERROR(L30/L148, "NA")</f>
        <v>0.006780441392</v>
      </c>
      <c r="N30" s="28">
        <v>421.56</v>
      </c>
      <c r="O30" s="15">
        <f>IFERROR(N30/N148, "NA")</f>
        <v>0.01452218478</v>
      </c>
      <c r="P30" s="28">
        <v>299.45</v>
      </c>
      <c r="Q30" s="15">
        <f>IFERROR(P30/P148, "NA")</f>
        <v>0.009883458039</v>
      </c>
      <c r="R30" s="28">
        <v>239.38</v>
      </c>
      <c r="S30" s="15">
        <f>IFERROR(R30/R148, "NA")</f>
        <v>0.008883439462</v>
      </c>
      <c r="T30" s="28">
        <v>543.8</v>
      </c>
      <c r="U30" s="15">
        <f>IFERROR(T30/T148, "NA")</f>
        <v>0.01937637849</v>
      </c>
      <c r="V30" s="28">
        <v>397.57</v>
      </c>
      <c r="W30" s="15">
        <f>IFERROR(V30/V148, "NA")</f>
        <v>0.01299206757</v>
      </c>
      <c r="X30" s="28">
        <v>366.16</v>
      </c>
      <c r="Y30" s="15">
        <f>IFERROR(X30/X148, "NA")</f>
        <v>0.01235673213</v>
      </c>
      <c r="Z30" s="28">
        <v>1307.53</v>
      </c>
      <c r="AA30" s="15">
        <f>IFERROR(Z30/Z148, "NA")</f>
        <v>0.01480806415</v>
      </c>
      <c r="AB30" s="57">
        <f t="shared" si="13"/>
        <v>386.7275</v>
      </c>
      <c r="AC30" s="15">
        <f>IFERROR(AB30/AB148, "NA")</f>
        <v>0.0134227623</v>
      </c>
      <c r="AD30" s="61">
        <f t="shared" si="14"/>
        <v>-20.5675</v>
      </c>
      <c r="AE30" s="62">
        <f>IFERROR(AD30/AD148, "NA")</f>
        <v>-0.02504841008</v>
      </c>
      <c r="AF30" s="61">
        <f t="shared" si="15"/>
        <v>-0.05318344312</v>
      </c>
      <c r="AG30" s="57">
        <f t="shared" si="16"/>
        <v>340.20625</v>
      </c>
      <c r="AH30" s="15">
        <f>IFERROR(AG30/AG148, "NA")</f>
        <v>0.01205638898</v>
      </c>
      <c r="AI30" s="61">
        <f t="shared" si="17"/>
        <v>25.95375</v>
      </c>
      <c r="AJ30" s="62">
        <f>IFERROR(AI30/AI148, "NA")</f>
        <v>0.01834825902</v>
      </c>
      <c r="AK30" s="61">
        <f t="shared" si="18"/>
        <v>0.07628828101</v>
      </c>
      <c r="AL30" s="62">
        <f>IFERROR(AK30/AK148, "NA")</f>
        <v>1.521870192</v>
      </c>
    </row>
    <row r="31" ht="16.5" customHeight="1">
      <c r="A31" s="26" t="s">
        <v>89</v>
      </c>
      <c r="B31" s="28">
        <v>-7.31</v>
      </c>
      <c r="C31" s="15">
        <f>IFERROR(B31/B148, "NA")</f>
        <v>-0.0005057357071</v>
      </c>
      <c r="D31" s="28">
        <v>-0.84</v>
      </c>
      <c r="E31" s="15">
        <f>IFERROR(D31/D148, "NA")</f>
        <v>-0.0000433879143</v>
      </c>
      <c r="F31" s="28">
        <v>37.34</v>
      </c>
      <c r="G31" s="15">
        <f>IFERROR(F31/F148, "NA")</f>
        <v>0.0017201436</v>
      </c>
      <c r="H31" s="28">
        <v>-21.97</v>
      </c>
      <c r="I31" s="15">
        <f>IFERROR(H31/H148, "NA")</f>
        <v>-0.001076644652</v>
      </c>
      <c r="J31" s="28">
        <v>14.54</v>
      </c>
      <c r="K31" s="15">
        <f>IFERROR(J31/J148, "NA")</f>
        <v>0.0006775591839</v>
      </c>
      <c r="L31" s="28">
        <v>17.05</v>
      </c>
      <c r="M31" s="15">
        <f>IFERROR(L31/L148, "NA")</f>
        <v>0.0005738435706</v>
      </c>
      <c r="N31" s="28">
        <v>13.77</v>
      </c>
      <c r="O31" s="15">
        <f>IFERROR(N31/N148, "NA")</f>
        <v>0.0004743582986</v>
      </c>
      <c r="P31" s="28">
        <v>20.25</v>
      </c>
      <c r="Q31" s="15">
        <f>IFERROR(P31/P148, "NA")</f>
        <v>0.000668358742</v>
      </c>
      <c r="R31" s="28">
        <v>17.04</v>
      </c>
      <c r="S31" s="15">
        <f>IFERROR(R31/R148, "NA")</f>
        <v>0.0006323577928</v>
      </c>
      <c r="T31" s="28">
        <v>4.87</v>
      </c>
      <c r="U31" s="15">
        <f>IFERROR(T31/T148, "NA")</f>
        <v>0.0001735251255</v>
      </c>
      <c r="V31" s="28">
        <v>12.18</v>
      </c>
      <c r="W31" s="15">
        <f>IFERROR(V31/V148, "NA")</f>
        <v>0.0003980264684</v>
      </c>
      <c r="X31" s="28">
        <v>4.87</v>
      </c>
      <c r="Y31" s="15">
        <f>IFERROR(X31/X148, "NA")</f>
        <v>0.0001643469672</v>
      </c>
      <c r="Z31" s="28">
        <v>21.92</v>
      </c>
      <c r="AA31" s="15">
        <f>IFERROR(Z31/Z148, "NA")</f>
        <v>0.0002482488096</v>
      </c>
      <c r="AB31" s="57">
        <f t="shared" si="13"/>
        <v>9.74</v>
      </c>
      <c r="AC31" s="15">
        <f>IFERROR(AB31/AB148, "NA")</f>
        <v>0.0003380615675</v>
      </c>
      <c r="AD31" s="61">
        <f t="shared" si="14"/>
        <v>-4.87</v>
      </c>
      <c r="AE31" s="62">
        <f>IFERROR(AD31/AD148, "NA")</f>
        <v>-0.005930995847</v>
      </c>
      <c r="AF31" s="61">
        <f t="shared" si="15"/>
        <v>-0.5</v>
      </c>
      <c r="AG31" s="57">
        <f t="shared" si="16"/>
        <v>13.07125</v>
      </c>
      <c r="AH31" s="15">
        <f>IFERROR(AG31/AG148, "NA")</f>
        <v>0.000463225101</v>
      </c>
      <c r="AI31" s="61">
        <f t="shared" si="17"/>
        <v>-8.20125</v>
      </c>
      <c r="AJ31" s="62">
        <f>IFERROR(AI31/AI148, "NA")</f>
        <v>-0.005797954412</v>
      </c>
      <c r="AK31" s="61">
        <f t="shared" si="18"/>
        <v>-0.6274266042</v>
      </c>
      <c r="AL31" s="62">
        <f>IFERROR(AK31/AK148, "NA")</f>
        <v>-12.51649446</v>
      </c>
    </row>
    <row r="32" ht="16.5" customHeight="1">
      <c r="A32" s="26" t="s">
        <v>90</v>
      </c>
      <c r="B32" s="28">
        <v>-29.9</v>
      </c>
      <c r="C32" s="15">
        <f>IFERROR(B32/B148, "NA")</f>
        <v>-0.002068604329</v>
      </c>
      <c r="D32" s="28">
        <v>0.0</v>
      </c>
      <c r="E32" s="15">
        <f>IFERROR(D32/D148, "NA")</f>
        <v>0</v>
      </c>
      <c r="F32" s="28">
        <v>0.0</v>
      </c>
      <c r="G32" s="15">
        <f>IFERROR(F32/F148, "NA")</f>
        <v>0</v>
      </c>
      <c r="H32" s="28">
        <v>14.95</v>
      </c>
      <c r="I32" s="15">
        <f>IFERROR(H32/H148, "NA")</f>
        <v>0.0007326280176</v>
      </c>
      <c r="J32" s="28">
        <v>14.95</v>
      </c>
      <c r="K32" s="15">
        <f>IFERROR(J32/J148, "NA")</f>
        <v>0.0006966650481</v>
      </c>
      <c r="L32" s="28">
        <v>-29.9</v>
      </c>
      <c r="M32" s="15">
        <f>IFERROR(L32/L148, "NA")</f>
        <v>-0.001006329781</v>
      </c>
      <c r="N32" s="28">
        <v>29.9</v>
      </c>
      <c r="O32" s="15">
        <f>IFERROR(N32/N148, "NA")</f>
        <v>0.001030015478</v>
      </c>
      <c r="P32" s="28">
        <v>0.0</v>
      </c>
      <c r="Q32" s="15">
        <f>IFERROR(P32/P148, "NA")</f>
        <v>0</v>
      </c>
      <c r="R32" s="28">
        <v>0.0</v>
      </c>
      <c r="S32" s="15">
        <f>IFERROR(R32/R148, "NA")</f>
        <v>0</v>
      </c>
      <c r="T32" s="28">
        <v>0.0</v>
      </c>
      <c r="U32" s="15">
        <f>IFERROR(T32/T148, "NA")</f>
        <v>0</v>
      </c>
      <c r="V32" s="28">
        <v>0.0</v>
      </c>
      <c r="W32" s="15">
        <f>IFERROR(V32/V148, "NA")</f>
        <v>0</v>
      </c>
      <c r="X32" s="28">
        <v>0.0</v>
      </c>
      <c r="Y32" s="15">
        <f>IFERROR(X32/X148, "NA")</f>
        <v>0</v>
      </c>
      <c r="Z32" s="28">
        <v>0.0</v>
      </c>
      <c r="AA32" s="15">
        <f>IFERROR(Z32/Z148, "NA")</f>
        <v>0</v>
      </c>
      <c r="AB32" s="57">
        <f t="shared" si="13"/>
        <v>0</v>
      </c>
      <c r="AC32" s="15">
        <f>IFERROR(AB32/AB148, "NA")</f>
        <v>0</v>
      </c>
      <c r="AD32" s="61">
        <f t="shared" si="14"/>
        <v>0</v>
      </c>
      <c r="AE32" s="62">
        <f>IFERROR(AD32/AD148, "NA")</f>
        <v>0</v>
      </c>
      <c r="AF32" s="61" t="str">
        <f t="shared" si="15"/>
        <v>NA</v>
      </c>
      <c r="AG32" s="57">
        <f t="shared" si="16"/>
        <v>1.86875</v>
      </c>
      <c r="AH32" s="15">
        <f>IFERROR(AG32/AG148, "NA")</f>
        <v>0.00006622564081</v>
      </c>
      <c r="AI32" s="61">
        <f t="shared" si="17"/>
        <v>-1.86875</v>
      </c>
      <c r="AJ32" s="62">
        <f>IFERROR(AI32/AI148, "NA")</f>
        <v>-0.001321131206</v>
      </c>
      <c r="AK32" s="61">
        <f t="shared" si="18"/>
        <v>-1</v>
      </c>
      <c r="AL32" s="62">
        <f>IFERROR(AK32/AK148, "NA")</f>
        <v>-19.94893806</v>
      </c>
    </row>
    <row r="33" ht="16.5" customHeight="1">
      <c r="A33" s="26" t="s">
        <v>91</v>
      </c>
      <c r="B33" s="28">
        <v>-14.36</v>
      </c>
      <c r="C33" s="15">
        <f>IFERROR(B33/B148, "NA")</f>
        <v>-0.0009934835504</v>
      </c>
      <c r="D33" s="28">
        <v>7.35</v>
      </c>
      <c r="E33" s="15">
        <f>IFERROR(D33/D148, "NA")</f>
        <v>0.0003796442501</v>
      </c>
      <c r="F33" s="28">
        <v>7.35</v>
      </c>
      <c r="G33" s="15">
        <f>IFERROR(F33/F148, "NA")</f>
        <v>0.0003385928083</v>
      </c>
      <c r="H33" s="28">
        <v>0.0</v>
      </c>
      <c r="I33" s="15">
        <f>IFERROR(H33/H148, "NA")</f>
        <v>0</v>
      </c>
      <c r="J33" s="28">
        <v>6.67</v>
      </c>
      <c r="K33" s="15">
        <f>IFERROR(J33/J148, "NA")</f>
        <v>0.0003108197907</v>
      </c>
      <c r="L33" s="28">
        <v>0.68</v>
      </c>
      <c r="M33" s="15">
        <f>IFERROR(L33/L148, "NA")</f>
        <v>0.00002288642979</v>
      </c>
      <c r="N33" s="28">
        <v>6.67</v>
      </c>
      <c r="O33" s="15">
        <f>IFERROR(N33/N148, "NA")</f>
        <v>0.0002297726835</v>
      </c>
      <c r="P33" s="28">
        <v>29.74</v>
      </c>
      <c r="Q33" s="15">
        <f>IFERROR(P33/P148, "NA")</f>
        <v>0.000981579703</v>
      </c>
      <c r="R33" s="28">
        <v>7.01</v>
      </c>
      <c r="S33" s="15">
        <f>IFERROR(R33/R148, "NA")</f>
        <v>0.0002601424957</v>
      </c>
      <c r="T33" s="28">
        <v>7.35</v>
      </c>
      <c r="U33" s="15">
        <f>IFERROR(T33/T148, "NA")</f>
        <v>0.0002618911032</v>
      </c>
      <c r="V33" s="28">
        <v>-7.35</v>
      </c>
      <c r="W33" s="15">
        <f>IFERROR(V33/V148, "NA")</f>
        <v>-0.0002401883861</v>
      </c>
      <c r="X33" s="28">
        <v>0.0</v>
      </c>
      <c r="Y33" s="15">
        <f>IFERROR(X33/X148, "NA")</f>
        <v>0</v>
      </c>
      <c r="Z33" s="28">
        <v>0.0</v>
      </c>
      <c r="AA33" s="15">
        <f>IFERROR(Z33/Z148, "NA")</f>
        <v>0</v>
      </c>
      <c r="AB33" s="57">
        <f t="shared" si="13"/>
        <v>1.7525</v>
      </c>
      <c r="AC33" s="15">
        <f>IFERROR(AB33/AB148, "NA")</f>
        <v>0.00006082678614</v>
      </c>
      <c r="AD33" s="61">
        <f t="shared" si="14"/>
        <v>-1.7525</v>
      </c>
      <c r="AE33" s="62">
        <f>IFERROR(AD33/AD148, "NA")</f>
        <v>-0.002134306</v>
      </c>
      <c r="AF33" s="61">
        <f t="shared" si="15"/>
        <v>-1</v>
      </c>
      <c r="AG33" s="57">
        <f t="shared" si="16"/>
        <v>6.34625</v>
      </c>
      <c r="AH33" s="15">
        <f>IFERROR(AG33/AG148, "NA")</f>
        <v>0.0002249013902</v>
      </c>
      <c r="AI33" s="61">
        <f t="shared" si="17"/>
        <v>-6.34625</v>
      </c>
      <c r="AJ33" s="62">
        <f>IFERROR(AI33/AI148, "NA")</f>
        <v>-0.004486543903</v>
      </c>
      <c r="AK33" s="61">
        <f t="shared" si="18"/>
        <v>-1</v>
      </c>
      <c r="AL33" s="62">
        <f>IFERROR(AK33/AK148, "NA")</f>
        <v>-19.94893806</v>
      </c>
    </row>
    <row r="34" ht="16.5" customHeight="1">
      <c r="A34" s="67" t="s">
        <v>92</v>
      </c>
      <c r="B34" s="70">
        <f>IFERROR(B29+B30+B31+B32+B33, "NA")</f>
        <v>92.31</v>
      </c>
      <c r="C34" s="71">
        <f>IFERROR(B34/B148, "NA")</f>
        <v>0.006386383464</v>
      </c>
      <c r="D34" s="70">
        <f>IFERROR(D29+D30+D31+D32+D33, "NA")</f>
        <v>238.22</v>
      </c>
      <c r="E34" s="71">
        <f>IFERROR(D34/D148, "NA")</f>
        <v>0.01230460589</v>
      </c>
      <c r="F34" s="70">
        <f>IFERROR(F29+F30+F31+F32+F33, "NA")</f>
        <v>343.85</v>
      </c>
      <c r="G34" s="71">
        <f>IFERROR(F34/F148, "NA")</f>
        <v>0.01584015471</v>
      </c>
      <c r="H34" s="70">
        <f>IFERROR(H29+H30+H31+H32+H33, "NA")</f>
        <v>156.14</v>
      </c>
      <c r="I34" s="71">
        <f>IFERROR(H34/H148, "NA")</f>
        <v>0.007651674827</v>
      </c>
      <c r="J34" s="70">
        <f>IFERROR(J29+J30+J31+J32+J33, "NA")</f>
        <v>288.43</v>
      </c>
      <c r="K34" s="71">
        <f>IFERROR(J34/J148, "NA")</f>
        <v>0.01344074246</v>
      </c>
      <c r="L34" s="70">
        <f>IFERROR(L29+L30+L31+L32+L33, "NA")</f>
        <v>189.29</v>
      </c>
      <c r="M34" s="71">
        <f>IFERROR(L34/L148, "NA")</f>
        <v>0.006370841611</v>
      </c>
      <c r="N34" s="70">
        <f>IFERROR(N29+N30+N31+N32+N33, "NA")</f>
        <v>471.9</v>
      </c>
      <c r="O34" s="71">
        <f>IFERROR(N34/N148, "NA")</f>
        <v>0.01625633124</v>
      </c>
      <c r="P34" s="70">
        <f>IFERROR(P29+P30+P31+P32+P33, "NA")</f>
        <v>349.44</v>
      </c>
      <c r="Q34" s="71">
        <f>IFERROR(P34/P148, "NA")</f>
        <v>0.01153339648</v>
      </c>
      <c r="R34" s="70">
        <f>IFERROR(R29+R30+R31+R32+R33, "NA")</f>
        <v>263.43</v>
      </c>
      <c r="S34" s="71">
        <f>IFERROR(R34/R148, "NA")</f>
        <v>0.009775939751</v>
      </c>
      <c r="T34" s="70">
        <f>IFERROR(T29+T30+T31+T32+T33, "NA")</f>
        <v>556.02</v>
      </c>
      <c r="U34" s="71">
        <f>IFERROR(T34/T148, "NA")</f>
        <v>0.01981179472</v>
      </c>
      <c r="V34" s="70">
        <f>IFERROR(V29+V30+V31+V32+V33, "NA")</f>
        <v>402.4</v>
      </c>
      <c r="W34" s="71">
        <f>IFERROR(V34/V148, "NA")</f>
        <v>0.01314990566</v>
      </c>
      <c r="X34" s="70">
        <f>IFERROR(X29+X30+X31+X32+X33, "NA")</f>
        <v>371.03</v>
      </c>
      <c r="Y34" s="71">
        <f>IFERROR(X34/X148, "NA")</f>
        <v>0.0125210791</v>
      </c>
      <c r="Z34" s="70">
        <f>IFERROR(Z29+Z30+Z31+Z32+Z33, "NA")</f>
        <v>1329.45</v>
      </c>
      <c r="AA34" s="71">
        <f>IFERROR(Z34/Z148, "NA")</f>
        <v>0.01505631295</v>
      </c>
      <c r="AB34" s="70">
        <f t="shared" si="13"/>
        <v>398.22</v>
      </c>
      <c r="AC34" s="71">
        <f>IFERROR(AB34/AB148, "NA")</f>
        <v>0.01382165066</v>
      </c>
      <c r="AD34" s="75">
        <f t="shared" si="14"/>
        <v>-27.19</v>
      </c>
      <c r="AE34" s="76">
        <f>IFERROR(AD34/AD148, "NA")</f>
        <v>-0.03311371193</v>
      </c>
      <c r="AF34" s="75">
        <f t="shared" si="15"/>
        <v>-0.06827884084</v>
      </c>
      <c r="AG34" s="70">
        <f t="shared" si="16"/>
        <v>361.4925</v>
      </c>
      <c r="AH34" s="71">
        <f>IFERROR(AG34/AG148, "NA")</f>
        <v>0.01281074112</v>
      </c>
      <c r="AI34" s="75">
        <f t="shared" si="17"/>
        <v>9.5375</v>
      </c>
      <c r="AJ34" s="76">
        <f>IFERROR(AI34/AI148, "NA")</f>
        <v>0.006742629502</v>
      </c>
      <c r="AK34" s="75">
        <f t="shared" si="18"/>
        <v>0.02638367324</v>
      </c>
      <c r="AL34" s="76">
        <f>IFERROR(AK34/AK148, "NA")</f>
        <v>0.5263262633</v>
      </c>
    </row>
    <row r="35" ht="16.5" customHeight="1">
      <c r="A35" s="67" t="s">
        <v>93</v>
      </c>
      <c r="B35" s="70">
        <f>IFERROR(B13+B15+B16+B17+B18+B19+B20+B21+B22+B23+B24+B25+B26+B29+B30+B31+B32+B33, "NA")</f>
        <v>3721.62</v>
      </c>
      <c r="C35" s="71">
        <f>IFERROR(B35/B148, "NA")</f>
        <v>0.2574768977</v>
      </c>
      <c r="D35" s="70">
        <f>IFERROR(D13+D15+D16+D17+D18+D19+D20+D21+D22+D23+D24+D25+D26+D29+D30+D31+D32+D33, "NA")</f>
        <v>4978.09</v>
      </c>
      <c r="E35" s="71">
        <f>IFERROR(D35/D148, "NA")</f>
        <v>0.2571296932</v>
      </c>
      <c r="F35" s="70">
        <f>IFERROR(F13+F15+F16+F17+F18+F19+F20+F21+F22+F23+F24+F25+F26+F29+F30+F31+F32+F33, "NA")</f>
        <v>4728.81</v>
      </c>
      <c r="G35" s="71">
        <f>IFERROR(F35/F148, "NA")</f>
        <v>0.2178423208</v>
      </c>
      <c r="H35" s="70">
        <f>IFERROR(H13+H15+H16+H17+H18+H19+H20+H21+H22+H23+H24+H25+H26+H29+H30+H31+H32+H33, "NA")</f>
        <v>5356.45</v>
      </c>
      <c r="I35" s="71">
        <f>IFERROR(H35/H148, "NA")</f>
        <v>0.262494003</v>
      </c>
      <c r="J35" s="70">
        <f>IFERROR(J13+J15+J16+J17+J18+J19+J20+J21+J22+J23+J24+J25+J26+J29+J30+J31+J32+J33, "NA")</f>
        <v>5667.82</v>
      </c>
      <c r="K35" s="71">
        <f>IFERROR(J35/J148, "NA")</f>
        <v>0.2641185346</v>
      </c>
      <c r="L35" s="70">
        <f>IFERROR(L13+L15+L16+L17+L18+L19+L20+L21+L22+L23+L24+L25+L26+L29+L30+L31+L32+L33, "NA")</f>
        <v>6760.39</v>
      </c>
      <c r="M35" s="71">
        <f>IFERROR(L35/L148, "NA")</f>
        <v>0.2275311634</v>
      </c>
      <c r="N35" s="70">
        <f>IFERROR(N13+N15+N16+N17+N18+N19+N20+N21+N22+N23+N24+N25+N26+N29+N30+N31+N32+N33, "NA")</f>
        <v>6729.23</v>
      </c>
      <c r="O35" s="71">
        <f>IFERROR(N35/N148, "NA")</f>
        <v>0.2318130787</v>
      </c>
      <c r="P35" s="70">
        <f>IFERROR(P13+P15+P16+P17+P18+P19+P20+P21+P22+P23+P24+P25+P26+P29+P30+P31+P32+P33, "NA")</f>
        <v>7319.76</v>
      </c>
      <c r="Q35" s="71">
        <f>IFERROR(P35/P148, "NA")</f>
        <v>0.2415913869</v>
      </c>
      <c r="R35" s="70">
        <f>IFERROR(R13+R15+R16+R17+R18+R19+R20+R21+R22+R23+R24+R25+R26+R29+R30+R31+R32+R33, "NA")</f>
        <v>6253.2</v>
      </c>
      <c r="S35" s="71">
        <f>IFERROR(R35/R148, "NA")</f>
        <v>0.2320574971</v>
      </c>
      <c r="T35" s="70">
        <f>IFERROR(T13+T15+T16+T17+T18+T19+T20+T21+T22+T23+T24+T25+T26+T29+T30+T31+T32+T33, "NA")</f>
        <v>7462.97</v>
      </c>
      <c r="U35" s="71">
        <f>IFERROR(T35/T148, "NA")</f>
        <v>0.2659163873</v>
      </c>
      <c r="V35" s="70">
        <f>IFERROR(V13+V15+V16+V17+V18+V19+V20+V21+V22+V23+V24+V25+V26+V29+V30+V31+V32+V33, "NA")</f>
        <v>7903.39</v>
      </c>
      <c r="W35" s="71">
        <f>IFERROR(V35/V148, "NA")</f>
        <v>0.2582724475</v>
      </c>
      <c r="X35" s="70">
        <f>IFERROR(X13+X15+X16+X17+X18+X19+X20+X21+X22+X23+X24+X25+X26+X29+X30+X31+X32+X33, "NA")</f>
        <v>6735.17</v>
      </c>
      <c r="Y35" s="71">
        <f>IFERROR(X35/X148, "NA")</f>
        <v>0.2272905057</v>
      </c>
      <c r="Z35" s="70">
        <f>IFERROR(Z13+Z15+Z16+Z17+Z18+Z19+Z20+Z21+Z22+Z23+Z24+Z25+Z26+Z29+Z30+Z31+Z32+Z33, "NA")</f>
        <v>22101.53</v>
      </c>
      <c r="AA35" s="71">
        <f>IFERROR(Z35/Z148, "NA")</f>
        <v>0.2503046767</v>
      </c>
      <c r="AB35" s="70">
        <f t="shared" si="13"/>
        <v>7088.6825</v>
      </c>
      <c r="AC35" s="71">
        <f>IFERROR(AB35/AB148, "NA")</f>
        <v>0.2460381024</v>
      </c>
      <c r="AD35" s="75">
        <f t="shared" si="14"/>
        <v>-353.5125</v>
      </c>
      <c r="AE35" s="76">
        <f>IFERROR(AD35/AD148, "NA")</f>
        <v>-0.4305300142</v>
      </c>
      <c r="AF35" s="75">
        <f t="shared" si="15"/>
        <v>-0.04986998642</v>
      </c>
      <c r="AG35" s="70">
        <f t="shared" si="16"/>
        <v>6853.99125</v>
      </c>
      <c r="AH35" s="71">
        <f>IFERROR(AG35/AG148, "NA")</f>
        <v>0.2428949633</v>
      </c>
      <c r="AI35" s="75">
        <f t="shared" si="17"/>
        <v>-118.82125</v>
      </c>
      <c r="AJ35" s="76">
        <f>IFERROR(AI35/AI148, "NA")</f>
        <v>-0.08400185223</v>
      </c>
      <c r="AK35" s="75">
        <f t="shared" si="18"/>
        <v>-0.01733606678</v>
      </c>
      <c r="AL35" s="76">
        <f>IFERROR(AK35/AK148, "NA")</f>
        <v>-0.3458361223</v>
      </c>
    </row>
    <row r="36" ht="16.5" customHeight="1">
      <c r="A36" s="22" t="s">
        <v>94</v>
      </c>
      <c r="B36" s="23"/>
      <c r="C36" s="10"/>
      <c r="D36" s="23"/>
      <c r="E36" s="10"/>
      <c r="F36" s="23"/>
      <c r="G36" s="10"/>
      <c r="H36" s="23"/>
      <c r="I36" s="10"/>
      <c r="J36" s="23"/>
      <c r="K36" s="10"/>
      <c r="L36" s="23"/>
      <c r="M36" s="10"/>
      <c r="N36" s="23"/>
      <c r="O36" s="10"/>
      <c r="P36" s="23"/>
      <c r="Q36" s="10"/>
      <c r="R36" s="23"/>
      <c r="S36" s="10"/>
      <c r="T36" s="23"/>
      <c r="U36" s="10"/>
      <c r="V36" s="23"/>
      <c r="W36" s="10"/>
      <c r="X36" s="23"/>
      <c r="Y36" s="10"/>
      <c r="Z36" s="23"/>
      <c r="AA36" s="10"/>
      <c r="AB36" s="23"/>
      <c r="AC36" s="10"/>
      <c r="AD36" s="24"/>
      <c r="AE36" s="25"/>
      <c r="AF36" s="24"/>
      <c r="AG36" s="23"/>
      <c r="AH36" s="10"/>
      <c r="AI36" s="24"/>
      <c r="AJ36" s="25"/>
      <c r="AK36" s="24"/>
      <c r="AL36" s="25"/>
    </row>
    <row r="37" ht="16.5" hidden="1" customHeight="1">
      <c r="A37" s="26" t="s">
        <v>95</v>
      </c>
      <c r="B37" s="28">
        <v>0.0</v>
      </c>
      <c r="C37" s="15">
        <f>IFERROR(B37/B148, "NA")</f>
        <v>0</v>
      </c>
      <c r="D37" s="28">
        <v>0.0</v>
      </c>
      <c r="E37" s="15">
        <f>IFERROR(D37/D148, "NA")</f>
        <v>0</v>
      </c>
      <c r="F37" s="28">
        <v>0.0</v>
      </c>
      <c r="G37" s="15">
        <f>IFERROR(F37/F148, "NA")</f>
        <v>0</v>
      </c>
      <c r="H37" s="28">
        <v>0.0</v>
      </c>
      <c r="I37" s="15">
        <f>IFERROR(H37/H148, "NA")</f>
        <v>0</v>
      </c>
      <c r="J37" s="28">
        <v>0.0</v>
      </c>
      <c r="K37" s="15">
        <f>IFERROR(J37/J148, "NA")</f>
        <v>0</v>
      </c>
      <c r="L37" s="28">
        <v>0.0</v>
      </c>
      <c r="M37" s="15">
        <f>IFERROR(L37/L148, "NA")</f>
        <v>0</v>
      </c>
      <c r="N37" s="28">
        <v>0.0</v>
      </c>
      <c r="O37" s="15">
        <f>IFERROR(N37/N148, "NA")</f>
        <v>0</v>
      </c>
      <c r="P37" s="28">
        <v>0.0</v>
      </c>
      <c r="Q37" s="15">
        <f>IFERROR(P37/P148, "NA")</f>
        <v>0</v>
      </c>
      <c r="R37" s="28">
        <v>0.0</v>
      </c>
      <c r="S37" s="15">
        <f>IFERROR(R37/R148, "NA")</f>
        <v>0</v>
      </c>
      <c r="T37" s="28">
        <v>0.0</v>
      </c>
      <c r="U37" s="15">
        <f>IFERROR(T37/T148, "NA")</f>
        <v>0</v>
      </c>
      <c r="V37" s="28">
        <v>0.0</v>
      </c>
      <c r="W37" s="15">
        <f>IFERROR(V37/V148, "NA")</f>
        <v>0</v>
      </c>
      <c r="X37" s="28">
        <v>0.0</v>
      </c>
      <c r="Y37" s="15">
        <f>IFERROR(X37/X148, "NA")</f>
        <v>0</v>
      </c>
      <c r="Z37" s="28">
        <v>0.0</v>
      </c>
      <c r="AA37" s="15">
        <f>IFERROR(Z37/Z148, "NA")</f>
        <v>0</v>
      </c>
      <c r="AB37" s="57">
        <f>IFERROR((R37+T37+V37+X37)/4, "NA")</f>
        <v>0</v>
      </c>
      <c r="AC37" s="15">
        <f>IFERROR(AB37/AB148, "NA")</f>
        <v>0</v>
      </c>
      <c r="AD37" s="61">
        <f>IFERROR(X37-AB37, "NA")</f>
        <v>0</v>
      </c>
      <c r="AE37" s="62">
        <f>IFERROR(AD37/AD148, "NA")</f>
        <v>0</v>
      </c>
      <c r="AF37" s="61" t="str">
        <f>IFERROR((X37-AB37)/AB37, "NA")</f>
        <v>NA</v>
      </c>
      <c r="AG37" s="57">
        <f>IFERROR((J37+L37+N37+P37+R37+T37+V37+X37)/8, "NA")</f>
        <v>0</v>
      </c>
      <c r="AH37" s="15">
        <f>IFERROR(AG37/AG148, "NA")</f>
        <v>0</v>
      </c>
      <c r="AI37" s="61">
        <f>IFERROR(X37-AG37, "NA")</f>
        <v>0</v>
      </c>
      <c r="AJ37" s="62">
        <f>IFERROR(AI37/AI148, "NA")</f>
        <v>0</v>
      </c>
      <c r="AK37" s="61" t="str">
        <f>IFERROR((X37-AG37)/AG37, "NA")</f>
        <v>NA</v>
      </c>
      <c r="AL37" s="62" t="str">
        <f>IFERROR(AK37/AK148, "NA")</f>
        <v>NA</v>
      </c>
    </row>
    <row r="38" ht="16.5" customHeight="1">
      <c r="A38" s="22" t="s">
        <v>96</v>
      </c>
      <c r="B38" s="23"/>
      <c r="C38" s="10"/>
      <c r="D38" s="23"/>
      <c r="E38" s="10"/>
      <c r="F38" s="23"/>
      <c r="G38" s="10"/>
      <c r="H38" s="23"/>
      <c r="I38" s="10"/>
      <c r="J38" s="23"/>
      <c r="K38" s="10"/>
      <c r="L38" s="23"/>
      <c r="M38" s="10"/>
      <c r="N38" s="23"/>
      <c r="O38" s="10"/>
      <c r="P38" s="23"/>
      <c r="Q38" s="10"/>
      <c r="R38" s="23"/>
      <c r="S38" s="10"/>
      <c r="T38" s="23"/>
      <c r="U38" s="10"/>
      <c r="V38" s="23"/>
      <c r="W38" s="10"/>
      <c r="X38" s="23"/>
      <c r="Y38" s="10"/>
      <c r="Z38" s="23"/>
      <c r="AA38" s="10"/>
      <c r="AB38" s="23"/>
      <c r="AC38" s="10"/>
      <c r="AD38" s="24"/>
      <c r="AE38" s="25"/>
      <c r="AF38" s="24"/>
      <c r="AG38" s="23"/>
      <c r="AH38" s="10"/>
      <c r="AI38" s="24"/>
      <c r="AJ38" s="25"/>
      <c r="AK38" s="24"/>
      <c r="AL38" s="25"/>
    </row>
    <row r="39" ht="16.5" hidden="1" customHeight="1">
      <c r="A39" s="26" t="s">
        <v>97</v>
      </c>
      <c r="B39" s="28">
        <v>0.0</v>
      </c>
      <c r="C39" s="15">
        <f>IFERROR(B39/B148, "NA")</f>
        <v>0</v>
      </c>
      <c r="D39" s="28">
        <v>0.0</v>
      </c>
      <c r="E39" s="15">
        <f>IFERROR(D39/D148, "NA")</f>
        <v>0</v>
      </c>
      <c r="F39" s="28">
        <v>0.0</v>
      </c>
      <c r="G39" s="15">
        <f>IFERROR(F39/F148, "NA")</f>
        <v>0</v>
      </c>
      <c r="H39" s="28">
        <v>0.0</v>
      </c>
      <c r="I39" s="15">
        <f>IFERROR(H39/H148, "NA")</f>
        <v>0</v>
      </c>
      <c r="J39" s="28">
        <v>0.0</v>
      </c>
      <c r="K39" s="15">
        <f>IFERROR(J39/J148, "NA")</f>
        <v>0</v>
      </c>
      <c r="L39" s="28">
        <v>0.0</v>
      </c>
      <c r="M39" s="15">
        <f>IFERROR(L39/L148, "NA")</f>
        <v>0</v>
      </c>
      <c r="N39" s="28">
        <v>0.0</v>
      </c>
      <c r="O39" s="15">
        <f>IFERROR(N39/N148, "NA")</f>
        <v>0</v>
      </c>
      <c r="P39" s="28">
        <v>0.0</v>
      </c>
      <c r="Q39" s="15">
        <f>IFERROR(P39/P148, "NA")</f>
        <v>0</v>
      </c>
      <c r="R39" s="28">
        <v>0.0</v>
      </c>
      <c r="S39" s="15">
        <f>IFERROR(R39/R148, "NA")</f>
        <v>0</v>
      </c>
      <c r="T39" s="28">
        <v>0.0</v>
      </c>
      <c r="U39" s="15">
        <f>IFERROR(T39/T148, "NA")</f>
        <v>0</v>
      </c>
      <c r="V39" s="28">
        <v>0.0</v>
      </c>
      <c r="W39" s="15">
        <f>IFERROR(V39/V148, "NA")</f>
        <v>0</v>
      </c>
      <c r="X39" s="28">
        <v>0.0</v>
      </c>
      <c r="Y39" s="15">
        <f>IFERROR(X39/X148, "NA")</f>
        <v>0</v>
      </c>
      <c r="Z39" s="28">
        <v>0.0</v>
      </c>
      <c r="AA39" s="15">
        <f>IFERROR(Z39/Z148, "NA")</f>
        <v>0</v>
      </c>
      <c r="AB39" s="57">
        <f t="shared" ref="AB39:AB44" si="19">IFERROR((R39+T39+V39+X39)/4, "NA")</f>
        <v>0</v>
      </c>
      <c r="AC39" s="15">
        <f>IFERROR(AB39/AB148, "NA")</f>
        <v>0</v>
      </c>
      <c r="AD39" s="61">
        <f t="shared" ref="AD39:AD44" si="20">IFERROR(X39-AB39, "NA")</f>
        <v>0</v>
      </c>
      <c r="AE39" s="62">
        <f>IFERROR(AD39/AD148, "NA")</f>
        <v>0</v>
      </c>
      <c r="AF39" s="61" t="str">
        <f t="shared" ref="AF39:AF44" si="21">IFERROR((X39-AB39)/AB39, "NA")</f>
        <v>NA</v>
      </c>
      <c r="AG39" s="57">
        <f t="shared" ref="AG39:AG44" si="22">IFERROR((J39+L39+N39+P39+R39+T39+V39+X39)/8, "NA")</f>
        <v>0</v>
      </c>
      <c r="AH39" s="15">
        <f>IFERROR(AG39/AG148, "NA")</f>
        <v>0</v>
      </c>
      <c r="AI39" s="61">
        <f t="shared" ref="AI39:AI44" si="23">IFERROR(X39-AG39, "NA")</f>
        <v>0</v>
      </c>
      <c r="AJ39" s="62">
        <f>IFERROR(AI39/AI148, "NA")</f>
        <v>0</v>
      </c>
      <c r="AK39" s="61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6" t="s">
        <v>100</v>
      </c>
      <c r="B40" s="28">
        <v>331.37</v>
      </c>
      <c r="C40" s="15">
        <f>IFERROR(B40/B148, "NA")</f>
        <v>0.02292553232</v>
      </c>
      <c r="D40" s="28">
        <v>690.83</v>
      </c>
      <c r="E40" s="15">
        <f>IFERROR(D40/D148, "NA")</f>
        <v>0.03568294385</v>
      </c>
      <c r="F40" s="28">
        <v>701.37</v>
      </c>
      <c r="G40" s="15">
        <f>IFERROR(F40/F148, "NA")</f>
        <v>0.03231004598</v>
      </c>
      <c r="H40" s="28">
        <v>729.42</v>
      </c>
      <c r="I40" s="15">
        <f>IFERROR(H40/H148, "NA")</f>
        <v>0.03574538653</v>
      </c>
      <c r="J40" s="28">
        <v>605.84</v>
      </c>
      <c r="K40" s="15">
        <f>IFERROR(J40/J148, "NA")</f>
        <v>0.02823194333</v>
      </c>
      <c r="L40" s="28">
        <v>931.27</v>
      </c>
      <c r="M40" s="15">
        <f>IFERROR(L40/L148, "NA")</f>
        <v>0.03134330217</v>
      </c>
      <c r="N40" s="28">
        <v>843.71</v>
      </c>
      <c r="O40" s="15">
        <f>IFERROR(N40/N148, "NA")</f>
        <v>0.02906469427</v>
      </c>
      <c r="P40" s="28">
        <v>817.71</v>
      </c>
      <c r="Q40" s="15">
        <f>IFERROR(P40/P148, "NA")</f>
        <v>0.02698882108</v>
      </c>
      <c r="R40" s="28">
        <v>764.71</v>
      </c>
      <c r="S40" s="15">
        <f>IFERROR(R40/R148, "NA")</f>
        <v>0.02837854036</v>
      </c>
      <c r="T40" s="28">
        <v>1034.61</v>
      </c>
      <c r="U40" s="15">
        <f>IFERROR(T40/T148, "NA")</f>
        <v>0.03686464684</v>
      </c>
      <c r="V40" s="28">
        <v>955.4</v>
      </c>
      <c r="W40" s="15">
        <f>IFERROR(V40/V148, "NA")</f>
        <v>0.03122122233</v>
      </c>
      <c r="X40" s="28">
        <v>744.37</v>
      </c>
      <c r="Y40" s="15">
        <f>IFERROR(X40/X148, "NA")</f>
        <v>0.02512011334</v>
      </c>
      <c r="Z40" s="28">
        <v>2734.38</v>
      </c>
      <c r="AA40" s="15">
        <f>IFERROR(Z40/Z148, "NA")</f>
        <v>0.03096745347</v>
      </c>
      <c r="AB40" s="57">
        <f t="shared" si="19"/>
        <v>874.7725</v>
      </c>
      <c r="AC40" s="15">
        <f>IFERROR(AB40/AB148, "NA")</f>
        <v>0.03036211114</v>
      </c>
      <c r="AD40" s="61">
        <f t="shared" si="20"/>
        <v>-130.4025</v>
      </c>
      <c r="AE40" s="62">
        <f>IFERROR(AD40/AD148, "NA")</f>
        <v>-0.1588124612</v>
      </c>
      <c r="AF40" s="61">
        <f t="shared" si="21"/>
        <v>-0.1490701868</v>
      </c>
      <c r="AG40" s="57">
        <f t="shared" si="22"/>
        <v>837.2025</v>
      </c>
      <c r="AH40" s="15">
        <f>IFERROR(AG40/AG148, "NA")</f>
        <v>0.02966917568</v>
      </c>
      <c r="AI40" s="61">
        <f t="shared" si="23"/>
        <v>-92.8325</v>
      </c>
      <c r="AJ40" s="62">
        <f>IFERROR(AI40/AI148, "NA")</f>
        <v>-0.06562884962</v>
      </c>
      <c r="AK40" s="61">
        <f t="shared" si="24"/>
        <v>-0.1108841648</v>
      </c>
      <c r="AL40" s="62">
        <f>IFERROR(AK40/AK148, "NA")</f>
        <v>-2.212021336</v>
      </c>
    </row>
    <row r="41" ht="16.5" customHeight="1">
      <c r="A41" s="26" t="s">
        <v>101</v>
      </c>
      <c r="B41" s="28">
        <v>48.28</v>
      </c>
      <c r="C41" s="15">
        <f>IFERROR(B41/B148, "NA")</f>
        <v>0.003340207926</v>
      </c>
      <c r="D41" s="28">
        <v>409.9</v>
      </c>
      <c r="E41" s="15">
        <f>IFERROR(D41/D148, "NA")</f>
        <v>0.02117226913</v>
      </c>
      <c r="F41" s="28">
        <v>336.43</v>
      </c>
      <c r="G41" s="15">
        <f>IFERROR(F41/F148, "NA")</f>
        <v>0.01549833721</v>
      </c>
      <c r="H41" s="28">
        <v>426.83</v>
      </c>
      <c r="I41" s="15">
        <f>IFERROR(H41/H148, "NA")</f>
        <v>0.02091689744</v>
      </c>
      <c r="J41" s="28">
        <v>225.83</v>
      </c>
      <c r="K41" s="15">
        <f>IFERROR(J41/J148, "NA")</f>
        <v>0.0105236032</v>
      </c>
      <c r="L41" s="28">
        <v>393.46</v>
      </c>
      <c r="M41" s="15">
        <f>IFERROR(L41/L148, "NA")</f>
        <v>0.01324249216</v>
      </c>
      <c r="N41" s="28">
        <v>288.69</v>
      </c>
      <c r="O41" s="15">
        <f>IFERROR(N41/N148, "NA")</f>
        <v>0.009944988906</v>
      </c>
      <c r="P41" s="28">
        <v>262.89</v>
      </c>
      <c r="Q41" s="15">
        <f>IFERROR(P41/P148, "NA")</f>
        <v>0.008676781712</v>
      </c>
      <c r="R41" s="28">
        <v>340.79</v>
      </c>
      <c r="S41" s="15">
        <f>IFERROR(R41/R148, "NA")</f>
        <v>0.01264678475</v>
      </c>
      <c r="T41" s="28">
        <v>317.37</v>
      </c>
      <c r="U41" s="15">
        <f>IFERROR(T41/T148, "NA")</f>
        <v>0.01130835094</v>
      </c>
      <c r="V41" s="28">
        <v>328.04</v>
      </c>
      <c r="W41" s="15">
        <f>IFERROR(V41/V148, "NA")</f>
        <v>0.01071991812</v>
      </c>
      <c r="X41" s="28">
        <v>315.08</v>
      </c>
      <c r="Y41" s="15">
        <f>IFERROR(X41/X148, "NA")</f>
        <v>0.01063294505</v>
      </c>
      <c r="Z41" s="28">
        <v>960.49</v>
      </c>
      <c r="AA41" s="15">
        <f>IFERROR(Z41/Z148, "NA")</f>
        <v>0.01087776</v>
      </c>
      <c r="AB41" s="57">
        <f t="shared" si="19"/>
        <v>325.32</v>
      </c>
      <c r="AC41" s="15">
        <f>IFERROR(AB41/AB148, "NA")</f>
        <v>0.01129139519</v>
      </c>
      <c r="AD41" s="61">
        <f t="shared" si="20"/>
        <v>-10.24</v>
      </c>
      <c r="AE41" s="62">
        <f>IFERROR(AD41/AD148, "NA")</f>
        <v>-0.01247092351</v>
      </c>
      <c r="AF41" s="61">
        <f t="shared" si="21"/>
        <v>-0.03147669986</v>
      </c>
      <c r="AG41" s="57">
        <f t="shared" si="22"/>
        <v>309.01875</v>
      </c>
      <c r="AH41" s="15">
        <f>IFERROR(AG41/AG148, "NA")</f>
        <v>0.0109511517</v>
      </c>
      <c r="AI41" s="61">
        <f t="shared" si="23"/>
        <v>6.06125</v>
      </c>
      <c r="AJ41" s="62">
        <f>IFERROR(AI41/AI148, "NA")</f>
        <v>0.004285060348</v>
      </c>
      <c r="AK41" s="61">
        <f t="shared" si="24"/>
        <v>0.01961450559</v>
      </c>
      <c r="AL41" s="62">
        <f>IFERROR(AK41/AK148, "NA")</f>
        <v>0.3912885571</v>
      </c>
    </row>
    <row r="42" ht="16.5" customHeight="1">
      <c r="A42" s="26" t="s">
        <v>102</v>
      </c>
      <c r="B42" s="28">
        <v>0.0</v>
      </c>
      <c r="C42" s="15">
        <f>IFERROR(B42/B148, "NA")</f>
        <v>0</v>
      </c>
      <c r="D42" s="28">
        <v>0.0</v>
      </c>
      <c r="E42" s="15">
        <f>IFERROR(D42/D148, "NA")</f>
        <v>0</v>
      </c>
      <c r="F42" s="28">
        <v>0.0</v>
      </c>
      <c r="G42" s="15">
        <f>IFERROR(F42/F148, "NA")</f>
        <v>0</v>
      </c>
      <c r="H42" s="28">
        <v>0.0</v>
      </c>
      <c r="I42" s="15">
        <f>IFERROR(H42/H148, "NA")</f>
        <v>0</v>
      </c>
      <c r="J42" s="28">
        <v>0.0</v>
      </c>
      <c r="K42" s="15">
        <f>IFERROR(J42/J148, "NA")</f>
        <v>0</v>
      </c>
      <c r="L42" s="28">
        <v>0.0</v>
      </c>
      <c r="M42" s="15">
        <f>IFERROR(L42/L148, "NA")</f>
        <v>0</v>
      </c>
      <c r="N42" s="28">
        <v>0.0</v>
      </c>
      <c r="O42" s="15">
        <f>IFERROR(N42/N148, "NA")</f>
        <v>0</v>
      </c>
      <c r="P42" s="28">
        <v>0.0</v>
      </c>
      <c r="Q42" s="15">
        <f>IFERROR(P42/P148, "NA")</f>
        <v>0</v>
      </c>
      <c r="R42" s="28">
        <v>20.6</v>
      </c>
      <c r="S42" s="15">
        <f>IFERROR(R42/R148, "NA")</f>
        <v>0.0007644701016</v>
      </c>
      <c r="T42" s="28">
        <v>0.0</v>
      </c>
      <c r="U42" s="15">
        <f>IFERROR(T42/T148, "NA")</f>
        <v>0</v>
      </c>
      <c r="V42" s="28">
        <v>0.0</v>
      </c>
      <c r="W42" s="15">
        <f>IFERROR(V42/V148, "NA")</f>
        <v>0</v>
      </c>
      <c r="X42" s="28">
        <v>0.0</v>
      </c>
      <c r="Y42" s="15">
        <f>IFERROR(X42/X148, "NA")</f>
        <v>0</v>
      </c>
      <c r="Z42" s="28">
        <v>0.0</v>
      </c>
      <c r="AA42" s="15">
        <f>IFERROR(Z42/Z148, "NA")</f>
        <v>0</v>
      </c>
      <c r="AB42" s="57">
        <f t="shared" si="19"/>
        <v>5.15</v>
      </c>
      <c r="AC42" s="15">
        <f>IFERROR(AB42/AB148, "NA")</f>
        <v>0.0001787491861</v>
      </c>
      <c r="AD42" s="61">
        <f t="shared" si="20"/>
        <v>-5.15</v>
      </c>
      <c r="AE42" s="62">
        <f>IFERROR(AD42/AD148, "NA")</f>
        <v>-0.006271997662</v>
      </c>
      <c r="AF42" s="61">
        <f t="shared" si="21"/>
        <v>-1</v>
      </c>
      <c r="AG42" s="57">
        <f t="shared" si="22"/>
        <v>2.575</v>
      </c>
      <c r="AH42" s="15">
        <f>IFERROR(AG42/AG148, "NA")</f>
        <v>0.00009125406025</v>
      </c>
      <c r="AI42" s="61">
        <f t="shared" si="23"/>
        <v>-2.575</v>
      </c>
      <c r="AJ42" s="62">
        <f>IFERROR(AI42/AI148, "NA")</f>
        <v>-0.001820421596</v>
      </c>
      <c r="AK42" s="61">
        <f t="shared" si="24"/>
        <v>-1</v>
      </c>
      <c r="AL42" s="62">
        <f>IFERROR(AK42/AK148, "NA")</f>
        <v>-19.94893806</v>
      </c>
    </row>
    <row r="43" ht="16.5" hidden="1" customHeight="1">
      <c r="A43" s="26" t="s">
        <v>103</v>
      </c>
      <c r="B43" s="28">
        <v>0.0</v>
      </c>
      <c r="C43" s="15">
        <f>IFERROR(B43/B148, "NA")</f>
        <v>0</v>
      </c>
      <c r="D43" s="28">
        <v>0.0</v>
      </c>
      <c r="E43" s="15">
        <f>IFERROR(D43/D148, "NA")</f>
        <v>0</v>
      </c>
      <c r="F43" s="28">
        <v>0.0</v>
      </c>
      <c r="G43" s="15">
        <f>IFERROR(F43/F148, "NA")</f>
        <v>0</v>
      </c>
      <c r="H43" s="28">
        <v>0.0</v>
      </c>
      <c r="I43" s="15">
        <f>IFERROR(H43/H148, "NA")</f>
        <v>0</v>
      </c>
      <c r="J43" s="28">
        <v>0.0</v>
      </c>
      <c r="K43" s="15">
        <f>IFERROR(J43/J148, "NA")</f>
        <v>0</v>
      </c>
      <c r="L43" s="28">
        <v>0.0</v>
      </c>
      <c r="M43" s="15">
        <f>IFERROR(L43/L148, "NA")</f>
        <v>0</v>
      </c>
      <c r="N43" s="28">
        <v>0.0</v>
      </c>
      <c r="O43" s="15">
        <f>IFERROR(N43/N148, "NA")</f>
        <v>0</v>
      </c>
      <c r="P43" s="28">
        <v>0.0</v>
      </c>
      <c r="Q43" s="15">
        <f>IFERROR(P43/P148, "NA")</f>
        <v>0</v>
      </c>
      <c r="R43" s="28">
        <v>0.0</v>
      </c>
      <c r="S43" s="15">
        <f>IFERROR(R43/R148, "NA")</f>
        <v>0</v>
      </c>
      <c r="T43" s="28">
        <v>0.0</v>
      </c>
      <c r="U43" s="15">
        <f>IFERROR(T43/T148, "NA")</f>
        <v>0</v>
      </c>
      <c r="V43" s="28">
        <v>0.0</v>
      </c>
      <c r="W43" s="15">
        <f>IFERROR(V43/V148, "NA")</f>
        <v>0</v>
      </c>
      <c r="X43" s="28">
        <v>0.0</v>
      </c>
      <c r="Y43" s="15">
        <f>IFERROR(X43/X148, "NA")</f>
        <v>0</v>
      </c>
      <c r="Z43" s="28">
        <v>0.0</v>
      </c>
      <c r="AA43" s="15">
        <f>IFERROR(Z43/Z148, "NA")</f>
        <v>0</v>
      </c>
      <c r="AB43" s="57">
        <f t="shared" si="19"/>
        <v>0</v>
      </c>
      <c r="AC43" s="15">
        <f>IFERROR(AB43/AB148, "NA")</f>
        <v>0</v>
      </c>
      <c r="AD43" s="61">
        <f t="shared" si="20"/>
        <v>0</v>
      </c>
      <c r="AE43" s="62">
        <f>IFERROR(AD43/AD148, "NA")</f>
        <v>0</v>
      </c>
      <c r="AF43" s="61" t="str">
        <f t="shared" si="21"/>
        <v>NA</v>
      </c>
      <c r="AG43" s="57">
        <f t="shared" si="22"/>
        <v>0</v>
      </c>
      <c r="AH43" s="15">
        <f>IFERROR(AG43/AG148, "NA")</f>
        <v>0</v>
      </c>
      <c r="AI43" s="61">
        <f t="shared" si="23"/>
        <v>0</v>
      </c>
      <c r="AJ43" s="62">
        <f>IFERROR(AI43/AI148, "NA")</f>
        <v>0</v>
      </c>
      <c r="AK43" s="61" t="str">
        <f t="shared" si="24"/>
        <v>NA</v>
      </c>
      <c r="AL43" s="62" t="str">
        <f>IFERROR(AK43/AK148, "NA")</f>
        <v>NA</v>
      </c>
    </row>
    <row r="44" ht="16.5" customHeight="1">
      <c r="A44" s="67" t="s">
        <v>104</v>
      </c>
      <c r="B44" s="70">
        <f>IFERROR(B39+B40+B41+B42+B43, "NA")</f>
        <v>379.65</v>
      </c>
      <c r="C44" s="71">
        <f>IFERROR(B44/B148, "NA")</f>
        <v>0.02626574025</v>
      </c>
      <c r="D44" s="70">
        <f>IFERROR(D39+D40+D41+D42+D43, "NA")</f>
        <v>1100.73</v>
      </c>
      <c r="E44" s="71">
        <f>IFERROR(D44/D148, "NA")</f>
        <v>0.05685521298</v>
      </c>
      <c r="F44" s="70">
        <f>IFERROR(F39+F40+F41+F42+F43, "NA")</f>
        <v>1037.8</v>
      </c>
      <c r="G44" s="71">
        <f>IFERROR(F44/F148, "NA")</f>
        <v>0.04780838319</v>
      </c>
      <c r="H44" s="70">
        <f>IFERROR(H39+H40+H41+H42+H43, "NA")</f>
        <v>1156.25</v>
      </c>
      <c r="I44" s="71">
        <f>IFERROR(H44/H148, "NA")</f>
        <v>0.05666228397</v>
      </c>
      <c r="J44" s="70">
        <f>IFERROR(J39+J40+J41+J42+J43, "NA")</f>
        <v>831.67</v>
      </c>
      <c r="K44" s="71">
        <f>IFERROR(J44/J148, "NA")</f>
        <v>0.03875554653</v>
      </c>
      <c r="L44" s="70">
        <f>IFERROR(L39+L40+L41+L42+L43, "NA")</f>
        <v>1324.73</v>
      </c>
      <c r="M44" s="71">
        <f>IFERROR(L44/L148, "NA")</f>
        <v>0.04458579433</v>
      </c>
      <c r="N44" s="70">
        <f>IFERROR(N39+N40+N41+N42+N43, "NA")</f>
        <v>1132.4</v>
      </c>
      <c r="O44" s="71">
        <f>IFERROR(N44/N148, "NA")</f>
        <v>0.03900968318</v>
      </c>
      <c r="P44" s="70">
        <f>IFERROR(P39+P40+P41+P42+P43, "NA")</f>
        <v>1080.6</v>
      </c>
      <c r="Q44" s="71">
        <f>IFERROR(P44/P148, "NA")</f>
        <v>0.03566560279</v>
      </c>
      <c r="R44" s="70">
        <f>IFERROR(R39+R40+R41+R42+R43, "NA")</f>
        <v>1126.1</v>
      </c>
      <c r="S44" s="71">
        <f>IFERROR(R44/R148, "NA")</f>
        <v>0.04178979521</v>
      </c>
      <c r="T44" s="70">
        <f>IFERROR(T39+T40+T41+T42+T43, "NA")</f>
        <v>1351.98</v>
      </c>
      <c r="U44" s="71">
        <f>IFERROR(T44/T148, "NA")</f>
        <v>0.04817299778</v>
      </c>
      <c r="V44" s="70">
        <f>IFERROR(V39+V40+V41+V42+V43, "NA")</f>
        <v>1283.44</v>
      </c>
      <c r="W44" s="71">
        <f>IFERROR(V44/V148, "NA")</f>
        <v>0.04194114045</v>
      </c>
      <c r="X44" s="70">
        <f>IFERROR(X39+X40+X41+X42+X43, "NA")</f>
        <v>1059.45</v>
      </c>
      <c r="Y44" s="71">
        <f>IFERROR(X44/X148, "NA")</f>
        <v>0.03575305839</v>
      </c>
      <c r="Z44" s="70">
        <f>IFERROR(Z39+Z40+Z41+Z42+Z43, "NA")</f>
        <v>3694.87</v>
      </c>
      <c r="AA44" s="71">
        <f>IFERROR(Z44/Z148, "NA")</f>
        <v>0.04184521347</v>
      </c>
      <c r="AB44" s="70">
        <f t="shared" si="19"/>
        <v>1205.2425</v>
      </c>
      <c r="AC44" s="71">
        <f>IFERROR(AB44/AB148, "NA")</f>
        <v>0.04183225552</v>
      </c>
      <c r="AD44" s="75">
        <f t="shared" si="20"/>
        <v>-145.7925</v>
      </c>
      <c r="AE44" s="76">
        <f>IFERROR(AD44/AD148, "NA")</f>
        <v>-0.1775553823</v>
      </c>
      <c r="AF44" s="75">
        <f t="shared" si="21"/>
        <v>-0.1209652829</v>
      </c>
      <c r="AG44" s="70">
        <f t="shared" si="22"/>
        <v>1148.79625</v>
      </c>
      <c r="AH44" s="71">
        <f>IFERROR(AG44/AG148, "NA")</f>
        <v>0.04071158144</v>
      </c>
      <c r="AI44" s="75">
        <f t="shared" si="23"/>
        <v>-89.34625</v>
      </c>
      <c r="AJ44" s="76">
        <f>IFERROR(AI44/AI148, "NA")</f>
        <v>-0.06316421086</v>
      </c>
      <c r="AK44" s="75">
        <f t="shared" si="24"/>
        <v>-0.07777380018</v>
      </c>
      <c r="AL44" s="76">
        <f>IFERROR(AK44/AK148, "NA")</f>
        <v>-1.551504722</v>
      </c>
    </row>
    <row r="45" ht="16.5" customHeight="1">
      <c r="A45" s="22" t="s">
        <v>105</v>
      </c>
      <c r="B45" s="23"/>
      <c r="C45" s="10"/>
      <c r="D45" s="23"/>
      <c r="E45" s="10"/>
      <c r="F45" s="23"/>
      <c r="G45" s="10"/>
      <c r="H45" s="23"/>
      <c r="I45" s="10"/>
      <c r="J45" s="23"/>
      <c r="K45" s="10"/>
      <c r="L45" s="23"/>
      <c r="M45" s="10"/>
      <c r="N45" s="23"/>
      <c r="O45" s="10"/>
      <c r="P45" s="23"/>
      <c r="Q45" s="10"/>
      <c r="R45" s="23"/>
      <c r="S45" s="10"/>
      <c r="T45" s="23"/>
      <c r="U45" s="10"/>
      <c r="V45" s="23"/>
      <c r="W45" s="10"/>
      <c r="X45" s="23"/>
      <c r="Y45" s="10"/>
      <c r="Z45" s="23"/>
      <c r="AA45" s="10"/>
      <c r="AB45" s="23"/>
      <c r="AC45" s="10"/>
      <c r="AD45" s="24"/>
      <c r="AE45" s="25"/>
      <c r="AF45" s="24"/>
      <c r="AG45" s="23"/>
      <c r="AH45" s="10"/>
      <c r="AI45" s="24"/>
      <c r="AJ45" s="25"/>
      <c r="AK45" s="24"/>
      <c r="AL45" s="25"/>
    </row>
    <row r="46" ht="16.5" hidden="1" customHeight="1">
      <c r="A46" s="26" t="s">
        <v>106</v>
      </c>
      <c r="B46" s="28">
        <v>0.0</v>
      </c>
      <c r="C46" s="15">
        <f>IFERROR(B46/B148, "NA")</f>
        <v>0</v>
      </c>
      <c r="D46" s="28">
        <v>0.0</v>
      </c>
      <c r="E46" s="15">
        <f>IFERROR(D46/D148, "NA")</f>
        <v>0</v>
      </c>
      <c r="F46" s="28">
        <v>0.0</v>
      </c>
      <c r="G46" s="15">
        <f>IFERROR(F46/F148, "NA")</f>
        <v>0</v>
      </c>
      <c r="H46" s="28">
        <v>0.0</v>
      </c>
      <c r="I46" s="15">
        <f>IFERROR(H46/H148, "NA")</f>
        <v>0</v>
      </c>
      <c r="J46" s="28">
        <v>0.0</v>
      </c>
      <c r="K46" s="15">
        <f>IFERROR(J46/J148, "NA")</f>
        <v>0</v>
      </c>
      <c r="L46" s="28">
        <v>0.0</v>
      </c>
      <c r="M46" s="15">
        <f>IFERROR(L46/L148, "NA")</f>
        <v>0</v>
      </c>
      <c r="N46" s="28">
        <v>0.0</v>
      </c>
      <c r="O46" s="15">
        <f>IFERROR(N46/N148, "NA")</f>
        <v>0</v>
      </c>
      <c r="P46" s="28">
        <v>0.0</v>
      </c>
      <c r="Q46" s="15">
        <f>IFERROR(P46/P148, "NA")</f>
        <v>0</v>
      </c>
      <c r="R46" s="28">
        <v>0.0</v>
      </c>
      <c r="S46" s="15">
        <f>IFERROR(R46/R148, "NA")</f>
        <v>0</v>
      </c>
      <c r="T46" s="28">
        <v>0.0</v>
      </c>
      <c r="U46" s="15">
        <f>IFERROR(T46/T148, "NA")</f>
        <v>0</v>
      </c>
      <c r="V46" s="28">
        <v>0.0</v>
      </c>
      <c r="W46" s="15">
        <f>IFERROR(V46/V148, "NA")</f>
        <v>0</v>
      </c>
      <c r="X46" s="28">
        <v>0.0</v>
      </c>
      <c r="Y46" s="15">
        <f>IFERROR(X46/X148, "NA")</f>
        <v>0</v>
      </c>
      <c r="Z46" s="28">
        <v>0.0</v>
      </c>
      <c r="AA46" s="15">
        <f>IFERROR(Z46/Z148, "NA")</f>
        <v>0</v>
      </c>
      <c r="AB46" s="57">
        <f t="shared" ref="AB46:AB57" si="25">IFERROR((R46+T46+V46+X46)/4, "NA")</f>
        <v>0</v>
      </c>
      <c r="AC46" s="15">
        <f>IFERROR(AB46/AB148, "NA")</f>
        <v>0</v>
      </c>
      <c r="AD46" s="61">
        <f t="shared" ref="AD46:AD57" si="26">IFERROR(X46-AB46, "NA")</f>
        <v>0</v>
      </c>
      <c r="AE46" s="62">
        <f>IFERROR(AD46/AD148, "NA")</f>
        <v>0</v>
      </c>
      <c r="AF46" s="61" t="str">
        <f t="shared" ref="AF46:AF57" si="27">IFERROR((X46-AB46)/AB46, "NA")</f>
        <v>NA</v>
      </c>
      <c r="AG46" s="57">
        <f t="shared" ref="AG46:AG57" si="28">IFERROR((J46+L46+N46+P46+R46+T46+V46+X46)/8, "NA")</f>
        <v>0</v>
      </c>
      <c r="AH46" s="15">
        <f>IFERROR(AG46/AG148, "NA")</f>
        <v>0</v>
      </c>
      <c r="AI46" s="61">
        <f t="shared" ref="AI46:AI57" si="29">IFERROR(X46-AG46, "NA")</f>
        <v>0</v>
      </c>
      <c r="AJ46" s="62">
        <f>IFERROR(AI46/AI148, "NA")</f>
        <v>0</v>
      </c>
      <c r="AK46" s="61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6" t="s">
        <v>108</v>
      </c>
      <c r="B47" s="28">
        <v>86.59</v>
      </c>
      <c r="C47" s="15">
        <f>IFERROR(B47/B148, "NA")</f>
        <v>0.005990650462</v>
      </c>
      <c r="D47" s="28">
        <v>53.86</v>
      </c>
      <c r="E47" s="15">
        <f>IFERROR(D47/D148, "NA")</f>
        <v>0.002781991743</v>
      </c>
      <c r="F47" s="28">
        <v>29.29</v>
      </c>
      <c r="G47" s="15">
        <f>IFERROR(F47/F148, "NA")</f>
        <v>0.001349303858</v>
      </c>
      <c r="H47" s="28">
        <v>36.73</v>
      </c>
      <c r="I47" s="15">
        <f>IFERROR(H47/H148, "NA")</f>
        <v>0.001799961678</v>
      </c>
      <c r="J47" s="28">
        <v>81.0</v>
      </c>
      <c r="K47" s="15">
        <f>IFERROR(J47/J148, "NA")</f>
        <v>0.00377457317</v>
      </c>
      <c r="L47" s="28">
        <v>52.16</v>
      </c>
      <c r="M47" s="15">
        <f>IFERROR(L47/L148, "NA")</f>
        <v>0.001755523791</v>
      </c>
      <c r="N47" s="28">
        <v>67.42</v>
      </c>
      <c r="O47" s="15">
        <f>IFERROR(N47/N148, "NA")</f>
        <v>0.002322529883</v>
      </c>
      <c r="P47" s="28">
        <v>92.25</v>
      </c>
      <c r="Q47" s="15">
        <f>IFERROR(P47/P148, "NA")</f>
        <v>0.00304474538</v>
      </c>
      <c r="R47" s="28">
        <v>77.6</v>
      </c>
      <c r="S47" s="15">
        <f>IFERROR(R47/R148, "NA")</f>
        <v>0.002879751451</v>
      </c>
      <c r="T47" s="28">
        <v>71.46</v>
      </c>
      <c r="U47" s="15">
        <f>IFERROR(T47/T148, "NA")</f>
        <v>0.002546222889</v>
      </c>
      <c r="V47" s="28">
        <v>48.8</v>
      </c>
      <c r="W47" s="15">
        <f>IFERROR(V47/V148, "NA")</f>
        <v>0.001594720169</v>
      </c>
      <c r="X47" s="28">
        <v>125.23</v>
      </c>
      <c r="Y47" s="15">
        <f>IFERROR(X47/X148, "NA")</f>
        <v>0.004226113079</v>
      </c>
      <c r="Z47" s="28">
        <v>245.49</v>
      </c>
      <c r="AA47" s="15">
        <f>IFERROR(Z47/Z148, "NA")</f>
        <v>0.002780228115</v>
      </c>
      <c r="AB47" s="57">
        <f t="shared" si="25"/>
        <v>80.7725</v>
      </c>
      <c r="AC47" s="15">
        <f>IFERROR(AB47/AB148, "NA")</f>
        <v>0.002803498764</v>
      </c>
      <c r="AD47" s="61">
        <f t="shared" si="26"/>
        <v>44.4575</v>
      </c>
      <c r="AE47" s="62">
        <f>IFERROR(AD47/AD148, "NA")</f>
        <v>0.05414317205</v>
      </c>
      <c r="AF47" s="61">
        <f t="shared" si="27"/>
        <v>0.5504039122</v>
      </c>
      <c r="AG47" s="57">
        <f t="shared" si="28"/>
        <v>76.99</v>
      </c>
      <c r="AH47" s="15">
        <f>IFERROR(AG47/AG148, "NA")</f>
        <v>0.002728407805</v>
      </c>
      <c r="AI47" s="61">
        <f t="shared" si="29"/>
        <v>48.24</v>
      </c>
      <c r="AJ47" s="62">
        <f>IFERROR(AI47/AI148, "NA")</f>
        <v>0.03410374282</v>
      </c>
      <c r="AK47" s="61">
        <f t="shared" si="30"/>
        <v>0.6265748799</v>
      </c>
      <c r="AL47" s="62">
        <f>IFERROR(AK47/AK148, "NA")</f>
        <v>12.49950347</v>
      </c>
    </row>
    <row r="48" ht="16.5" hidden="1" customHeight="1">
      <c r="A48" s="26" t="s">
        <v>109</v>
      </c>
      <c r="B48" s="28">
        <v>0.0</v>
      </c>
      <c r="C48" s="15">
        <f>IFERROR(B48/B148, "NA")</f>
        <v>0</v>
      </c>
      <c r="D48" s="28">
        <v>0.0</v>
      </c>
      <c r="E48" s="15">
        <f>IFERROR(D48/D148, "NA")</f>
        <v>0</v>
      </c>
      <c r="F48" s="28">
        <v>0.0</v>
      </c>
      <c r="G48" s="15">
        <f>IFERROR(F48/F148, "NA")</f>
        <v>0</v>
      </c>
      <c r="H48" s="28">
        <v>0.0</v>
      </c>
      <c r="I48" s="15">
        <f>IFERROR(H48/H148, "NA")</f>
        <v>0</v>
      </c>
      <c r="J48" s="28">
        <v>0.0</v>
      </c>
      <c r="K48" s="15">
        <f>IFERROR(J48/J148, "NA")</f>
        <v>0</v>
      </c>
      <c r="L48" s="28">
        <v>0.0</v>
      </c>
      <c r="M48" s="15">
        <f>IFERROR(L48/L148, "NA")</f>
        <v>0</v>
      </c>
      <c r="N48" s="28">
        <v>0.0</v>
      </c>
      <c r="O48" s="15">
        <f>IFERROR(N48/N148, "NA")</f>
        <v>0</v>
      </c>
      <c r="P48" s="28">
        <v>0.0</v>
      </c>
      <c r="Q48" s="15">
        <f>IFERROR(P48/P148, "NA")</f>
        <v>0</v>
      </c>
      <c r="R48" s="28">
        <v>0.0</v>
      </c>
      <c r="S48" s="15">
        <f>IFERROR(R48/R148, "NA")</f>
        <v>0</v>
      </c>
      <c r="T48" s="28">
        <v>0.0</v>
      </c>
      <c r="U48" s="15">
        <f>IFERROR(T48/T148, "NA")</f>
        <v>0</v>
      </c>
      <c r="V48" s="28">
        <v>0.0</v>
      </c>
      <c r="W48" s="15">
        <f>IFERROR(V48/V148, "NA")</f>
        <v>0</v>
      </c>
      <c r="X48" s="28">
        <v>0.0</v>
      </c>
      <c r="Y48" s="15">
        <f>IFERROR(X48/X148, "NA")</f>
        <v>0</v>
      </c>
      <c r="Z48" s="28">
        <v>0.0</v>
      </c>
      <c r="AA48" s="15">
        <f>IFERROR(Z48/Z148, "NA")</f>
        <v>0</v>
      </c>
      <c r="AB48" s="57">
        <f t="shared" si="25"/>
        <v>0</v>
      </c>
      <c r="AC48" s="15">
        <f>IFERROR(AB48/AB148, "NA")</f>
        <v>0</v>
      </c>
      <c r="AD48" s="61">
        <f t="shared" si="26"/>
        <v>0</v>
      </c>
      <c r="AE48" s="62">
        <f>IFERROR(AD48/AD148, "NA")</f>
        <v>0</v>
      </c>
      <c r="AF48" s="61" t="str">
        <f t="shared" si="27"/>
        <v>NA</v>
      </c>
      <c r="AG48" s="57">
        <f t="shared" si="28"/>
        <v>0</v>
      </c>
      <c r="AH48" s="15">
        <f>IFERROR(AG48/AG148, "NA")</f>
        <v>0</v>
      </c>
      <c r="AI48" s="61">
        <f t="shared" si="29"/>
        <v>0</v>
      </c>
      <c r="AJ48" s="62">
        <f>IFERROR(AI48/AI148, "NA")</f>
        <v>0</v>
      </c>
      <c r="AK48" s="61" t="str">
        <f t="shared" si="30"/>
        <v>NA</v>
      </c>
      <c r="AL48" s="62" t="str">
        <f>IFERROR(AK48/AK148, "NA")</f>
        <v>NA</v>
      </c>
    </row>
    <row r="49" ht="16.5" hidden="1" customHeight="1">
      <c r="A49" s="26" t="s">
        <v>110</v>
      </c>
      <c r="B49" s="28">
        <v>0.0</v>
      </c>
      <c r="C49" s="15">
        <f>IFERROR(B49/B148, "NA")</f>
        <v>0</v>
      </c>
      <c r="D49" s="28">
        <v>0.0</v>
      </c>
      <c r="E49" s="15">
        <f>IFERROR(D49/D148, "NA")</f>
        <v>0</v>
      </c>
      <c r="F49" s="28">
        <v>0.0</v>
      </c>
      <c r="G49" s="15">
        <f>IFERROR(F49/F148, "NA")</f>
        <v>0</v>
      </c>
      <c r="H49" s="28">
        <v>0.0</v>
      </c>
      <c r="I49" s="15">
        <f>IFERROR(H49/H148, "NA")</f>
        <v>0</v>
      </c>
      <c r="J49" s="28">
        <v>0.0</v>
      </c>
      <c r="K49" s="15">
        <f>IFERROR(J49/J148, "NA")</f>
        <v>0</v>
      </c>
      <c r="L49" s="28">
        <v>0.0</v>
      </c>
      <c r="M49" s="15">
        <f>IFERROR(L49/L148, "NA")</f>
        <v>0</v>
      </c>
      <c r="N49" s="28">
        <v>0.0</v>
      </c>
      <c r="O49" s="15">
        <f>IFERROR(N49/N148, "NA")</f>
        <v>0</v>
      </c>
      <c r="P49" s="28">
        <v>0.0</v>
      </c>
      <c r="Q49" s="15">
        <f>IFERROR(P49/P148, "NA")</f>
        <v>0</v>
      </c>
      <c r="R49" s="28">
        <v>0.0</v>
      </c>
      <c r="S49" s="15">
        <f>IFERROR(R49/R148, "NA")</f>
        <v>0</v>
      </c>
      <c r="T49" s="28">
        <v>0.0</v>
      </c>
      <c r="U49" s="15">
        <f>IFERROR(T49/T148, "NA")</f>
        <v>0</v>
      </c>
      <c r="V49" s="28">
        <v>0.0</v>
      </c>
      <c r="W49" s="15">
        <f>IFERROR(V49/V148, "NA")</f>
        <v>0</v>
      </c>
      <c r="X49" s="28">
        <v>0.0</v>
      </c>
      <c r="Y49" s="15">
        <f>IFERROR(X49/X148, "NA")</f>
        <v>0</v>
      </c>
      <c r="Z49" s="28">
        <v>0.0</v>
      </c>
      <c r="AA49" s="15">
        <f>IFERROR(Z49/Z148, "NA")</f>
        <v>0</v>
      </c>
      <c r="AB49" s="57">
        <f t="shared" si="25"/>
        <v>0</v>
      </c>
      <c r="AC49" s="15">
        <f>IFERROR(AB49/AB148, "NA")</f>
        <v>0</v>
      </c>
      <c r="AD49" s="61">
        <f t="shared" si="26"/>
        <v>0</v>
      </c>
      <c r="AE49" s="62">
        <f>IFERROR(AD49/AD148, "NA")</f>
        <v>0</v>
      </c>
      <c r="AF49" s="61" t="str">
        <f t="shared" si="27"/>
        <v>NA</v>
      </c>
      <c r="AG49" s="57">
        <f t="shared" si="28"/>
        <v>0</v>
      </c>
      <c r="AH49" s="15">
        <f>IFERROR(AG49/AG148, "NA")</f>
        <v>0</v>
      </c>
      <c r="AI49" s="61">
        <f t="shared" si="29"/>
        <v>0</v>
      </c>
      <c r="AJ49" s="62">
        <f>IFERROR(AI49/AI148, "NA")</f>
        <v>0</v>
      </c>
      <c r="AK49" s="61" t="str">
        <f t="shared" si="30"/>
        <v>NA</v>
      </c>
      <c r="AL49" s="62" t="str">
        <f>IFERROR(AK49/AK148, "NA")</f>
        <v>NA</v>
      </c>
    </row>
    <row r="50" ht="16.5" hidden="1" customHeight="1">
      <c r="A50" s="26" t="s">
        <v>111</v>
      </c>
      <c r="B50" s="28">
        <v>0.0</v>
      </c>
      <c r="C50" s="15">
        <f>IFERROR(B50/B148, "NA")</f>
        <v>0</v>
      </c>
      <c r="D50" s="28">
        <v>0.0</v>
      </c>
      <c r="E50" s="15">
        <f>IFERROR(D50/D148, "NA")</f>
        <v>0</v>
      </c>
      <c r="F50" s="28">
        <v>0.0</v>
      </c>
      <c r="G50" s="15">
        <f>IFERROR(F50/F148, "NA")</f>
        <v>0</v>
      </c>
      <c r="H50" s="28">
        <v>0.0</v>
      </c>
      <c r="I50" s="15">
        <f>IFERROR(H50/H148, "NA")</f>
        <v>0</v>
      </c>
      <c r="J50" s="28">
        <v>0.0</v>
      </c>
      <c r="K50" s="15">
        <f>IFERROR(J50/J148, "NA")</f>
        <v>0</v>
      </c>
      <c r="L50" s="28">
        <v>0.0</v>
      </c>
      <c r="M50" s="15">
        <f>IFERROR(L50/L148, "NA")</f>
        <v>0</v>
      </c>
      <c r="N50" s="28">
        <v>0.0</v>
      </c>
      <c r="O50" s="15">
        <f>IFERROR(N50/N148, "NA")</f>
        <v>0</v>
      </c>
      <c r="P50" s="28">
        <v>0.0</v>
      </c>
      <c r="Q50" s="15">
        <f>IFERROR(P50/P148, "NA")</f>
        <v>0</v>
      </c>
      <c r="R50" s="28">
        <v>0.0</v>
      </c>
      <c r="S50" s="15">
        <f>IFERROR(R50/R148, "NA")</f>
        <v>0</v>
      </c>
      <c r="T50" s="28">
        <v>0.0</v>
      </c>
      <c r="U50" s="15">
        <f>IFERROR(T50/T148, "NA")</f>
        <v>0</v>
      </c>
      <c r="V50" s="28">
        <v>0.0</v>
      </c>
      <c r="W50" s="15">
        <f>IFERROR(V50/V148, "NA")</f>
        <v>0</v>
      </c>
      <c r="X50" s="28">
        <v>0.0</v>
      </c>
      <c r="Y50" s="15">
        <f>IFERROR(X50/X148, "NA")</f>
        <v>0</v>
      </c>
      <c r="Z50" s="28">
        <v>0.0</v>
      </c>
      <c r="AA50" s="15">
        <f>IFERROR(Z50/Z148, "NA")</f>
        <v>0</v>
      </c>
      <c r="AB50" s="57">
        <f t="shared" si="25"/>
        <v>0</v>
      </c>
      <c r="AC50" s="15">
        <f>IFERROR(AB50/AB148, "NA")</f>
        <v>0</v>
      </c>
      <c r="AD50" s="61">
        <f t="shared" si="26"/>
        <v>0</v>
      </c>
      <c r="AE50" s="62">
        <f>IFERROR(AD50/AD148, "NA")</f>
        <v>0</v>
      </c>
      <c r="AF50" s="61" t="str">
        <f t="shared" si="27"/>
        <v>NA</v>
      </c>
      <c r="AG50" s="57">
        <f t="shared" si="28"/>
        <v>0</v>
      </c>
      <c r="AH50" s="15">
        <f>IFERROR(AG50/AG148, "NA")</f>
        <v>0</v>
      </c>
      <c r="AI50" s="61">
        <f t="shared" si="29"/>
        <v>0</v>
      </c>
      <c r="AJ50" s="62">
        <f>IFERROR(AI50/AI148, "NA")</f>
        <v>0</v>
      </c>
      <c r="AK50" s="61" t="str">
        <f t="shared" si="30"/>
        <v>NA</v>
      </c>
      <c r="AL50" s="62" t="str">
        <f>IFERROR(AK50/AK148, "NA")</f>
        <v>NA</v>
      </c>
    </row>
    <row r="51" ht="16.5" hidden="1" customHeight="1">
      <c r="A51" s="26" t="s">
        <v>112</v>
      </c>
      <c r="B51" s="28">
        <v>0.0</v>
      </c>
      <c r="C51" s="15">
        <f>IFERROR(B51/B148, "NA")</f>
        <v>0</v>
      </c>
      <c r="D51" s="28">
        <v>0.0</v>
      </c>
      <c r="E51" s="15">
        <f>IFERROR(D51/D148, "NA")</f>
        <v>0</v>
      </c>
      <c r="F51" s="28">
        <v>0.0</v>
      </c>
      <c r="G51" s="15">
        <f>IFERROR(F51/F148, "NA")</f>
        <v>0</v>
      </c>
      <c r="H51" s="28">
        <v>0.0</v>
      </c>
      <c r="I51" s="15">
        <f>IFERROR(H51/H148, "NA")</f>
        <v>0</v>
      </c>
      <c r="J51" s="28">
        <v>0.0</v>
      </c>
      <c r="K51" s="15">
        <f>IFERROR(J51/J148, "NA")</f>
        <v>0</v>
      </c>
      <c r="L51" s="28">
        <v>0.0</v>
      </c>
      <c r="M51" s="15">
        <f>IFERROR(L51/L148, "NA")</f>
        <v>0</v>
      </c>
      <c r="N51" s="28">
        <v>0.0</v>
      </c>
      <c r="O51" s="15">
        <f>IFERROR(N51/N148, "NA")</f>
        <v>0</v>
      </c>
      <c r="P51" s="28">
        <v>0.0</v>
      </c>
      <c r="Q51" s="15">
        <f>IFERROR(P51/P148, "NA")</f>
        <v>0</v>
      </c>
      <c r="R51" s="28">
        <v>0.0</v>
      </c>
      <c r="S51" s="15">
        <f>IFERROR(R51/R148, "NA")</f>
        <v>0</v>
      </c>
      <c r="T51" s="28">
        <v>0.0</v>
      </c>
      <c r="U51" s="15">
        <f>IFERROR(T51/T148, "NA")</f>
        <v>0</v>
      </c>
      <c r="V51" s="28">
        <v>0.0</v>
      </c>
      <c r="W51" s="15">
        <f>IFERROR(V51/V148, "NA")</f>
        <v>0</v>
      </c>
      <c r="X51" s="28">
        <v>0.0</v>
      </c>
      <c r="Y51" s="15">
        <f>IFERROR(X51/X148, "NA")</f>
        <v>0</v>
      </c>
      <c r="Z51" s="28">
        <v>0.0</v>
      </c>
      <c r="AA51" s="15">
        <f>IFERROR(Z51/Z148, "NA")</f>
        <v>0</v>
      </c>
      <c r="AB51" s="57">
        <f t="shared" si="25"/>
        <v>0</v>
      </c>
      <c r="AC51" s="15">
        <f>IFERROR(AB51/AB148, "NA")</f>
        <v>0</v>
      </c>
      <c r="AD51" s="61">
        <f t="shared" si="26"/>
        <v>0</v>
      </c>
      <c r="AE51" s="62">
        <f>IFERROR(AD51/AD148, "NA")</f>
        <v>0</v>
      </c>
      <c r="AF51" s="61" t="str">
        <f t="shared" si="27"/>
        <v>NA</v>
      </c>
      <c r="AG51" s="57">
        <f t="shared" si="28"/>
        <v>0</v>
      </c>
      <c r="AH51" s="15">
        <f>IFERROR(AG51/AG148, "NA")</f>
        <v>0</v>
      </c>
      <c r="AI51" s="61">
        <f t="shared" si="29"/>
        <v>0</v>
      </c>
      <c r="AJ51" s="62">
        <f>IFERROR(AI51/AI148, "NA")</f>
        <v>0</v>
      </c>
      <c r="AK51" s="61" t="str">
        <f t="shared" si="30"/>
        <v>NA</v>
      </c>
      <c r="AL51" s="62" t="str">
        <f>IFERROR(AK51/AK148, "NA")</f>
        <v>NA</v>
      </c>
    </row>
    <row r="52" ht="16.5" customHeight="1">
      <c r="A52" s="67" t="s">
        <v>113</v>
      </c>
      <c r="B52" s="70">
        <f>IFERROR(B46+B47+B48+B49+B50+B51, "NA")</f>
        <v>86.59</v>
      </c>
      <c r="C52" s="71">
        <f>IFERROR(B52/B148, "NA")</f>
        <v>0.005990650462</v>
      </c>
      <c r="D52" s="70">
        <f>IFERROR(D46+D47+D48+D49+D50+D51, "NA")</f>
        <v>53.86</v>
      </c>
      <c r="E52" s="71">
        <f>IFERROR(D52/D148, "NA")</f>
        <v>0.002781991743</v>
      </c>
      <c r="F52" s="70">
        <f>IFERROR(F46+F47+F48+F49+F50+F51, "NA")</f>
        <v>29.29</v>
      </c>
      <c r="G52" s="71">
        <f>IFERROR(F52/F148, "NA")</f>
        <v>0.001349303858</v>
      </c>
      <c r="H52" s="70">
        <f>IFERROR(H46+H47+H48+H49+H50+H51, "NA")</f>
        <v>36.73</v>
      </c>
      <c r="I52" s="71">
        <f>IFERROR(H52/H148, "NA")</f>
        <v>0.001799961678</v>
      </c>
      <c r="J52" s="70">
        <f>IFERROR(J46+J47+J48+J49+J50+J51, "NA")</f>
        <v>81</v>
      </c>
      <c r="K52" s="71">
        <f>IFERROR(J52/J148, "NA")</f>
        <v>0.00377457317</v>
      </c>
      <c r="L52" s="70">
        <f>IFERROR(L46+L47+L48+L49+L50+L51, "NA")</f>
        <v>52.16</v>
      </c>
      <c r="M52" s="71">
        <f>IFERROR(L52/L148, "NA")</f>
        <v>0.001755523791</v>
      </c>
      <c r="N52" s="70">
        <f>IFERROR(N46+N47+N48+N49+N50+N51, "NA")</f>
        <v>67.42</v>
      </c>
      <c r="O52" s="71">
        <f>IFERROR(N52/N148, "NA")</f>
        <v>0.002322529883</v>
      </c>
      <c r="P52" s="70">
        <f>IFERROR(P46+P47+P48+P49+P50+P51, "NA")</f>
        <v>92.25</v>
      </c>
      <c r="Q52" s="71">
        <f>IFERROR(P52/P148, "NA")</f>
        <v>0.00304474538</v>
      </c>
      <c r="R52" s="70">
        <f>IFERROR(R46+R47+R48+R49+R50+R51, "NA")</f>
        <v>77.6</v>
      </c>
      <c r="S52" s="71">
        <f>IFERROR(R52/R148, "NA")</f>
        <v>0.002879751451</v>
      </c>
      <c r="T52" s="70">
        <f>IFERROR(T46+T47+T48+T49+T50+T51, "NA")</f>
        <v>71.46</v>
      </c>
      <c r="U52" s="71">
        <f>IFERROR(T52/T148, "NA")</f>
        <v>0.002546222889</v>
      </c>
      <c r="V52" s="70">
        <f>IFERROR(V46+V47+V48+V49+V50+V51, "NA")</f>
        <v>48.8</v>
      </c>
      <c r="W52" s="71">
        <f>IFERROR(V52/V148, "NA")</f>
        <v>0.001594720169</v>
      </c>
      <c r="X52" s="70">
        <f>IFERROR(X46+X47+X48+X49+X50+X51, "NA")</f>
        <v>125.23</v>
      </c>
      <c r="Y52" s="71">
        <f>IFERROR(X52/X148, "NA")</f>
        <v>0.004226113079</v>
      </c>
      <c r="Z52" s="70">
        <f>IFERROR(Z46+Z47+Z48+Z49+Z50+Z51, "NA")</f>
        <v>245.49</v>
      </c>
      <c r="AA52" s="71">
        <f>IFERROR(Z52/Z148, "NA")</f>
        <v>0.002780228115</v>
      </c>
      <c r="AB52" s="70">
        <f t="shared" si="25"/>
        <v>80.7725</v>
      </c>
      <c r="AC52" s="71">
        <f>IFERROR(AB52/AB148, "NA")</f>
        <v>0.002803498764</v>
      </c>
      <c r="AD52" s="75">
        <f t="shared" si="26"/>
        <v>44.4575</v>
      </c>
      <c r="AE52" s="76">
        <f>IFERROR(AD52/AD148, "NA")</f>
        <v>0.05414317205</v>
      </c>
      <c r="AF52" s="75">
        <f t="shared" si="27"/>
        <v>0.5504039122</v>
      </c>
      <c r="AG52" s="70">
        <f t="shared" si="28"/>
        <v>76.99</v>
      </c>
      <c r="AH52" s="71">
        <f>IFERROR(AG52/AG148, "NA")</f>
        <v>0.002728407805</v>
      </c>
      <c r="AI52" s="75">
        <f t="shared" si="29"/>
        <v>48.24</v>
      </c>
      <c r="AJ52" s="76">
        <f>IFERROR(AI52/AI148, "NA")</f>
        <v>0.03410374282</v>
      </c>
      <c r="AK52" s="75">
        <f t="shared" si="30"/>
        <v>0.6265748799</v>
      </c>
      <c r="AL52" s="76">
        <f>IFERROR(AK52/AK148, "NA")</f>
        <v>12.49950347</v>
      </c>
    </row>
    <row r="53" ht="16.5" customHeight="1">
      <c r="A53" s="26" t="s">
        <v>114</v>
      </c>
      <c r="B53" s="28">
        <v>6.28</v>
      </c>
      <c r="C53" s="15">
        <f>IFERROR(B53/B148, "NA")</f>
        <v>0.0004344760931</v>
      </c>
      <c r="D53" s="28">
        <v>46.67</v>
      </c>
      <c r="E53" s="15">
        <f>IFERROR(D53/D148, "NA")</f>
        <v>0.002410611857</v>
      </c>
      <c r="F53" s="28">
        <v>26.98</v>
      </c>
      <c r="G53" s="15">
        <f>IFERROR(F53/F148, "NA")</f>
        <v>0.001242888975</v>
      </c>
      <c r="H53" s="28">
        <v>33.41</v>
      </c>
      <c r="I53" s="15">
        <f>IFERROR(H53/H148, "NA")</f>
        <v>0.001637264352</v>
      </c>
      <c r="J53" s="28">
        <v>13.0</v>
      </c>
      <c r="K53" s="15">
        <f>IFERROR(J53/J148, "NA")</f>
        <v>0.000605795694</v>
      </c>
      <c r="L53" s="28">
        <v>47.21</v>
      </c>
      <c r="M53" s="15">
        <f>IFERROR(L53/L148, "NA")</f>
        <v>0.001588924045</v>
      </c>
      <c r="N53" s="28">
        <v>36.94</v>
      </c>
      <c r="O53" s="15">
        <f>IFERROR(N53/N148, "NA")</f>
        <v>0.001272534172</v>
      </c>
      <c r="P53" s="28">
        <v>19.83</v>
      </c>
      <c r="Q53" s="15">
        <f>IFERROR(P53/P148, "NA")</f>
        <v>0.0006544964866</v>
      </c>
      <c r="R53" s="28">
        <v>19.9</v>
      </c>
      <c r="S53" s="15">
        <f>IFERROR(R53/R148, "NA")</f>
        <v>0.0007384929622</v>
      </c>
      <c r="T53" s="28">
        <v>19.11</v>
      </c>
      <c r="U53" s="15">
        <f>IFERROR(T53/T148, "NA")</f>
        <v>0.0006809168683</v>
      </c>
      <c r="V53" s="28">
        <v>29.36</v>
      </c>
      <c r="W53" s="15">
        <f>IFERROR(V53/V148, "NA")</f>
        <v>0.0009594463968</v>
      </c>
      <c r="X53" s="28">
        <v>44.72</v>
      </c>
      <c r="Y53" s="15">
        <f>IFERROR(X53/X148, "NA")</f>
        <v>0.001509157366</v>
      </c>
      <c r="Z53" s="28">
        <v>93.19</v>
      </c>
      <c r="AA53" s="15">
        <f>IFERROR(Z53/Z148, "NA")</f>
        <v>0.001055397198</v>
      </c>
      <c r="AB53" s="57">
        <f t="shared" si="25"/>
        <v>28.2725</v>
      </c>
      <c r="AC53" s="15">
        <f>IFERROR(AB53/AB148, "NA")</f>
        <v>0.000981298323</v>
      </c>
      <c r="AD53" s="61">
        <f t="shared" si="26"/>
        <v>16.4475</v>
      </c>
      <c r="AE53" s="62">
        <f>IFERROR(AD53/AD148, "NA")</f>
        <v>0.02003081195</v>
      </c>
      <c r="AF53" s="61">
        <f t="shared" si="27"/>
        <v>0.5817490494</v>
      </c>
      <c r="AG53" s="57">
        <f t="shared" si="28"/>
        <v>28.75875</v>
      </c>
      <c r="AH53" s="15">
        <f>IFERROR(AG53/AG148, "NA")</f>
        <v>0.001019166099</v>
      </c>
      <c r="AI53" s="61">
        <f t="shared" si="29"/>
        <v>15.96125</v>
      </c>
      <c r="AJ53" s="62">
        <f>IFERROR(AI53/AI148, "NA")</f>
        <v>0.01128396279</v>
      </c>
      <c r="AK53" s="61">
        <f t="shared" si="30"/>
        <v>0.5550049985</v>
      </c>
      <c r="AL53" s="62">
        <f>IFERROR(AK53/AK148, "NA")</f>
        <v>11.07176034</v>
      </c>
    </row>
    <row r="54" ht="16.5" customHeight="1">
      <c r="A54" s="26" t="s">
        <v>115</v>
      </c>
      <c r="B54" s="28">
        <v>3.0</v>
      </c>
      <c r="C54" s="15">
        <f>IFERROR(B54/B148, "NA")</f>
        <v>0.0002075522738</v>
      </c>
      <c r="D54" s="28">
        <v>9.0</v>
      </c>
      <c r="E54" s="15">
        <f>IFERROR(D54/D148, "NA")</f>
        <v>0.0004648705103</v>
      </c>
      <c r="F54" s="28">
        <v>6.0</v>
      </c>
      <c r="G54" s="15">
        <f>IFERROR(F54/F148, "NA")</f>
        <v>0.0002764022925</v>
      </c>
      <c r="H54" s="28">
        <v>9.0</v>
      </c>
      <c r="I54" s="15">
        <f>IFERROR(H54/H148, "NA")</f>
        <v>0.0004410469671</v>
      </c>
      <c r="J54" s="28">
        <v>9.31</v>
      </c>
      <c r="K54" s="15">
        <f>IFERROR(J54/J148, "NA")</f>
        <v>0.0004338429162</v>
      </c>
      <c r="L54" s="28">
        <v>9.0</v>
      </c>
      <c r="M54" s="15">
        <f>IFERROR(L54/L148, "NA")</f>
        <v>0.0003029086296</v>
      </c>
      <c r="N54" s="28">
        <v>15.0</v>
      </c>
      <c r="O54" s="15">
        <f>IFERROR(N54/N148, "NA")</f>
        <v>0.0005167301728</v>
      </c>
      <c r="P54" s="28">
        <v>27.0</v>
      </c>
      <c r="Q54" s="15">
        <f>IFERROR(P54/P148, "NA")</f>
        <v>0.0008911449893</v>
      </c>
      <c r="R54" s="28">
        <v>134.83</v>
      </c>
      <c r="S54" s="15">
        <f>IFERROR(R54/R148, "NA")</f>
        <v>0.005003568146</v>
      </c>
      <c r="T54" s="28">
        <v>27.0</v>
      </c>
      <c r="U54" s="15">
        <f>IFERROR(T54/T148, "NA")</f>
        <v>0.0009620489505</v>
      </c>
      <c r="V54" s="28">
        <v>27.75</v>
      </c>
      <c r="W54" s="15">
        <f>IFERROR(V54/V148, "NA")</f>
        <v>0.0009068337027</v>
      </c>
      <c r="X54" s="28">
        <v>34.0</v>
      </c>
      <c r="Y54" s="15">
        <f>IFERROR(X54/X148, "NA")</f>
        <v>0.001147391557</v>
      </c>
      <c r="Z54" s="28">
        <v>88.75</v>
      </c>
      <c r="AA54" s="15">
        <f>IFERROR(Z54/Z148, "NA")</f>
        <v>0.001005113223</v>
      </c>
      <c r="AB54" s="57">
        <f t="shared" si="25"/>
        <v>55.895</v>
      </c>
      <c r="AC54" s="15">
        <f>IFERROR(AB54/AB148, "NA")</f>
        <v>0.001940036069</v>
      </c>
      <c r="AD54" s="61">
        <f t="shared" si="26"/>
        <v>-21.895</v>
      </c>
      <c r="AE54" s="62">
        <f>IFERROR(AD54/AD148, "NA")</f>
        <v>-0.02666512404</v>
      </c>
      <c r="AF54" s="61">
        <f t="shared" si="27"/>
        <v>-0.3917166115</v>
      </c>
      <c r="AG54" s="57">
        <f t="shared" si="28"/>
        <v>35.48625</v>
      </c>
      <c r="AH54" s="15">
        <f>IFERROR(AG54/AG148, "NA")</f>
        <v>0.001257578406</v>
      </c>
      <c r="AI54" s="61">
        <f t="shared" si="29"/>
        <v>-1.48625</v>
      </c>
      <c r="AJ54" s="62">
        <f>IFERROR(AI54/AI148, "NA")</f>
        <v>-0.001050719067</v>
      </c>
      <c r="AK54" s="61">
        <f t="shared" si="30"/>
        <v>-0.04188241925</v>
      </c>
      <c r="AL54" s="62">
        <f>IFERROR(AK54/AK148, "NA")</f>
        <v>-0.8355097873</v>
      </c>
    </row>
    <row r="55" ht="16.5" customHeight="1">
      <c r="A55" s="26" t="s">
        <v>116</v>
      </c>
      <c r="B55" s="28">
        <v>-145.26</v>
      </c>
      <c r="C55" s="15">
        <f>IFERROR(B55/B148, "NA")</f>
        <v>-0.0100496811</v>
      </c>
      <c r="D55" s="28">
        <v>-158.81</v>
      </c>
      <c r="E55" s="15">
        <f>IFERROR(D55/D148, "NA")</f>
        <v>-0.008202898416</v>
      </c>
      <c r="F55" s="28">
        <v>-188.86</v>
      </c>
      <c r="G55" s="15">
        <f>IFERROR(F55/F148, "NA")</f>
        <v>-0.008700222826</v>
      </c>
      <c r="H55" s="28">
        <v>-114.09</v>
      </c>
      <c r="I55" s="15">
        <f>IFERROR(H55/H148, "NA")</f>
        <v>-0.005591005386</v>
      </c>
      <c r="J55" s="28">
        <v>-180.97</v>
      </c>
      <c r="K55" s="15">
        <f>IFERROR(J55/J148, "NA")</f>
        <v>-0.008433142057</v>
      </c>
      <c r="L55" s="28">
        <v>-245.45</v>
      </c>
      <c r="M55" s="15">
        <f>IFERROR(L55/L148, "NA")</f>
        <v>-0.00826099146</v>
      </c>
      <c r="N55" s="28">
        <v>-237.46</v>
      </c>
      <c r="O55" s="15">
        <f>IFERROR(N55/N148, "NA")</f>
        <v>-0.008180183122</v>
      </c>
      <c r="P55" s="28">
        <v>-286.34</v>
      </c>
      <c r="Q55" s="15">
        <f>IFERROR(P55/P148, "NA")</f>
        <v>-0.009450757638</v>
      </c>
      <c r="R55" s="28">
        <v>-221.74</v>
      </c>
      <c r="S55" s="15">
        <f>IFERROR(R55/R148, "NA")</f>
        <v>-0.00822881555</v>
      </c>
      <c r="T55" s="28">
        <v>-247.12</v>
      </c>
      <c r="U55" s="15">
        <f>IFERROR(T55/T148, "NA")</f>
        <v>-0.008805242098</v>
      </c>
      <c r="V55" s="28">
        <v>-242.84</v>
      </c>
      <c r="W55" s="15">
        <f>IFERROR(V55/V148, "NA")</f>
        <v>-0.007935693563</v>
      </c>
      <c r="X55" s="28">
        <v>-187.99</v>
      </c>
      <c r="Y55" s="15">
        <f>IFERROR(X55/X148, "NA")</f>
        <v>-0.006344062907</v>
      </c>
      <c r="Z55" s="28">
        <v>-677.95</v>
      </c>
      <c r="AA55" s="15">
        <f>IFERROR(Z55/Z148, "NA")</f>
        <v>-0.007677932504</v>
      </c>
      <c r="AB55" s="57">
        <f t="shared" si="25"/>
        <v>-224.9225</v>
      </c>
      <c r="AC55" s="15">
        <f>IFERROR(AB55/AB148, "NA")</f>
        <v>-0.007806740545</v>
      </c>
      <c r="AD55" s="61">
        <f t="shared" si="26"/>
        <v>36.9325</v>
      </c>
      <c r="AE55" s="62">
        <f>IFERROR(AD55/AD148, "NA")</f>
        <v>0.04497874828</v>
      </c>
      <c r="AF55" s="61">
        <f t="shared" si="27"/>
        <v>-0.1642010026</v>
      </c>
      <c r="AG55" s="57">
        <f t="shared" si="28"/>
        <v>-231.23875</v>
      </c>
      <c r="AH55" s="15">
        <f>IFERROR(AG55/AG148, "NA")</f>
        <v>-0.008194747505</v>
      </c>
      <c r="AI55" s="61">
        <f t="shared" si="29"/>
        <v>43.24875</v>
      </c>
      <c r="AJ55" s="62">
        <f>IFERROR(AI55/AI148, "NA")</f>
        <v>0.03057512951</v>
      </c>
      <c r="AK55" s="61">
        <f t="shared" si="30"/>
        <v>-0.1870307204</v>
      </c>
      <c r="AL55" s="62">
        <f>IFERROR(AK55/AK148, "NA")</f>
        <v>-3.731064256</v>
      </c>
    </row>
    <row r="56" ht="16.5" customHeight="1">
      <c r="A56" s="67" t="s">
        <v>117</v>
      </c>
      <c r="B56" s="70">
        <f>IFERROR(B37+B39+B40+B41+B42+B43+B46+B47+B48+B49+B50+B51+B53+B54+B55, "NA")</f>
        <v>330.26</v>
      </c>
      <c r="C56" s="71">
        <f>IFERROR(B56/B148, "NA")</f>
        <v>0.02284873798</v>
      </c>
      <c r="D56" s="70">
        <f>IFERROR(D37+D39+D40+D41+D42+D43+D46+D47+D48+D49+D50+D51+D53+D54+D55, "NA")</f>
        <v>1051.45</v>
      </c>
      <c r="E56" s="71">
        <f>IFERROR(D56/D148, "NA")</f>
        <v>0.05430978868</v>
      </c>
      <c r="F56" s="70">
        <f>IFERROR(F37+F39+F40+F41+F42+F43+F46+F47+F48+F49+F50+F51+F53+F54+F55, "NA")</f>
        <v>911.21</v>
      </c>
      <c r="G56" s="71">
        <f>IFERROR(F56/F148, "NA")</f>
        <v>0.04197675549</v>
      </c>
      <c r="H56" s="70">
        <f>IFERROR(H37+H39+H40+H41+H42+H43+H46+H47+H48+H49+H50+H51+H53+H54+H55, "NA")</f>
        <v>1121.3</v>
      </c>
      <c r="I56" s="71">
        <f>IFERROR(H56/H148, "NA")</f>
        <v>0.05494955158</v>
      </c>
      <c r="J56" s="70">
        <f>IFERROR(J37+J39+J40+J41+J42+J43+J46+J47+J48+J49+J50+J51+J53+J54+J55, "NA")</f>
        <v>754.01</v>
      </c>
      <c r="K56" s="71">
        <f>IFERROR(J56/J148, "NA")</f>
        <v>0.03513661625</v>
      </c>
      <c r="L56" s="70">
        <f>IFERROR(L37+L39+L40+L41+L42+L43+L46+L47+L48+L49+L50+L51+L53+L54+L55, "NA")</f>
        <v>1187.65</v>
      </c>
      <c r="M56" s="71">
        <f>IFERROR(L56/L148, "NA")</f>
        <v>0.03997215933</v>
      </c>
      <c r="N56" s="70">
        <f>IFERROR(N37+N39+N40+N41+N42+N43+N46+N47+N48+N49+N50+N51+N53+N54+N55, "NA")</f>
        <v>1014.3</v>
      </c>
      <c r="O56" s="71">
        <f>IFERROR(N56/N148, "NA")</f>
        <v>0.03494129429</v>
      </c>
      <c r="P56" s="70">
        <f>IFERROR(P37+P39+P40+P41+P42+P43+P46+P47+P48+P49+P50+P51+P53+P54+P55, "NA")</f>
        <v>933.34</v>
      </c>
      <c r="Q56" s="71">
        <f>IFERROR(P56/P148, "NA")</f>
        <v>0.03080523201</v>
      </c>
      <c r="R56" s="70">
        <f>IFERROR(R37+R39+R40+R41+R42+R43+R46+R47+R48+R49+R50+R51+R53+R54+R55, "NA")</f>
        <v>1136.69</v>
      </c>
      <c r="S56" s="71">
        <f>IFERROR(R56/R148, "NA")</f>
        <v>0.04218279222</v>
      </c>
      <c r="T56" s="70">
        <f>IFERROR(T37+T39+T40+T41+T42+T43+T46+T47+T48+T49+T50+T51+T53+T54+T55, "NA")</f>
        <v>1222.43</v>
      </c>
      <c r="U56" s="71">
        <f>IFERROR(T56/T148, "NA")</f>
        <v>0.04355694439</v>
      </c>
      <c r="V56" s="70">
        <f>IFERROR(V37+V39+V40+V41+V42+V43+V46+V47+V48+V49+V50+V51+V53+V54+V55, "NA")</f>
        <v>1146.51</v>
      </c>
      <c r="W56" s="71">
        <f>IFERROR(V56/V148, "NA")</f>
        <v>0.03746644715</v>
      </c>
      <c r="X56" s="70">
        <f>IFERROR(X37+X39+X40+X41+X42+X43+X46+X47+X48+X49+X50+X51+X53+X54+X55, "NA")</f>
        <v>1075.41</v>
      </c>
      <c r="Y56" s="71">
        <f>IFERROR(X56/X148, "NA")</f>
        <v>0.03629165748</v>
      </c>
      <c r="Z56" s="70">
        <f>IFERROR(Z37+Z39+Z40+Z41+Z42+Z43+Z46+Z47+Z48+Z49+Z50+Z51+Z53+Z54+Z55, "NA")</f>
        <v>3444.35</v>
      </c>
      <c r="AA56" s="71">
        <f>IFERROR(Z56/Z148, "NA")</f>
        <v>0.0390080195</v>
      </c>
      <c r="AB56" s="70">
        <f t="shared" si="25"/>
        <v>1145.26</v>
      </c>
      <c r="AC56" s="71">
        <f>IFERROR(AB56/AB148, "NA")</f>
        <v>0.03975034813</v>
      </c>
      <c r="AD56" s="75">
        <f t="shared" si="26"/>
        <v>-69.85</v>
      </c>
      <c r="AE56" s="76">
        <f>IFERROR(AD56/AD148, "NA")</f>
        <v>-0.08506777411</v>
      </c>
      <c r="AF56" s="75">
        <f t="shared" si="27"/>
        <v>-0.06099051744</v>
      </c>
      <c r="AG56" s="70">
        <f t="shared" si="28"/>
        <v>1058.7925</v>
      </c>
      <c r="AH56" s="71">
        <f>IFERROR(AG56/AG148, "NA")</f>
        <v>0.03752198625</v>
      </c>
      <c r="AI56" s="75">
        <f t="shared" si="29"/>
        <v>16.6175</v>
      </c>
      <c r="AJ56" s="76">
        <f>IFERROR(AI56/AI148, "NA")</f>
        <v>0.01174790519</v>
      </c>
      <c r="AK56" s="75">
        <f t="shared" si="30"/>
        <v>0.0156947655</v>
      </c>
      <c r="AL56" s="76">
        <f>IFERROR(AK56/AK148, "NA")</f>
        <v>0.3130939048</v>
      </c>
    </row>
    <row r="57" ht="16.5" customHeight="1">
      <c r="A57" s="67" t="s">
        <v>54</v>
      </c>
      <c r="B57" s="118">
        <f>IFERROR(B13+B15+B16+B17+B18+B19+B20+B21+B22+B23+B24+B25+B26+B29+B30+B31+B32+B33+B37+B39+B40+B41+B42+B43+B46+B47+B48+B49+B50+B51+B53+B54+B55, "NA")</f>
        <v>4051.88</v>
      </c>
      <c r="C57" s="94">
        <f>IFERROR(B57/B148, "NA")</f>
        <v>0.2803256357</v>
      </c>
      <c r="D57" s="118">
        <f>IFERROR(D13+D15+D16+D17+D18+D19+D20+D21+D22+D23+D24+D25+D26+D29+D30+D31+D32+D33+D37+D39+D40+D41+D42+D43+D46+D47+D48+D49+D50+D51+D53+D54+D55, "NA")</f>
        <v>6029.54</v>
      </c>
      <c r="E57" s="94">
        <f>IFERROR(D57/D148, "NA")</f>
        <v>0.3114394819</v>
      </c>
      <c r="F57" s="118">
        <f>IFERROR(F13+F15+F16+F17+F18+F19+F20+F21+F22+F23+F24+F25+F26+F29+F30+F31+F32+F33+F37+F39+F40+F41+F42+F43+F46+F47+F48+F49+F50+F51+F53+F54+F55, "NA")</f>
        <v>5640.02</v>
      </c>
      <c r="G57" s="94">
        <f>IFERROR(F57/F148, "NA")</f>
        <v>0.2598190763</v>
      </c>
      <c r="H57" s="118">
        <f>IFERROR(H13+H15+H16+H17+H18+H19+H20+H21+H22+H23+H24+H25+H26+H29+H30+H31+H32+H33+H37+H39+H40+H41+H42+H43+H46+H47+H48+H49+H50+H51+H53+H54+H55, "NA")</f>
        <v>6477.75</v>
      </c>
      <c r="I57" s="94">
        <f>IFERROR(H57/H148, "NA")</f>
        <v>0.3174435546</v>
      </c>
      <c r="J57" s="118">
        <f>IFERROR(J13+J15+J16+J17+J18+J19+J20+J21+J22+J23+J24+J25+J26+J29+J30+J31+J32+J33+J37+J39+J40+J41+J42+J43+J46+J47+J48+J49+J50+J51+J53+J54+J55, "NA")</f>
        <v>6421.83</v>
      </c>
      <c r="K57" s="94">
        <f>IFERROR(J57/J148, "NA")</f>
        <v>0.2992551509</v>
      </c>
      <c r="L57" s="118">
        <f>IFERROR(L13+L15+L16+L17+L18+L19+L20+L21+L22+L23+L24+L25+L26+L29+L30+L31+L32+L33+L37+L39+L40+L41+L42+L43+L46+L47+L48+L49+L50+L51+L53+L54+L55, "NA")</f>
        <v>7948.04</v>
      </c>
      <c r="M57" s="94">
        <f>IFERROR(L57/L148, "NA")</f>
        <v>0.2675033227</v>
      </c>
      <c r="N57" s="118">
        <f>IFERROR(N13+N15+N16+N17+N18+N19+N20+N21+N22+N23+N24+N25+N26+N29+N30+N31+N32+N33+N37+N39+N40+N41+N42+N43+N46+N47+N48+N49+N50+N51+N53+N54+N55, "NA")</f>
        <v>7743.53</v>
      </c>
      <c r="O57" s="94">
        <f>IFERROR(N57/N148, "NA")</f>
        <v>0.266754373</v>
      </c>
      <c r="P57" s="118">
        <f>IFERROR(P13+P15+P16+P17+P18+P19+P20+P21+P22+P23+P24+P25+P26+P29+P30+P31+P32+P33+P37+P39+P40+P41+P42+P43+P46+P47+P48+P49+P50+P51+P53+P54+P55, "NA")</f>
        <v>8253.1</v>
      </c>
      <c r="Q57" s="94">
        <f>IFERROR(P57/P148, "NA")</f>
        <v>0.2723966189</v>
      </c>
      <c r="R57" s="118">
        <f>IFERROR(R13+R15+R16+R17+R18+R19+R20+R21+R22+R23+R24+R25+R26+R29+R30+R31+R32+R33+R37+R39+R40+R41+R42+R43+R46+R47+R48+R49+R50+R51+R53+R54+R55, "NA")</f>
        <v>7389.89</v>
      </c>
      <c r="S57" s="94">
        <f>IFERROR(R57/R148, "NA")</f>
        <v>0.2742402893</v>
      </c>
      <c r="T57" s="118">
        <f>IFERROR(T13+T15+T16+T17+T18+T19+T20+T21+T22+T23+T24+T25+T26+T29+T30+T31+T32+T33+T37+T39+T40+T41+T42+T43+T46+T47+T48+T49+T50+T51+T53+T54+T55, "NA")</f>
        <v>8685.4</v>
      </c>
      <c r="U57" s="94">
        <f>IFERROR(T57/T148, "NA")</f>
        <v>0.3094733316</v>
      </c>
      <c r="V57" s="118">
        <f>IFERROR(V13+V15+V16+V17+V18+V19+V20+V21+V22+V23+V24+V25+V26+V29+V30+V31+V32+V33+V37+V39+V40+V41+V42+V43+V46+V47+V48+V49+V50+V51+V53+V54+V55, "NA")</f>
        <v>9049.9</v>
      </c>
      <c r="W57" s="94">
        <f>IFERROR(V57/V148, "NA")</f>
        <v>0.2957388946</v>
      </c>
      <c r="X57" s="118">
        <f>IFERROR(X13+X15+X16+X17+X18+X19+X20+X21+X22+X23+X24+X25+X26+X29+X30+X31+X32+X33+X37+X39+X40+X41+X42+X43+X46+X47+X48+X49+X50+X51+X53+X54+X55, "NA")</f>
        <v>7810.58</v>
      </c>
      <c r="Y57" s="94">
        <f>IFERROR(X57/X148, "NA")</f>
        <v>0.2635821632</v>
      </c>
      <c r="Z57" s="118">
        <f>IFERROR(Z13+Z15+Z16+Z17+Z18+Z19+Z20+Z21+Z22+Z23+Z24+Z25+Z26+Z29+Z30+Z31+Z32+Z33+Z37+Z39+Z40+Z41+Z42+Z43+Z46+Z47+Z48+Z49+Z50+Z51+Z53+Z54+Z55, "NA")</f>
        <v>25545.88</v>
      </c>
      <c r="AA57" s="94">
        <f>IFERROR(Z57/Z148, "NA")</f>
        <v>0.2893126962</v>
      </c>
      <c r="AB57" s="118">
        <f t="shared" si="25"/>
        <v>8233.9425</v>
      </c>
      <c r="AC57" s="94">
        <f>IFERROR(AB57/AB148, "NA")</f>
        <v>0.2857884505</v>
      </c>
      <c r="AD57" s="119">
        <f t="shared" si="26"/>
        <v>-423.3625</v>
      </c>
      <c r="AE57" s="120">
        <f>IFERROR(AD57/AD148, "NA")</f>
        <v>-0.5155977884</v>
      </c>
      <c r="AF57" s="119">
        <f t="shared" si="27"/>
        <v>-0.05141674234</v>
      </c>
      <c r="AG57" s="118">
        <f t="shared" si="28"/>
        <v>7912.78375</v>
      </c>
      <c r="AH57" s="94">
        <f>IFERROR(AG57/AG148, "NA")</f>
        <v>0.2804169495</v>
      </c>
      <c r="AI57" s="119">
        <f t="shared" si="29"/>
        <v>-102.20375</v>
      </c>
      <c r="AJ57" s="120">
        <f>IFERROR(AI57/AI148, "NA")</f>
        <v>-0.07225394705</v>
      </c>
      <c r="AK57" s="119">
        <f t="shared" si="30"/>
        <v>-0.01291628247</v>
      </c>
      <c r="AL57" s="120">
        <f>IFERROR(AK57/AK148, "NA")</f>
        <v>-0.2576661188</v>
      </c>
    </row>
    <row r="58" ht="3.75" customHeight="1">
      <c r="A58" s="79"/>
      <c r="B58" s="80"/>
      <c r="C58" s="74"/>
      <c r="D58" s="80"/>
      <c r="E58" s="74"/>
      <c r="F58" s="80"/>
      <c r="G58" s="74"/>
      <c r="H58" s="80"/>
      <c r="I58" s="74"/>
      <c r="J58" s="80"/>
      <c r="K58" s="74"/>
      <c r="L58" s="80"/>
      <c r="M58" s="74"/>
      <c r="N58" s="80"/>
      <c r="O58" s="74"/>
      <c r="P58" s="80"/>
      <c r="Q58" s="74"/>
      <c r="R58" s="80"/>
      <c r="S58" s="74"/>
      <c r="T58" s="80"/>
      <c r="U58" s="74"/>
      <c r="V58" s="80"/>
      <c r="W58" s="74"/>
      <c r="X58" s="80"/>
      <c r="Y58" s="74"/>
      <c r="Z58" s="80"/>
      <c r="AA58" s="74"/>
      <c r="AB58" s="80"/>
      <c r="AC58" s="74"/>
      <c r="AD58" s="81"/>
      <c r="AE58" s="82"/>
      <c r="AF58" s="81"/>
      <c r="AG58" s="80"/>
      <c r="AH58" s="74"/>
      <c r="AI58" s="81"/>
      <c r="AJ58" s="82"/>
      <c r="AK58" s="81"/>
      <c r="AL58" s="82"/>
    </row>
    <row r="59" ht="16.5" customHeight="1">
      <c r="A59" s="121" t="s">
        <v>120</v>
      </c>
      <c r="B59" s="122">
        <f>IFERROR(B9-B57, "NA")</f>
        <v>10402.31</v>
      </c>
      <c r="C59" s="98">
        <f>IFERROR(B59/B148, "NA")</f>
        <v>0.7196743643</v>
      </c>
      <c r="D59" s="122">
        <f>IFERROR(D9-D57, "NA")</f>
        <v>13330.69</v>
      </c>
      <c r="E59" s="98">
        <f>IFERROR(D59/D148, "NA")</f>
        <v>0.6885605181</v>
      </c>
      <c r="F59" s="122">
        <f>IFERROR(F9-F57, "NA")</f>
        <v>16067.47</v>
      </c>
      <c r="G59" s="98">
        <f>IFERROR(F59/F148, "NA")</f>
        <v>0.7401809237</v>
      </c>
      <c r="H59" s="122">
        <f>IFERROR(H9-H57, "NA")</f>
        <v>13928.24</v>
      </c>
      <c r="I59" s="98">
        <f>IFERROR(H59/H148, "NA")</f>
        <v>0.6825564454</v>
      </c>
      <c r="J59" s="122">
        <f>IFERROR(J9-J57, "NA")</f>
        <v>15037.55</v>
      </c>
      <c r="K59" s="98">
        <f>IFERROR(J59/J148, "NA")</f>
        <v>0.7007448491</v>
      </c>
      <c r="L59" s="122">
        <f>IFERROR(L9-L57, "NA")</f>
        <v>21763.89</v>
      </c>
      <c r="M59" s="98">
        <f>IFERROR(L59/L148, "NA")</f>
        <v>0.7324966773</v>
      </c>
      <c r="N59" s="122">
        <f>IFERROR(N9-N57, "NA")</f>
        <v>21285.16</v>
      </c>
      <c r="O59" s="98">
        <f>IFERROR(N59/N148, "NA")</f>
        <v>0.733245627</v>
      </c>
      <c r="P59" s="122">
        <f>IFERROR(P9-P57, "NA")</f>
        <v>22045</v>
      </c>
      <c r="Q59" s="98">
        <f>IFERROR(P59/P148, "NA")</f>
        <v>0.7276033811</v>
      </c>
      <c r="R59" s="122">
        <f>IFERROR(R9-R57, "NA")</f>
        <v>19556.88</v>
      </c>
      <c r="S59" s="98">
        <f>IFERROR(R59/R148, "NA")</f>
        <v>0.7257597107</v>
      </c>
      <c r="T59" s="122">
        <f>IFERROR(T9-T57, "NA")</f>
        <v>19379.7</v>
      </c>
      <c r="U59" s="98">
        <f>IFERROR(T59/T148, "NA")</f>
        <v>0.6905266684</v>
      </c>
      <c r="V59" s="122">
        <f>IFERROR(V9-V57, "NA")</f>
        <v>21551.08</v>
      </c>
      <c r="W59" s="98">
        <f>IFERROR(V59/V148, "NA")</f>
        <v>0.7042611054</v>
      </c>
      <c r="X59" s="122">
        <f>IFERROR(X9-X57, "NA")</f>
        <v>21821.85</v>
      </c>
      <c r="Y59" s="98">
        <f>IFERROR(X59/X148, "NA")</f>
        <v>0.7364178368</v>
      </c>
      <c r="Z59" s="122">
        <f>IFERROR(Z9-Z57, "NA")</f>
        <v>62752.63</v>
      </c>
      <c r="AA59" s="98">
        <f>IFERROR(Z59/Z148, "NA")</f>
        <v>0.7106873038</v>
      </c>
      <c r="AB59" s="122">
        <f>IFERROR((R59+T59+V59+X59)/4, "NA")</f>
        <v>20577.3775</v>
      </c>
      <c r="AC59" s="98">
        <f>IFERROR(AB59/AB148, "NA")</f>
        <v>0.7142115495</v>
      </c>
      <c r="AD59" s="75">
        <f>IFERROR(X59-AB59, "NA")</f>
        <v>1244.4725</v>
      </c>
      <c r="AE59" s="76">
        <f>IFERROR(AD59/AD148, "NA")</f>
        <v>1.515597788</v>
      </c>
      <c r="AF59" s="75">
        <f>IFERROR((X59-AB59)/AB59, "NA")</f>
        <v>0.06047770179</v>
      </c>
      <c r="AG59" s="122">
        <f>IFERROR((J59+L59+N59+P59+R59+T59+V59+X59)/8, "NA")</f>
        <v>20305.13875</v>
      </c>
      <c r="AH59" s="98">
        <f>IFERROR(AG59/AG148, "NA")</f>
        <v>0.7195830505</v>
      </c>
      <c r="AI59" s="75">
        <f>IFERROR(X59-AG59, "NA")</f>
        <v>1516.71125</v>
      </c>
      <c r="AJ59" s="76">
        <f>IFERROR(AI59/AI148, "NA")</f>
        <v>1.072253947</v>
      </c>
      <c r="AK59" s="75">
        <f>IFERROR((X59-AG59)/AG59, "NA")</f>
        <v>0.07469593134</v>
      </c>
      <c r="AL59" s="76">
        <f>IFERROR(AK59/AK148, "NA")</f>
        <v>1.490104508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2"/>
      <c r="AF60" s="125"/>
      <c r="AG60" s="124"/>
      <c r="AH60" s="74"/>
      <c r="AI60" s="125"/>
      <c r="AJ60" s="82"/>
      <c r="AK60" s="125"/>
      <c r="AL60" s="82"/>
    </row>
    <row r="61" ht="16.5" customHeight="1">
      <c r="A61" s="22" t="s">
        <v>121</v>
      </c>
      <c r="B61" s="23"/>
      <c r="C61" s="10"/>
      <c r="D61" s="23"/>
      <c r="E61" s="10"/>
      <c r="F61" s="23"/>
      <c r="G61" s="10"/>
      <c r="H61" s="23"/>
      <c r="I61" s="10"/>
      <c r="J61" s="23"/>
      <c r="K61" s="10"/>
      <c r="L61" s="23"/>
      <c r="M61" s="10"/>
      <c r="N61" s="23"/>
      <c r="O61" s="10"/>
      <c r="P61" s="23"/>
      <c r="Q61" s="10"/>
      <c r="R61" s="23"/>
      <c r="S61" s="10"/>
      <c r="T61" s="23"/>
      <c r="U61" s="10"/>
      <c r="V61" s="23"/>
      <c r="W61" s="10"/>
      <c r="X61" s="23"/>
      <c r="Y61" s="10"/>
      <c r="Z61" s="23"/>
      <c r="AA61" s="10"/>
      <c r="AB61" s="23"/>
      <c r="AC61" s="10"/>
      <c r="AD61" s="24"/>
      <c r="AE61" s="25"/>
      <c r="AF61" s="24"/>
      <c r="AG61" s="23"/>
      <c r="AH61" s="10"/>
      <c r="AI61" s="24"/>
      <c r="AJ61" s="25"/>
      <c r="AK61" s="24"/>
      <c r="AL61" s="25"/>
    </row>
    <row r="62" ht="16.5" customHeight="1">
      <c r="A62" s="22" t="s">
        <v>121</v>
      </c>
      <c r="B62" s="23"/>
      <c r="C62" s="10"/>
      <c r="D62" s="23"/>
      <c r="E62" s="10"/>
      <c r="F62" s="23"/>
      <c r="G62" s="10"/>
      <c r="H62" s="23"/>
      <c r="I62" s="10"/>
      <c r="J62" s="23"/>
      <c r="K62" s="10"/>
      <c r="L62" s="23"/>
      <c r="M62" s="10"/>
      <c r="N62" s="23"/>
      <c r="O62" s="10"/>
      <c r="P62" s="23"/>
      <c r="Q62" s="10"/>
      <c r="R62" s="23"/>
      <c r="S62" s="10"/>
      <c r="T62" s="23"/>
      <c r="U62" s="10"/>
      <c r="V62" s="23"/>
      <c r="W62" s="10"/>
      <c r="X62" s="23"/>
      <c r="Y62" s="10"/>
      <c r="Z62" s="23"/>
      <c r="AA62" s="10"/>
      <c r="AB62" s="23"/>
      <c r="AC62" s="10"/>
      <c r="AD62" s="24"/>
      <c r="AE62" s="25"/>
      <c r="AF62" s="24"/>
      <c r="AG62" s="23"/>
      <c r="AH62" s="10"/>
      <c r="AI62" s="24"/>
      <c r="AJ62" s="25"/>
      <c r="AK62" s="24"/>
      <c r="AL62" s="25"/>
    </row>
    <row r="63" ht="16.5" hidden="1" customHeight="1">
      <c r="A63" s="26" t="s">
        <v>122</v>
      </c>
      <c r="B63" s="28">
        <v>0.0</v>
      </c>
      <c r="C63" s="15">
        <f>IFERROR(B63/B148, "NA")</f>
        <v>0</v>
      </c>
      <c r="D63" s="28">
        <v>0.0</v>
      </c>
      <c r="E63" s="15">
        <f>IFERROR(D63/D148, "NA")</f>
        <v>0</v>
      </c>
      <c r="F63" s="28">
        <v>0.0</v>
      </c>
      <c r="G63" s="15">
        <f>IFERROR(F63/F148, "NA")</f>
        <v>0</v>
      </c>
      <c r="H63" s="28">
        <v>0.0</v>
      </c>
      <c r="I63" s="15">
        <f>IFERROR(H63/H148, "NA")</f>
        <v>0</v>
      </c>
      <c r="J63" s="28">
        <v>0.0</v>
      </c>
      <c r="K63" s="15">
        <f>IFERROR(J63/J148, "NA")</f>
        <v>0</v>
      </c>
      <c r="L63" s="28">
        <v>0.0</v>
      </c>
      <c r="M63" s="15">
        <f>IFERROR(L63/L148, "NA")</f>
        <v>0</v>
      </c>
      <c r="N63" s="28">
        <v>0.0</v>
      </c>
      <c r="O63" s="15">
        <f>IFERROR(N63/N148, "NA")</f>
        <v>0</v>
      </c>
      <c r="P63" s="28">
        <v>0.0</v>
      </c>
      <c r="Q63" s="15">
        <f>IFERROR(P63/P148, "NA")</f>
        <v>0</v>
      </c>
      <c r="R63" s="28">
        <v>0.0</v>
      </c>
      <c r="S63" s="15">
        <f>IFERROR(R63/R148, "NA")</f>
        <v>0</v>
      </c>
      <c r="T63" s="28">
        <v>0.0</v>
      </c>
      <c r="U63" s="15">
        <f>IFERROR(T63/T148, "NA")</f>
        <v>0</v>
      </c>
      <c r="V63" s="28">
        <v>0.0</v>
      </c>
      <c r="W63" s="15">
        <f>IFERROR(V63/V148, "NA")</f>
        <v>0</v>
      </c>
      <c r="X63" s="28">
        <v>0.0</v>
      </c>
      <c r="Y63" s="15">
        <f>IFERROR(X63/X148, "NA")</f>
        <v>0</v>
      </c>
      <c r="Z63" s="28">
        <v>0.0</v>
      </c>
      <c r="AA63" s="15">
        <f>IFERROR(Z63/Z148, "NA")</f>
        <v>0</v>
      </c>
      <c r="AB63" s="57">
        <f>IFERROR((R63+T63+V63+X63)/4, "NA")</f>
        <v>0</v>
      </c>
      <c r="AC63" s="15">
        <f>IFERROR(AB63/AB148, "NA")</f>
        <v>0</v>
      </c>
      <c r="AD63" s="61">
        <f>IFERROR(X63-AB63, "NA")</f>
        <v>0</v>
      </c>
      <c r="AE63" s="62">
        <f>IFERROR(AD63/AD148, "NA")</f>
        <v>0</v>
      </c>
      <c r="AF63" s="61" t="str">
        <f>IFERROR((X63-AB63)/AB63, "NA")</f>
        <v>NA</v>
      </c>
      <c r="AG63" s="57">
        <f>IFERROR((J63+L63+N63+P63+R63+T63+V63+X63)/8, "NA")</f>
        <v>0</v>
      </c>
      <c r="AH63" s="15">
        <f>IFERROR(AG63/AG148, "NA")</f>
        <v>0</v>
      </c>
      <c r="AI63" s="61">
        <f>IFERROR(X63-AG63, "NA")</f>
        <v>0</v>
      </c>
      <c r="AJ63" s="62">
        <f>IFERROR(AI63/AI148, "NA")</f>
        <v>0</v>
      </c>
      <c r="AK63" s="61" t="str">
        <f>IFERROR((X63-AG63)/AG63, "NA")</f>
        <v>NA</v>
      </c>
      <c r="AL63" s="62" t="str">
        <f>IFERROR(AK63/AK148, "NA")</f>
        <v>NA</v>
      </c>
    </row>
    <row r="64" ht="16.5" customHeight="1">
      <c r="A64" s="22" t="s">
        <v>123</v>
      </c>
      <c r="B64" s="23"/>
      <c r="C64" s="10"/>
      <c r="D64" s="23"/>
      <c r="E64" s="10"/>
      <c r="F64" s="23"/>
      <c r="G64" s="10"/>
      <c r="H64" s="23"/>
      <c r="I64" s="10"/>
      <c r="J64" s="23"/>
      <c r="K64" s="10"/>
      <c r="L64" s="23"/>
      <c r="M64" s="10"/>
      <c r="N64" s="23"/>
      <c r="O64" s="10"/>
      <c r="P64" s="23"/>
      <c r="Q64" s="10"/>
      <c r="R64" s="23"/>
      <c r="S64" s="10"/>
      <c r="T64" s="23"/>
      <c r="U64" s="10"/>
      <c r="V64" s="23"/>
      <c r="W64" s="10"/>
      <c r="X64" s="23"/>
      <c r="Y64" s="10"/>
      <c r="Z64" s="23"/>
      <c r="AA64" s="10"/>
      <c r="AB64" s="23"/>
      <c r="AC64" s="10"/>
      <c r="AD64" s="24"/>
      <c r="AE64" s="25"/>
      <c r="AF64" s="24"/>
      <c r="AG64" s="23"/>
      <c r="AH64" s="10"/>
      <c r="AI64" s="24"/>
      <c r="AJ64" s="25"/>
      <c r="AK64" s="24"/>
      <c r="AL64" s="25"/>
    </row>
    <row r="65" ht="16.5" hidden="1" customHeight="1">
      <c r="A65" s="26" t="s">
        <v>124</v>
      </c>
      <c r="B65" s="28">
        <v>0.0</v>
      </c>
      <c r="C65" s="15">
        <f>IFERROR(B65/B148, "NA")</f>
        <v>0</v>
      </c>
      <c r="D65" s="28">
        <v>0.0</v>
      </c>
      <c r="E65" s="15">
        <f>IFERROR(D65/D148, "NA")</f>
        <v>0</v>
      </c>
      <c r="F65" s="28">
        <v>0.0</v>
      </c>
      <c r="G65" s="15">
        <f>IFERROR(F65/F148, "NA")</f>
        <v>0</v>
      </c>
      <c r="H65" s="28">
        <v>0.0</v>
      </c>
      <c r="I65" s="15">
        <f>IFERROR(H65/H148, "NA")</f>
        <v>0</v>
      </c>
      <c r="J65" s="28">
        <v>0.0</v>
      </c>
      <c r="K65" s="15">
        <f>IFERROR(J65/J148, "NA")</f>
        <v>0</v>
      </c>
      <c r="L65" s="28">
        <v>0.0</v>
      </c>
      <c r="M65" s="15">
        <f>IFERROR(L65/L148, "NA")</f>
        <v>0</v>
      </c>
      <c r="N65" s="28">
        <v>0.0</v>
      </c>
      <c r="O65" s="15">
        <f>IFERROR(N65/N148, "NA")</f>
        <v>0</v>
      </c>
      <c r="P65" s="28">
        <v>0.0</v>
      </c>
      <c r="Q65" s="15">
        <f>IFERROR(P65/P148, "NA")</f>
        <v>0</v>
      </c>
      <c r="R65" s="28">
        <v>0.0</v>
      </c>
      <c r="S65" s="15">
        <f>IFERROR(R65/R148, "NA")</f>
        <v>0</v>
      </c>
      <c r="T65" s="28">
        <v>0.0</v>
      </c>
      <c r="U65" s="15">
        <f>IFERROR(T65/T148, "NA")</f>
        <v>0</v>
      </c>
      <c r="V65" s="28">
        <v>0.0</v>
      </c>
      <c r="W65" s="15">
        <f>IFERROR(V65/V148, "NA")</f>
        <v>0</v>
      </c>
      <c r="X65" s="28">
        <v>0.0</v>
      </c>
      <c r="Y65" s="15">
        <f>IFERROR(X65/X148, "NA")</f>
        <v>0</v>
      </c>
      <c r="Z65" s="28">
        <v>0.0</v>
      </c>
      <c r="AA65" s="15">
        <f>IFERROR(Z65/Z148, "NA")</f>
        <v>0</v>
      </c>
      <c r="AB65" s="57">
        <f t="shared" ref="AB65:AB72" si="31">IFERROR((R65+T65+V65+X65)/4, "NA")</f>
        <v>0</v>
      </c>
      <c r="AC65" s="15">
        <f>IFERROR(AB65/AB148, "NA")</f>
        <v>0</v>
      </c>
      <c r="AD65" s="61">
        <f t="shared" ref="AD65:AD72" si="32">IFERROR(X65-AB65, "NA")</f>
        <v>0</v>
      </c>
      <c r="AE65" s="62">
        <f>IFERROR(AD65/AD148, "NA")</f>
        <v>0</v>
      </c>
      <c r="AF65" s="61" t="str">
        <f t="shared" ref="AF65:AF72" si="33">IFERROR((X65-AB65)/AB65, "NA")</f>
        <v>NA</v>
      </c>
      <c r="AG65" s="57">
        <f t="shared" ref="AG65:AG72" si="34">IFERROR((J65+L65+N65+P65+R65+T65+V65+X65)/8, "NA")</f>
        <v>0</v>
      </c>
      <c r="AH65" s="15">
        <f>IFERROR(AG65/AG148, "NA")</f>
        <v>0</v>
      </c>
      <c r="AI65" s="61">
        <f t="shared" ref="AI65:AI72" si="35">IFERROR(X65-AG65, "NA")</f>
        <v>0</v>
      </c>
      <c r="AJ65" s="62">
        <f>IFERROR(AI65/AI148, "NA")</f>
        <v>0</v>
      </c>
      <c r="AK65" s="61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6" t="s">
        <v>125</v>
      </c>
      <c r="B66" s="28">
        <v>1461.54</v>
      </c>
      <c r="C66" s="15">
        <f>IFERROR(B66/B148, "NA")</f>
        <v>0.1011153167</v>
      </c>
      <c r="D66" s="28">
        <v>1461.54</v>
      </c>
      <c r="E66" s="15">
        <f>IFERROR(D66/D148, "NA")</f>
        <v>0.07549187174</v>
      </c>
      <c r="F66" s="28">
        <v>1461.54</v>
      </c>
      <c r="G66" s="15">
        <f>IFERROR(F66/F148, "NA")</f>
        <v>0.06732883443</v>
      </c>
      <c r="H66" s="28">
        <v>1461.54</v>
      </c>
      <c r="I66" s="15">
        <f>IFERROR(H66/H148, "NA")</f>
        <v>0.07162308714</v>
      </c>
      <c r="J66" s="28">
        <v>1461.54</v>
      </c>
      <c r="K66" s="15">
        <f>IFERROR(J66/J148, "NA")</f>
        <v>0.06810727989</v>
      </c>
      <c r="L66" s="28">
        <v>1461.54</v>
      </c>
      <c r="M66" s="15">
        <f>IFERROR(L66/L148, "NA")</f>
        <v>0.04919034206</v>
      </c>
      <c r="N66" s="28">
        <v>1461.54</v>
      </c>
      <c r="O66" s="15">
        <f>IFERROR(N66/N148, "NA")</f>
        <v>0.05034812112</v>
      </c>
      <c r="P66" s="28">
        <v>1461.54</v>
      </c>
      <c r="Q66" s="15">
        <f>IFERROR(P66/P148, "NA")</f>
        <v>0.04823866843</v>
      </c>
      <c r="R66" s="28">
        <v>1461.54</v>
      </c>
      <c r="S66" s="15">
        <f>IFERROR(R66/R148, "NA")</f>
        <v>0.0542380404</v>
      </c>
      <c r="T66" s="28">
        <v>1461.54</v>
      </c>
      <c r="U66" s="15">
        <f>IFERROR(T66/T148, "NA")</f>
        <v>0.05207677863</v>
      </c>
      <c r="V66" s="28">
        <v>1461.54</v>
      </c>
      <c r="W66" s="15">
        <f>IFERROR(V66/V148, "NA")</f>
        <v>0.04776121549</v>
      </c>
      <c r="X66" s="28">
        <v>1461.54</v>
      </c>
      <c r="Y66" s="15">
        <f>IFERROR(X66/X148, "NA")</f>
        <v>0.04932231342</v>
      </c>
      <c r="Z66" s="28">
        <v>4384.62</v>
      </c>
      <c r="AA66" s="15">
        <f>IFERROR(Z66/Z148, "NA")</f>
        <v>0.04965678356</v>
      </c>
      <c r="AB66" s="57">
        <f t="shared" si="31"/>
        <v>1461.54</v>
      </c>
      <c r="AC66" s="15">
        <f>IFERROR(AB66/AB148, "NA")</f>
        <v>0.05072797775</v>
      </c>
      <c r="AD66" s="61">
        <f t="shared" si="32"/>
        <v>0</v>
      </c>
      <c r="AE66" s="62">
        <f>IFERROR(AD66/AD148, "NA")</f>
        <v>0</v>
      </c>
      <c r="AF66" s="61">
        <f t="shared" si="33"/>
        <v>0</v>
      </c>
      <c r="AG66" s="57">
        <f t="shared" si="34"/>
        <v>1461.54</v>
      </c>
      <c r="AH66" s="15">
        <f>IFERROR(AG66/AG148, "NA")</f>
        <v>0.05179474144</v>
      </c>
      <c r="AI66" s="61">
        <f t="shared" si="35"/>
        <v>0</v>
      </c>
      <c r="AJ66" s="62">
        <f>IFERROR(AI66/AI148, "NA")</f>
        <v>0</v>
      </c>
      <c r="AK66" s="61">
        <f t="shared" si="36"/>
        <v>0</v>
      </c>
      <c r="AL66" s="62">
        <f>IFERROR(AK66/AK148, "NA")</f>
        <v>0</v>
      </c>
    </row>
    <row r="67" ht="16.5" hidden="1" customHeight="1">
      <c r="A67" s="26" t="s">
        <v>128</v>
      </c>
      <c r="B67" s="28">
        <v>0.0</v>
      </c>
      <c r="C67" s="15">
        <f>IFERROR(B67/B148, "NA")</f>
        <v>0</v>
      </c>
      <c r="D67" s="28">
        <v>0.0</v>
      </c>
      <c r="E67" s="15">
        <f>IFERROR(D67/D148, "NA")</f>
        <v>0</v>
      </c>
      <c r="F67" s="28">
        <v>0.0</v>
      </c>
      <c r="G67" s="15">
        <f>IFERROR(F67/F148, "NA")</f>
        <v>0</v>
      </c>
      <c r="H67" s="28">
        <v>0.0</v>
      </c>
      <c r="I67" s="15">
        <f>IFERROR(H67/H148, "NA")</f>
        <v>0</v>
      </c>
      <c r="J67" s="28">
        <v>0.0</v>
      </c>
      <c r="K67" s="15">
        <f>IFERROR(J67/J148, "NA")</f>
        <v>0</v>
      </c>
      <c r="L67" s="28">
        <v>0.0</v>
      </c>
      <c r="M67" s="15">
        <f>IFERROR(L67/L148, "NA")</f>
        <v>0</v>
      </c>
      <c r="N67" s="28">
        <v>0.0</v>
      </c>
      <c r="O67" s="15">
        <f>IFERROR(N67/N148, "NA")</f>
        <v>0</v>
      </c>
      <c r="P67" s="28">
        <v>0.0</v>
      </c>
      <c r="Q67" s="15">
        <f>IFERROR(P67/P148, "NA")</f>
        <v>0</v>
      </c>
      <c r="R67" s="28">
        <v>0.0</v>
      </c>
      <c r="S67" s="15">
        <f>IFERROR(R67/R148, "NA")</f>
        <v>0</v>
      </c>
      <c r="T67" s="28">
        <v>0.0</v>
      </c>
      <c r="U67" s="15">
        <f>IFERROR(T67/T148, "NA")</f>
        <v>0</v>
      </c>
      <c r="V67" s="28">
        <v>0.0</v>
      </c>
      <c r="W67" s="15">
        <f>IFERROR(V67/V148, "NA")</f>
        <v>0</v>
      </c>
      <c r="X67" s="28">
        <v>0.0</v>
      </c>
      <c r="Y67" s="15">
        <f>IFERROR(X67/X148, "NA")</f>
        <v>0</v>
      </c>
      <c r="Z67" s="28">
        <v>0.0</v>
      </c>
      <c r="AA67" s="15">
        <f>IFERROR(Z67/Z148, "NA")</f>
        <v>0</v>
      </c>
      <c r="AB67" s="57">
        <f t="shared" si="31"/>
        <v>0</v>
      </c>
      <c r="AC67" s="15">
        <f>IFERROR(AB67/AB148, "NA")</f>
        <v>0</v>
      </c>
      <c r="AD67" s="61">
        <f t="shared" si="32"/>
        <v>0</v>
      </c>
      <c r="AE67" s="62">
        <f>IFERROR(AD67/AD148, "NA")</f>
        <v>0</v>
      </c>
      <c r="AF67" s="61" t="str">
        <f t="shared" si="33"/>
        <v>NA</v>
      </c>
      <c r="AG67" s="57">
        <f t="shared" si="34"/>
        <v>0</v>
      </c>
      <c r="AH67" s="15">
        <f>IFERROR(AG67/AG148, "NA")</f>
        <v>0</v>
      </c>
      <c r="AI67" s="61">
        <f t="shared" si="35"/>
        <v>0</v>
      </c>
      <c r="AJ67" s="62">
        <f>IFERROR(AI67/AI148, "NA")</f>
        <v>0</v>
      </c>
      <c r="AK67" s="61" t="str">
        <f t="shared" si="36"/>
        <v>NA</v>
      </c>
      <c r="AL67" s="62" t="str">
        <f>IFERROR(AK67/AK148, "NA")</f>
        <v>NA</v>
      </c>
    </row>
    <row r="68" ht="16.5" customHeight="1">
      <c r="A68" s="26" t="s">
        <v>131</v>
      </c>
      <c r="B68" s="28">
        <v>4043.13</v>
      </c>
      <c r="C68" s="15">
        <f>IFERROR(B68/B148, "NA")</f>
        <v>0.2797202749</v>
      </c>
      <c r="D68" s="28">
        <v>3959.92</v>
      </c>
      <c r="E68" s="15">
        <f>IFERROR(D68/D148, "NA")</f>
        <v>0.2045388924</v>
      </c>
      <c r="F68" s="28">
        <v>3856.5</v>
      </c>
      <c r="G68" s="15">
        <f>IFERROR(F68/F148, "NA")</f>
        <v>0.1776575735</v>
      </c>
      <c r="H68" s="28">
        <v>3752.46</v>
      </c>
      <c r="I68" s="15">
        <f>IFERROR(H68/H148, "NA")</f>
        <v>0.1838901225</v>
      </c>
      <c r="J68" s="28">
        <v>3821.2</v>
      </c>
      <c r="K68" s="15">
        <f>IFERROR(J68/J148, "NA")</f>
        <v>0.1780666543</v>
      </c>
      <c r="L68" s="28">
        <v>4019.27</v>
      </c>
      <c r="M68" s="15">
        <f>IFERROR(L68/L148, "NA")</f>
        <v>0.1352746186</v>
      </c>
      <c r="N68" s="28">
        <v>5060.63</v>
      </c>
      <c r="O68" s="15">
        <f>IFERROR(N68/N148, "NA")</f>
        <v>0.1743320143</v>
      </c>
      <c r="P68" s="28">
        <v>5056.58</v>
      </c>
      <c r="Q68" s="15">
        <f>IFERROR(P68/P148, "NA")</f>
        <v>0.1668942937</v>
      </c>
      <c r="R68" s="28">
        <v>4339.78</v>
      </c>
      <c r="S68" s="15">
        <f>IFERROR(R68/R148, "NA")</f>
        <v>0.1610500999</v>
      </c>
      <c r="T68" s="28">
        <v>4551.63</v>
      </c>
      <c r="U68" s="15">
        <f>IFERROR(T68/T148, "NA")</f>
        <v>0.1621811431</v>
      </c>
      <c r="V68" s="28">
        <v>4980.03</v>
      </c>
      <c r="W68" s="15">
        <f>IFERROR(V68/V148, "NA")</f>
        <v>0.1627408665</v>
      </c>
      <c r="X68" s="28">
        <v>5033.53</v>
      </c>
      <c r="Y68" s="15">
        <f>IFERROR(X68/X148, "NA")</f>
        <v>0.1698655831</v>
      </c>
      <c r="Z68" s="28">
        <v>14565.19</v>
      </c>
      <c r="AA68" s="15">
        <f>IFERROR(Z68/Z148, "NA")</f>
        <v>0.1649539726</v>
      </c>
      <c r="AB68" s="57">
        <f t="shared" si="31"/>
        <v>4726.2425</v>
      </c>
      <c r="AC68" s="15">
        <f>IFERROR(AB68/AB148, "NA")</f>
        <v>0.1640411651</v>
      </c>
      <c r="AD68" s="61">
        <f t="shared" si="32"/>
        <v>307.2875</v>
      </c>
      <c r="AE68" s="62">
        <f>IFERROR(AD68/AD148, "NA")</f>
        <v>0.3742342682</v>
      </c>
      <c r="AF68" s="61">
        <f t="shared" si="33"/>
        <v>0.06501729439</v>
      </c>
      <c r="AG68" s="57">
        <f t="shared" si="34"/>
        <v>4607.83125</v>
      </c>
      <c r="AH68" s="15">
        <f>IFERROR(AG68/AG148, "NA")</f>
        <v>0.1632944895</v>
      </c>
      <c r="AI68" s="61">
        <f t="shared" si="35"/>
        <v>425.69875</v>
      </c>
      <c r="AJ68" s="62">
        <f>IFERROR(AI68/AI148, "NA")</f>
        <v>0.3009519214</v>
      </c>
      <c r="AK68" s="61">
        <f t="shared" si="36"/>
        <v>0.09238592451</v>
      </c>
      <c r="AL68" s="62">
        <f>IFERROR(AK68/AK148, "NA")</f>
        <v>1.843001085</v>
      </c>
    </row>
    <row r="69" ht="16.5" customHeight="1">
      <c r="A69" s="26" t="s">
        <v>134</v>
      </c>
      <c r="B69" s="28">
        <v>0.0</v>
      </c>
      <c r="C69" s="15">
        <f>IFERROR(B69/B148, "NA")</f>
        <v>0</v>
      </c>
      <c r="D69" s="28">
        <v>24.84</v>
      </c>
      <c r="E69" s="15">
        <f>IFERROR(D69/D148, "NA")</f>
        <v>0.001283042608</v>
      </c>
      <c r="F69" s="28">
        <v>27.44</v>
      </c>
      <c r="G69" s="15">
        <f>IFERROR(F69/F148, "NA")</f>
        <v>0.001264079818</v>
      </c>
      <c r="H69" s="28">
        <v>20.09</v>
      </c>
      <c r="I69" s="15">
        <f>IFERROR(H69/H148, "NA")</f>
        <v>0.000984514841</v>
      </c>
      <c r="J69" s="28">
        <v>0.0</v>
      </c>
      <c r="K69" s="15">
        <f>IFERROR(J69/J148, "NA")</f>
        <v>0</v>
      </c>
      <c r="L69" s="28">
        <v>0.0</v>
      </c>
      <c r="M69" s="15">
        <f>IFERROR(L69/L148, "NA")</f>
        <v>0</v>
      </c>
      <c r="N69" s="28">
        <v>227.35</v>
      </c>
      <c r="O69" s="15">
        <f>IFERROR(N69/N148, "NA")</f>
        <v>0.007831906986</v>
      </c>
      <c r="P69" s="28">
        <v>234.06</v>
      </c>
      <c r="Q69" s="15">
        <f>IFERROR(P69/P148, "NA")</f>
        <v>0.007725236896</v>
      </c>
      <c r="R69" s="28">
        <v>129.93</v>
      </c>
      <c r="S69" s="15">
        <f>IFERROR(R69/R148, "NA")</f>
        <v>0.00482172817</v>
      </c>
      <c r="T69" s="28">
        <v>32.16</v>
      </c>
      <c r="U69" s="15">
        <f>IFERROR(T69/T148, "NA")</f>
        <v>0.001145907194</v>
      </c>
      <c r="V69" s="28">
        <v>72.54</v>
      </c>
      <c r="W69" s="15">
        <f>IFERROR(V69/V148, "NA")</f>
        <v>0.002370512317</v>
      </c>
      <c r="X69" s="28">
        <v>44.94</v>
      </c>
      <c r="Y69" s="15">
        <f>IFERROR(X69/X148, "NA")</f>
        <v>0.001516581664</v>
      </c>
      <c r="Z69" s="28">
        <v>149.64</v>
      </c>
      <c r="AA69" s="15">
        <f>IFERROR(Z69/Z148, "NA")</f>
        <v>0.001694705834</v>
      </c>
      <c r="AB69" s="57">
        <f t="shared" si="31"/>
        <v>69.8925</v>
      </c>
      <c r="AC69" s="15">
        <f>IFERROR(AB69/AB148, "NA")</f>
        <v>0.002425869415</v>
      </c>
      <c r="AD69" s="61">
        <f t="shared" si="32"/>
        <v>-24.9525</v>
      </c>
      <c r="AE69" s="62">
        <f>IFERROR(AD69/AD148, "NA")</f>
        <v>-0.03038874207</v>
      </c>
      <c r="AF69" s="61">
        <f t="shared" si="33"/>
        <v>-0.357012555</v>
      </c>
      <c r="AG69" s="57">
        <f t="shared" si="34"/>
        <v>92.6225</v>
      </c>
      <c r="AH69" s="15">
        <f>IFERROR(AG69/AG148, "NA")</f>
        <v>0.003282399688</v>
      </c>
      <c r="AI69" s="61">
        <f t="shared" si="35"/>
        <v>-47.6825</v>
      </c>
      <c r="AJ69" s="62">
        <f>IFERROR(AI69/AI148, "NA")</f>
        <v>-0.03370961271</v>
      </c>
      <c r="AK69" s="61">
        <f t="shared" si="36"/>
        <v>-0.5148047181</v>
      </c>
      <c r="AL69" s="62">
        <f>IFERROR(AK69/AK148, "NA")</f>
        <v>-10.26980743</v>
      </c>
    </row>
    <row r="70" ht="16.5" customHeight="1">
      <c r="A70" s="67" t="s">
        <v>138</v>
      </c>
      <c r="B70" s="70">
        <f>IFERROR(B65+B66+B67+B68+B69, "NA")</f>
        <v>5504.67</v>
      </c>
      <c r="C70" s="71">
        <f>IFERROR(B70/B148, "NA")</f>
        <v>0.3808355916</v>
      </c>
      <c r="D70" s="70">
        <f>IFERROR(D65+D66+D67+D68+D69, "NA")</f>
        <v>5446.3</v>
      </c>
      <c r="E70" s="71">
        <f>IFERROR(D70/D148, "NA")</f>
        <v>0.2813138067</v>
      </c>
      <c r="F70" s="70">
        <f>IFERROR(F65+F66+F67+F68+F69, "NA")</f>
        <v>5345.48</v>
      </c>
      <c r="G70" s="71">
        <f>IFERROR(F70/F148, "NA")</f>
        <v>0.2462504877</v>
      </c>
      <c r="H70" s="70">
        <f>IFERROR(H65+H66+H67+H68+H69, "NA")</f>
        <v>5234.09</v>
      </c>
      <c r="I70" s="71">
        <f>IFERROR(H70/H148, "NA")</f>
        <v>0.2564977244</v>
      </c>
      <c r="J70" s="70">
        <f>IFERROR(J65+J66+J67+J68+J69, "NA")</f>
        <v>5282.74</v>
      </c>
      <c r="K70" s="71">
        <f>IFERROR(J70/J148, "NA")</f>
        <v>0.2461739342</v>
      </c>
      <c r="L70" s="70">
        <f>IFERROR(L65+L66+L67+L68+L69, "NA")</f>
        <v>5480.81</v>
      </c>
      <c r="M70" s="71">
        <f>IFERROR(L70/L148, "NA")</f>
        <v>0.1844649607</v>
      </c>
      <c r="N70" s="70">
        <f>IFERROR(N65+N66+N67+N68+N69, "NA")</f>
        <v>6749.52</v>
      </c>
      <c r="O70" s="71">
        <f>IFERROR(N70/N148, "NA")</f>
        <v>0.2325120424</v>
      </c>
      <c r="P70" s="70">
        <f>IFERROR(P65+P66+P67+P68+P69, "NA")</f>
        <v>6752.18</v>
      </c>
      <c r="Q70" s="71">
        <f>IFERROR(P70/P148, "NA")</f>
        <v>0.222858199</v>
      </c>
      <c r="R70" s="70">
        <f>IFERROR(R65+R66+R67+R68+R69, "NA")</f>
        <v>5931.25</v>
      </c>
      <c r="S70" s="71">
        <f>IFERROR(R70/R148, "NA")</f>
        <v>0.2201098685</v>
      </c>
      <c r="T70" s="70">
        <f>IFERROR(T65+T66+T67+T68+T69, "NA")</f>
        <v>6045.33</v>
      </c>
      <c r="U70" s="71">
        <f>IFERROR(T70/T148, "NA")</f>
        <v>0.215403829</v>
      </c>
      <c r="V70" s="70">
        <f>IFERROR(V65+V66+V67+V68+V69, "NA")</f>
        <v>6514.11</v>
      </c>
      <c r="W70" s="71">
        <f>IFERROR(V70/V148, "NA")</f>
        <v>0.2128725943</v>
      </c>
      <c r="X70" s="70">
        <f>IFERROR(X65+X66+X67+X68+X69, "NA")</f>
        <v>6540.01</v>
      </c>
      <c r="Y70" s="71">
        <f>IFERROR(X70/X148, "NA")</f>
        <v>0.2207044782</v>
      </c>
      <c r="Z70" s="70">
        <f>IFERROR(Z65+Z66+Z67+Z68+Z69, "NA")</f>
        <v>19099.45</v>
      </c>
      <c r="AA70" s="71">
        <f>IFERROR(Z70/Z148, "NA")</f>
        <v>0.216305462</v>
      </c>
      <c r="AB70" s="70">
        <f t="shared" si="31"/>
        <v>6257.675</v>
      </c>
      <c r="AC70" s="71">
        <f>IFERROR(AB70/AB148, "NA")</f>
        <v>0.2171950122</v>
      </c>
      <c r="AD70" s="75">
        <f t="shared" si="32"/>
        <v>282.335</v>
      </c>
      <c r="AE70" s="76">
        <f>IFERROR(AD70/AD148, "NA")</f>
        <v>0.3438455262</v>
      </c>
      <c r="AF70" s="75">
        <f t="shared" si="33"/>
        <v>0.04511819486</v>
      </c>
      <c r="AG70" s="70">
        <f t="shared" si="34"/>
        <v>6161.99375</v>
      </c>
      <c r="AH70" s="71">
        <f>IFERROR(AG70/AG148, "NA")</f>
        <v>0.2183716307</v>
      </c>
      <c r="AI70" s="75">
        <f t="shared" si="35"/>
        <v>378.01625</v>
      </c>
      <c r="AJ70" s="76">
        <f>IFERROR(AI70/AI148, "NA")</f>
        <v>0.2672423087</v>
      </c>
      <c r="AK70" s="75">
        <f t="shared" si="36"/>
        <v>0.06134641892</v>
      </c>
      <c r="AL70" s="76">
        <f>IFERROR(AK70/AK148, "NA")</f>
        <v>1.223795911</v>
      </c>
    </row>
    <row r="71" ht="16.5" hidden="1" customHeight="1">
      <c r="A71" s="26" t="s">
        <v>143</v>
      </c>
      <c r="B71" s="28">
        <v>0.0</v>
      </c>
      <c r="C71" s="15">
        <f>IFERROR(B71/B148, "NA")</f>
        <v>0</v>
      </c>
      <c r="D71" s="28">
        <v>0.0</v>
      </c>
      <c r="E71" s="15">
        <f>IFERROR(D71/D148, "NA")</f>
        <v>0</v>
      </c>
      <c r="F71" s="28">
        <v>0.0</v>
      </c>
      <c r="G71" s="15">
        <f>IFERROR(F71/F148, "NA")</f>
        <v>0</v>
      </c>
      <c r="H71" s="28">
        <v>0.0</v>
      </c>
      <c r="I71" s="15">
        <f>IFERROR(H71/H148, "NA")</f>
        <v>0</v>
      </c>
      <c r="J71" s="28">
        <v>0.0</v>
      </c>
      <c r="K71" s="15">
        <f>IFERROR(J71/J148, "NA")</f>
        <v>0</v>
      </c>
      <c r="L71" s="28">
        <v>0.0</v>
      </c>
      <c r="M71" s="15">
        <f>IFERROR(L71/L148, "NA")</f>
        <v>0</v>
      </c>
      <c r="N71" s="28">
        <v>0.0</v>
      </c>
      <c r="O71" s="15">
        <f>IFERROR(N71/N148, "NA")</f>
        <v>0</v>
      </c>
      <c r="P71" s="28">
        <v>0.0</v>
      </c>
      <c r="Q71" s="15">
        <f>IFERROR(P71/P148, "NA")</f>
        <v>0</v>
      </c>
      <c r="R71" s="28">
        <v>0.0</v>
      </c>
      <c r="S71" s="15">
        <f>IFERROR(R71/R148, "NA")</f>
        <v>0</v>
      </c>
      <c r="T71" s="28">
        <v>0.0</v>
      </c>
      <c r="U71" s="15">
        <f>IFERROR(T71/T148, "NA")</f>
        <v>0</v>
      </c>
      <c r="V71" s="28">
        <v>0.0</v>
      </c>
      <c r="W71" s="15">
        <f>IFERROR(V71/V148, "NA")</f>
        <v>0</v>
      </c>
      <c r="X71" s="28">
        <v>0.0</v>
      </c>
      <c r="Y71" s="15">
        <f>IFERROR(X71/X148, "NA")</f>
        <v>0</v>
      </c>
      <c r="Z71" s="28">
        <v>0.0</v>
      </c>
      <c r="AA71" s="15">
        <f>IFERROR(Z71/Z148, "NA")</f>
        <v>0</v>
      </c>
      <c r="AB71" s="57">
        <f t="shared" si="31"/>
        <v>0</v>
      </c>
      <c r="AC71" s="15">
        <f>IFERROR(AB71/AB148, "NA")</f>
        <v>0</v>
      </c>
      <c r="AD71" s="61">
        <f t="shared" si="32"/>
        <v>0</v>
      </c>
      <c r="AE71" s="62">
        <f>IFERROR(AD71/AD148, "NA")</f>
        <v>0</v>
      </c>
      <c r="AF71" s="61" t="str">
        <f t="shared" si="33"/>
        <v>NA</v>
      </c>
      <c r="AG71" s="57">
        <f t="shared" si="34"/>
        <v>0</v>
      </c>
      <c r="AH71" s="15">
        <f>IFERROR(AG71/AG148, "NA")</f>
        <v>0</v>
      </c>
      <c r="AI71" s="61">
        <f t="shared" si="35"/>
        <v>0</v>
      </c>
      <c r="AJ71" s="62">
        <f>IFERROR(AI71/AI148, "NA")</f>
        <v>0</v>
      </c>
      <c r="AK71" s="61" t="str">
        <f t="shared" si="36"/>
        <v>NA</v>
      </c>
      <c r="AL71" s="62" t="str">
        <f>IFERROR(AK71/AK148, "NA")</f>
        <v>NA</v>
      </c>
    </row>
    <row r="72" ht="16.5" customHeight="1">
      <c r="A72" s="26" t="s">
        <v>146</v>
      </c>
      <c r="B72" s="28">
        <v>0.0</v>
      </c>
      <c r="C72" s="15">
        <f>IFERROR(B72/B148, "NA")</f>
        <v>0</v>
      </c>
      <c r="D72" s="28">
        <v>0.0</v>
      </c>
      <c r="E72" s="15">
        <f>IFERROR(D72/D148, "NA")</f>
        <v>0</v>
      </c>
      <c r="F72" s="28">
        <v>0.0</v>
      </c>
      <c r="G72" s="15">
        <f>IFERROR(F72/F148, "NA")</f>
        <v>0</v>
      </c>
      <c r="H72" s="28">
        <v>350.0</v>
      </c>
      <c r="I72" s="15">
        <f>IFERROR(H72/H148, "NA")</f>
        <v>0.0171518265</v>
      </c>
      <c r="J72" s="28">
        <v>0.0</v>
      </c>
      <c r="K72" s="15">
        <f>IFERROR(J72/J148, "NA")</f>
        <v>0</v>
      </c>
      <c r="L72" s="28">
        <v>0.0</v>
      </c>
      <c r="M72" s="15">
        <f>IFERROR(L72/L148, "NA")</f>
        <v>0</v>
      </c>
      <c r="N72" s="28">
        <v>0.0</v>
      </c>
      <c r="O72" s="15">
        <f>IFERROR(N72/N148, "NA")</f>
        <v>0</v>
      </c>
      <c r="P72" s="28">
        <v>0.0</v>
      </c>
      <c r="Q72" s="15">
        <f>IFERROR(P72/P148, "NA")</f>
        <v>0</v>
      </c>
      <c r="R72" s="28">
        <v>-975.0</v>
      </c>
      <c r="S72" s="15">
        <f>IFERROR(R72/R148, "NA")</f>
        <v>-0.03618244413</v>
      </c>
      <c r="T72" s="28">
        <v>0.0</v>
      </c>
      <c r="U72" s="15">
        <f>IFERROR(T72/T148, "NA")</f>
        <v>0</v>
      </c>
      <c r="V72" s="28">
        <v>0.0</v>
      </c>
      <c r="W72" s="15">
        <f>IFERROR(V72/V148, "NA")</f>
        <v>0</v>
      </c>
      <c r="X72" s="28">
        <v>0.0</v>
      </c>
      <c r="Y72" s="15">
        <f>IFERROR(X72/X148, "NA")</f>
        <v>0</v>
      </c>
      <c r="Z72" s="28">
        <v>0.0</v>
      </c>
      <c r="AA72" s="15">
        <f>IFERROR(Z72/Z148, "NA")</f>
        <v>0</v>
      </c>
      <c r="AB72" s="57">
        <f t="shared" si="31"/>
        <v>-243.75</v>
      </c>
      <c r="AC72" s="15">
        <f>IFERROR(AB72/AB148, "NA")</f>
        <v>-0.008460216332</v>
      </c>
      <c r="AD72" s="61">
        <f t="shared" si="32"/>
        <v>243.75</v>
      </c>
      <c r="AE72" s="62">
        <f>IFERROR(AD72/AD148, "NA")</f>
        <v>0.2968542583</v>
      </c>
      <c r="AF72" s="61">
        <f t="shared" si="33"/>
        <v>-1</v>
      </c>
      <c r="AG72" s="57">
        <f t="shared" si="34"/>
        <v>-121.875</v>
      </c>
      <c r="AH72" s="15">
        <f>IFERROR(AG72/AG148, "NA")</f>
        <v>-0.004319063531</v>
      </c>
      <c r="AI72" s="61">
        <f t="shared" si="35"/>
        <v>121.875</v>
      </c>
      <c r="AJ72" s="62">
        <f>IFERROR(AI72/AI148, "NA")</f>
        <v>0.08616073086</v>
      </c>
      <c r="AK72" s="61">
        <f t="shared" si="36"/>
        <v>-1</v>
      </c>
      <c r="AL72" s="62">
        <f>IFERROR(AK72/AK148, "NA")</f>
        <v>-19.94893806</v>
      </c>
    </row>
    <row r="73" ht="16.5" customHeight="1">
      <c r="A73" s="22" t="s">
        <v>151</v>
      </c>
      <c r="B73" s="23"/>
      <c r="C73" s="10"/>
      <c r="D73" s="23"/>
      <c r="E73" s="10"/>
      <c r="F73" s="23"/>
      <c r="G73" s="10"/>
      <c r="H73" s="23"/>
      <c r="I73" s="10"/>
      <c r="J73" s="23"/>
      <c r="K73" s="10"/>
      <c r="L73" s="23"/>
      <c r="M73" s="10"/>
      <c r="N73" s="23"/>
      <c r="O73" s="10"/>
      <c r="P73" s="23"/>
      <c r="Q73" s="10"/>
      <c r="R73" s="23"/>
      <c r="S73" s="10"/>
      <c r="T73" s="23"/>
      <c r="U73" s="10"/>
      <c r="V73" s="23"/>
      <c r="W73" s="10"/>
      <c r="X73" s="23"/>
      <c r="Y73" s="10"/>
      <c r="Z73" s="23"/>
      <c r="AA73" s="10"/>
      <c r="AB73" s="23"/>
      <c r="AC73" s="10"/>
      <c r="AD73" s="24"/>
      <c r="AE73" s="25"/>
      <c r="AF73" s="24"/>
      <c r="AG73" s="23"/>
      <c r="AH73" s="10"/>
      <c r="AI73" s="24"/>
      <c r="AJ73" s="25"/>
      <c r="AK73" s="24"/>
      <c r="AL73" s="25"/>
    </row>
    <row r="74" ht="16.5" customHeight="1">
      <c r="A74" s="26" t="s">
        <v>153</v>
      </c>
      <c r="B74" s="28">
        <v>477.53</v>
      </c>
      <c r="C74" s="15">
        <f>IFERROR(B74/B148, "NA")</f>
        <v>0.0330374791</v>
      </c>
      <c r="D74" s="28">
        <v>476.4</v>
      </c>
      <c r="E74" s="15">
        <f>IFERROR(D74/D148, "NA")</f>
        <v>0.02460714568</v>
      </c>
      <c r="F74" s="28">
        <v>489.84</v>
      </c>
      <c r="G74" s="15">
        <f>IFERROR(F74/F148, "NA")</f>
        <v>0.02256548316</v>
      </c>
      <c r="H74" s="28">
        <v>494.93</v>
      </c>
      <c r="I74" s="15">
        <f>IFERROR(H74/H148, "NA")</f>
        <v>0.02425415282</v>
      </c>
      <c r="J74" s="28">
        <v>478.79</v>
      </c>
      <c r="K74" s="15">
        <f>IFERROR(J74/J148, "NA")</f>
        <v>0.02231145541</v>
      </c>
      <c r="L74" s="28">
        <v>494.43</v>
      </c>
      <c r="M74" s="15">
        <f>IFERROR(L74/L148, "NA")</f>
        <v>0.01664079042</v>
      </c>
      <c r="N74" s="28">
        <v>596.31</v>
      </c>
      <c r="O74" s="15">
        <f>IFERROR(N74/N148, "NA")</f>
        <v>0.02054209129</v>
      </c>
      <c r="P74" s="28">
        <v>618.37</v>
      </c>
      <c r="Q74" s="15">
        <f>IFERROR(P74/P148, "NA")</f>
        <v>0.02040953063</v>
      </c>
      <c r="R74" s="28">
        <v>529.77</v>
      </c>
      <c r="S74" s="15">
        <f>IFERROR(R74/R148, "NA")</f>
        <v>0.01965987018</v>
      </c>
      <c r="T74" s="28">
        <v>537.07</v>
      </c>
      <c r="U74" s="15">
        <f>IFERROR(T74/T148, "NA")</f>
        <v>0.01913657888</v>
      </c>
      <c r="V74" s="28">
        <v>549.72</v>
      </c>
      <c r="W74" s="15">
        <f>IFERROR(V74/V148, "NA")</f>
        <v>0.01796413056</v>
      </c>
      <c r="X74" s="28">
        <v>586.34</v>
      </c>
      <c r="Y74" s="15">
        <f>IFERROR(X74/X148, "NA")</f>
        <v>0.01978710487</v>
      </c>
      <c r="Z74" s="28">
        <v>1673.13</v>
      </c>
      <c r="AA74" s="15">
        <f>IFERROR(Z74/Z148, "NA")</f>
        <v>0.01894856436</v>
      </c>
      <c r="AB74" s="57">
        <f t="shared" ref="AB74:AB85" si="37">IFERROR((R74+T74+V74+X74)/4, "NA")</f>
        <v>550.725</v>
      </c>
      <c r="AC74" s="15">
        <f>IFERROR(AB74/AB148, "NA")</f>
        <v>0.01911488262</v>
      </c>
      <c r="AD74" s="61">
        <f t="shared" ref="AD74:AD85" si="38">IFERROR(X74-AB74, "NA")</f>
        <v>35.615</v>
      </c>
      <c r="AE74" s="62">
        <f>IFERROR(AD74/AD148, "NA")</f>
        <v>0.04337421296</v>
      </c>
      <c r="AF74" s="61">
        <f t="shared" ref="AF74:AF85" si="39">IFERROR((X74-AB74)/AB74, "NA")</f>
        <v>0.06466929956</v>
      </c>
      <c r="AG74" s="57">
        <f t="shared" ref="AG74:AG85" si="40">IFERROR((J74+L74+N74+P74+R74+T74+V74+X74)/8, "NA")</f>
        <v>548.85</v>
      </c>
      <c r="AH74" s="15">
        <f>IFERROR(AG74/AG148, "NA")</f>
        <v>0.01945040426</v>
      </c>
      <c r="AI74" s="61">
        <f t="shared" ref="AI74:AI85" si="41">IFERROR(X74-AG74, "NA")</f>
        <v>37.49</v>
      </c>
      <c r="AJ74" s="62">
        <f>IFERROR(AI74/AI148, "NA")</f>
        <v>0.02650392451</v>
      </c>
      <c r="AK74" s="61">
        <f t="shared" ref="AK74:AK85" si="42">IFERROR((X74-AG74)/AG74, "NA")</f>
        <v>0.06830645896</v>
      </c>
      <c r="AL74" s="62">
        <f>IFERROR(AK74/AK148, "NA")</f>
        <v>1.362641319</v>
      </c>
    </row>
    <row r="75" ht="16.5" hidden="1" customHeight="1">
      <c r="A75" s="26" t="s">
        <v>158</v>
      </c>
      <c r="B75" s="28">
        <v>0.0</v>
      </c>
      <c r="C75" s="15">
        <f>IFERROR(B75/B148, "NA")</f>
        <v>0</v>
      </c>
      <c r="D75" s="28">
        <v>0.0</v>
      </c>
      <c r="E75" s="15">
        <f>IFERROR(D75/D148, "NA")</f>
        <v>0</v>
      </c>
      <c r="F75" s="28">
        <v>0.0</v>
      </c>
      <c r="G75" s="15">
        <f>IFERROR(F75/F148, "NA")</f>
        <v>0</v>
      </c>
      <c r="H75" s="28">
        <v>0.0</v>
      </c>
      <c r="I75" s="15">
        <f>IFERROR(H75/H148, "NA")</f>
        <v>0</v>
      </c>
      <c r="J75" s="28">
        <v>0.0</v>
      </c>
      <c r="K75" s="15">
        <f>IFERROR(J75/J148, "NA")</f>
        <v>0</v>
      </c>
      <c r="L75" s="28">
        <v>0.0</v>
      </c>
      <c r="M75" s="15">
        <f>IFERROR(L75/L148, "NA")</f>
        <v>0</v>
      </c>
      <c r="N75" s="28">
        <v>0.0</v>
      </c>
      <c r="O75" s="15">
        <f>IFERROR(N75/N148, "NA")</f>
        <v>0</v>
      </c>
      <c r="P75" s="28">
        <v>0.0</v>
      </c>
      <c r="Q75" s="15">
        <f>IFERROR(P75/P148, "NA")</f>
        <v>0</v>
      </c>
      <c r="R75" s="28">
        <v>0.0</v>
      </c>
      <c r="S75" s="15">
        <f>IFERROR(R75/R148, "NA")</f>
        <v>0</v>
      </c>
      <c r="T75" s="28">
        <v>0.0</v>
      </c>
      <c r="U75" s="15">
        <f>IFERROR(T75/T148, "NA")</f>
        <v>0</v>
      </c>
      <c r="V75" s="28">
        <v>0.0</v>
      </c>
      <c r="W75" s="15">
        <f>IFERROR(V75/V148, "NA")</f>
        <v>0</v>
      </c>
      <c r="X75" s="28">
        <v>0.0</v>
      </c>
      <c r="Y75" s="15">
        <f>IFERROR(X75/X148, "NA")</f>
        <v>0</v>
      </c>
      <c r="Z75" s="28">
        <v>0.0</v>
      </c>
      <c r="AA75" s="15">
        <f>IFERROR(Z75/Z148, "NA")</f>
        <v>0</v>
      </c>
      <c r="AB75" s="57">
        <f t="shared" si="37"/>
        <v>0</v>
      </c>
      <c r="AC75" s="15">
        <f>IFERROR(AB75/AB148, "NA")</f>
        <v>0</v>
      </c>
      <c r="AD75" s="61">
        <f t="shared" si="38"/>
        <v>0</v>
      </c>
      <c r="AE75" s="62">
        <f>IFERROR(AD75/AD148, "NA")</f>
        <v>0</v>
      </c>
      <c r="AF75" s="61" t="str">
        <f t="shared" si="39"/>
        <v>NA</v>
      </c>
      <c r="AG75" s="57">
        <f t="shared" si="40"/>
        <v>0</v>
      </c>
      <c r="AH75" s="15">
        <f>IFERROR(AG75/AG148, "NA")</f>
        <v>0</v>
      </c>
      <c r="AI75" s="61">
        <f t="shared" si="41"/>
        <v>0</v>
      </c>
      <c r="AJ75" s="62">
        <f>IFERROR(AI75/AI148, "NA")</f>
        <v>0</v>
      </c>
      <c r="AK75" s="61" t="str">
        <f t="shared" si="42"/>
        <v>NA</v>
      </c>
      <c r="AL75" s="62" t="str">
        <f>IFERROR(AK75/AK148, "NA")</f>
        <v>NA</v>
      </c>
    </row>
    <row r="76" ht="16.5" hidden="1" customHeight="1">
      <c r="A76" s="26" t="s">
        <v>160</v>
      </c>
      <c r="B76" s="28">
        <v>0.0</v>
      </c>
      <c r="C76" s="15">
        <f>IFERROR(B76/B148, "NA")</f>
        <v>0</v>
      </c>
      <c r="D76" s="28">
        <v>0.0</v>
      </c>
      <c r="E76" s="15">
        <f>IFERROR(D76/D148, "NA")</f>
        <v>0</v>
      </c>
      <c r="F76" s="28">
        <v>0.0</v>
      </c>
      <c r="G76" s="15">
        <f>IFERROR(F76/F148, "NA")</f>
        <v>0</v>
      </c>
      <c r="H76" s="28">
        <v>0.0</v>
      </c>
      <c r="I76" s="15">
        <f>IFERROR(H76/H148, "NA")</f>
        <v>0</v>
      </c>
      <c r="J76" s="28">
        <v>0.0</v>
      </c>
      <c r="K76" s="15">
        <f>IFERROR(J76/J148, "NA")</f>
        <v>0</v>
      </c>
      <c r="L76" s="28">
        <v>0.0</v>
      </c>
      <c r="M76" s="15">
        <f>IFERROR(L76/L148, "NA")</f>
        <v>0</v>
      </c>
      <c r="N76" s="28">
        <v>0.0</v>
      </c>
      <c r="O76" s="15">
        <f>IFERROR(N76/N148, "NA")</f>
        <v>0</v>
      </c>
      <c r="P76" s="28">
        <v>0.0</v>
      </c>
      <c r="Q76" s="15">
        <f>IFERROR(P76/P148, "NA")</f>
        <v>0</v>
      </c>
      <c r="R76" s="28">
        <v>0.0</v>
      </c>
      <c r="S76" s="15">
        <f>IFERROR(R76/R148, "NA")</f>
        <v>0</v>
      </c>
      <c r="T76" s="28">
        <v>0.0</v>
      </c>
      <c r="U76" s="15">
        <f>IFERROR(T76/T148, "NA")</f>
        <v>0</v>
      </c>
      <c r="V76" s="28">
        <v>0.0</v>
      </c>
      <c r="W76" s="15">
        <f>IFERROR(V76/V148, "NA")</f>
        <v>0</v>
      </c>
      <c r="X76" s="28">
        <v>0.0</v>
      </c>
      <c r="Y76" s="15">
        <f>IFERROR(X76/X148, "NA")</f>
        <v>0</v>
      </c>
      <c r="Z76" s="28">
        <v>0.0</v>
      </c>
      <c r="AA76" s="15">
        <f>IFERROR(Z76/Z148, "NA")</f>
        <v>0</v>
      </c>
      <c r="AB76" s="57">
        <f t="shared" si="37"/>
        <v>0</v>
      </c>
      <c r="AC76" s="15">
        <f>IFERROR(AB76/AB148, "NA")</f>
        <v>0</v>
      </c>
      <c r="AD76" s="61">
        <f t="shared" si="38"/>
        <v>0</v>
      </c>
      <c r="AE76" s="62">
        <f>IFERROR(AD76/AD148, "NA")</f>
        <v>0</v>
      </c>
      <c r="AF76" s="61" t="str">
        <f t="shared" si="39"/>
        <v>NA</v>
      </c>
      <c r="AG76" s="57">
        <f t="shared" si="40"/>
        <v>0</v>
      </c>
      <c r="AH76" s="15">
        <f>IFERROR(AG76/AG148, "NA")</f>
        <v>0</v>
      </c>
      <c r="AI76" s="61">
        <f t="shared" si="41"/>
        <v>0</v>
      </c>
      <c r="AJ76" s="62">
        <f>IFERROR(AI76/AI148, "NA")</f>
        <v>0</v>
      </c>
      <c r="AK76" s="61" t="str">
        <f t="shared" si="42"/>
        <v>NA</v>
      </c>
      <c r="AL76" s="62" t="str">
        <f>IFERROR(AK76/AK148, "NA")</f>
        <v>NA</v>
      </c>
    </row>
    <row r="77" ht="16.5" hidden="1" customHeight="1">
      <c r="A77" s="26" t="s">
        <v>163</v>
      </c>
      <c r="B77" s="28">
        <v>0.0</v>
      </c>
      <c r="C77" s="15">
        <f>IFERROR(B77/B148, "NA")</f>
        <v>0</v>
      </c>
      <c r="D77" s="28">
        <v>0.0</v>
      </c>
      <c r="E77" s="15">
        <f>IFERROR(D77/D148, "NA")</f>
        <v>0</v>
      </c>
      <c r="F77" s="28">
        <v>0.0</v>
      </c>
      <c r="G77" s="15">
        <f>IFERROR(F77/F148, "NA")</f>
        <v>0</v>
      </c>
      <c r="H77" s="28">
        <v>0.0</v>
      </c>
      <c r="I77" s="15">
        <f>IFERROR(H77/H148, "NA")</f>
        <v>0</v>
      </c>
      <c r="J77" s="28">
        <v>0.0</v>
      </c>
      <c r="K77" s="15">
        <f>IFERROR(J77/J148, "NA")</f>
        <v>0</v>
      </c>
      <c r="L77" s="28">
        <v>0.0</v>
      </c>
      <c r="M77" s="15">
        <f>IFERROR(L77/L148, "NA")</f>
        <v>0</v>
      </c>
      <c r="N77" s="28">
        <v>0.0</v>
      </c>
      <c r="O77" s="15">
        <f>IFERROR(N77/N148, "NA")</f>
        <v>0</v>
      </c>
      <c r="P77" s="28">
        <v>0.0</v>
      </c>
      <c r="Q77" s="15">
        <f>IFERROR(P77/P148, "NA")</f>
        <v>0</v>
      </c>
      <c r="R77" s="28">
        <v>0.0</v>
      </c>
      <c r="S77" s="15">
        <f>IFERROR(R77/R148, "NA")</f>
        <v>0</v>
      </c>
      <c r="T77" s="28">
        <v>0.0</v>
      </c>
      <c r="U77" s="15">
        <f>IFERROR(T77/T148, "NA")</f>
        <v>0</v>
      </c>
      <c r="V77" s="28">
        <v>0.0</v>
      </c>
      <c r="W77" s="15">
        <f>IFERROR(V77/V148, "NA")</f>
        <v>0</v>
      </c>
      <c r="X77" s="28">
        <v>0.0</v>
      </c>
      <c r="Y77" s="15">
        <f>IFERROR(X77/X148, "NA")</f>
        <v>0</v>
      </c>
      <c r="Z77" s="28">
        <v>0.0</v>
      </c>
      <c r="AA77" s="15">
        <f>IFERROR(Z77/Z148, "NA")</f>
        <v>0</v>
      </c>
      <c r="AB77" s="57">
        <f t="shared" si="37"/>
        <v>0</v>
      </c>
      <c r="AC77" s="15">
        <f>IFERROR(AB77/AB148, "NA")</f>
        <v>0</v>
      </c>
      <c r="AD77" s="61">
        <f t="shared" si="38"/>
        <v>0</v>
      </c>
      <c r="AE77" s="62">
        <f>IFERROR(AD77/AD148, "NA")</f>
        <v>0</v>
      </c>
      <c r="AF77" s="61" t="str">
        <f t="shared" si="39"/>
        <v>NA</v>
      </c>
      <c r="AG77" s="57">
        <f t="shared" si="40"/>
        <v>0</v>
      </c>
      <c r="AH77" s="15">
        <f>IFERROR(AG77/AG148, "NA")</f>
        <v>0</v>
      </c>
      <c r="AI77" s="61">
        <f t="shared" si="41"/>
        <v>0</v>
      </c>
      <c r="AJ77" s="62">
        <f>IFERROR(AI77/AI148, "NA")</f>
        <v>0</v>
      </c>
      <c r="AK77" s="61" t="str">
        <f t="shared" si="42"/>
        <v>NA</v>
      </c>
      <c r="AL77" s="62" t="str">
        <f>IFERROR(AK77/AK148, "NA")</f>
        <v>NA</v>
      </c>
    </row>
    <row r="78" ht="16.5" hidden="1" customHeight="1">
      <c r="A78" s="26" t="s">
        <v>167</v>
      </c>
      <c r="B78" s="28">
        <v>0.0</v>
      </c>
      <c r="C78" s="15">
        <f>IFERROR(B78/B148, "NA")</f>
        <v>0</v>
      </c>
      <c r="D78" s="28">
        <v>0.0</v>
      </c>
      <c r="E78" s="15">
        <f>IFERROR(D78/D148, "NA")</f>
        <v>0</v>
      </c>
      <c r="F78" s="28">
        <v>0.0</v>
      </c>
      <c r="G78" s="15">
        <f>IFERROR(F78/F148, "NA")</f>
        <v>0</v>
      </c>
      <c r="H78" s="28">
        <v>0.0</v>
      </c>
      <c r="I78" s="15">
        <f>IFERROR(H78/H148, "NA")</f>
        <v>0</v>
      </c>
      <c r="J78" s="28">
        <v>0.0</v>
      </c>
      <c r="K78" s="15">
        <f>IFERROR(J78/J148, "NA")</f>
        <v>0</v>
      </c>
      <c r="L78" s="28">
        <v>0.0</v>
      </c>
      <c r="M78" s="15">
        <f>IFERROR(L78/L148, "NA")</f>
        <v>0</v>
      </c>
      <c r="N78" s="28">
        <v>0.0</v>
      </c>
      <c r="O78" s="15">
        <f>IFERROR(N78/N148, "NA")</f>
        <v>0</v>
      </c>
      <c r="P78" s="28">
        <v>0.0</v>
      </c>
      <c r="Q78" s="15">
        <f>IFERROR(P78/P148, "NA")</f>
        <v>0</v>
      </c>
      <c r="R78" s="28">
        <v>0.0</v>
      </c>
      <c r="S78" s="15">
        <f>IFERROR(R78/R148, "NA")</f>
        <v>0</v>
      </c>
      <c r="T78" s="28">
        <v>0.0</v>
      </c>
      <c r="U78" s="15">
        <f>IFERROR(T78/T148, "NA")</f>
        <v>0</v>
      </c>
      <c r="V78" s="28">
        <v>0.0</v>
      </c>
      <c r="W78" s="15">
        <f>IFERROR(V78/V148, "NA")</f>
        <v>0</v>
      </c>
      <c r="X78" s="28">
        <v>0.0</v>
      </c>
      <c r="Y78" s="15">
        <f>IFERROR(X78/X148, "NA")</f>
        <v>0</v>
      </c>
      <c r="Z78" s="28">
        <v>0.0</v>
      </c>
      <c r="AA78" s="15">
        <f>IFERROR(Z78/Z148, "NA")</f>
        <v>0</v>
      </c>
      <c r="AB78" s="57">
        <f t="shared" si="37"/>
        <v>0</v>
      </c>
      <c r="AC78" s="15">
        <f>IFERROR(AB78/AB148, "NA")</f>
        <v>0</v>
      </c>
      <c r="AD78" s="61">
        <f t="shared" si="38"/>
        <v>0</v>
      </c>
      <c r="AE78" s="62">
        <f>IFERROR(AD78/AD148, "NA")</f>
        <v>0</v>
      </c>
      <c r="AF78" s="61" t="str">
        <f t="shared" si="39"/>
        <v>NA</v>
      </c>
      <c r="AG78" s="57">
        <f t="shared" si="40"/>
        <v>0</v>
      </c>
      <c r="AH78" s="15">
        <f>IFERROR(AG78/AG148, "NA")</f>
        <v>0</v>
      </c>
      <c r="AI78" s="61">
        <f t="shared" si="41"/>
        <v>0</v>
      </c>
      <c r="AJ78" s="62">
        <f>IFERROR(AI78/AI148, "NA")</f>
        <v>0</v>
      </c>
      <c r="AK78" s="61" t="str">
        <f t="shared" si="42"/>
        <v>NA</v>
      </c>
      <c r="AL78" s="62" t="str">
        <f>IFERROR(AK78/AK148, "NA")</f>
        <v>NA</v>
      </c>
    </row>
    <row r="79" ht="16.5" hidden="1" customHeight="1">
      <c r="A79" s="26" t="s">
        <v>169</v>
      </c>
      <c r="B79" s="28">
        <v>0.0</v>
      </c>
      <c r="C79" s="15">
        <f>IFERROR(B79/B148, "NA")</f>
        <v>0</v>
      </c>
      <c r="D79" s="28">
        <v>0.0</v>
      </c>
      <c r="E79" s="15">
        <f>IFERROR(D79/D148, "NA")</f>
        <v>0</v>
      </c>
      <c r="F79" s="28">
        <v>0.0</v>
      </c>
      <c r="G79" s="15">
        <f>IFERROR(F79/F148, "NA")</f>
        <v>0</v>
      </c>
      <c r="H79" s="28">
        <v>0.0</v>
      </c>
      <c r="I79" s="15">
        <f>IFERROR(H79/H148, "NA")</f>
        <v>0</v>
      </c>
      <c r="J79" s="28">
        <v>0.0</v>
      </c>
      <c r="K79" s="15">
        <f>IFERROR(J79/J148, "NA")</f>
        <v>0</v>
      </c>
      <c r="L79" s="28">
        <v>0.0</v>
      </c>
      <c r="M79" s="15">
        <f>IFERROR(L79/L148, "NA")</f>
        <v>0</v>
      </c>
      <c r="N79" s="28">
        <v>0.0</v>
      </c>
      <c r="O79" s="15">
        <f>IFERROR(N79/N148, "NA")</f>
        <v>0</v>
      </c>
      <c r="P79" s="28">
        <v>0.0</v>
      </c>
      <c r="Q79" s="15">
        <f>IFERROR(P79/P148, "NA")</f>
        <v>0</v>
      </c>
      <c r="R79" s="28">
        <v>0.0</v>
      </c>
      <c r="S79" s="15">
        <f>IFERROR(R79/R148, "NA")</f>
        <v>0</v>
      </c>
      <c r="T79" s="28">
        <v>0.0</v>
      </c>
      <c r="U79" s="15">
        <f>IFERROR(T79/T148, "NA")</f>
        <v>0</v>
      </c>
      <c r="V79" s="28">
        <v>0.0</v>
      </c>
      <c r="W79" s="15">
        <f>IFERROR(V79/V148, "NA")</f>
        <v>0</v>
      </c>
      <c r="X79" s="28">
        <v>0.0</v>
      </c>
      <c r="Y79" s="15">
        <f>IFERROR(X79/X148, "NA")</f>
        <v>0</v>
      </c>
      <c r="Z79" s="28">
        <v>0.0</v>
      </c>
      <c r="AA79" s="15">
        <f>IFERROR(Z79/Z148, "NA")</f>
        <v>0</v>
      </c>
      <c r="AB79" s="57">
        <f t="shared" si="37"/>
        <v>0</v>
      </c>
      <c r="AC79" s="15">
        <f>IFERROR(AB79/AB148, "NA")</f>
        <v>0</v>
      </c>
      <c r="AD79" s="61">
        <f t="shared" si="38"/>
        <v>0</v>
      </c>
      <c r="AE79" s="62">
        <f>IFERROR(AD79/AD148, "NA")</f>
        <v>0</v>
      </c>
      <c r="AF79" s="61" t="str">
        <f t="shared" si="39"/>
        <v>NA</v>
      </c>
      <c r="AG79" s="57">
        <f t="shared" si="40"/>
        <v>0</v>
      </c>
      <c r="AH79" s="15">
        <f>IFERROR(AG79/AG148, "NA")</f>
        <v>0</v>
      </c>
      <c r="AI79" s="61">
        <f t="shared" si="41"/>
        <v>0</v>
      </c>
      <c r="AJ79" s="62">
        <f>IFERROR(AI79/AI148, "NA")</f>
        <v>0</v>
      </c>
      <c r="AK79" s="61" t="str">
        <f t="shared" si="42"/>
        <v>NA</v>
      </c>
      <c r="AL79" s="62" t="str">
        <f>IFERROR(AK79/AK148, "NA")</f>
        <v>NA</v>
      </c>
    </row>
    <row r="80" ht="16.5" hidden="1" customHeight="1">
      <c r="A80" s="26" t="s">
        <v>172</v>
      </c>
      <c r="B80" s="28">
        <v>0.0</v>
      </c>
      <c r="C80" s="15">
        <f>IFERROR(B80/B148, "NA")</f>
        <v>0</v>
      </c>
      <c r="D80" s="28">
        <v>0.0</v>
      </c>
      <c r="E80" s="15">
        <f>IFERROR(D80/D148, "NA")</f>
        <v>0</v>
      </c>
      <c r="F80" s="28">
        <v>0.0</v>
      </c>
      <c r="G80" s="15">
        <f>IFERROR(F80/F148, "NA")</f>
        <v>0</v>
      </c>
      <c r="H80" s="28">
        <v>0.0</v>
      </c>
      <c r="I80" s="15">
        <f>IFERROR(H80/H148, "NA")</f>
        <v>0</v>
      </c>
      <c r="J80" s="28">
        <v>0.0</v>
      </c>
      <c r="K80" s="15">
        <f>IFERROR(J80/J148, "NA")</f>
        <v>0</v>
      </c>
      <c r="L80" s="28">
        <v>0.0</v>
      </c>
      <c r="M80" s="15">
        <f>IFERROR(L80/L148, "NA")</f>
        <v>0</v>
      </c>
      <c r="N80" s="28">
        <v>0.0</v>
      </c>
      <c r="O80" s="15">
        <f>IFERROR(N80/N148, "NA")</f>
        <v>0</v>
      </c>
      <c r="P80" s="28">
        <v>0.0</v>
      </c>
      <c r="Q80" s="15">
        <f>IFERROR(P80/P148, "NA")</f>
        <v>0</v>
      </c>
      <c r="R80" s="28">
        <v>0.0</v>
      </c>
      <c r="S80" s="15">
        <f>IFERROR(R80/R148, "NA")</f>
        <v>0</v>
      </c>
      <c r="T80" s="28">
        <v>0.0</v>
      </c>
      <c r="U80" s="15">
        <f>IFERROR(T80/T148, "NA")</f>
        <v>0</v>
      </c>
      <c r="V80" s="28">
        <v>0.0</v>
      </c>
      <c r="W80" s="15">
        <f>IFERROR(V80/V148, "NA")</f>
        <v>0</v>
      </c>
      <c r="X80" s="28">
        <v>0.0</v>
      </c>
      <c r="Y80" s="15">
        <f>IFERROR(X80/X148, "NA")</f>
        <v>0</v>
      </c>
      <c r="Z80" s="28">
        <v>0.0</v>
      </c>
      <c r="AA80" s="15">
        <f>IFERROR(Z80/Z148, "NA")</f>
        <v>0</v>
      </c>
      <c r="AB80" s="57">
        <f t="shared" si="37"/>
        <v>0</v>
      </c>
      <c r="AC80" s="15">
        <f>IFERROR(AB80/AB148, "NA")</f>
        <v>0</v>
      </c>
      <c r="AD80" s="61">
        <f t="shared" si="38"/>
        <v>0</v>
      </c>
      <c r="AE80" s="62">
        <f>IFERROR(AD80/AD148, "NA")</f>
        <v>0</v>
      </c>
      <c r="AF80" s="61" t="str">
        <f t="shared" si="39"/>
        <v>NA</v>
      </c>
      <c r="AG80" s="57">
        <f t="shared" si="40"/>
        <v>0</v>
      </c>
      <c r="AH80" s="15">
        <f>IFERROR(AG80/AG148, "NA")</f>
        <v>0</v>
      </c>
      <c r="AI80" s="61">
        <f t="shared" si="41"/>
        <v>0</v>
      </c>
      <c r="AJ80" s="62">
        <f>IFERROR(AI80/AI148, "NA")</f>
        <v>0</v>
      </c>
      <c r="AK80" s="61" t="str">
        <f t="shared" si="42"/>
        <v>NA</v>
      </c>
      <c r="AL80" s="62" t="str">
        <f>IFERROR(AK80/AK148, "NA")</f>
        <v>NA</v>
      </c>
    </row>
    <row r="81" ht="16.5" customHeight="1">
      <c r="A81" s="67" t="s">
        <v>176</v>
      </c>
      <c r="B81" s="70">
        <f>IFERROR(B74+B75+B76+B77+B78+B79+B80, "NA")</f>
        <v>477.53</v>
      </c>
      <c r="C81" s="71">
        <f>IFERROR(B81/B148, "NA")</f>
        <v>0.0330374791</v>
      </c>
      <c r="D81" s="70">
        <f>IFERROR(D74+D75+D76+D77+D78+D79+D80, "NA")</f>
        <v>476.4</v>
      </c>
      <c r="E81" s="71">
        <f>IFERROR(D81/D148, "NA")</f>
        <v>0.02460714568</v>
      </c>
      <c r="F81" s="70">
        <f>IFERROR(F74+F75+F76+F77+F78+F79+F80, "NA")</f>
        <v>489.84</v>
      </c>
      <c r="G81" s="71">
        <f>IFERROR(F81/F148, "NA")</f>
        <v>0.02256548316</v>
      </c>
      <c r="H81" s="70">
        <f>IFERROR(H74+H75+H76+H77+H78+H79+H80, "NA")</f>
        <v>494.93</v>
      </c>
      <c r="I81" s="71">
        <f>IFERROR(H81/H148, "NA")</f>
        <v>0.02425415282</v>
      </c>
      <c r="J81" s="70">
        <f>IFERROR(J74+J75+J76+J77+J78+J79+J80, "NA")</f>
        <v>478.79</v>
      </c>
      <c r="K81" s="71">
        <f>IFERROR(J81/J148, "NA")</f>
        <v>0.02231145541</v>
      </c>
      <c r="L81" s="70">
        <f>IFERROR(L74+L75+L76+L77+L78+L79+L80, "NA")</f>
        <v>494.43</v>
      </c>
      <c r="M81" s="71">
        <f>IFERROR(L81/L148, "NA")</f>
        <v>0.01664079042</v>
      </c>
      <c r="N81" s="70">
        <f>IFERROR(N74+N75+N76+N77+N78+N79+N80, "NA")</f>
        <v>596.31</v>
      </c>
      <c r="O81" s="71">
        <f>IFERROR(N81/N148, "NA")</f>
        <v>0.02054209129</v>
      </c>
      <c r="P81" s="70">
        <f>IFERROR(P74+P75+P76+P77+P78+P79+P80, "NA")</f>
        <v>618.37</v>
      </c>
      <c r="Q81" s="71">
        <f>IFERROR(P81/P148, "NA")</f>
        <v>0.02040953063</v>
      </c>
      <c r="R81" s="70">
        <f>IFERROR(R74+R75+R76+R77+R78+R79+R80, "NA")</f>
        <v>529.77</v>
      </c>
      <c r="S81" s="71">
        <f>IFERROR(R81/R148, "NA")</f>
        <v>0.01965987018</v>
      </c>
      <c r="T81" s="70">
        <f>IFERROR(T74+T75+T76+T77+T78+T79+T80, "NA")</f>
        <v>537.07</v>
      </c>
      <c r="U81" s="71">
        <f>IFERROR(T81/T148, "NA")</f>
        <v>0.01913657888</v>
      </c>
      <c r="V81" s="70">
        <f>IFERROR(V74+V75+V76+V77+V78+V79+V80, "NA")</f>
        <v>549.72</v>
      </c>
      <c r="W81" s="71">
        <f>IFERROR(V81/V148, "NA")</f>
        <v>0.01796413056</v>
      </c>
      <c r="X81" s="70">
        <f>IFERROR(X74+X75+X76+X77+X78+X79+X80, "NA")</f>
        <v>586.34</v>
      </c>
      <c r="Y81" s="71">
        <f>IFERROR(X81/X148, "NA")</f>
        <v>0.01978710487</v>
      </c>
      <c r="Z81" s="70">
        <f>IFERROR(Z74+Z75+Z76+Z77+Z78+Z79+Z80, "NA")</f>
        <v>1673.13</v>
      </c>
      <c r="AA81" s="71">
        <f>IFERROR(Z81/Z148, "NA")</f>
        <v>0.01894856436</v>
      </c>
      <c r="AB81" s="70">
        <f t="shared" si="37"/>
        <v>550.725</v>
      </c>
      <c r="AC81" s="71">
        <f>IFERROR(AB81/AB148, "NA")</f>
        <v>0.01911488262</v>
      </c>
      <c r="AD81" s="75">
        <f t="shared" si="38"/>
        <v>35.615</v>
      </c>
      <c r="AE81" s="76">
        <f>IFERROR(AD81/AD148, "NA")</f>
        <v>0.04337421296</v>
      </c>
      <c r="AF81" s="75">
        <f t="shared" si="39"/>
        <v>0.06466929956</v>
      </c>
      <c r="AG81" s="70">
        <f t="shared" si="40"/>
        <v>548.85</v>
      </c>
      <c r="AH81" s="71">
        <f>IFERROR(AG81/AG148, "NA")</f>
        <v>0.01945040426</v>
      </c>
      <c r="AI81" s="75">
        <f t="shared" si="41"/>
        <v>37.49</v>
      </c>
      <c r="AJ81" s="76">
        <f>IFERROR(AI81/AI148, "NA")</f>
        <v>0.02650392451</v>
      </c>
      <c r="AK81" s="75">
        <f t="shared" si="42"/>
        <v>0.06830645896</v>
      </c>
      <c r="AL81" s="76">
        <f>IFERROR(AK81/AK148, "NA")</f>
        <v>1.362641319</v>
      </c>
    </row>
    <row r="82" ht="16.5" customHeight="1">
      <c r="A82" s="26" t="s">
        <v>179</v>
      </c>
      <c r="B82" s="28">
        <v>322.0</v>
      </c>
      <c r="C82" s="15">
        <f>IFERROR(B82/B148, "NA")</f>
        <v>0.02227727738</v>
      </c>
      <c r="D82" s="28">
        <v>0.0</v>
      </c>
      <c r="E82" s="15">
        <f>IFERROR(D82/D148, "NA")</f>
        <v>0</v>
      </c>
      <c r="F82" s="28">
        <v>0.0</v>
      </c>
      <c r="G82" s="15">
        <f>IFERROR(F82/F148, "NA")</f>
        <v>0</v>
      </c>
      <c r="H82" s="28">
        <v>0.0</v>
      </c>
      <c r="I82" s="15">
        <f>IFERROR(H82/H148, "NA")</f>
        <v>0</v>
      </c>
      <c r="J82" s="28">
        <v>183.26</v>
      </c>
      <c r="K82" s="15">
        <f>IFERROR(J82/J148, "NA")</f>
        <v>0.008539855299</v>
      </c>
      <c r="L82" s="28">
        <v>0.0</v>
      </c>
      <c r="M82" s="15">
        <f>IFERROR(L82/L148, "NA")</f>
        <v>0</v>
      </c>
      <c r="N82" s="28">
        <v>0.0</v>
      </c>
      <c r="O82" s="15">
        <f>IFERROR(N82/N148, "NA")</f>
        <v>0</v>
      </c>
      <c r="P82" s="28">
        <v>0.0</v>
      </c>
      <c r="Q82" s="15">
        <f>IFERROR(P82/P148, "NA")</f>
        <v>0</v>
      </c>
      <c r="R82" s="28">
        <v>0.0</v>
      </c>
      <c r="S82" s="15">
        <f>IFERROR(R82/R148, "NA")</f>
        <v>0</v>
      </c>
      <c r="T82" s="28">
        <v>199.92</v>
      </c>
      <c r="U82" s="15">
        <f>IFERROR(T82/T148, "NA")</f>
        <v>0.007123438007</v>
      </c>
      <c r="V82" s="28">
        <v>0.0</v>
      </c>
      <c r="W82" s="15">
        <f>IFERROR(V82/V148, "NA")</f>
        <v>0</v>
      </c>
      <c r="X82" s="28">
        <v>0.0</v>
      </c>
      <c r="Y82" s="15">
        <f>IFERROR(X82/X148, "NA")</f>
        <v>0</v>
      </c>
      <c r="Z82" s="28">
        <v>199.92</v>
      </c>
      <c r="AA82" s="15">
        <f>IFERROR(Z82/Z148, "NA")</f>
        <v>0.002264137866</v>
      </c>
      <c r="AB82" s="57">
        <f t="shared" si="37"/>
        <v>49.98</v>
      </c>
      <c r="AC82" s="15">
        <f>IFERROR(AB82/AB148, "NA")</f>
        <v>0.00173473482</v>
      </c>
      <c r="AD82" s="61">
        <f t="shared" si="38"/>
        <v>-49.98</v>
      </c>
      <c r="AE82" s="62">
        <f>IFERROR(AD82/AD148, "NA")</f>
        <v>-0.06086882391</v>
      </c>
      <c r="AF82" s="61">
        <f t="shared" si="39"/>
        <v>-1</v>
      </c>
      <c r="AG82" s="57">
        <f t="shared" si="40"/>
        <v>47.8975</v>
      </c>
      <c r="AH82" s="15">
        <f>IFERROR(AG82/AG148, "NA")</f>
        <v>0.001697414117</v>
      </c>
      <c r="AI82" s="61">
        <f t="shared" si="41"/>
        <v>-47.8975</v>
      </c>
      <c r="AJ82" s="62">
        <f>IFERROR(AI82/AI148, "NA")</f>
        <v>-0.03386160908</v>
      </c>
      <c r="AK82" s="61">
        <f t="shared" si="42"/>
        <v>-1</v>
      </c>
      <c r="AL82" s="62">
        <f>IFERROR(AK82/AK148, "NA")</f>
        <v>-19.94893806</v>
      </c>
    </row>
    <row r="83" ht="16.5" customHeight="1">
      <c r="A83" s="26" t="s">
        <v>181</v>
      </c>
      <c r="B83" s="28">
        <v>-236.49</v>
      </c>
      <c r="C83" s="15">
        <f>IFERROR(B83/B148, "NA")</f>
        <v>-0.01636134574</v>
      </c>
      <c r="D83" s="28">
        <v>-236.49</v>
      </c>
      <c r="E83" s="15">
        <f>IFERROR(D83/D148, "NA")</f>
        <v>-0.01221524744</v>
      </c>
      <c r="F83" s="28">
        <v>2389.18</v>
      </c>
      <c r="G83" s="15">
        <f>IFERROR(F83/F148, "NA")</f>
        <v>0.1100624715</v>
      </c>
      <c r="H83" s="28">
        <v>-236.49</v>
      </c>
      <c r="I83" s="15">
        <f>IFERROR(H83/H148, "NA")</f>
        <v>-0.01158924414</v>
      </c>
      <c r="J83" s="28">
        <v>-236.49</v>
      </c>
      <c r="K83" s="15">
        <f>IFERROR(J83/J148, "NA")</f>
        <v>-0.01102035567</v>
      </c>
      <c r="L83" s="28">
        <v>-236.49</v>
      </c>
      <c r="M83" s="15">
        <f>IFERROR(L83/L148, "NA")</f>
        <v>-0.007959429091</v>
      </c>
      <c r="N83" s="28">
        <v>2389.18</v>
      </c>
      <c r="O83" s="15">
        <f>IFERROR(N83/N148, "NA")</f>
        <v>0.08230409295</v>
      </c>
      <c r="P83" s="28">
        <v>-236.49</v>
      </c>
      <c r="Q83" s="15">
        <f>IFERROR(P83/P148, "NA")</f>
        <v>-0.007805439945</v>
      </c>
      <c r="R83" s="28">
        <v>-236.49</v>
      </c>
      <c r="S83" s="15">
        <f>IFERROR(R83/R148, "NA")</f>
        <v>-0.008776190987</v>
      </c>
      <c r="T83" s="28">
        <v>2228.97</v>
      </c>
      <c r="U83" s="15">
        <f>IFERROR(T83/T148, "NA")</f>
        <v>0.07942141663</v>
      </c>
      <c r="V83" s="28">
        <v>-236.49</v>
      </c>
      <c r="W83" s="15">
        <f>IFERROR(V83/V148, "NA")</f>
        <v>-0.007728183869</v>
      </c>
      <c r="X83" s="28">
        <v>-76.28</v>
      </c>
      <c r="Y83" s="15">
        <f>IFERROR(X83/X148, "NA")</f>
        <v>-0.002574206705</v>
      </c>
      <c r="Z83" s="28">
        <v>1916.2</v>
      </c>
      <c r="AA83" s="15">
        <f>IFERROR(Z83/Z148, "NA")</f>
        <v>0.02170138545</v>
      </c>
      <c r="AB83" s="57">
        <f t="shared" si="37"/>
        <v>419.9275</v>
      </c>
      <c r="AC83" s="15">
        <f>IFERROR(AB83/AB148, "NA")</f>
        <v>0.01457508715</v>
      </c>
      <c r="AD83" s="61">
        <f t="shared" si="38"/>
        <v>-496.2075</v>
      </c>
      <c r="AE83" s="62">
        <f>IFERROR(AD83/AD148, "NA")</f>
        <v>-0.604313064</v>
      </c>
      <c r="AF83" s="61">
        <f t="shared" si="39"/>
        <v>-1.181650404</v>
      </c>
      <c r="AG83" s="57">
        <f t="shared" si="40"/>
        <v>419.9275</v>
      </c>
      <c r="AH83" s="15">
        <f>IFERROR(AG83/AG148, "NA")</f>
        <v>0.01488158811</v>
      </c>
      <c r="AI83" s="61">
        <f t="shared" si="41"/>
        <v>-496.2075</v>
      </c>
      <c r="AJ83" s="62">
        <f>IFERROR(AI83/AI148, "NA")</f>
        <v>-0.3507987763</v>
      </c>
      <c r="AK83" s="61">
        <f t="shared" si="42"/>
        <v>-1.181650404</v>
      </c>
      <c r="AL83" s="62">
        <f>IFERROR(AK83/AK148, "NA")</f>
        <v>-23.57267071</v>
      </c>
    </row>
    <row r="84" ht="16.5" customHeight="1">
      <c r="A84" s="67" t="s">
        <v>55</v>
      </c>
      <c r="B84" s="70">
        <f>IFERROR(B63+B65+B66+B67+B68+B69+B71+B72+B74+B75+B76+B77+B78+B79+B80+B82+B83, "NA")</f>
        <v>6067.71</v>
      </c>
      <c r="C84" s="71">
        <f>IFERROR(B84/B148, "NA")</f>
        <v>0.4197890024</v>
      </c>
      <c r="D84" s="70">
        <f>IFERROR(D63+D65+D66+D67+D68+D69+D71+D72+D74+D75+D76+D77+D78+D79+D80+D82+D83, "NA")</f>
        <v>5686.21</v>
      </c>
      <c r="E84" s="71">
        <f>IFERROR(D84/D148, "NA")</f>
        <v>0.2937057049</v>
      </c>
      <c r="F84" s="70">
        <f>IFERROR(F63+F65+F66+F67+F68+F69+F71+F72+F74+F75+F76+F77+F78+F79+F80+F82+F83, "NA")</f>
        <v>8224.5</v>
      </c>
      <c r="G84" s="71">
        <f>IFERROR(F84/F148, "NA")</f>
        <v>0.3788784424</v>
      </c>
      <c r="H84" s="70">
        <f>IFERROR(H63+H65+H66+H67+H68+H69+H71+H72+H74+H75+H76+H77+H78+H79+H80+H82+H83, "NA")</f>
        <v>5842.53</v>
      </c>
      <c r="I84" s="71">
        <f>IFERROR(H84/H148, "NA")</f>
        <v>0.2863144596</v>
      </c>
      <c r="J84" s="70">
        <f>IFERROR(J63+J65+J66+J67+J68+J69+J71+J72+J74+J75+J76+J77+J78+J79+J80+J82+J83, "NA")</f>
        <v>5708.3</v>
      </c>
      <c r="K84" s="71">
        <f>IFERROR(J84/J148, "NA")</f>
        <v>0.2660048892</v>
      </c>
      <c r="L84" s="70">
        <f>IFERROR(L63+L65+L66+L67+L68+L69+L71+L72+L74+L75+L76+L77+L78+L79+L80+L82+L83, "NA")</f>
        <v>5738.75</v>
      </c>
      <c r="M84" s="71">
        <f>IFERROR(L84/L148, "NA")</f>
        <v>0.193146322</v>
      </c>
      <c r="N84" s="70">
        <f>IFERROR(N63+N65+N66+N67+N68+N69+N71+N72+N74+N75+N76+N77+N78+N79+N80+N82+N83, "NA")</f>
        <v>9735.01</v>
      </c>
      <c r="O84" s="71">
        <f>IFERROR(N84/N148, "NA")</f>
        <v>0.3353582266</v>
      </c>
      <c r="P84" s="70">
        <f>IFERROR(P63+P65+P66+P67+P68+P69+P71+P72+P74+P75+P76+P77+P78+P79+P80+P82+P83, "NA")</f>
        <v>7134.06</v>
      </c>
      <c r="Q84" s="71">
        <f>IFERROR(P84/P148, "NA")</f>
        <v>0.2354622897</v>
      </c>
      <c r="R84" s="70">
        <f>IFERROR(R63+R65+R66+R67+R68+R69+R71+R72+R74+R75+R76+R77+R78+R79+R80+R82+R83, "NA")</f>
        <v>5249.53</v>
      </c>
      <c r="S84" s="71">
        <f>IFERROR(R84/R148, "NA")</f>
        <v>0.1948111035</v>
      </c>
      <c r="T84" s="70">
        <f>IFERROR(T63+T65+T66+T67+T68+T69+T71+T72+T74+T75+T76+T77+T78+T79+T80+T82+T83, "NA")</f>
        <v>9011.29</v>
      </c>
      <c r="U84" s="71">
        <f>IFERROR(T84/T148, "NA")</f>
        <v>0.3210852625</v>
      </c>
      <c r="V84" s="70">
        <f>IFERROR(V63+V65+V66+V67+V68+V69+V71+V72+V74+V75+V76+V77+V78+V79+V80+V82+V83, "NA")</f>
        <v>6827.34</v>
      </c>
      <c r="W84" s="71">
        <f>IFERROR(V84/V148, "NA")</f>
        <v>0.223108541</v>
      </c>
      <c r="X84" s="70">
        <f>IFERROR(X63+X65+X66+X67+X68+X69+X71+X72+X74+X75+X76+X77+X78+X79+X80+X82+X83, "NA")</f>
        <v>7050.07</v>
      </c>
      <c r="Y84" s="71">
        <f>IFERROR(X84/X148, "NA")</f>
        <v>0.2379173763</v>
      </c>
      <c r="Z84" s="70">
        <f>IFERROR(Z63+Z65+Z66+Z67+Z68+Z69+Z71+Z72+Z74+Z75+Z76+Z77+Z78+Z79+Z80+Z82+Z83, "NA")</f>
        <v>22888.7</v>
      </c>
      <c r="AA84" s="71">
        <f>IFERROR(Z84/Z148, "NA")</f>
        <v>0.2592195497</v>
      </c>
      <c r="AB84" s="70">
        <f t="shared" si="37"/>
        <v>7034.5575</v>
      </c>
      <c r="AC84" s="71">
        <f>IFERROR(AB84/AB148, "NA")</f>
        <v>0.2441595005</v>
      </c>
      <c r="AD84" s="75">
        <f t="shared" si="38"/>
        <v>15.5125</v>
      </c>
      <c r="AE84" s="76">
        <f>IFERROR(AD84/AD148, "NA")</f>
        <v>0.01889210946</v>
      </c>
      <c r="AF84" s="75">
        <f t="shared" si="39"/>
        <v>0.002205184903</v>
      </c>
      <c r="AG84" s="70">
        <f t="shared" si="40"/>
        <v>7056.79375</v>
      </c>
      <c r="AH84" s="71">
        <f>IFERROR(AG84/AG148, "NA")</f>
        <v>0.2500819736</v>
      </c>
      <c r="AI84" s="75">
        <f t="shared" si="41"/>
        <v>-6.72375</v>
      </c>
      <c r="AJ84" s="76">
        <f>IFERROR(AI84/AI148, "NA")</f>
        <v>-0.004753421244</v>
      </c>
      <c r="AK84" s="75">
        <f t="shared" si="42"/>
        <v>-0.0009528052311</v>
      </c>
      <c r="AL84" s="76">
        <f>IFERROR(AK84/AK148, "NA")</f>
        <v>-0.01900745254</v>
      </c>
    </row>
    <row r="85" ht="16.5" customHeight="1">
      <c r="A85" s="67" t="s">
        <v>55</v>
      </c>
      <c r="B85" s="118">
        <f>IFERROR(B63+B65+B66+B67+B68+B69+B71+B72+B74+B75+B76+B77+B78+B79+B80+B82+B83, "NA")</f>
        <v>6067.71</v>
      </c>
      <c r="C85" s="94">
        <f>IFERROR(B85/B148, "NA")</f>
        <v>0.4197890024</v>
      </c>
      <c r="D85" s="118">
        <f>IFERROR(D63+D65+D66+D67+D68+D69+D71+D72+D74+D75+D76+D77+D78+D79+D80+D82+D83, "NA")</f>
        <v>5686.21</v>
      </c>
      <c r="E85" s="94">
        <f>IFERROR(D85/D148, "NA")</f>
        <v>0.2937057049</v>
      </c>
      <c r="F85" s="118">
        <f>IFERROR(F63+F65+F66+F67+F68+F69+F71+F72+F74+F75+F76+F77+F78+F79+F80+F82+F83, "NA")</f>
        <v>8224.5</v>
      </c>
      <c r="G85" s="94">
        <f>IFERROR(F85/F148, "NA")</f>
        <v>0.3788784424</v>
      </c>
      <c r="H85" s="118">
        <f>IFERROR(H63+H65+H66+H67+H68+H69+H71+H72+H74+H75+H76+H77+H78+H79+H80+H82+H83, "NA")</f>
        <v>5842.53</v>
      </c>
      <c r="I85" s="94">
        <f>IFERROR(H85/H148, "NA")</f>
        <v>0.2863144596</v>
      </c>
      <c r="J85" s="118">
        <f>IFERROR(J63+J65+J66+J67+J68+J69+J71+J72+J74+J75+J76+J77+J78+J79+J80+J82+J83, "NA")</f>
        <v>5708.3</v>
      </c>
      <c r="K85" s="94">
        <f>IFERROR(J85/J148, "NA")</f>
        <v>0.2660048892</v>
      </c>
      <c r="L85" s="118">
        <f>IFERROR(L63+L65+L66+L67+L68+L69+L71+L72+L74+L75+L76+L77+L78+L79+L80+L82+L83, "NA")</f>
        <v>5738.75</v>
      </c>
      <c r="M85" s="94">
        <f>IFERROR(L85/L148, "NA")</f>
        <v>0.193146322</v>
      </c>
      <c r="N85" s="118">
        <f>IFERROR(N63+N65+N66+N67+N68+N69+N71+N72+N74+N75+N76+N77+N78+N79+N80+N82+N83, "NA")</f>
        <v>9735.01</v>
      </c>
      <c r="O85" s="94">
        <f>IFERROR(N85/N148, "NA")</f>
        <v>0.3353582266</v>
      </c>
      <c r="P85" s="118">
        <f>IFERROR(P63+P65+P66+P67+P68+P69+P71+P72+P74+P75+P76+P77+P78+P79+P80+P82+P83, "NA")</f>
        <v>7134.06</v>
      </c>
      <c r="Q85" s="94">
        <f>IFERROR(P85/P148, "NA")</f>
        <v>0.2354622897</v>
      </c>
      <c r="R85" s="118">
        <f>IFERROR(R63+R65+R66+R67+R68+R69+R71+R72+R74+R75+R76+R77+R78+R79+R80+R82+R83, "NA")</f>
        <v>5249.53</v>
      </c>
      <c r="S85" s="94">
        <f>IFERROR(R85/R148, "NA")</f>
        <v>0.1948111035</v>
      </c>
      <c r="T85" s="118">
        <f>IFERROR(T63+T65+T66+T67+T68+T69+T71+T72+T74+T75+T76+T77+T78+T79+T80+T82+T83, "NA")</f>
        <v>9011.29</v>
      </c>
      <c r="U85" s="94">
        <f>IFERROR(T85/T148, "NA")</f>
        <v>0.3210852625</v>
      </c>
      <c r="V85" s="118">
        <f>IFERROR(V63+V65+V66+V67+V68+V69+V71+V72+V74+V75+V76+V77+V78+V79+V80+V82+V83, "NA")</f>
        <v>6827.34</v>
      </c>
      <c r="W85" s="94">
        <f>IFERROR(V85/V148, "NA")</f>
        <v>0.223108541</v>
      </c>
      <c r="X85" s="118">
        <f>IFERROR(X63+X65+X66+X67+X68+X69+X71+X72+X74+X75+X76+X77+X78+X79+X80+X82+X83, "NA")</f>
        <v>7050.07</v>
      </c>
      <c r="Y85" s="94">
        <f>IFERROR(X85/X148, "NA")</f>
        <v>0.2379173763</v>
      </c>
      <c r="Z85" s="118">
        <f>IFERROR(Z63+Z65+Z66+Z67+Z68+Z69+Z71+Z72+Z74+Z75+Z76+Z77+Z78+Z79+Z80+Z82+Z83, "NA")</f>
        <v>22888.7</v>
      </c>
      <c r="AA85" s="94">
        <f>IFERROR(Z85/Z148, "NA")</f>
        <v>0.2592195497</v>
      </c>
      <c r="AB85" s="118">
        <f t="shared" si="37"/>
        <v>7034.5575</v>
      </c>
      <c r="AC85" s="94">
        <f>IFERROR(AB85/AB148, "NA")</f>
        <v>0.2441595005</v>
      </c>
      <c r="AD85" s="119">
        <f t="shared" si="38"/>
        <v>15.5125</v>
      </c>
      <c r="AE85" s="120">
        <f>IFERROR(AD85/AD148, "NA")</f>
        <v>0.01889210946</v>
      </c>
      <c r="AF85" s="119">
        <f t="shared" si="39"/>
        <v>0.002205184903</v>
      </c>
      <c r="AG85" s="118">
        <f t="shared" si="40"/>
        <v>7056.79375</v>
      </c>
      <c r="AH85" s="94">
        <f>IFERROR(AG85/AG148, "NA")</f>
        <v>0.2500819736</v>
      </c>
      <c r="AI85" s="119">
        <f t="shared" si="41"/>
        <v>-6.72375</v>
      </c>
      <c r="AJ85" s="120">
        <f>IFERROR(AI85/AI148, "NA")</f>
        <v>-0.004753421244</v>
      </c>
      <c r="AK85" s="119">
        <f t="shared" si="42"/>
        <v>-0.0009528052311</v>
      </c>
      <c r="AL85" s="120">
        <f>IFERROR(AK85/AK148, "NA")</f>
        <v>-0.01900745254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2"/>
      <c r="AF86" s="125"/>
      <c r="AG86" s="124"/>
      <c r="AH86" s="74"/>
      <c r="AI86" s="125"/>
      <c r="AJ86" s="82"/>
      <c r="AK86" s="125"/>
      <c r="AL86" s="82"/>
    </row>
    <row r="87" ht="16.5" customHeight="1">
      <c r="A87" s="121" t="s">
        <v>56</v>
      </c>
      <c r="B87" s="122">
        <f>IFERROR(B59-B85, "NA")</f>
        <v>4334.6</v>
      </c>
      <c r="C87" s="98">
        <f>IFERROR(B87/B148, "NA")</f>
        <v>0.299885362</v>
      </c>
      <c r="D87" s="122">
        <f>IFERROR(D59-D85, "NA")</f>
        <v>7644.48</v>
      </c>
      <c r="E87" s="98">
        <f>IFERROR(D87/D148, "NA")</f>
        <v>0.3948548132</v>
      </c>
      <c r="F87" s="122">
        <f>IFERROR(F59-F85, "NA")</f>
        <v>7842.97</v>
      </c>
      <c r="G87" s="98">
        <f>IFERROR(F87/F148, "NA")</f>
        <v>0.3613024813</v>
      </c>
      <c r="H87" s="122">
        <f>IFERROR(H59-H85, "NA")</f>
        <v>8085.71</v>
      </c>
      <c r="I87" s="98">
        <f>IFERROR(H87/H148, "NA")</f>
        <v>0.3962419858</v>
      </c>
      <c r="J87" s="122">
        <f>IFERROR(J59-J85, "NA")</f>
        <v>9329.25</v>
      </c>
      <c r="K87" s="98">
        <f>IFERROR(J87/J148, "NA")</f>
        <v>0.4347399599</v>
      </c>
      <c r="L87" s="122">
        <f>IFERROR(L59-L85, "NA")</f>
        <v>16025.14</v>
      </c>
      <c r="M87" s="98">
        <f>IFERROR(L87/L148, "NA")</f>
        <v>0.5393503552</v>
      </c>
      <c r="N87" s="122">
        <f>IFERROR(N59-N85, "NA")</f>
        <v>11550.15</v>
      </c>
      <c r="O87" s="98">
        <f>IFERROR(N87/N148, "NA")</f>
        <v>0.3978874004</v>
      </c>
      <c r="P87" s="122">
        <f>IFERROR(P59-P85, "NA")</f>
        <v>14910.94</v>
      </c>
      <c r="Q87" s="98">
        <f>IFERROR(P87/P148, "NA")</f>
        <v>0.4921410914</v>
      </c>
      <c r="R87" s="122">
        <f>IFERROR(R59-R85, "NA")</f>
        <v>14307.35</v>
      </c>
      <c r="S87" s="98">
        <f>IFERROR(R87/R148, "NA")</f>
        <v>0.5309486072</v>
      </c>
      <c r="T87" s="122">
        <f>IFERROR(T59-T85, "NA")</f>
        <v>10368.41</v>
      </c>
      <c r="U87" s="98">
        <f>IFERROR(T87/T148, "NA")</f>
        <v>0.3694414059</v>
      </c>
      <c r="V87" s="122">
        <f>IFERROR(V59-V85, "NA")</f>
        <v>14723.74</v>
      </c>
      <c r="W87" s="98">
        <f>IFERROR(V87/V148, "NA")</f>
        <v>0.4811525644</v>
      </c>
      <c r="X87" s="122">
        <f>IFERROR(X59-X85, "NA")</f>
        <v>14771.78</v>
      </c>
      <c r="Y87" s="98">
        <f>IFERROR(X87/X148, "NA")</f>
        <v>0.4985004605</v>
      </c>
      <c r="Z87" s="122">
        <f>IFERROR(Z59-Z85, "NA")</f>
        <v>39863.93</v>
      </c>
      <c r="AA87" s="98">
        <f>IFERROR(Z87/Z148, "NA")</f>
        <v>0.4514677541</v>
      </c>
      <c r="AB87" s="122">
        <f>IFERROR((R87+T87+V87+X87)/4, "NA")</f>
        <v>13542.82</v>
      </c>
      <c r="AC87" s="98">
        <f>IFERROR(AB87/AB148, "NA")</f>
        <v>0.470052049</v>
      </c>
      <c r="AD87" s="75">
        <f>IFERROR(X87-AB87, "NA")</f>
        <v>1228.96</v>
      </c>
      <c r="AE87" s="76">
        <f>IFERROR(AD87/AD148, "NA")</f>
        <v>1.496705679</v>
      </c>
      <c r="AF87" s="75">
        <f>IFERROR((X87-AB87)/AB87, "NA")</f>
        <v>0.09074624044</v>
      </c>
      <c r="AG87" s="122">
        <f>IFERROR((J87+L87+N87+P87+R87+T87+V87+X87)/8, "NA")</f>
        <v>13248.345</v>
      </c>
      <c r="AH87" s="98">
        <f>IFERROR(AG87/AG148, "NA")</f>
        <v>0.4695010768</v>
      </c>
      <c r="AI87" s="75">
        <f>IFERROR(X87-AG87, "NA")</f>
        <v>1523.435</v>
      </c>
      <c r="AJ87" s="76">
        <f>IFERROR(AI87/AI148, "NA")</f>
        <v>1.077007368</v>
      </c>
      <c r="AK87" s="75">
        <f>IFERROR((X87-AG87)/AG87, "NA")</f>
        <v>0.1149905894</v>
      </c>
      <c r="AL87" s="76">
        <f>IFERROR(AK87/AK148, "NA")</f>
        <v>2.293940145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2"/>
      <c r="AF88" s="125"/>
      <c r="AG88" s="124"/>
      <c r="AH88" s="74"/>
      <c r="AI88" s="125"/>
      <c r="AJ88" s="82"/>
      <c r="AK88" s="125"/>
      <c r="AL88" s="82"/>
    </row>
    <row r="89" ht="16.5" hidden="1" customHeight="1">
      <c r="A89" s="22" t="s">
        <v>206</v>
      </c>
      <c r="B89" s="23"/>
      <c r="C89" s="10"/>
      <c r="D89" s="23"/>
      <c r="E89" s="10"/>
      <c r="F89" s="23"/>
      <c r="G89" s="10"/>
      <c r="H89" s="23"/>
      <c r="I89" s="10"/>
      <c r="J89" s="23"/>
      <c r="K89" s="10"/>
      <c r="L89" s="23"/>
      <c r="M89" s="10"/>
      <c r="N89" s="23"/>
      <c r="O89" s="10"/>
      <c r="P89" s="23"/>
      <c r="Q89" s="10"/>
      <c r="R89" s="23"/>
      <c r="S89" s="10"/>
      <c r="T89" s="23"/>
      <c r="U89" s="10"/>
      <c r="V89" s="23"/>
      <c r="W89" s="10"/>
      <c r="X89" s="23"/>
      <c r="Y89" s="10"/>
      <c r="Z89" s="23"/>
      <c r="AA89" s="10"/>
      <c r="AB89" s="23"/>
      <c r="AC89" s="10"/>
      <c r="AD89" s="24"/>
      <c r="AE89" s="25"/>
      <c r="AF89" s="24"/>
      <c r="AG89" s="23"/>
      <c r="AH89" s="10"/>
      <c r="AI89" s="24"/>
      <c r="AJ89" s="25"/>
      <c r="AK89" s="24"/>
      <c r="AL89" s="25"/>
    </row>
    <row r="90" ht="16.5" hidden="1" customHeight="1">
      <c r="A90" s="26" t="s">
        <v>207</v>
      </c>
      <c r="B90" s="28">
        <v>610.69</v>
      </c>
      <c r="C90" s="15">
        <f>IFERROR(B90/B148, "NA")</f>
        <v>0.04225003269</v>
      </c>
      <c r="D90" s="28">
        <v>549.5</v>
      </c>
      <c r="E90" s="15">
        <f>IFERROR(D90/D148, "NA")</f>
        <v>0.02838292727</v>
      </c>
      <c r="F90" s="28">
        <v>700.04</v>
      </c>
      <c r="G90" s="15">
        <f>IFERROR(F90/F148, "NA")</f>
        <v>0.0322487768</v>
      </c>
      <c r="H90" s="28">
        <v>732.15</v>
      </c>
      <c r="I90" s="15">
        <f>IFERROR(H90/H148, "NA")</f>
        <v>0.03587917077</v>
      </c>
      <c r="J90" s="28">
        <v>658.57</v>
      </c>
      <c r="K90" s="15">
        <f>IFERROR(J90/J148, "NA")</f>
        <v>0.03068914386</v>
      </c>
      <c r="L90" s="28">
        <v>879.02</v>
      </c>
      <c r="M90" s="15">
        <f>IFERROR(L90/L148, "NA")</f>
        <v>0.02958474929</v>
      </c>
      <c r="N90" s="28">
        <v>524.55</v>
      </c>
      <c r="O90" s="15">
        <f>IFERROR(N90/N148, "NA")</f>
        <v>0.01807005414</v>
      </c>
      <c r="P90" s="28">
        <v>530.57</v>
      </c>
      <c r="Q90" s="15">
        <f>IFERROR(P90/P148, "NA")</f>
        <v>0.01751165915</v>
      </c>
      <c r="R90" s="28">
        <v>642.61</v>
      </c>
      <c r="S90" s="15">
        <f>IFERROR(R90/R148, "NA")</f>
        <v>0.02384738505</v>
      </c>
      <c r="T90" s="28">
        <v>717.62</v>
      </c>
      <c r="U90" s="15">
        <f>IFERROR(T90/T148, "NA")</f>
        <v>0.02556983585</v>
      </c>
      <c r="V90" s="28">
        <v>623.77</v>
      </c>
      <c r="W90" s="15">
        <f>IFERROR(V90/V148, "NA")</f>
        <v>0.0203839877</v>
      </c>
      <c r="X90" s="28">
        <v>719.77</v>
      </c>
      <c r="Y90" s="15">
        <f>IFERROR(X90/X148, "NA")</f>
        <v>0.0242899418</v>
      </c>
      <c r="Z90" s="28">
        <v>2061.16</v>
      </c>
      <c r="AA90" s="15">
        <f>IFERROR(Z90/Z148, "NA")</f>
        <v>0.02334308925</v>
      </c>
      <c r="AB90" s="57">
        <f t="shared" ref="AB90:AB99" si="43">IFERROR((R90+T90+V90+X90)/4, "NA")</f>
        <v>675.9425</v>
      </c>
      <c r="AC90" s="15">
        <f>IFERROR(AB90/AB148, "NA")</f>
        <v>0.02346100422</v>
      </c>
      <c r="AD90" s="61">
        <f t="shared" ref="AD90:AD99" si="44">IFERROR(X90-AB90, "NA")</f>
        <v>43.8275</v>
      </c>
      <c r="AE90" s="62">
        <f>IFERROR(AD90/AD148, "NA")</f>
        <v>0.05337591796</v>
      </c>
      <c r="AF90" s="61">
        <f t="shared" ref="AF90:AF99" si="45">IFERROR((X90-AB90)/AB90, "NA")</f>
        <v>0.06483909504</v>
      </c>
      <c r="AG90" s="57">
        <f t="shared" ref="AG90:AG99" si="46">IFERROR((J90+L90+N90+P90+R90+T90+V90+X90)/8, "NA")</f>
        <v>662.06</v>
      </c>
      <c r="AH90" s="15">
        <f>IFERROR(AG90/AG148, "NA")</f>
        <v>0.02346239345</v>
      </c>
      <c r="AI90" s="61">
        <f t="shared" ref="AI90:AI99" si="47">IFERROR(X90-AG90, "NA")</f>
        <v>57.71</v>
      </c>
      <c r="AJ90" s="62">
        <f>IFERROR(AI90/AI148, "NA")</f>
        <v>0.04079865253</v>
      </c>
      <c r="AK90" s="61">
        <f t="shared" ref="AK90:AK99" si="48">IFERROR((X90-AG90)/AG90, "NA")</f>
        <v>0.08716732622</v>
      </c>
      <c r="AL90" s="62">
        <f>IFERROR(AK90/AK148, "NA")</f>
        <v>1.738895592</v>
      </c>
    </row>
    <row r="91" ht="16.5" hidden="1" customHeight="1">
      <c r="A91" s="26" t="s">
        <v>208</v>
      </c>
      <c r="B91" s="28">
        <v>384.18</v>
      </c>
      <c r="C91" s="15">
        <f>IFERROR(B91/B148, "NA")</f>
        <v>0.02657914418</v>
      </c>
      <c r="D91" s="28">
        <v>533.03</v>
      </c>
      <c r="E91" s="15">
        <f>IFERROR(D91/D148, "NA")</f>
        <v>0.02753221424</v>
      </c>
      <c r="F91" s="28">
        <v>682.15</v>
      </c>
      <c r="G91" s="15">
        <f>IFERROR(F91/F148, "NA")</f>
        <v>0.0314246373</v>
      </c>
      <c r="H91" s="28">
        <v>877.17</v>
      </c>
      <c r="I91" s="15">
        <f>IFERROR(H91/H148, "NA")</f>
        <v>0.04298590757</v>
      </c>
      <c r="J91" s="28">
        <v>918.7</v>
      </c>
      <c r="K91" s="15">
        <f>IFERROR(J91/J148, "NA")</f>
        <v>0.0428111157</v>
      </c>
      <c r="L91" s="28">
        <v>771.73</v>
      </c>
      <c r="M91" s="15">
        <f>IFERROR(L91/L148, "NA")</f>
        <v>0.02597374186</v>
      </c>
      <c r="N91" s="28">
        <v>1083.35</v>
      </c>
      <c r="O91" s="15">
        <f>IFERROR(N91/N148, "NA")</f>
        <v>0.03731997551</v>
      </c>
      <c r="P91" s="28">
        <v>925.67</v>
      </c>
      <c r="Q91" s="15">
        <f>IFERROR(P91/P148, "NA")</f>
        <v>0.03055208082</v>
      </c>
      <c r="R91" s="28">
        <v>1178.56</v>
      </c>
      <c r="S91" s="15">
        <f>IFERROR(R91/R148, "NA")</f>
        <v>0.04373659626</v>
      </c>
      <c r="T91" s="28">
        <v>1305.65</v>
      </c>
      <c r="U91" s="15">
        <f>IFERROR(T91/T148, "NA")</f>
        <v>0.04652219304</v>
      </c>
      <c r="V91" s="28">
        <v>928.08</v>
      </c>
      <c r="W91" s="15">
        <f>IFERROR(V91/V148, "NA")</f>
        <v>0.03032844046</v>
      </c>
      <c r="X91" s="28">
        <v>628.29</v>
      </c>
      <c r="Y91" s="15">
        <f>IFERROR(X91/X148, "NA")</f>
        <v>0.02120278357</v>
      </c>
      <c r="Z91" s="28">
        <v>2862.02</v>
      </c>
      <c r="AA91" s="15">
        <f>IFERROR(Z91/Z148, "NA")</f>
        <v>0.03241300448</v>
      </c>
      <c r="AB91" s="57">
        <f t="shared" si="43"/>
        <v>1010.145</v>
      </c>
      <c r="AC91" s="15">
        <f>IFERROR(AB91/AB148, "NA")</f>
        <v>0.03506069836</v>
      </c>
      <c r="AD91" s="61">
        <f t="shared" si="44"/>
        <v>-381.855</v>
      </c>
      <c r="AE91" s="62">
        <f>IFERROR(AD91/AD148, "NA")</f>
        <v>-0.465047314</v>
      </c>
      <c r="AF91" s="61">
        <f t="shared" si="45"/>
        <v>-0.3780199872</v>
      </c>
      <c r="AG91" s="57">
        <f t="shared" si="46"/>
        <v>967.50375</v>
      </c>
      <c r="AH91" s="15">
        <f>IFERROR(AG91/AG148, "NA")</f>
        <v>0.03428685262</v>
      </c>
      <c r="AI91" s="61">
        <f t="shared" si="47"/>
        <v>-339.21375</v>
      </c>
      <c r="AJ91" s="62">
        <f>IFERROR(AI91/AI148, "NA")</f>
        <v>-0.2398104994</v>
      </c>
      <c r="AK91" s="61">
        <f t="shared" si="48"/>
        <v>-0.3506071682</v>
      </c>
      <c r="AL91" s="62">
        <f>IFERROR(AK91/AK148, "NA")</f>
        <v>-6.994240681</v>
      </c>
    </row>
    <row r="92" ht="16.5" hidden="1" customHeight="1">
      <c r="A92" s="26" t="s">
        <v>209</v>
      </c>
      <c r="B92" s="28">
        <v>192.66</v>
      </c>
      <c r="C92" s="15">
        <f>IFERROR(B92/B148, "NA")</f>
        <v>0.01332900702</v>
      </c>
      <c r="D92" s="28">
        <v>368.0</v>
      </c>
      <c r="E92" s="15">
        <f>IFERROR(D92/D148, "NA")</f>
        <v>0.01900803864</v>
      </c>
      <c r="F92" s="28">
        <v>420.24</v>
      </c>
      <c r="G92" s="15">
        <f>IFERROR(F92/F148, "NA")</f>
        <v>0.01935921657</v>
      </c>
      <c r="H92" s="28">
        <v>372.0</v>
      </c>
      <c r="I92" s="15">
        <f>IFERROR(H92/H148, "NA")</f>
        <v>0.01822994131</v>
      </c>
      <c r="J92" s="28">
        <v>365.54</v>
      </c>
      <c r="K92" s="15">
        <f>IFERROR(J92/J148, "NA")</f>
        <v>0.01703404292</v>
      </c>
      <c r="L92" s="28">
        <v>526.46</v>
      </c>
      <c r="M92" s="15">
        <f>IFERROR(L92/L148, "NA")</f>
        <v>0.01771880857</v>
      </c>
      <c r="N92" s="28">
        <v>372.23</v>
      </c>
      <c r="O92" s="15">
        <f>IFERROR(N92/N148, "NA")</f>
        <v>0.01282283148</v>
      </c>
      <c r="P92" s="28">
        <v>222.82</v>
      </c>
      <c r="Q92" s="15">
        <f>IFERROR(P92/P148, "NA")</f>
        <v>0.007354256538</v>
      </c>
      <c r="R92" s="28">
        <v>284.98</v>
      </c>
      <c r="S92" s="15">
        <f>IFERROR(R92/R148, "NA")</f>
        <v>0.01057566454</v>
      </c>
      <c r="T92" s="28">
        <v>298.1</v>
      </c>
      <c r="U92" s="15">
        <f>IFERROR(T92/T148, "NA")</f>
        <v>0.01062173304</v>
      </c>
      <c r="V92" s="28">
        <v>598.5</v>
      </c>
      <c r="W92" s="15">
        <f>IFERROR(V92/V148, "NA")</f>
        <v>0.01955819716</v>
      </c>
      <c r="X92" s="28">
        <v>5.96</v>
      </c>
      <c r="Y92" s="15">
        <f>IFERROR(X92/X148, "NA")</f>
        <v>0.0002011309906</v>
      </c>
      <c r="Z92" s="28">
        <v>902.56</v>
      </c>
      <c r="AA92" s="15">
        <f>IFERROR(Z92/Z148, "NA")</f>
        <v>0.01022169004</v>
      </c>
      <c r="AB92" s="57">
        <f t="shared" si="43"/>
        <v>296.885</v>
      </c>
      <c r="AC92" s="15">
        <f>IFERROR(AB92/AB148, "NA")</f>
        <v>0.01030445672</v>
      </c>
      <c r="AD92" s="61">
        <f t="shared" si="44"/>
        <v>-290.925</v>
      </c>
      <c r="AE92" s="62">
        <f>IFERROR(AD92/AD148, "NA")</f>
        <v>-0.3543069747</v>
      </c>
      <c r="AF92" s="61">
        <f t="shared" si="45"/>
        <v>-0.9799248867</v>
      </c>
      <c r="AG92" s="57">
        <f t="shared" si="46"/>
        <v>334.32375</v>
      </c>
      <c r="AH92" s="15">
        <f>IFERROR(AG92/AG148, "NA")</f>
        <v>0.01184792218</v>
      </c>
      <c r="AI92" s="61">
        <f t="shared" si="47"/>
        <v>-328.36375</v>
      </c>
      <c r="AJ92" s="62">
        <f>IFERROR(AI92/AI148, "NA")</f>
        <v>-0.2321399851</v>
      </c>
      <c r="AK92" s="61">
        <f t="shared" si="48"/>
        <v>-0.9821729686</v>
      </c>
      <c r="AL92" s="62">
        <f>IFERROR(AK92/AK148, "NA")</f>
        <v>-19.59330771</v>
      </c>
    </row>
    <row r="93" ht="16.5" hidden="1" customHeight="1">
      <c r="A93" s="26" t="s">
        <v>210</v>
      </c>
      <c r="B93" s="28">
        <v>840.05</v>
      </c>
      <c r="C93" s="15">
        <f>IFERROR(B93/B148, "NA")</f>
        <v>0.05811809586</v>
      </c>
      <c r="D93" s="28">
        <v>1953.73</v>
      </c>
      <c r="E93" s="15">
        <f>IFERROR(D93/D148, "NA")</f>
        <v>0.1009146069</v>
      </c>
      <c r="F93" s="28">
        <v>1598.97</v>
      </c>
      <c r="G93" s="15">
        <f>IFERROR(F93/F148, "NA")</f>
        <v>0.07365982893</v>
      </c>
      <c r="H93" s="28">
        <v>1516.85</v>
      </c>
      <c r="I93" s="15">
        <f>IFERROR(H93/H148, "NA")</f>
        <v>0.07433356578</v>
      </c>
      <c r="J93" s="28">
        <v>1350.6</v>
      </c>
      <c r="K93" s="15">
        <f>IFERROR(J93/J148, "NA")</f>
        <v>0.06293751264</v>
      </c>
      <c r="L93" s="28">
        <v>2163.69</v>
      </c>
      <c r="M93" s="15">
        <f>IFERROR(L93/L148, "NA")</f>
        <v>0.07282226365</v>
      </c>
      <c r="N93" s="28">
        <v>1740.92</v>
      </c>
      <c r="O93" s="15">
        <f>IFERROR(N93/N148, "NA")</f>
        <v>0.05997239283</v>
      </c>
      <c r="P93" s="28">
        <v>1375.02</v>
      </c>
      <c r="Q93" s="15">
        <f>IFERROR(P93/P148, "NA")</f>
        <v>0.04538304382</v>
      </c>
      <c r="R93" s="28">
        <v>1605.0</v>
      </c>
      <c r="S93" s="15">
        <f>IFERROR(R93/R148, "NA")</f>
        <v>0.05956186957</v>
      </c>
      <c r="T93" s="28">
        <v>1339.18</v>
      </c>
      <c r="U93" s="15">
        <f>IFERROR(T93/T148, "NA")</f>
        <v>0.04771691531</v>
      </c>
      <c r="V93" s="28">
        <v>2278.39</v>
      </c>
      <c r="W93" s="15">
        <f>IFERROR(V93/V148, "NA")</f>
        <v>0.07445480504</v>
      </c>
      <c r="X93" s="28">
        <v>1742.96</v>
      </c>
      <c r="Y93" s="15">
        <f>IFERROR(X93/X148, "NA")</f>
        <v>0.05881934084</v>
      </c>
      <c r="Z93" s="28">
        <v>5360.53</v>
      </c>
      <c r="AA93" s="15">
        <f>IFERROR(Z93/Z148, "NA")</f>
        <v>0.06070917844</v>
      </c>
      <c r="AB93" s="57">
        <f t="shared" si="43"/>
        <v>1741.3825</v>
      </c>
      <c r="AC93" s="15">
        <f>IFERROR(AB93/AB148, "NA")</f>
        <v>0.0604409135</v>
      </c>
      <c r="AD93" s="61">
        <f t="shared" si="44"/>
        <v>1.5775</v>
      </c>
      <c r="AE93" s="62">
        <f>IFERROR(AD93/AD148, "NA")</f>
        <v>0.001921179866</v>
      </c>
      <c r="AF93" s="61">
        <f t="shared" si="45"/>
        <v>0.0009058894298</v>
      </c>
      <c r="AG93" s="57">
        <f t="shared" si="46"/>
        <v>1699.47</v>
      </c>
      <c r="AH93" s="15">
        <f>IFERROR(AG93/AG148, "NA")</f>
        <v>0.06022661661</v>
      </c>
      <c r="AI93" s="61">
        <f t="shared" si="47"/>
        <v>43.49</v>
      </c>
      <c r="AJ93" s="62">
        <f>IFERROR(AI93/AI148, "NA")</f>
        <v>0.03074568357</v>
      </c>
      <c r="AK93" s="61">
        <f t="shared" si="48"/>
        <v>0.0255903311</v>
      </c>
      <c r="AL93" s="62">
        <f>IFERROR(AK93/AK148, "NA")</f>
        <v>0.5104999301</v>
      </c>
    </row>
    <row r="94" ht="16.5" hidden="1" customHeight="1">
      <c r="A94" s="26" t="s">
        <v>211</v>
      </c>
      <c r="B94" s="28">
        <v>348.44</v>
      </c>
      <c r="C94" s="15">
        <f>IFERROR(B94/B148, "NA")</f>
        <v>0.02410650476</v>
      </c>
      <c r="D94" s="28">
        <v>615.73</v>
      </c>
      <c r="E94" s="15">
        <f>IFERROR(D94/D148, "NA")</f>
        <v>0.0318038577</v>
      </c>
      <c r="F94" s="28">
        <v>680.39</v>
      </c>
      <c r="G94" s="15">
        <f>IFERROR(F94/F148, "NA")</f>
        <v>0.0313435593</v>
      </c>
      <c r="H94" s="28">
        <v>535.82</v>
      </c>
      <c r="I94" s="15">
        <f>IFERROR(H94/H148, "NA")</f>
        <v>0.02625797621</v>
      </c>
      <c r="J94" s="28">
        <v>697.24</v>
      </c>
      <c r="K94" s="15">
        <f>IFERROR(J94/J148, "NA")</f>
        <v>0.03249115305</v>
      </c>
      <c r="L94" s="28">
        <v>890.85</v>
      </c>
      <c r="M94" s="15">
        <f>IFERROR(L94/L148, "NA")</f>
        <v>0.02998290586</v>
      </c>
      <c r="N94" s="28">
        <v>887.48</v>
      </c>
      <c r="O94" s="15">
        <f>IFERROR(N94/N148, "NA")</f>
        <v>0.03057251292</v>
      </c>
      <c r="P94" s="28">
        <v>687.6</v>
      </c>
      <c r="Q94" s="15">
        <f>IFERROR(P94/P148, "NA")</f>
        <v>0.02269449239</v>
      </c>
      <c r="R94" s="28">
        <v>675.15</v>
      </c>
      <c r="S94" s="15">
        <f>IFERROR(R94/R148, "NA")</f>
        <v>0.02505495093</v>
      </c>
      <c r="T94" s="28">
        <v>848.94</v>
      </c>
      <c r="U94" s="15">
        <f>IFERROR(T94/T148, "NA")</f>
        <v>0.03024895689</v>
      </c>
      <c r="V94" s="28">
        <v>963.99</v>
      </c>
      <c r="W94" s="15">
        <f>IFERROR(V94/V148, "NA")</f>
        <v>0.03150193229</v>
      </c>
      <c r="X94" s="28">
        <v>874.75</v>
      </c>
      <c r="Y94" s="15">
        <f>IFERROR(X94/X148, "NA")</f>
        <v>0.02952002249</v>
      </c>
      <c r="Z94" s="28">
        <v>2687.68</v>
      </c>
      <c r="AA94" s="15">
        <f>IFERROR(Z94/Z148, "NA")</f>
        <v>0.03043856572</v>
      </c>
      <c r="AB94" s="57">
        <f t="shared" si="43"/>
        <v>840.7075</v>
      </c>
      <c r="AC94" s="15">
        <f>IFERROR(AB94/AB148, "NA")</f>
        <v>0.02917976337</v>
      </c>
      <c r="AD94" s="61">
        <f t="shared" si="44"/>
        <v>34.0425</v>
      </c>
      <c r="AE94" s="62">
        <f>IFERROR(AD94/AD148, "NA")</f>
        <v>0.04145912241</v>
      </c>
      <c r="AF94" s="61">
        <f t="shared" si="45"/>
        <v>0.04049268027</v>
      </c>
      <c r="AG94" s="57">
        <f t="shared" si="46"/>
        <v>815.75</v>
      </c>
      <c r="AH94" s="15">
        <f>IFERROR(AG94/AG148, "NA")</f>
        <v>0.0289089319</v>
      </c>
      <c r="AI94" s="61">
        <f t="shared" si="47"/>
        <v>59</v>
      </c>
      <c r="AJ94" s="62">
        <f>IFERROR(AI94/AI148, "NA")</f>
        <v>0.04171063073</v>
      </c>
      <c r="AK94" s="61">
        <f t="shared" si="48"/>
        <v>0.07232608029</v>
      </c>
      <c r="AL94" s="62">
        <f>IFERROR(AK94/AK148, "NA")</f>
        <v>1.442828496</v>
      </c>
    </row>
    <row r="95" ht="16.5" hidden="1" customHeight="1">
      <c r="A95" s="26" t="s">
        <v>212</v>
      </c>
      <c r="B95" s="28">
        <v>0.0</v>
      </c>
      <c r="C95" s="15">
        <f>IFERROR(B95/B148, "NA")</f>
        <v>0</v>
      </c>
      <c r="D95" s="28">
        <v>0.0</v>
      </c>
      <c r="E95" s="15">
        <f>IFERROR(D95/D148, "NA")</f>
        <v>0</v>
      </c>
      <c r="F95" s="28">
        <v>0.0</v>
      </c>
      <c r="G95" s="15">
        <f>IFERROR(F95/F148, "NA")</f>
        <v>0</v>
      </c>
      <c r="H95" s="28">
        <v>1092.31</v>
      </c>
      <c r="I95" s="15">
        <f>IFERROR(H95/H148, "NA")</f>
        <v>0.05352889029</v>
      </c>
      <c r="J95" s="28">
        <v>0.0</v>
      </c>
      <c r="K95" s="15">
        <f>IFERROR(J95/J148, "NA")</f>
        <v>0</v>
      </c>
      <c r="L95" s="28">
        <v>0.0</v>
      </c>
      <c r="M95" s="15">
        <f>IFERROR(L95/L148, "NA")</f>
        <v>0</v>
      </c>
      <c r="N95" s="28">
        <v>0.0</v>
      </c>
      <c r="O95" s="15">
        <f>IFERROR(N95/N148, "NA")</f>
        <v>0</v>
      </c>
      <c r="P95" s="28">
        <v>0.0</v>
      </c>
      <c r="Q95" s="15">
        <f>IFERROR(P95/P148, "NA")</f>
        <v>0</v>
      </c>
      <c r="R95" s="28">
        <v>1092.31</v>
      </c>
      <c r="S95" s="15">
        <f>IFERROR(R95/R148, "NA")</f>
        <v>0.04053584159</v>
      </c>
      <c r="T95" s="28">
        <v>0.0</v>
      </c>
      <c r="U95" s="15">
        <f>IFERROR(T95/T148, "NA")</f>
        <v>0</v>
      </c>
      <c r="V95" s="28">
        <v>0.0</v>
      </c>
      <c r="W95" s="15">
        <f>IFERROR(V95/V148, "NA")</f>
        <v>0</v>
      </c>
      <c r="X95" s="28">
        <v>0.0</v>
      </c>
      <c r="Y95" s="15">
        <f>IFERROR(X95/X148, "NA")</f>
        <v>0</v>
      </c>
      <c r="Z95" s="28">
        <v>0.0</v>
      </c>
      <c r="AA95" s="15">
        <f>IFERROR(Z95/Z148, "NA")</f>
        <v>0</v>
      </c>
      <c r="AB95" s="57">
        <f t="shared" si="43"/>
        <v>273.0775</v>
      </c>
      <c r="AC95" s="15">
        <f>IFERROR(AB95/AB148, "NA")</f>
        <v>0.009478132206</v>
      </c>
      <c r="AD95" s="61">
        <f t="shared" si="44"/>
        <v>-273.0775</v>
      </c>
      <c r="AE95" s="62">
        <f>IFERROR(AD95/AD148, "NA")</f>
        <v>-0.3325711537</v>
      </c>
      <c r="AF95" s="61">
        <f t="shared" si="45"/>
        <v>-1</v>
      </c>
      <c r="AG95" s="57">
        <f t="shared" si="46"/>
        <v>136.53875</v>
      </c>
      <c r="AH95" s="15">
        <f>IFERROR(AG95/AG148, "NA")</f>
        <v>0.004838724396</v>
      </c>
      <c r="AI95" s="61">
        <f t="shared" si="47"/>
        <v>-136.53875</v>
      </c>
      <c r="AJ95" s="62">
        <f>IFERROR(AI95/AI148, "NA")</f>
        <v>-0.09652741325</v>
      </c>
      <c r="AK95" s="61">
        <f t="shared" si="48"/>
        <v>-1</v>
      </c>
      <c r="AL95" s="62">
        <f>IFERROR(AK95/AK148, "NA")</f>
        <v>-19.94893806</v>
      </c>
    </row>
    <row r="96" ht="16.5" hidden="1" customHeight="1">
      <c r="A96" s="26" t="s">
        <v>213</v>
      </c>
      <c r="B96" s="28">
        <v>0.0</v>
      </c>
      <c r="C96" s="15">
        <f>IFERROR(B96/B148, "NA")</f>
        <v>0</v>
      </c>
      <c r="D96" s="28">
        <v>0.0</v>
      </c>
      <c r="E96" s="15">
        <f>IFERROR(D96/D148, "NA")</f>
        <v>0</v>
      </c>
      <c r="F96" s="28">
        <v>0.0</v>
      </c>
      <c r="G96" s="15">
        <f>IFERROR(F96/F148, "NA")</f>
        <v>0</v>
      </c>
      <c r="H96" s="28">
        <v>0.0</v>
      </c>
      <c r="I96" s="15">
        <f>IFERROR(H96/H148, "NA")</f>
        <v>0</v>
      </c>
      <c r="J96" s="28">
        <v>0.0</v>
      </c>
      <c r="K96" s="15">
        <f>IFERROR(J96/J148, "NA")</f>
        <v>0</v>
      </c>
      <c r="L96" s="28">
        <v>0.0</v>
      </c>
      <c r="M96" s="15">
        <f>IFERROR(L96/L148, "NA")</f>
        <v>0</v>
      </c>
      <c r="N96" s="28">
        <v>0.0</v>
      </c>
      <c r="O96" s="15">
        <f>IFERROR(N96/N148, "NA")</f>
        <v>0</v>
      </c>
      <c r="P96" s="28">
        <v>0.0</v>
      </c>
      <c r="Q96" s="15">
        <f>IFERROR(P96/P148, "NA")</f>
        <v>0</v>
      </c>
      <c r="R96" s="28">
        <v>0.0</v>
      </c>
      <c r="S96" s="15">
        <f>IFERROR(R96/R148, "NA")</f>
        <v>0</v>
      </c>
      <c r="T96" s="28">
        <v>0.0</v>
      </c>
      <c r="U96" s="15">
        <f>IFERROR(T96/T148, "NA")</f>
        <v>0</v>
      </c>
      <c r="V96" s="28">
        <v>0.0</v>
      </c>
      <c r="W96" s="15">
        <f>IFERROR(V96/V148, "NA")</f>
        <v>0</v>
      </c>
      <c r="X96" s="28">
        <v>0.0</v>
      </c>
      <c r="Y96" s="15">
        <f>IFERROR(X96/X148, "NA")</f>
        <v>0</v>
      </c>
      <c r="Z96" s="28">
        <v>0.0</v>
      </c>
      <c r="AA96" s="15">
        <f>IFERROR(Z96/Z148, "NA")</f>
        <v>0</v>
      </c>
      <c r="AB96" s="57">
        <f t="shared" si="43"/>
        <v>0</v>
      </c>
      <c r="AC96" s="15">
        <f>IFERROR(AB96/AB148, "NA")</f>
        <v>0</v>
      </c>
      <c r="AD96" s="61">
        <f t="shared" si="44"/>
        <v>0</v>
      </c>
      <c r="AE96" s="62">
        <f>IFERROR(AD96/AD148, "NA")</f>
        <v>0</v>
      </c>
      <c r="AF96" s="61" t="str">
        <f t="shared" si="45"/>
        <v>NA</v>
      </c>
      <c r="AG96" s="57">
        <f t="shared" si="46"/>
        <v>0</v>
      </c>
      <c r="AH96" s="15">
        <f>IFERROR(AG96/AG148, "NA")</f>
        <v>0</v>
      </c>
      <c r="AI96" s="61">
        <f t="shared" si="47"/>
        <v>0</v>
      </c>
      <c r="AJ96" s="62">
        <f>IFERROR(AI96/AI148, "NA")</f>
        <v>0</v>
      </c>
      <c r="AK96" s="61" t="str">
        <f t="shared" si="48"/>
        <v>NA</v>
      </c>
      <c r="AL96" s="62" t="str">
        <f>IFERROR(AK96/AK148, "NA")</f>
        <v>NA</v>
      </c>
    </row>
    <row r="97" ht="16.5" hidden="1" customHeight="1">
      <c r="A97" s="26" t="s">
        <v>214</v>
      </c>
      <c r="B97" s="28">
        <v>425.8</v>
      </c>
      <c r="C97" s="15">
        <f>IFERROR(B97/B148, "NA")</f>
        <v>0.02945858606</v>
      </c>
      <c r="D97" s="28">
        <v>851.73</v>
      </c>
      <c r="E97" s="15">
        <f>IFERROR(D97/D148, "NA")</f>
        <v>0.04399379553</v>
      </c>
      <c r="F97" s="28">
        <v>156.81</v>
      </c>
      <c r="G97" s="15">
        <f>IFERROR(F97/F148, "NA")</f>
        <v>0.007223773914</v>
      </c>
      <c r="H97" s="28">
        <v>447.5</v>
      </c>
      <c r="I97" s="15">
        <f>IFERROR(H97/H148, "NA")</f>
        <v>0.02192983531</v>
      </c>
      <c r="J97" s="28">
        <v>0.0</v>
      </c>
      <c r="K97" s="15">
        <f>IFERROR(J97/J148, "NA")</f>
        <v>0</v>
      </c>
      <c r="L97" s="28">
        <v>0.0</v>
      </c>
      <c r="M97" s="15">
        <f>IFERROR(L97/L148, "NA")</f>
        <v>0</v>
      </c>
      <c r="N97" s="28">
        <v>156.81</v>
      </c>
      <c r="O97" s="15">
        <f>IFERROR(N97/N148, "NA")</f>
        <v>0.005401897227</v>
      </c>
      <c r="P97" s="28">
        <v>0.0</v>
      </c>
      <c r="Q97" s="15">
        <f>IFERROR(P97/P148, "NA")</f>
        <v>0</v>
      </c>
      <c r="R97" s="28">
        <v>447.49</v>
      </c>
      <c r="S97" s="15">
        <f>IFERROR(R97/R148, "NA")</f>
        <v>0.016606443</v>
      </c>
      <c r="T97" s="28">
        <v>0.0</v>
      </c>
      <c r="U97" s="15">
        <f>IFERROR(T97/T148, "NA")</f>
        <v>0</v>
      </c>
      <c r="V97" s="28">
        <v>1512.64</v>
      </c>
      <c r="W97" s="15">
        <f>IFERROR(V97/V148, "NA")</f>
        <v>0.04943109665</v>
      </c>
      <c r="X97" s="28">
        <v>226.36</v>
      </c>
      <c r="Y97" s="15">
        <f>IFERROR(X97/X148, "NA")</f>
        <v>0.007638928026</v>
      </c>
      <c r="Z97" s="28">
        <v>1739.0</v>
      </c>
      <c r="AA97" s="15">
        <f>IFERROR(Z97/Z148, "NA")</f>
        <v>0.01969455657</v>
      </c>
      <c r="AB97" s="57">
        <f t="shared" si="43"/>
        <v>546.6225</v>
      </c>
      <c r="AC97" s="15">
        <f>IFERROR(AB97/AB148, "NA")</f>
        <v>0.01897249067</v>
      </c>
      <c r="AD97" s="61">
        <f t="shared" si="44"/>
        <v>-320.2625</v>
      </c>
      <c r="AE97" s="62">
        <f>IFERROR(AD97/AD148, "NA")</f>
        <v>-0.3900360488</v>
      </c>
      <c r="AF97" s="61">
        <f t="shared" si="45"/>
        <v>-0.5858933725</v>
      </c>
      <c r="AG97" s="57">
        <f t="shared" si="46"/>
        <v>292.9125</v>
      </c>
      <c r="AH97" s="15">
        <f>IFERROR(AG97/AG148, "NA")</f>
        <v>0.01038037084</v>
      </c>
      <c r="AI97" s="61">
        <f t="shared" si="47"/>
        <v>-66.5525</v>
      </c>
      <c r="AJ97" s="62">
        <f>IFERROR(AI97/AI148, "NA")</f>
        <v>-0.04704994495</v>
      </c>
      <c r="AK97" s="61">
        <f t="shared" si="48"/>
        <v>-0.2272094909</v>
      </c>
      <c r="AL97" s="62">
        <f>IFERROR(AK97/AK148, "NA")</f>
        <v>-4.53258806</v>
      </c>
    </row>
    <row r="98" ht="16.5" hidden="1" customHeight="1">
      <c r="A98" s="26" t="s">
        <v>215</v>
      </c>
      <c r="B98" s="28">
        <v>320.21</v>
      </c>
      <c r="C98" s="15">
        <f>IFERROR(B98/B148, "NA")</f>
        <v>0.02215343786</v>
      </c>
      <c r="D98" s="28">
        <v>321.89</v>
      </c>
      <c r="E98" s="15">
        <f>IFERROR(D98/D148, "NA")</f>
        <v>0.01662635206</v>
      </c>
      <c r="F98" s="28">
        <v>2514.21</v>
      </c>
      <c r="G98" s="15">
        <f>IFERROR(F98/F148, "NA")</f>
        <v>0.1158222346</v>
      </c>
      <c r="H98" s="28">
        <v>1149.27</v>
      </c>
      <c r="I98" s="15">
        <f>IFERROR(H98/H148, "NA")</f>
        <v>0.05632022754</v>
      </c>
      <c r="J98" s="28">
        <v>266.72</v>
      </c>
      <c r="K98" s="15">
        <f>IFERROR(J98/J148, "NA")</f>
        <v>0.01242906365</v>
      </c>
      <c r="L98" s="28">
        <v>261.36</v>
      </c>
      <c r="M98" s="15">
        <f>IFERROR(L98/L148, "NA")</f>
        <v>0.008796466604</v>
      </c>
      <c r="N98" s="28">
        <v>2395.84</v>
      </c>
      <c r="O98" s="15">
        <f>IFERROR(N98/N148, "NA")</f>
        <v>0.08253352115</v>
      </c>
      <c r="P98" s="28">
        <v>580.18</v>
      </c>
      <c r="Q98" s="15">
        <f>IFERROR(P98/P148, "NA")</f>
        <v>0.01914905555</v>
      </c>
      <c r="R98" s="28">
        <v>1585.19</v>
      </c>
      <c r="S98" s="15">
        <f>IFERROR(R98/R148, "NA")</f>
        <v>0.05882671652</v>
      </c>
      <c r="T98" s="28">
        <v>247.12</v>
      </c>
      <c r="U98" s="15">
        <f>IFERROR(T98/T148, "NA")</f>
        <v>0.008805242098</v>
      </c>
      <c r="V98" s="28">
        <v>358.88</v>
      </c>
      <c r="W98" s="15">
        <f>IFERROR(V98/V148, "NA")</f>
        <v>0.01172772898</v>
      </c>
      <c r="X98" s="28">
        <v>2542.7</v>
      </c>
      <c r="Y98" s="15">
        <f>IFERROR(X98/X148, "NA")</f>
        <v>0.08580801507</v>
      </c>
      <c r="Z98" s="28">
        <v>3148.7</v>
      </c>
      <c r="AA98" s="15">
        <f>IFERROR(Z98/Z148, "NA")</f>
        <v>0.03565971838</v>
      </c>
      <c r="AB98" s="57">
        <f t="shared" si="43"/>
        <v>1183.4725</v>
      </c>
      <c r="AC98" s="15">
        <f>IFERROR(AB98/AB148, "NA")</f>
        <v>0.04107664973</v>
      </c>
      <c r="AD98" s="61">
        <f t="shared" si="44"/>
        <v>1359.2275</v>
      </c>
      <c r="AE98" s="62">
        <f>IFERROR(AD98/AD148, "NA")</f>
        <v>1.655353728</v>
      </c>
      <c r="AF98" s="61">
        <f t="shared" si="45"/>
        <v>1.148507887</v>
      </c>
      <c r="AG98" s="57">
        <f t="shared" si="46"/>
        <v>1029.74875</v>
      </c>
      <c r="AH98" s="15">
        <f>IFERROR(AG98/AG148, "NA")</f>
        <v>0.03649272019</v>
      </c>
      <c r="AI98" s="61">
        <f t="shared" si="47"/>
        <v>1512.95125</v>
      </c>
      <c r="AJ98" s="62">
        <f>IFERROR(AI98/AI148, "NA")</f>
        <v>1.069595778</v>
      </c>
      <c r="AK98" s="61">
        <f t="shared" si="48"/>
        <v>1.469243104</v>
      </c>
      <c r="AL98" s="62">
        <f>IFERROR(AK98/AK148, "NA")</f>
        <v>29.30983968</v>
      </c>
    </row>
    <row r="99" ht="16.5" hidden="1" customHeight="1">
      <c r="A99" s="67" t="s">
        <v>216</v>
      </c>
      <c r="B99" s="70">
        <f>IFERROR(B90+B91+B92+B93+B94+B95+B96+B97+B98, "NA")</f>
        <v>3122.03</v>
      </c>
      <c r="C99" s="71">
        <f>IFERROR(B99/B148, "NA")</f>
        <v>0.2159948084</v>
      </c>
      <c r="D99" s="70">
        <f>IFERROR(D90+D91+D92+D93+D94+D95+D96+D97+D98, "NA")</f>
        <v>5193.61</v>
      </c>
      <c r="E99" s="71">
        <f>IFERROR(D99/D148, "NA")</f>
        <v>0.2682617923</v>
      </c>
      <c r="F99" s="70">
        <f>IFERROR(F90+F91+F92+F93+F94+F95+F96+F97+F98, "NA")</f>
        <v>6752.81</v>
      </c>
      <c r="G99" s="71">
        <f>IFERROR(F99/F148, "NA")</f>
        <v>0.3110820274</v>
      </c>
      <c r="H99" s="70">
        <f>IFERROR(H90+H91+H92+H93+H94+H95+H96+H97+H98, "NA")</f>
        <v>6723.07</v>
      </c>
      <c r="I99" s="71">
        <f>IFERROR(H99/H148, "NA")</f>
        <v>0.3294655148</v>
      </c>
      <c r="J99" s="70">
        <f>IFERROR(J90+J91+J92+J93+J94+J95+J96+J97+J98, "NA")</f>
        <v>4257.37</v>
      </c>
      <c r="K99" s="71">
        <f>IFERROR(J99/J148, "NA")</f>
        <v>0.1983920318</v>
      </c>
      <c r="L99" s="70">
        <f>IFERROR(L90+L91+L92+L93+L94+L95+L96+L97+L98, "NA")</f>
        <v>5493.11</v>
      </c>
      <c r="M99" s="71">
        <f>IFERROR(L99/L148, "NA")</f>
        <v>0.1848789358</v>
      </c>
      <c r="N99" s="70">
        <f>IFERROR(N90+N91+N92+N93+N94+N95+N96+N97+N98, "NA")</f>
        <v>7161.18</v>
      </c>
      <c r="O99" s="71">
        <f>IFERROR(N99/N148, "NA")</f>
        <v>0.2466931853</v>
      </c>
      <c r="P99" s="70">
        <f>IFERROR(P90+P91+P92+P93+P94+P95+P96+P97+P98, "NA")</f>
        <v>4321.86</v>
      </c>
      <c r="Q99" s="71">
        <f>IFERROR(P99/P148, "NA")</f>
        <v>0.1426445883</v>
      </c>
      <c r="R99" s="70">
        <f>IFERROR(R90+R91+R92+R93+R94+R95+R96+R97+R98, "NA")</f>
        <v>7511.29</v>
      </c>
      <c r="S99" s="71">
        <f>IFERROR(R99/R148, "NA")</f>
        <v>0.2787454675</v>
      </c>
      <c r="T99" s="70">
        <f>IFERROR(T90+T91+T92+T93+T94+T95+T96+T97+T98, "NA")</f>
        <v>4756.61</v>
      </c>
      <c r="U99" s="71">
        <f>IFERROR(T99/T148, "NA")</f>
        <v>0.1694848762</v>
      </c>
      <c r="V99" s="70">
        <f>IFERROR(V90+V91+V92+V93+V94+V95+V96+V97+V98, "NA")</f>
        <v>7264.25</v>
      </c>
      <c r="W99" s="71">
        <f>IFERROR(V99/V148, "NA")</f>
        <v>0.2373861883</v>
      </c>
      <c r="X99" s="70">
        <f>IFERROR(X90+X91+X92+X93+X94+X95+X96+X97+X98, "NA")</f>
        <v>6740.79</v>
      </c>
      <c r="Y99" s="71">
        <f>IFERROR(X99/X148, "NA")</f>
        <v>0.2274801628</v>
      </c>
      <c r="Z99" s="70">
        <f>IFERROR(Z90+Z91+Z92+Z93+Z94+Z95+Z96+Z97+Z98, "NA")</f>
        <v>18761.65</v>
      </c>
      <c r="AA99" s="71">
        <f>IFERROR(Z99/Z148, "NA")</f>
        <v>0.2124798029</v>
      </c>
      <c r="AB99" s="70">
        <f t="shared" si="43"/>
        <v>6568.235</v>
      </c>
      <c r="AC99" s="71">
        <f>IFERROR(AB99/AB148, "NA")</f>
        <v>0.2279741088</v>
      </c>
      <c r="AD99" s="75">
        <f t="shared" si="44"/>
        <v>172.555</v>
      </c>
      <c r="AE99" s="76">
        <f>IFERROR(AD99/AD148, "NA")</f>
        <v>0.2101484576</v>
      </c>
      <c r="AF99" s="75">
        <f t="shared" si="45"/>
        <v>0.02627113677</v>
      </c>
      <c r="AG99" s="70">
        <f t="shared" si="46"/>
        <v>5938.3075</v>
      </c>
      <c r="AH99" s="71">
        <f>IFERROR(AG99/AG148, "NA")</f>
        <v>0.2104445322</v>
      </c>
      <c r="AI99" s="75">
        <f t="shared" si="47"/>
        <v>802.4825</v>
      </c>
      <c r="AJ99" s="76">
        <f>IFERROR(AI99/AI148, "NA")</f>
        <v>0.5673229021</v>
      </c>
      <c r="AK99" s="75">
        <f t="shared" si="48"/>
        <v>0.1351365688</v>
      </c>
      <c r="AL99" s="76">
        <f>IFERROR(AK99/AK148, "NA")</f>
        <v>2.69583104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2"/>
      <c r="AF100" s="125"/>
      <c r="AG100" s="124"/>
      <c r="AH100" s="74"/>
      <c r="AI100" s="125"/>
      <c r="AJ100" s="82"/>
      <c r="AK100" s="125"/>
      <c r="AL100" s="82"/>
    </row>
    <row r="101" ht="16.5" hidden="1" customHeight="1">
      <c r="A101" s="121" t="s">
        <v>217</v>
      </c>
      <c r="B101" s="122">
        <f>IFERROR(B87-B99, "NA")</f>
        <v>1212.57</v>
      </c>
      <c r="C101" s="98">
        <f>IFERROR(B101/B148, "NA")</f>
        <v>0.08389055353</v>
      </c>
      <c r="D101" s="122">
        <f>IFERROR(D87-D99, "NA")</f>
        <v>2450.87</v>
      </c>
      <c r="E101" s="98">
        <f>IFERROR(D101/D148, "NA")</f>
        <v>0.1265930208</v>
      </c>
      <c r="F101" s="122">
        <f>IFERROR(F87-F99, "NA")</f>
        <v>1090.16</v>
      </c>
      <c r="G101" s="98">
        <f>IFERROR(F101/F148, "NA")</f>
        <v>0.05022045386</v>
      </c>
      <c r="H101" s="122">
        <f>IFERROR(H87-H99, "NA")</f>
        <v>1362.64</v>
      </c>
      <c r="I101" s="98">
        <f>IFERROR(H101/H148, "NA")</f>
        <v>0.06677647103</v>
      </c>
      <c r="J101" s="122">
        <f>IFERROR(J87-J99, "NA")</f>
        <v>5071.88</v>
      </c>
      <c r="K101" s="98">
        <f>IFERROR(J101/J148, "NA")</f>
        <v>0.236347928</v>
      </c>
      <c r="L101" s="122">
        <f>IFERROR(L87-L99, "NA")</f>
        <v>10532.03</v>
      </c>
      <c r="M101" s="98">
        <f>IFERROR(L101/L148, "NA")</f>
        <v>0.3544714194</v>
      </c>
      <c r="N101" s="122">
        <f>IFERROR(N87-N99, "NA")</f>
        <v>4388.97</v>
      </c>
      <c r="O101" s="98">
        <f>IFERROR(N101/N148, "NA")</f>
        <v>0.1511942151</v>
      </c>
      <c r="P101" s="122">
        <f>IFERROR(P87-P99, "NA")</f>
        <v>10589.08</v>
      </c>
      <c r="Q101" s="98">
        <f>IFERROR(P101/P148, "NA")</f>
        <v>0.3494965031</v>
      </c>
      <c r="R101" s="122">
        <f>IFERROR(R87-R99, "NA")</f>
        <v>6796.06</v>
      </c>
      <c r="S101" s="98">
        <f>IFERROR(R101/R148, "NA")</f>
        <v>0.2522031397</v>
      </c>
      <c r="T101" s="122">
        <f>IFERROR(T87-T99, "NA")</f>
        <v>5611.8</v>
      </c>
      <c r="U101" s="98">
        <f>IFERROR(T101/T148, "NA")</f>
        <v>0.1999565296</v>
      </c>
      <c r="V101" s="122">
        <f>IFERROR(V87-V99, "NA")</f>
        <v>7459.49</v>
      </c>
      <c r="W101" s="98">
        <f>IFERROR(V101/V148, "NA")</f>
        <v>0.2437663761</v>
      </c>
      <c r="X101" s="122">
        <f>IFERROR(X87-X99, "NA")</f>
        <v>8030.99</v>
      </c>
      <c r="Y101" s="98">
        <f>IFERROR(X101/X148, "NA")</f>
        <v>0.2710202977</v>
      </c>
      <c r="Z101" s="122">
        <f>IFERROR(Z87-Z99, "NA")</f>
        <v>21102.28</v>
      </c>
      <c r="AA101" s="98">
        <f>IFERROR(Z101/Z148, "NA")</f>
        <v>0.2389879512</v>
      </c>
      <c r="AB101" s="122">
        <f>IFERROR((R101+T101+V101+X101)/4, "NA")</f>
        <v>6974.585</v>
      </c>
      <c r="AC101" s="98">
        <f>IFERROR(AB101/AB148, "NA")</f>
        <v>0.2420779402</v>
      </c>
      <c r="AD101" s="75">
        <f>IFERROR(X101-AB101, "NA")</f>
        <v>1056.405</v>
      </c>
      <c r="AE101" s="76">
        <f>IFERROR(AD101/AD148, "NA")</f>
        <v>1.286557221</v>
      </c>
      <c r="AF101" s="75">
        <f>IFERROR((X101-AB101)/AB101, "NA")</f>
        <v>0.1514649259</v>
      </c>
      <c r="AG101" s="122">
        <f>IFERROR((J101+L101+N101+P101+R101+T101+V101+X101)/8, "NA")</f>
        <v>7310.0375</v>
      </c>
      <c r="AH101" s="98">
        <f>IFERROR(AG101/AG148, "NA")</f>
        <v>0.2590565446</v>
      </c>
      <c r="AI101" s="75">
        <f>IFERROR(X101-AG101, "NA")</f>
        <v>720.9525</v>
      </c>
      <c r="AJ101" s="76">
        <f>IFERROR(AI101/AI148, "NA")</f>
        <v>0.5096844661</v>
      </c>
      <c r="AK101" s="75">
        <f>IFERROR((X101-AG101)/AG101, "NA")</f>
        <v>0.09862500705</v>
      </c>
      <c r="AL101" s="76">
        <f>IFERROR(AK101/AK148, "NA")</f>
        <v>1.967464157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2"/>
      <c r="AF102" s="125"/>
      <c r="AG102" s="124"/>
      <c r="AH102" s="74"/>
      <c r="AI102" s="125"/>
      <c r="AJ102" s="82"/>
      <c r="AK102" s="125"/>
      <c r="AL102" s="82"/>
    </row>
    <row r="103" ht="16.5" hidden="1" customHeight="1">
      <c r="A103" s="22" t="s">
        <v>218</v>
      </c>
      <c r="B103" s="23"/>
      <c r="C103" s="10"/>
      <c r="D103" s="23"/>
      <c r="E103" s="10"/>
      <c r="F103" s="23"/>
      <c r="G103" s="10"/>
      <c r="H103" s="23"/>
      <c r="I103" s="10"/>
      <c r="J103" s="23"/>
      <c r="K103" s="10"/>
      <c r="L103" s="23"/>
      <c r="M103" s="10"/>
      <c r="N103" s="23"/>
      <c r="O103" s="10"/>
      <c r="P103" s="23"/>
      <c r="Q103" s="10"/>
      <c r="R103" s="23"/>
      <c r="S103" s="10"/>
      <c r="T103" s="23"/>
      <c r="U103" s="10"/>
      <c r="V103" s="23"/>
      <c r="W103" s="10"/>
      <c r="X103" s="23"/>
      <c r="Y103" s="10"/>
      <c r="Z103" s="23"/>
      <c r="AA103" s="10"/>
      <c r="AB103" s="23"/>
      <c r="AC103" s="10"/>
      <c r="AD103" s="24"/>
      <c r="AE103" s="25"/>
      <c r="AF103" s="24"/>
      <c r="AG103" s="23"/>
      <c r="AH103" s="10"/>
      <c r="AI103" s="24"/>
      <c r="AJ103" s="25"/>
      <c r="AK103" s="24"/>
      <c r="AL103" s="25"/>
    </row>
    <row r="104" ht="16.5" hidden="1" customHeight="1">
      <c r="A104" s="126" t="s">
        <v>219</v>
      </c>
      <c r="B104" s="127">
        <v>-4922.2</v>
      </c>
      <c r="C104" s="98">
        <f>IFERROR(B104/B148, "NA")</f>
        <v>-0.340537934</v>
      </c>
      <c r="D104" s="127">
        <v>0.0</v>
      </c>
      <c r="E104" s="98">
        <f>IFERROR(D104/D148, "NA")</f>
        <v>0</v>
      </c>
      <c r="F104" s="127">
        <v>869.68</v>
      </c>
      <c r="G104" s="98">
        <f>IFERROR(F104/F148, "NA")</f>
        <v>0.04006359095</v>
      </c>
      <c r="H104" s="127">
        <v>21640.94</v>
      </c>
      <c r="I104" s="98">
        <f>IFERROR(H104/H148, "NA")</f>
        <v>1.060518995</v>
      </c>
      <c r="J104" s="127">
        <v>-5291.16</v>
      </c>
      <c r="K104" s="98">
        <f>IFERROR(J104/J148, "NA")</f>
        <v>-0.2465663034</v>
      </c>
      <c r="L104" s="127">
        <v>0.0</v>
      </c>
      <c r="M104" s="98">
        <f>IFERROR(L104/L148, "NA")</f>
        <v>0</v>
      </c>
      <c r="N104" s="127">
        <v>915.26</v>
      </c>
      <c r="O104" s="98">
        <f>IFERROR(N104/N148, "NA")</f>
        <v>0.0315294972</v>
      </c>
      <c r="P104" s="127">
        <v>0.0</v>
      </c>
      <c r="Q104" s="98">
        <f>IFERROR(P104/P148, "NA")</f>
        <v>0</v>
      </c>
      <c r="R104" s="127">
        <v>23756.56</v>
      </c>
      <c r="S104" s="98">
        <f>IFERROR(R104/R148, "NA")</f>
        <v>0.8816106717</v>
      </c>
      <c r="T104" s="127">
        <v>-4587.0</v>
      </c>
      <c r="U104" s="98">
        <f>IFERROR(T104/T148, "NA")</f>
        <v>-0.1634414273</v>
      </c>
      <c r="V104" s="127">
        <v>0.0</v>
      </c>
      <c r="W104" s="98">
        <f>IFERROR(V104/V148, "NA")</f>
        <v>0</v>
      </c>
      <c r="X104" s="127">
        <v>1021.71</v>
      </c>
      <c r="Y104" s="98">
        <f>IFERROR(X104/X148, "NA")</f>
        <v>0.03447945376</v>
      </c>
      <c r="Z104" s="127">
        <v>-3565.29</v>
      </c>
      <c r="AA104" s="98">
        <f>IFERROR(Z104/Z148, "NA")</f>
        <v>-0.04037769154</v>
      </c>
      <c r="AB104" s="122">
        <f t="shared" ref="AB104:AB105" si="49">IFERROR((R104+T104+V104+X104)/4, "NA")</f>
        <v>5047.8175</v>
      </c>
      <c r="AC104" s="98">
        <f>IFERROR(AB104/AB148, "NA")</f>
        <v>0.1752025766</v>
      </c>
      <c r="AD104" s="75">
        <f t="shared" ref="AD104:AD105" si="50">IFERROR(X104-AB104, "NA")</f>
        <v>-4026.1075</v>
      </c>
      <c r="AE104" s="76">
        <f>IFERROR(AD104/AD148, "NA")</f>
        <v>-4.903249869</v>
      </c>
      <c r="AF104" s="75">
        <f t="shared" ref="AF104:AF105" si="51">IFERROR((X104-AB104)/AB104, "NA")</f>
        <v>-0.7975937125</v>
      </c>
      <c r="AG104" s="122">
        <f t="shared" ref="AG104:AG105" si="52">IFERROR((J104+L104+N104+P104+R104+T104+V104+X104)/8, "NA")</f>
        <v>1976.92125</v>
      </c>
      <c r="AH104" s="98">
        <f>IFERROR(AG104/AG148, "NA")</f>
        <v>0.07005906441</v>
      </c>
      <c r="AI104" s="75">
        <f t="shared" ref="AI104:AI105" si="53">IFERROR(X104-AG104, "NA")</f>
        <v>-955.21125</v>
      </c>
      <c r="AJ104" s="76">
        <f>IFERROR(AI104/AI148, "NA")</f>
        <v>-0.6752959952</v>
      </c>
      <c r="AK104" s="75">
        <f t="shared" ref="AK104:AK105" si="54">IFERROR((X104-AG104)/AG104, "NA")</f>
        <v>-0.4831812345</v>
      </c>
      <c r="AL104" s="76">
        <f>IFERROR(AK104/AK148, "NA")</f>
        <v>-9.638952517</v>
      </c>
    </row>
    <row r="105" ht="16.5" hidden="1" customHeight="1">
      <c r="A105" s="67" t="s">
        <v>220</v>
      </c>
      <c r="B105" s="70">
        <f>IFERROR(B104, "NA")</f>
        <v>-4922.2</v>
      </c>
      <c r="C105" s="71">
        <f>IFERROR(B105/B148, "NA")</f>
        <v>-0.340537934</v>
      </c>
      <c r="D105" s="70">
        <f>IFERROR(D104, "NA")</f>
        <v>0</v>
      </c>
      <c r="E105" s="71">
        <f>IFERROR(D105/D148, "NA")</f>
        <v>0</v>
      </c>
      <c r="F105" s="70">
        <f>IFERROR(F104, "NA")</f>
        <v>869.68</v>
      </c>
      <c r="G105" s="71">
        <f>IFERROR(F105/F148, "NA")</f>
        <v>0.04006359095</v>
      </c>
      <c r="H105" s="70">
        <f>IFERROR(H104, "NA")</f>
        <v>21640.94</v>
      </c>
      <c r="I105" s="71">
        <f>IFERROR(H105/H148, "NA")</f>
        <v>1.060518995</v>
      </c>
      <c r="J105" s="70">
        <f>IFERROR(J104, "NA")</f>
        <v>-5291.16</v>
      </c>
      <c r="K105" s="71">
        <f>IFERROR(J105/J148, "NA")</f>
        <v>-0.2465663034</v>
      </c>
      <c r="L105" s="70">
        <f>IFERROR(L104, "NA")</f>
        <v>0</v>
      </c>
      <c r="M105" s="71">
        <f>IFERROR(L105/L148, "NA")</f>
        <v>0</v>
      </c>
      <c r="N105" s="70">
        <f>IFERROR(N104, "NA")</f>
        <v>915.26</v>
      </c>
      <c r="O105" s="71">
        <f>IFERROR(N105/N148, "NA")</f>
        <v>0.0315294972</v>
      </c>
      <c r="P105" s="70">
        <f>IFERROR(P104, "NA")</f>
        <v>0</v>
      </c>
      <c r="Q105" s="71">
        <f>IFERROR(P105/P148, "NA")</f>
        <v>0</v>
      </c>
      <c r="R105" s="70">
        <f>IFERROR(R104, "NA")</f>
        <v>23756.56</v>
      </c>
      <c r="S105" s="71">
        <f>IFERROR(R105/R148, "NA")</f>
        <v>0.8816106717</v>
      </c>
      <c r="T105" s="70">
        <f>IFERROR(T104, "NA")</f>
        <v>-4587</v>
      </c>
      <c r="U105" s="71">
        <f>IFERROR(T105/T148, "NA")</f>
        <v>-0.1634414273</v>
      </c>
      <c r="V105" s="70">
        <f>IFERROR(V104, "NA")</f>
        <v>0</v>
      </c>
      <c r="W105" s="71">
        <f>IFERROR(V105/V148, "NA")</f>
        <v>0</v>
      </c>
      <c r="X105" s="70">
        <f>IFERROR(X104, "NA")</f>
        <v>1021.71</v>
      </c>
      <c r="Y105" s="71">
        <f>IFERROR(X105/X148, "NA")</f>
        <v>0.03447945376</v>
      </c>
      <c r="Z105" s="70">
        <f>IFERROR(Z104, "NA")</f>
        <v>-3565.29</v>
      </c>
      <c r="AA105" s="71">
        <f>IFERROR(Z105/Z148, "NA")</f>
        <v>-0.04037769154</v>
      </c>
      <c r="AB105" s="70">
        <f t="shared" si="49"/>
        <v>5047.8175</v>
      </c>
      <c r="AC105" s="71">
        <f>IFERROR(AB105/AB148, "NA")</f>
        <v>0.1752025766</v>
      </c>
      <c r="AD105" s="75">
        <f t="shared" si="50"/>
        <v>-4026.1075</v>
      </c>
      <c r="AE105" s="76">
        <f>IFERROR(AD105/AD148, "NA")</f>
        <v>-4.903249869</v>
      </c>
      <c r="AF105" s="75">
        <f t="shared" si="51"/>
        <v>-0.7975937125</v>
      </c>
      <c r="AG105" s="70">
        <f t="shared" si="52"/>
        <v>1976.92125</v>
      </c>
      <c r="AH105" s="71">
        <f>IFERROR(AG105/AG148, "NA")</f>
        <v>0.07005906441</v>
      </c>
      <c r="AI105" s="75">
        <f t="shared" si="53"/>
        <v>-955.21125</v>
      </c>
      <c r="AJ105" s="76">
        <f>IFERROR(AI105/AI148, "NA")</f>
        <v>-0.6752959952</v>
      </c>
      <c r="AK105" s="75">
        <f t="shared" si="54"/>
        <v>-0.4831812345</v>
      </c>
      <c r="AL105" s="76">
        <f>IFERROR(AK105/AK148, "NA")</f>
        <v>-9.638952517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2"/>
      <c r="AF106" s="125"/>
      <c r="AG106" s="124"/>
      <c r="AH106" s="74"/>
      <c r="AI106" s="125"/>
      <c r="AJ106" s="82"/>
      <c r="AK106" s="125"/>
      <c r="AL106" s="82"/>
    </row>
    <row r="107" ht="16.5" hidden="1" customHeight="1">
      <c r="A107" s="121" t="s">
        <v>221</v>
      </c>
      <c r="B107" s="122">
        <f>IFERROR(B87-B99-B105, "NA")</f>
        <v>6134.77</v>
      </c>
      <c r="C107" s="98">
        <f>IFERROR(B107/B148, "NA")</f>
        <v>0.4244284875</v>
      </c>
      <c r="D107" s="122">
        <f>IFERROR(D87-D99-D105, "NA")</f>
        <v>2450.87</v>
      </c>
      <c r="E107" s="98">
        <f>IFERROR(D107/D148, "NA")</f>
        <v>0.1265930208</v>
      </c>
      <c r="F107" s="122">
        <f>IFERROR(F87-F99-F105, "NA")</f>
        <v>220.48</v>
      </c>
      <c r="G107" s="98">
        <f>IFERROR(F107/F148, "NA")</f>
        <v>0.01015686291</v>
      </c>
      <c r="H107" s="122">
        <f>IFERROR(H87-H99-H105, "NA")</f>
        <v>-20278.3</v>
      </c>
      <c r="I107" s="98">
        <f>IFERROR(H107/H148, "NA")</f>
        <v>-0.9937425236</v>
      </c>
      <c r="J107" s="122">
        <f>IFERROR(J87-J99-J105, "NA")</f>
        <v>10363.04</v>
      </c>
      <c r="K107" s="98">
        <f>IFERROR(J107/J148, "NA")</f>
        <v>0.4829142314</v>
      </c>
      <c r="L107" s="122">
        <f>IFERROR(L87-L99-L105, "NA")</f>
        <v>10532.03</v>
      </c>
      <c r="M107" s="98">
        <f>IFERROR(L107/L148, "NA")</f>
        <v>0.3544714194</v>
      </c>
      <c r="N107" s="122">
        <f>IFERROR(N87-N99-N105, "NA")</f>
        <v>3473.71</v>
      </c>
      <c r="O107" s="98">
        <f>IFERROR(N107/N148, "NA")</f>
        <v>0.1196647179</v>
      </c>
      <c r="P107" s="122">
        <f>IFERROR(P87-P99-P105, "NA")</f>
        <v>10589.08</v>
      </c>
      <c r="Q107" s="98">
        <f>IFERROR(P107/P148, "NA")</f>
        <v>0.3494965031</v>
      </c>
      <c r="R107" s="122">
        <f>IFERROR(R87-R99-R105, "NA")</f>
        <v>-16960.5</v>
      </c>
      <c r="S107" s="98">
        <f>IFERROR(R107/R148, "NA")</f>
        <v>-0.629407532</v>
      </c>
      <c r="T107" s="122">
        <f>IFERROR(T87-T99-T105, "NA")</f>
        <v>10198.8</v>
      </c>
      <c r="U107" s="98">
        <f>IFERROR(T107/T148, "NA")</f>
        <v>0.3633979569</v>
      </c>
      <c r="V107" s="122">
        <f>IFERROR(V87-V99-V105, "NA")</f>
        <v>7459.49</v>
      </c>
      <c r="W107" s="98">
        <f>IFERROR(V107/V148, "NA")</f>
        <v>0.2437663761</v>
      </c>
      <c r="X107" s="122">
        <f>IFERROR(X87-X99-X105, "NA")</f>
        <v>7009.28</v>
      </c>
      <c r="Y107" s="98">
        <f>IFERROR(X107/X148, "NA")</f>
        <v>0.2365408439</v>
      </c>
      <c r="Z107" s="122">
        <f>IFERROR(Z87-Z99-Z105, "NA")</f>
        <v>24667.57</v>
      </c>
      <c r="AA107" s="98">
        <f>IFERROR(Z107/Z148, "NA")</f>
        <v>0.2793656427</v>
      </c>
      <c r="AB107" s="122">
        <f>IFERROR((R107+T107+V107+X107)/4, "NA")</f>
        <v>1926.7675</v>
      </c>
      <c r="AC107" s="98">
        <f>IFERROR(AB107/AB148, "NA")</f>
        <v>0.06687536357</v>
      </c>
      <c r="AD107" s="75">
        <f>IFERROR(X107-AB107, "NA")</f>
        <v>5082.5125</v>
      </c>
      <c r="AE107" s="76">
        <f>IFERROR(AD107/AD148, "NA")</f>
        <v>6.18980709</v>
      </c>
      <c r="AF107" s="75">
        <f>IFERROR((X107-AB107)/AB107, "NA")</f>
        <v>2.637844213</v>
      </c>
      <c r="AG107" s="122">
        <f>IFERROR((J107+L107+N107+P107+R107+T107+V107+X107)/8, "NA")</f>
        <v>5333.11625</v>
      </c>
      <c r="AH107" s="98">
        <f>IFERROR(AG107/AG148, "NA")</f>
        <v>0.1889974802</v>
      </c>
      <c r="AI107" s="75">
        <f>IFERROR(X107-AG107, "NA")</f>
        <v>1676.16375</v>
      </c>
      <c r="AJ107" s="76">
        <f>IFERROR(AI107/AI148, "NA")</f>
        <v>1.184980461</v>
      </c>
      <c r="AK107" s="75">
        <f>IFERROR((X107-AG107)/AG107, "NA")</f>
        <v>0.3142934959</v>
      </c>
      <c r="AL107" s="76">
        <f>IFERROR(AK107/AK148, "NA")</f>
        <v>6.269821481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2"/>
      <c r="AF108" s="125"/>
      <c r="AG108" s="124"/>
      <c r="AH108" s="74"/>
      <c r="AI108" s="125"/>
      <c r="AJ108" s="82"/>
      <c r="AK108" s="125"/>
      <c r="AL108" s="82"/>
    </row>
    <row r="109" ht="16.5" hidden="1" customHeight="1">
      <c r="A109" s="22" t="s">
        <v>222</v>
      </c>
      <c r="B109" s="23"/>
      <c r="C109" s="10"/>
      <c r="D109" s="23"/>
      <c r="E109" s="10"/>
      <c r="F109" s="23"/>
      <c r="G109" s="10"/>
      <c r="H109" s="23"/>
      <c r="I109" s="10"/>
      <c r="J109" s="23"/>
      <c r="K109" s="10"/>
      <c r="L109" s="23"/>
      <c r="M109" s="10"/>
      <c r="N109" s="23"/>
      <c r="O109" s="10"/>
      <c r="P109" s="23"/>
      <c r="Q109" s="10"/>
      <c r="R109" s="23"/>
      <c r="S109" s="10"/>
      <c r="T109" s="23"/>
      <c r="U109" s="10"/>
      <c r="V109" s="23"/>
      <c r="W109" s="10"/>
      <c r="X109" s="23"/>
      <c r="Y109" s="10"/>
      <c r="Z109" s="23"/>
      <c r="AA109" s="10"/>
      <c r="AB109" s="23"/>
      <c r="AC109" s="10"/>
      <c r="AD109" s="24"/>
      <c r="AE109" s="25"/>
      <c r="AF109" s="24"/>
      <c r="AG109" s="23"/>
      <c r="AH109" s="10"/>
      <c r="AI109" s="24"/>
      <c r="AJ109" s="25"/>
      <c r="AK109" s="24"/>
      <c r="AL109" s="25"/>
    </row>
    <row r="110" ht="16.5" hidden="1" customHeight="1">
      <c r="A110" s="26" t="s">
        <v>223</v>
      </c>
      <c r="B110" s="28">
        <v>0.0</v>
      </c>
      <c r="C110" s="15">
        <f>IFERROR(B110/B148, "NA")</f>
        <v>0</v>
      </c>
      <c r="D110" s="28">
        <v>0.0</v>
      </c>
      <c r="E110" s="15">
        <f>IFERROR(D110/D148, "NA")</f>
        <v>0</v>
      </c>
      <c r="F110" s="28">
        <v>0.0</v>
      </c>
      <c r="G110" s="15">
        <f>IFERROR(F110/F148, "NA")</f>
        <v>0</v>
      </c>
      <c r="H110" s="28">
        <v>0.0</v>
      </c>
      <c r="I110" s="15">
        <f>IFERROR(H110/H148, "NA")</f>
        <v>0</v>
      </c>
      <c r="J110" s="28">
        <v>0.0</v>
      </c>
      <c r="K110" s="15">
        <f>IFERROR(J110/J148, "NA")</f>
        <v>0</v>
      </c>
      <c r="L110" s="28">
        <v>0.0</v>
      </c>
      <c r="M110" s="15">
        <f>IFERROR(L110/L148, "NA")</f>
        <v>0</v>
      </c>
      <c r="N110" s="28">
        <v>0.0</v>
      </c>
      <c r="O110" s="15">
        <f>IFERROR(N110/N148, "NA")</f>
        <v>0</v>
      </c>
      <c r="P110" s="28">
        <v>0.0</v>
      </c>
      <c r="Q110" s="15">
        <f>IFERROR(P110/P148, "NA")</f>
        <v>0</v>
      </c>
      <c r="R110" s="28">
        <v>0.0</v>
      </c>
      <c r="S110" s="15">
        <f>IFERROR(R110/R148, "NA")</f>
        <v>0</v>
      </c>
      <c r="T110" s="28">
        <v>0.0</v>
      </c>
      <c r="U110" s="15">
        <f>IFERROR(T110/T148, "NA")</f>
        <v>0</v>
      </c>
      <c r="V110" s="28">
        <v>0.0</v>
      </c>
      <c r="W110" s="15">
        <f>IFERROR(V110/V148, "NA")</f>
        <v>0</v>
      </c>
      <c r="X110" s="28">
        <v>0.0</v>
      </c>
      <c r="Y110" s="15">
        <f>IFERROR(X110/X148, "NA")</f>
        <v>0</v>
      </c>
      <c r="Z110" s="28">
        <v>0.0</v>
      </c>
      <c r="AA110" s="15">
        <f>IFERROR(Z110/Z148, "NA")</f>
        <v>0</v>
      </c>
      <c r="AB110" s="57">
        <f t="shared" ref="AB110:AB135" si="55">IFERROR((R110+T110+V110+X110)/4, "NA")</f>
        <v>0</v>
      </c>
      <c r="AC110" s="15">
        <f>IFERROR(AB110/AB148, "NA")</f>
        <v>0</v>
      </c>
      <c r="AD110" s="61">
        <f t="shared" ref="AD110:AD135" si="56">IFERROR(X110-AB110, "NA")</f>
        <v>0</v>
      </c>
      <c r="AE110" s="62">
        <f>IFERROR(AD110/AD148, "NA")</f>
        <v>0</v>
      </c>
      <c r="AF110" s="61" t="str">
        <f t="shared" ref="AF110:AF135" si="57">IFERROR((X110-AB110)/AB110, "NA")</f>
        <v>NA</v>
      </c>
      <c r="AG110" s="57">
        <f t="shared" ref="AG110:AG135" si="58">IFERROR((J110+L110+N110+P110+R110+T110+V110+X110)/8, "NA")</f>
        <v>0</v>
      </c>
      <c r="AH110" s="15">
        <f>IFERROR(AG110/AG148, "NA")</f>
        <v>0</v>
      </c>
      <c r="AI110" s="61">
        <f t="shared" ref="AI110:AI135" si="59">IFERROR(X110-AG110, "NA")</f>
        <v>0</v>
      </c>
      <c r="AJ110" s="62">
        <f>IFERROR(AI110/AI148, "NA")</f>
        <v>0</v>
      </c>
      <c r="AK110" s="61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6" t="s">
        <v>224</v>
      </c>
      <c r="B111" s="28">
        <v>0.0</v>
      </c>
      <c r="C111" s="15">
        <f>IFERROR(B111/B148, "NA")</f>
        <v>0</v>
      </c>
      <c r="D111" s="28">
        <v>0.0</v>
      </c>
      <c r="E111" s="15">
        <f>IFERROR(D111/D148, "NA")</f>
        <v>0</v>
      </c>
      <c r="F111" s="28">
        <v>0.0</v>
      </c>
      <c r="G111" s="15">
        <f>IFERROR(F111/F148, "NA")</f>
        <v>0</v>
      </c>
      <c r="H111" s="28">
        <v>0.0</v>
      </c>
      <c r="I111" s="15">
        <f>IFERROR(H111/H148, "NA")</f>
        <v>0</v>
      </c>
      <c r="J111" s="28">
        <v>0.0</v>
      </c>
      <c r="K111" s="15">
        <f>IFERROR(J111/J148, "NA")</f>
        <v>0</v>
      </c>
      <c r="L111" s="28">
        <v>0.0</v>
      </c>
      <c r="M111" s="15">
        <f>IFERROR(L111/L148, "NA")</f>
        <v>0</v>
      </c>
      <c r="N111" s="28">
        <v>0.0</v>
      </c>
      <c r="O111" s="15">
        <f>IFERROR(N111/N148, "NA")</f>
        <v>0</v>
      </c>
      <c r="P111" s="28">
        <v>0.0</v>
      </c>
      <c r="Q111" s="15">
        <f>IFERROR(P111/P148, "NA")</f>
        <v>0</v>
      </c>
      <c r="R111" s="28">
        <v>0.0</v>
      </c>
      <c r="S111" s="15">
        <f>IFERROR(R111/R148, "NA")</f>
        <v>0</v>
      </c>
      <c r="T111" s="28">
        <v>0.0</v>
      </c>
      <c r="U111" s="15">
        <f>IFERROR(T111/T148, "NA")</f>
        <v>0</v>
      </c>
      <c r="V111" s="28">
        <v>0.0</v>
      </c>
      <c r="W111" s="15">
        <f>IFERROR(V111/V148, "NA")</f>
        <v>0</v>
      </c>
      <c r="X111" s="28">
        <v>0.0</v>
      </c>
      <c r="Y111" s="15">
        <f>IFERROR(X111/X148, "NA")</f>
        <v>0</v>
      </c>
      <c r="Z111" s="28">
        <v>0.0</v>
      </c>
      <c r="AA111" s="15">
        <f>IFERROR(Z111/Z148, "NA")</f>
        <v>0</v>
      </c>
      <c r="AB111" s="57">
        <f t="shared" si="55"/>
        <v>0</v>
      </c>
      <c r="AC111" s="15">
        <f>IFERROR(AB111/AB148, "NA")</f>
        <v>0</v>
      </c>
      <c r="AD111" s="61">
        <f t="shared" si="56"/>
        <v>0</v>
      </c>
      <c r="AE111" s="62">
        <f>IFERROR(AD111/AD148, "NA")</f>
        <v>0</v>
      </c>
      <c r="AF111" s="61" t="str">
        <f t="shared" si="57"/>
        <v>NA</v>
      </c>
      <c r="AG111" s="57">
        <f t="shared" si="58"/>
        <v>0</v>
      </c>
      <c r="AH111" s="15">
        <f>IFERROR(AG111/AG148, "NA")</f>
        <v>0</v>
      </c>
      <c r="AI111" s="61">
        <f t="shared" si="59"/>
        <v>0</v>
      </c>
      <c r="AJ111" s="62">
        <f>IFERROR(AI111/AI148, "NA")</f>
        <v>0</v>
      </c>
      <c r="AK111" s="61" t="str">
        <f t="shared" si="60"/>
        <v>NA</v>
      </c>
      <c r="AL111" s="62" t="str">
        <f>IFERROR(AK111/AK148, "NA")</f>
        <v>NA</v>
      </c>
    </row>
    <row r="112" ht="16.5" hidden="1" customHeight="1">
      <c r="A112" s="26" t="s">
        <v>225</v>
      </c>
      <c r="B112" s="28">
        <v>0.0</v>
      </c>
      <c r="C112" s="15">
        <f>IFERROR(B112/B148, "NA")</f>
        <v>0</v>
      </c>
      <c r="D112" s="28">
        <v>0.0</v>
      </c>
      <c r="E112" s="15">
        <f>IFERROR(D112/D148, "NA")</f>
        <v>0</v>
      </c>
      <c r="F112" s="28">
        <v>0.0</v>
      </c>
      <c r="G112" s="15">
        <f>IFERROR(F112/F148, "NA")</f>
        <v>0</v>
      </c>
      <c r="H112" s="28">
        <v>0.0</v>
      </c>
      <c r="I112" s="15">
        <f>IFERROR(H112/H148, "NA")</f>
        <v>0</v>
      </c>
      <c r="J112" s="28">
        <v>0.0</v>
      </c>
      <c r="K112" s="15">
        <f>IFERROR(J112/J148, "NA")</f>
        <v>0</v>
      </c>
      <c r="L112" s="28">
        <v>0.0</v>
      </c>
      <c r="M112" s="15">
        <f>IFERROR(L112/L148, "NA")</f>
        <v>0</v>
      </c>
      <c r="N112" s="28">
        <v>0.0</v>
      </c>
      <c r="O112" s="15">
        <f>IFERROR(N112/N148, "NA")</f>
        <v>0</v>
      </c>
      <c r="P112" s="28">
        <v>0.0</v>
      </c>
      <c r="Q112" s="15">
        <f>IFERROR(P112/P148, "NA")</f>
        <v>0</v>
      </c>
      <c r="R112" s="28">
        <v>0.0</v>
      </c>
      <c r="S112" s="15">
        <f>IFERROR(R112/R148, "NA")</f>
        <v>0</v>
      </c>
      <c r="T112" s="28">
        <v>0.0</v>
      </c>
      <c r="U112" s="15">
        <f>IFERROR(T112/T148, "NA")</f>
        <v>0</v>
      </c>
      <c r="V112" s="28">
        <v>0.0</v>
      </c>
      <c r="W112" s="15">
        <f>IFERROR(V112/V148, "NA")</f>
        <v>0</v>
      </c>
      <c r="X112" s="28">
        <v>0.0</v>
      </c>
      <c r="Y112" s="15">
        <f>IFERROR(X112/X148, "NA")</f>
        <v>0</v>
      </c>
      <c r="Z112" s="28">
        <v>0.0</v>
      </c>
      <c r="AA112" s="15">
        <f>IFERROR(Z112/Z148, "NA")</f>
        <v>0</v>
      </c>
      <c r="AB112" s="57">
        <f t="shared" si="55"/>
        <v>0</v>
      </c>
      <c r="AC112" s="15">
        <f>IFERROR(AB112/AB148, "NA")</f>
        <v>0</v>
      </c>
      <c r="AD112" s="61">
        <f t="shared" si="56"/>
        <v>0</v>
      </c>
      <c r="AE112" s="62">
        <f>IFERROR(AD112/AD148, "NA")</f>
        <v>0</v>
      </c>
      <c r="AF112" s="61" t="str">
        <f t="shared" si="57"/>
        <v>NA</v>
      </c>
      <c r="AG112" s="57">
        <f t="shared" si="58"/>
        <v>0</v>
      </c>
      <c r="AH112" s="15">
        <f>IFERROR(AG112/AG148, "NA")</f>
        <v>0</v>
      </c>
      <c r="AI112" s="61">
        <f t="shared" si="59"/>
        <v>0</v>
      </c>
      <c r="AJ112" s="62">
        <f>IFERROR(AI112/AI148, "NA")</f>
        <v>0</v>
      </c>
      <c r="AK112" s="61" t="str">
        <f t="shared" si="60"/>
        <v>NA</v>
      </c>
      <c r="AL112" s="62" t="str">
        <f>IFERROR(AK112/AK148, "NA")</f>
        <v>NA</v>
      </c>
    </row>
    <row r="113" ht="16.5" hidden="1" customHeight="1">
      <c r="A113" s="26" t="s">
        <v>226</v>
      </c>
      <c r="B113" s="28">
        <v>0.0</v>
      </c>
      <c r="C113" s="15">
        <f>IFERROR(B113/B148, "NA")</f>
        <v>0</v>
      </c>
      <c r="D113" s="28">
        <v>0.0</v>
      </c>
      <c r="E113" s="15">
        <f>IFERROR(D113/D148, "NA")</f>
        <v>0</v>
      </c>
      <c r="F113" s="28">
        <v>0.0</v>
      </c>
      <c r="G113" s="15">
        <f>IFERROR(F113/F148, "NA")</f>
        <v>0</v>
      </c>
      <c r="H113" s="28">
        <v>0.0</v>
      </c>
      <c r="I113" s="15">
        <f>IFERROR(H113/H148, "NA")</f>
        <v>0</v>
      </c>
      <c r="J113" s="28">
        <v>0.0</v>
      </c>
      <c r="K113" s="15">
        <f>IFERROR(J113/J148, "NA")</f>
        <v>0</v>
      </c>
      <c r="L113" s="28">
        <v>0.0</v>
      </c>
      <c r="M113" s="15">
        <f>IFERROR(L113/L148, "NA")</f>
        <v>0</v>
      </c>
      <c r="N113" s="28">
        <v>0.0</v>
      </c>
      <c r="O113" s="15">
        <f>IFERROR(N113/N148, "NA")</f>
        <v>0</v>
      </c>
      <c r="P113" s="28">
        <v>0.0</v>
      </c>
      <c r="Q113" s="15">
        <f>IFERROR(P113/P148, "NA")</f>
        <v>0</v>
      </c>
      <c r="R113" s="28">
        <v>0.0</v>
      </c>
      <c r="S113" s="15">
        <f>IFERROR(R113/R148, "NA")</f>
        <v>0</v>
      </c>
      <c r="T113" s="28">
        <v>0.0</v>
      </c>
      <c r="U113" s="15">
        <f>IFERROR(T113/T148, "NA")</f>
        <v>0</v>
      </c>
      <c r="V113" s="28">
        <v>0.0</v>
      </c>
      <c r="W113" s="15">
        <f>IFERROR(V113/V148, "NA")</f>
        <v>0</v>
      </c>
      <c r="X113" s="28">
        <v>0.0</v>
      </c>
      <c r="Y113" s="15">
        <f>IFERROR(X113/X148, "NA")</f>
        <v>0</v>
      </c>
      <c r="Z113" s="28">
        <v>0.0</v>
      </c>
      <c r="AA113" s="15">
        <f>IFERROR(Z113/Z148, "NA")</f>
        <v>0</v>
      </c>
      <c r="AB113" s="57">
        <f t="shared" si="55"/>
        <v>0</v>
      </c>
      <c r="AC113" s="15">
        <f>IFERROR(AB113/AB148, "NA")</f>
        <v>0</v>
      </c>
      <c r="AD113" s="61">
        <f t="shared" si="56"/>
        <v>0</v>
      </c>
      <c r="AE113" s="62">
        <f>IFERROR(AD113/AD148, "NA")</f>
        <v>0</v>
      </c>
      <c r="AF113" s="61" t="str">
        <f t="shared" si="57"/>
        <v>NA</v>
      </c>
      <c r="AG113" s="57">
        <f t="shared" si="58"/>
        <v>0</v>
      </c>
      <c r="AH113" s="15">
        <f>IFERROR(AG113/AG148, "NA")</f>
        <v>0</v>
      </c>
      <c r="AI113" s="61">
        <f t="shared" si="59"/>
        <v>0</v>
      </c>
      <c r="AJ113" s="62">
        <f>IFERROR(AI113/AI148, "NA")</f>
        <v>0</v>
      </c>
      <c r="AK113" s="61" t="str">
        <f t="shared" si="60"/>
        <v>NA</v>
      </c>
      <c r="AL113" s="62" t="str">
        <f>IFERROR(AK113/AK148, "NA")</f>
        <v>NA</v>
      </c>
    </row>
    <row r="114" ht="16.5" hidden="1" customHeight="1">
      <c r="A114" s="26" t="s">
        <v>227</v>
      </c>
      <c r="B114" s="28">
        <v>0.0</v>
      </c>
      <c r="C114" s="15">
        <f>IFERROR(B114/B148, "NA")</f>
        <v>0</v>
      </c>
      <c r="D114" s="28">
        <v>0.0</v>
      </c>
      <c r="E114" s="15">
        <f>IFERROR(D114/D148, "NA")</f>
        <v>0</v>
      </c>
      <c r="F114" s="28">
        <v>0.0</v>
      </c>
      <c r="G114" s="15">
        <f>IFERROR(F114/F148, "NA")</f>
        <v>0</v>
      </c>
      <c r="H114" s="28">
        <v>0.0</v>
      </c>
      <c r="I114" s="15">
        <f>IFERROR(H114/H148, "NA")</f>
        <v>0</v>
      </c>
      <c r="J114" s="28">
        <v>0.0</v>
      </c>
      <c r="K114" s="15">
        <f>IFERROR(J114/J148, "NA")</f>
        <v>0</v>
      </c>
      <c r="L114" s="28">
        <v>0.0</v>
      </c>
      <c r="M114" s="15">
        <f>IFERROR(L114/L148, "NA")</f>
        <v>0</v>
      </c>
      <c r="N114" s="28">
        <v>0.0</v>
      </c>
      <c r="O114" s="15">
        <f>IFERROR(N114/N148, "NA")</f>
        <v>0</v>
      </c>
      <c r="P114" s="28">
        <v>0.0</v>
      </c>
      <c r="Q114" s="15">
        <f>IFERROR(P114/P148, "NA")</f>
        <v>0</v>
      </c>
      <c r="R114" s="28">
        <v>0.0</v>
      </c>
      <c r="S114" s="15">
        <f>IFERROR(R114/R148, "NA")</f>
        <v>0</v>
      </c>
      <c r="T114" s="28">
        <v>0.0</v>
      </c>
      <c r="U114" s="15">
        <f>IFERROR(T114/T148, "NA")</f>
        <v>0</v>
      </c>
      <c r="V114" s="28">
        <v>0.0</v>
      </c>
      <c r="W114" s="15">
        <f>IFERROR(V114/V148, "NA")</f>
        <v>0</v>
      </c>
      <c r="X114" s="28">
        <v>0.0</v>
      </c>
      <c r="Y114" s="15">
        <f>IFERROR(X114/X148, "NA")</f>
        <v>0</v>
      </c>
      <c r="Z114" s="28">
        <v>0.0</v>
      </c>
      <c r="AA114" s="15">
        <f>IFERROR(Z114/Z148, "NA")</f>
        <v>0</v>
      </c>
      <c r="AB114" s="57">
        <f t="shared" si="55"/>
        <v>0</v>
      </c>
      <c r="AC114" s="15">
        <f>IFERROR(AB114/AB148, "NA")</f>
        <v>0</v>
      </c>
      <c r="AD114" s="61">
        <f t="shared" si="56"/>
        <v>0</v>
      </c>
      <c r="AE114" s="62">
        <f>IFERROR(AD114/AD148, "NA")</f>
        <v>0</v>
      </c>
      <c r="AF114" s="61" t="str">
        <f t="shared" si="57"/>
        <v>NA</v>
      </c>
      <c r="AG114" s="57">
        <f t="shared" si="58"/>
        <v>0</v>
      </c>
      <c r="AH114" s="15">
        <f>IFERROR(AG114/AG148, "NA")</f>
        <v>0</v>
      </c>
      <c r="AI114" s="61">
        <f t="shared" si="59"/>
        <v>0</v>
      </c>
      <c r="AJ114" s="62">
        <f>IFERROR(AI114/AI148, "NA")</f>
        <v>0</v>
      </c>
      <c r="AK114" s="61" t="str">
        <f t="shared" si="60"/>
        <v>NA</v>
      </c>
      <c r="AL114" s="62" t="str">
        <f>IFERROR(AK114/AK148, "NA")</f>
        <v>NA</v>
      </c>
    </row>
    <row r="115" ht="16.5" hidden="1" customHeight="1">
      <c r="A115" s="26" t="s">
        <v>228</v>
      </c>
      <c r="B115" s="28">
        <v>0.0</v>
      </c>
      <c r="C115" s="15">
        <f>IFERROR(B115/B148, "NA")</f>
        <v>0</v>
      </c>
      <c r="D115" s="28">
        <v>0.0</v>
      </c>
      <c r="E115" s="15">
        <f>IFERROR(D115/D148, "NA")</f>
        <v>0</v>
      </c>
      <c r="F115" s="28">
        <v>0.0</v>
      </c>
      <c r="G115" s="15">
        <f>IFERROR(F115/F148, "NA")</f>
        <v>0</v>
      </c>
      <c r="H115" s="28">
        <v>0.0</v>
      </c>
      <c r="I115" s="15">
        <f>IFERROR(H115/H148, "NA")</f>
        <v>0</v>
      </c>
      <c r="J115" s="28">
        <v>0.0</v>
      </c>
      <c r="K115" s="15">
        <f>IFERROR(J115/J148, "NA")</f>
        <v>0</v>
      </c>
      <c r="L115" s="28">
        <v>0.0</v>
      </c>
      <c r="M115" s="15">
        <f>IFERROR(L115/L148, "NA")</f>
        <v>0</v>
      </c>
      <c r="N115" s="28">
        <v>0.0</v>
      </c>
      <c r="O115" s="15">
        <f>IFERROR(N115/N148, "NA")</f>
        <v>0</v>
      </c>
      <c r="P115" s="28">
        <v>0.0</v>
      </c>
      <c r="Q115" s="15">
        <f>IFERROR(P115/P148, "NA")</f>
        <v>0</v>
      </c>
      <c r="R115" s="28">
        <v>0.0</v>
      </c>
      <c r="S115" s="15">
        <f>IFERROR(R115/R148, "NA")</f>
        <v>0</v>
      </c>
      <c r="T115" s="28">
        <v>0.0</v>
      </c>
      <c r="U115" s="15">
        <f>IFERROR(T115/T148, "NA")</f>
        <v>0</v>
      </c>
      <c r="V115" s="28">
        <v>0.0</v>
      </c>
      <c r="W115" s="15">
        <f>IFERROR(V115/V148, "NA")</f>
        <v>0</v>
      </c>
      <c r="X115" s="28">
        <v>0.0</v>
      </c>
      <c r="Y115" s="15">
        <f>IFERROR(X115/X148, "NA")</f>
        <v>0</v>
      </c>
      <c r="Z115" s="28">
        <v>0.0</v>
      </c>
      <c r="AA115" s="15">
        <f>IFERROR(Z115/Z148, "NA")</f>
        <v>0</v>
      </c>
      <c r="AB115" s="57">
        <f t="shared" si="55"/>
        <v>0</v>
      </c>
      <c r="AC115" s="15">
        <f>IFERROR(AB115/AB148, "NA")</f>
        <v>0</v>
      </c>
      <c r="AD115" s="61">
        <f t="shared" si="56"/>
        <v>0</v>
      </c>
      <c r="AE115" s="62">
        <f>IFERROR(AD115/AD148, "NA")</f>
        <v>0</v>
      </c>
      <c r="AF115" s="61" t="str">
        <f t="shared" si="57"/>
        <v>NA</v>
      </c>
      <c r="AG115" s="57">
        <f t="shared" si="58"/>
        <v>0</v>
      </c>
      <c r="AH115" s="15">
        <f>IFERROR(AG115/AG148, "NA")</f>
        <v>0</v>
      </c>
      <c r="AI115" s="61">
        <f t="shared" si="59"/>
        <v>0</v>
      </c>
      <c r="AJ115" s="62">
        <f>IFERROR(AI115/AI148, "NA")</f>
        <v>0</v>
      </c>
      <c r="AK115" s="61" t="str">
        <f t="shared" si="60"/>
        <v>NA</v>
      </c>
      <c r="AL115" s="62" t="str">
        <f>IFERROR(AK115/AK148, "NA")</f>
        <v>NA</v>
      </c>
    </row>
    <row r="116" ht="16.5" hidden="1" customHeight="1">
      <c r="A116" s="26" t="s">
        <v>229</v>
      </c>
      <c r="B116" s="28">
        <v>0.0</v>
      </c>
      <c r="C116" s="15">
        <f>IFERROR(B116/B148, "NA")</f>
        <v>0</v>
      </c>
      <c r="D116" s="28">
        <v>0.0</v>
      </c>
      <c r="E116" s="15">
        <f>IFERROR(D116/D148, "NA")</f>
        <v>0</v>
      </c>
      <c r="F116" s="28">
        <v>0.0</v>
      </c>
      <c r="G116" s="15">
        <f>IFERROR(F116/F148, "NA")</f>
        <v>0</v>
      </c>
      <c r="H116" s="28">
        <v>0.0</v>
      </c>
      <c r="I116" s="15">
        <f>IFERROR(H116/H148, "NA")</f>
        <v>0</v>
      </c>
      <c r="J116" s="28">
        <v>0.0</v>
      </c>
      <c r="K116" s="15">
        <f>IFERROR(J116/J148, "NA")</f>
        <v>0</v>
      </c>
      <c r="L116" s="28">
        <v>0.0</v>
      </c>
      <c r="M116" s="15">
        <f>IFERROR(L116/L148, "NA")</f>
        <v>0</v>
      </c>
      <c r="N116" s="28">
        <v>0.0</v>
      </c>
      <c r="O116" s="15">
        <f>IFERROR(N116/N148, "NA")</f>
        <v>0</v>
      </c>
      <c r="P116" s="28">
        <v>0.0</v>
      </c>
      <c r="Q116" s="15">
        <f>IFERROR(P116/P148, "NA")</f>
        <v>0</v>
      </c>
      <c r="R116" s="28">
        <v>0.0</v>
      </c>
      <c r="S116" s="15">
        <f>IFERROR(R116/R148, "NA")</f>
        <v>0</v>
      </c>
      <c r="T116" s="28">
        <v>0.0</v>
      </c>
      <c r="U116" s="15">
        <f>IFERROR(T116/T148, "NA")</f>
        <v>0</v>
      </c>
      <c r="V116" s="28">
        <v>0.0</v>
      </c>
      <c r="W116" s="15">
        <f>IFERROR(V116/V148, "NA")</f>
        <v>0</v>
      </c>
      <c r="X116" s="28">
        <v>0.0</v>
      </c>
      <c r="Y116" s="15">
        <f>IFERROR(X116/X148, "NA")</f>
        <v>0</v>
      </c>
      <c r="Z116" s="28">
        <v>0.0</v>
      </c>
      <c r="AA116" s="15">
        <f>IFERROR(Z116/Z148, "NA")</f>
        <v>0</v>
      </c>
      <c r="AB116" s="57">
        <f t="shared" si="55"/>
        <v>0</v>
      </c>
      <c r="AC116" s="15">
        <f>IFERROR(AB116/AB148, "NA")</f>
        <v>0</v>
      </c>
      <c r="AD116" s="61">
        <f t="shared" si="56"/>
        <v>0</v>
      </c>
      <c r="AE116" s="62">
        <f>IFERROR(AD116/AD148, "NA")</f>
        <v>0</v>
      </c>
      <c r="AF116" s="61" t="str">
        <f t="shared" si="57"/>
        <v>NA</v>
      </c>
      <c r="AG116" s="57">
        <f t="shared" si="58"/>
        <v>0</v>
      </c>
      <c r="AH116" s="15">
        <f>IFERROR(AG116/AG148, "NA")</f>
        <v>0</v>
      </c>
      <c r="AI116" s="61">
        <f t="shared" si="59"/>
        <v>0</v>
      </c>
      <c r="AJ116" s="62">
        <f>IFERROR(AI116/AI148, "NA")</f>
        <v>0</v>
      </c>
      <c r="AK116" s="61" t="str">
        <f t="shared" si="60"/>
        <v>NA</v>
      </c>
      <c r="AL116" s="62" t="str">
        <f>IFERROR(AK116/AK148, "NA")</f>
        <v>NA</v>
      </c>
    </row>
    <row r="117" ht="16.5" hidden="1" customHeight="1">
      <c r="A117" s="26" t="s">
        <v>230</v>
      </c>
      <c r="B117" s="28">
        <v>0.0</v>
      </c>
      <c r="C117" s="15">
        <f>IFERROR(B117/B148, "NA")</f>
        <v>0</v>
      </c>
      <c r="D117" s="28">
        <v>0.0</v>
      </c>
      <c r="E117" s="15">
        <f>IFERROR(D117/D148, "NA")</f>
        <v>0</v>
      </c>
      <c r="F117" s="28">
        <v>0.0</v>
      </c>
      <c r="G117" s="15">
        <f>IFERROR(F117/F148, "NA")</f>
        <v>0</v>
      </c>
      <c r="H117" s="28">
        <v>0.0</v>
      </c>
      <c r="I117" s="15">
        <f>IFERROR(H117/H148, "NA")</f>
        <v>0</v>
      </c>
      <c r="J117" s="28">
        <v>0.0</v>
      </c>
      <c r="K117" s="15">
        <f>IFERROR(J117/J148, "NA")</f>
        <v>0</v>
      </c>
      <c r="L117" s="28">
        <v>0.0</v>
      </c>
      <c r="M117" s="15">
        <f>IFERROR(L117/L148, "NA")</f>
        <v>0</v>
      </c>
      <c r="N117" s="28">
        <v>0.0</v>
      </c>
      <c r="O117" s="15">
        <f>IFERROR(N117/N148, "NA")</f>
        <v>0</v>
      </c>
      <c r="P117" s="28">
        <v>0.0</v>
      </c>
      <c r="Q117" s="15">
        <f>IFERROR(P117/P148, "NA")</f>
        <v>0</v>
      </c>
      <c r="R117" s="28">
        <v>0.0</v>
      </c>
      <c r="S117" s="15">
        <f>IFERROR(R117/R148, "NA")</f>
        <v>0</v>
      </c>
      <c r="T117" s="28">
        <v>0.0</v>
      </c>
      <c r="U117" s="15">
        <f>IFERROR(T117/T148, "NA")</f>
        <v>0</v>
      </c>
      <c r="V117" s="28">
        <v>0.0</v>
      </c>
      <c r="W117" s="15">
        <f>IFERROR(V117/V148, "NA")</f>
        <v>0</v>
      </c>
      <c r="X117" s="28">
        <v>0.0</v>
      </c>
      <c r="Y117" s="15">
        <f>IFERROR(X117/X148, "NA")</f>
        <v>0</v>
      </c>
      <c r="Z117" s="28">
        <v>0.0</v>
      </c>
      <c r="AA117" s="15">
        <f>IFERROR(Z117/Z148, "NA")</f>
        <v>0</v>
      </c>
      <c r="AB117" s="57">
        <f t="shared" si="55"/>
        <v>0</v>
      </c>
      <c r="AC117" s="15">
        <f>IFERROR(AB117/AB148, "NA")</f>
        <v>0</v>
      </c>
      <c r="AD117" s="61">
        <f t="shared" si="56"/>
        <v>0</v>
      </c>
      <c r="AE117" s="62">
        <f>IFERROR(AD117/AD148, "NA")</f>
        <v>0</v>
      </c>
      <c r="AF117" s="61" t="str">
        <f t="shared" si="57"/>
        <v>NA</v>
      </c>
      <c r="AG117" s="57">
        <f t="shared" si="58"/>
        <v>0</v>
      </c>
      <c r="AH117" s="15">
        <f>IFERROR(AG117/AG148, "NA")</f>
        <v>0</v>
      </c>
      <c r="AI117" s="61">
        <f t="shared" si="59"/>
        <v>0</v>
      </c>
      <c r="AJ117" s="62">
        <f>IFERROR(AI117/AI148, "NA")</f>
        <v>0</v>
      </c>
      <c r="AK117" s="61" t="str">
        <f t="shared" si="60"/>
        <v>NA</v>
      </c>
      <c r="AL117" s="62" t="str">
        <f>IFERROR(AK117/AK148, "NA")</f>
        <v>NA</v>
      </c>
    </row>
    <row r="118" ht="16.5" hidden="1" customHeight="1">
      <c r="A118" s="26" t="s">
        <v>231</v>
      </c>
      <c r="B118" s="28">
        <v>0.0</v>
      </c>
      <c r="C118" s="15">
        <f>IFERROR(B118/B148, "NA")</f>
        <v>0</v>
      </c>
      <c r="D118" s="28">
        <v>0.0</v>
      </c>
      <c r="E118" s="15">
        <f>IFERROR(D118/D148, "NA")</f>
        <v>0</v>
      </c>
      <c r="F118" s="28">
        <v>0.0</v>
      </c>
      <c r="G118" s="15">
        <f>IFERROR(F118/F148, "NA")</f>
        <v>0</v>
      </c>
      <c r="H118" s="28">
        <v>0.0</v>
      </c>
      <c r="I118" s="15">
        <f>IFERROR(H118/H148, "NA")</f>
        <v>0</v>
      </c>
      <c r="J118" s="28">
        <v>0.0</v>
      </c>
      <c r="K118" s="15">
        <f>IFERROR(J118/J148, "NA")</f>
        <v>0</v>
      </c>
      <c r="L118" s="28">
        <v>0.0</v>
      </c>
      <c r="M118" s="15">
        <f>IFERROR(L118/L148, "NA")</f>
        <v>0</v>
      </c>
      <c r="N118" s="28">
        <v>0.0</v>
      </c>
      <c r="O118" s="15">
        <f>IFERROR(N118/N148, "NA")</f>
        <v>0</v>
      </c>
      <c r="P118" s="28">
        <v>0.0</v>
      </c>
      <c r="Q118" s="15">
        <f>IFERROR(P118/P148, "NA")</f>
        <v>0</v>
      </c>
      <c r="R118" s="28">
        <v>0.0</v>
      </c>
      <c r="S118" s="15">
        <f>IFERROR(R118/R148, "NA")</f>
        <v>0</v>
      </c>
      <c r="T118" s="28">
        <v>0.0</v>
      </c>
      <c r="U118" s="15">
        <f>IFERROR(T118/T148, "NA")</f>
        <v>0</v>
      </c>
      <c r="V118" s="28">
        <v>0.0</v>
      </c>
      <c r="W118" s="15">
        <f>IFERROR(V118/V148, "NA")</f>
        <v>0</v>
      </c>
      <c r="X118" s="28">
        <v>0.0</v>
      </c>
      <c r="Y118" s="15">
        <f>IFERROR(X118/X148, "NA")</f>
        <v>0</v>
      </c>
      <c r="Z118" s="28">
        <v>0.0</v>
      </c>
      <c r="AA118" s="15">
        <f>IFERROR(Z118/Z148, "NA")</f>
        <v>0</v>
      </c>
      <c r="AB118" s="57">
        <f t="shared" si="55"/>
        <v>0</v>
      </c>
      <c r="AC118" s="15">
        <f>IFERROR(AB118/AB148, "NA")</f>
        <v>0</v>
      </c>
      <c r="AD118" s="61">
        <f t="shared" si="56"/>
        <v>0</v>
      </c>
      <c r="AE118" s="62">
        <f>IFERROR(AD118/AD148, "NA")</f>
        <v>0</v>
      </c>
      <c r="AF118" s="61" t="str">
        <f t="shared" si="57"/>
        <v>NA</v>
      </c>
      <c r="AG118" s="57">
        <f t="shared" si="58"/>
        <v>0</v>
      </c>
      <c r="AH118" s="15">
        <f>IFERROR(AG118/AG148, "NA")</f>
        <v>0</v>
      </c>
      <c r="AI118" s="61">
        <f t="shared" si="59"/>
        <v>0</v>
      </c>
      <c r="AJ118" s="62">
        <f>IFERROR(AI118/AI148, "NA")</f>
        <v>0</v>
      </c>
      <c r="AK118" s="61" t="str">
        <f t="shared" si="60"/>
        <v>NA</v>
      </c>
      <c r="AL118" s="62" t="str">
        <f>IFERROR(AK118/AK148, "NA")</f>
        <v>NA</v>
      </c>
    </row>
    <row r="119" ht="16.5" hidden="1" customHeight="1">
      <c r="A119" s="26" t="s">
        <v>232</v>
      </c>
      <c r="B119" s="28">
        <v>0.0</v>
      </c>
      <c r="C119" s="15">
        <f>IFERROR(B119/B148, "NA")</f>
        <v>0</v>
      </c>
      <c r="D119" s="28">
        <v>0.0</v>
      </c>
      <c r="E119" s="15">
        <f>IFERROR(D119/D148, "NA")</f>
        <v>0</v>
      </c>
      <c r="F119" s="28">
        <v>0.0</v>
      </c>
      <c r="G119" s="15">
        <f>IFERROR(F119/F148, "NA")</f>
        <v>0</v>
      </c>
      <c r="H119" s="28">
        <v>0.0</v>
      </c>
      <c r="I119" s="15">
        <f>IFERROR(H119/H148, "NA")</f>
        <v>0</v>
      </c>
      <c r="J119" s="28">
        <v>0.0</v>
      </c>
      <c r="K119" s="15">
        <f>IFERROR(J119/J148, "NA")</f>
        <v>0</v>
      </c>
      <c r="L119" s="28">
        <v>0.0</v>
      </c>
      <c r="M119" s="15">
        <f>IFERROR(L119/L148, "NA")</f>
        <v>0</v>
      </c>
      <c r="N119" s="28">
        <v>0.0</v>
      </c>
      <c r="O119" s="15">
        <f>IFERROR(N119/N148, "NA")</f>
        <v>0</v>
      </c>
      <c r="P119" s="28">
        <v>0.0</v>
      </c>
      <c r="Q119" s="15">
        <f>IFERROR(P119/P148, "NA")</f>
        <v>0</v>
      </c>
      <c r="R119" s="28">
        <v>0.0</v>
      </c>
      <c r="S119" s="15">
        <f>IFERROR(R119/R148, "NA")</f>
        <v>0</v>
      </c>
      <c r="T119" s="28">
        <v>0.0</v>
      </c>
      <c r="U119" s="15">
        <f>IFERROR(T119/T148, "NA")</f>
        <v>0</v>
      </c>
      <c r="V119" s="28">
        <v>0.0</v>
      </c>
      <c r="W119" s="15">
        <f>IFERROR(V119/V148, "NA")</f>
        <v>0</v>
      </c>
      <c r="X119" s="28">
        <v>0.0</v>
      </c>
      <c r="Y119" s="15">
        <f>IFERROR(X119/X148, "NA")</f>
        <v>0</v>
      </c>
      <c r="Z119" s="28">
        <v>0.0</v>
      </c>
      <c r="AA119" s="15">
        <f>IFERROR(Z119/Z148, "NA")</f>
        <v>0</v>
      </c>
      <c r="AB119" s="57">
        <f t="shared" si="55"/>
        <v>0</v>
      </c>
      <c r="AC119" s="15">
        <f>IFERROR(AB119/AB148, "NA")</f>
        <v>0</v>
      </c>
      <c r="AD119" s="61">
        <f t="shared" si="56"/>
        <v>0</v>
      </c>
      <c r="AE119" s="62">
        <f>IFERROR(AD119/AD148, "NA")</f>
        <v>0</v>
      </c>
      <c r="AF119" s="61" t="str">
        <f t="shared" si="57"/>
        <v>NA</v>
      </c>
      <c r="AG119" s="57">
        <f t="shared" si="58"/>
        <v>0</v>
      </c>
      <c r="AH119" s="15">
        <f>IFERROR(AG119/AG148, "NA")</f>
        <v>0</v>
      </c>
      <c r="AI119" s="61">
        <f t="shared" si="59"/>
        <v>0</v>
      </c>
      <c r="AJ119" s="62">
        <f>IFERROR(AI119/AI148, "NA")</f>
        <v>0</v>
      </c>
      <c r="AK119" s="61" t="str">
        <f t="shared" si="60"/>
        <v>NA</v>
      </c>
      <c r="AL119" s="62" t="str">
        <f>IFERROR(AK119/AK148, "NA")</f>
        <v>NA</v>
      </c>
    </row>
    <row r="120" ht="16.5" hidden="1" customHeight="1">
      <c r="A120" s="26" t="s">
        <v>233</v>
      </c>
      <c r="B120" s="28">
        <v>0.0</v>
      </c>
      <c r="C120" s="15">
        <f>IFERROR(B120/B148, "NA")</f>
        <v>0</v>
      </c>
      <c r="D120" s="28">
        <v>0.0</v>
      </c>
      <c r="E120" s="15">
        <f>IFERROR(D120/D148, "NA")</f>
        <v>0</v>
      </c>
      <c r="F120" s="28">
        <v>0.0</v>
      </c>
      <c r="G120" s="15">
        <f>IFERROR(F120/F148, "NA")</f>
        <v>0</v>
      </c>
      <c r="H120" s="28">
        <v>0.0</v>
      </c>
      <c r="I120" s="15">
        <f>IFERROR(H120/H148, "NA")</f>
        <v>0</v>
      </c>
      <c r="J120" s="28">
        <v>0.0</v>
      </c>
      <c r="K120" s="15">
        <f>IFERROR(J120/J148, "NA")</f>
        <v>0</v>
      </c>
      <c r="L120" s="28">
        <v>0.0</v>
      </c>
      <c r="M120" s="15">
        <f>IFERROR(L120/L148, "NA")</f>
        <v>0</v>
      </c>
      <c r="N120" s="28">
        <v>0.0</v>
      </c>
      <c r="O120" s="15">
        <f>IFERROR(N120/N148, "NA")</f>
        <v>0</v>
      </c>
      <c r="P120" s="28">
        <v>0.0</v>
      </c>
      <c r="Q120" s="15">
        <f>IFERROR(P120/P148, "NA")</f>
        <v>0</v>
      </c>
      <c r="R120" s="28">
        <v>0.0</v>
      </c>
      <c r="S120" s="15">
        <f>IFERROR(R120/R148, "NA")</f>
        <v>0</v>
      </c>
      <c r="T120" s="28">
        <v>0.0</v>
      </c>
      <c r="U120" s="15">
        <f>IFERROR(T120/T148, "NA")</f>
        <v>0</v>
      </c>
      <c r="V120" s="28">
        <v>0.0</v>
      </c>
      <c r="W120" s="15">
        <f>IFERROR(V120/V148, "NA")</f>
        <v>0</v>
      </c>
      <c r="X120" s="28">
        <v>0.0</v>
      </c>
      <c r="Y120" s="15">
        <f>IFERROR(X120/X148, "NA")</f>
        <v>0</v>
      </c>
      <c r="Z120" s="28">
        <v>0.0</v>
      </c>
      <c r="AA120" s="15">
        <f>IFERROR(Z120/Z148, "NA")</f>
        <v>0</v>
      </c>
      <c r="AB120" s="57">
        <f t="shared" si="55"/>
        <v>0</v>
      </c>
      <c r="AC120" s="15">
        <f>IFERROR(AB120/AB148, "NA")</f>
        <v>0</v>
      </c>
      <c r="AD120" s="61">
        <f t="shared" si="56"/>
        <v>0</v>
      </c>
      <c r="AE120" s="62">
        <f>IFERROR(AD120/AD148, "NA")</f>
        <v>0</v>
      </c>
      <c r="AF120" s="61" t="str">
        <f t="shared" si="57"/>
        <v>NA</v>
      </c>
      <c r="AG120" s="57">
        <f t="shared" si="58"/>
        <v>0</v>
      </c>
      <c r="AH120" s="15">
        <f>IFERROR(AG120/AG148, "NA")</f>
        <v>0</v>
      </c>
      <c r="AI120" s="61">
        <f t="shared" si="59"/>
        <v>0</v>
      </c>
      <c r="AJ120" s="62">
        <f>IFERROR(AI120/AI148, "NA")</f>
        <v>0</v>
      </c>
      <c r="AK120" s="61" t="str">
        <f t="shared" si="60"/>
        <v>NA</v>
      </c>
      <c r="AL120" s="62" t="str">
        <f>IFERROR(AK120/AK148, "NA")</f>
        <v>NA</v>
      </c>
    </row>
    <row r="121" ht="16.5" hidden="1" customHeight="1">
      <c r="A121" s="26" t="s">
        <v>234</v>
      </c>
      <c r="B121" s="28">
        <v>0.0</v>
      </c>
      <c r="C121" s="15">
        <f>IFERROR(B121/B148, "NA")</f>
        <v>0</v>
      </c>
      <c r="D121" s="28">
        <v>0.0</v>
      </c>
      <c r="E121" s="15">
        <f>IFERROR(D121/D148, "NA")</f>
        <v>0</v>
      </c>
      <c r="F121" s="28">
        <v>0.0</v>
      </c>
      <c r="G121" s="15">
        <f>IFERROR(F121/F148, "NA")</f>
        <v>0</v>
      </c>
      <c r="H121" s="28">
        <v>0.0</v>
      </c>
      <c r="I121" s="15">
        <f>IFERROR(H121/H148, "NA")</f>
        <v>0</v>
      </c>
      <c r="J121" s="28">
        <v>0.0</v>
      </c>
      <c r="K121" s="15">
        <f>IFERROR(J121/J148, "NA")</f>
        <v>0</v>
      </c>
      <c r="L121" s="28">
        <v>0.0</v>
      </c>
      <c r="M121" s="15">
        <f>IFERROR(L121/L148, "NA")</f>
        <v>0</v>
      </c>
      <c r="N121" s="28">
        <v>0.0</v>
      </c>
      <c r="O121" s="15">
        <f>IFERROR(N121/N148, "NA")</f>
        <v>0</v>
      </c>
      <c r="P121" s="28">
        <v>0.0</v>
      </c>
      <c r="Q121" s="15">
        <f>IFERROR(P121/P148, "NA")</f>
        <v>0</v>
      </c>
      <c r="R121" s="28">
        <v>0.0</v>
      </c>
      <c r="S121" s="15">
        <f>IFERROR(R121/R148, "NA")</f>
        <v>0</v>
      </c>
      <c r="T121" s="28">
        <v>0.0</v>
      </c>
      <c r="U121" s="15">
        <f>IFERROR(T121/T148, "NA")</f>
        <v>0</v>
      </c>
      <c r="V121" s="28">
        <v>0.0</v>
      </c>
      <c r="W121" s="15">
        <f>IFERROR(V121/V148, "NA")</f>
        <v>0</v>
      </c>
      <c r="X121" s="28">
        <v>0.0</v>
      </c>
      <c r="Y121" s="15">
        <f>IFERROR(X121/X148, "NA")</f>
        <v>0</v>
      </c>
      <c r="Z121" s="28">
        <v>0.0</v>
      </c>
      <c r="AA121" s="15">
        <f>IFERROR(Z121/Z148, "NA")</f>
        <v>0</v>
      </c>
      <c r="AB121" s="57">
        <f t="shared" si="55"/>
        <v>0</v>
      </c>
      <c r="AC121" s="15">
        <f>IFERROR(AB121/AB148, "NA")</f>
        <v>0</v>
      </c>
      <c r="AD121" s="61">
        <f t="shared" si="56"/>
        <v>0</v>
      </c>
      <c r="AE121" s="62">
        <f>IFERROR(AD121/AD148, "NA")</f>
        <v>0</v>
      </c>
      <c r="AF121" s="61" t="str">
        <f t="shared" si="57"/>
        <v>NA</v>
      </c>
      <c r="AG121" s="57">
        <f t="shared" si="58"/>
        <v>0</v>
      </c>
      <c r="AH121" s="15">
        <f>IFERROR(AG121/AG148, "NA")</f>
        <v>0</v>
      </c>
      <c r="AI121" s="61">
        <f t="shared" si="59"/>
        <v>0</v>
      </c>
      <c r="AJ121" s="62">
        <f>IFERROR(AI121/AI148, "NA")</f>
        <v>0</v>
      </c>
      <c r="AK121" s="61" t="str">
        <f t="shared" si="60"/>
        <v>NA</v>
      </c>
      <c r="AL121" s="62" t="str">
        <f>IFERROR(AK121/AK148, "NA")</f>
        <v>NA</v>
      </c>
    </row>
    <row r="122" ht="16.5" hidden="1" customHeight="1">
      <c r="A122" s="26" t="s">
        <v>235</v>
      </c>
      <c r="B122" s="28">
        <v>0.0</v>
      </c>
      <c r="C122" s="15">
        <f>IFERROR(B122/B148, "NA")</f>
        <v>0</v>
      </c>
      <c r="D122" s="28">
        <v>0.0</v>
      </c>
      <c r="E122" s="15">
        <f>IFERROR(D122/D148, "NA")</f>
        <v>0</v>
      </c>
      <c r="F122" s="28">
        <v>0.0</v>
      </c>
      <c r="G122" s="15">
        <f>IFERROR(F122/F148, "NA")</f>
        <v>0</v>
      </c>
      <c r="H122" s="28">
        <v>0.0</v>
      </c>
      <c r="I122" s="15">
        <f>IFERROR(H122/H148, "NA")</f>
        <v>0</v>
      </c>
      <c r="J122" s="28">
        <v>0.0</v>
      </c>
      <c r="K122" s="15">
        <f>IFERROR(J122/J148, "NA")</f>
        <v>0</v>
      </c>
      <c r="L122" s="28">
        <v>0.0</v>
      </c>
      <c r="M122" s="15">
        <f>IFERROR(L122/L148, "NA")</f>
        <v>0</v>
      </c>
      <c r="N122" s="28">
        <v>0.0</v>
      </c>
      <c r="O122" s="15">
        <f>IFERROR(N122/N148, "NA")</f>
        <v>0</v>
      </c>
      <c r="P122" s="28">
        <v>0.0</v>
      </c>
      <c r="Q122" s="15">
        <f>IFERROR(P122/P148, "NA")</f>
        <v>0</v>
      </c>
      <c r="R122" s="28">
        <v>0.0</v>
      </c>
      <c r="S122" s="15">
        <f>IFERROR(R122/R148, "NA")</f>
        <v>0</v>
      </c>
      <c r="T122" s="28">
        <v>0.0</v>
      </c>
      <c r="U122" s="15">
        <f>IFERROR(T122/T148, "NA")</f>
        <v>0</v>
      </c>
      <c r="V122" s="28">
        <v>0.0</v>
      </c>
      <c r="W122" s="15">
        <f>IFERROR(V122/V148, "NA")</f>
        <v>0</v>
      </c>
      <c r="X122" s="28">
        <v>0.0</v>
      </c>
      <c r="Y122" s="15">
        <f>IFERROR(X122/X148, "NA")</f>
        <v>0</v>
      </c>
      <c r="Z122" s="28">
        <v>0.0</v>
      </c>
      <c r="AA122" s="15">
        <f>IFERROR(Z122/Z148, "NA")</f>
        <v>0</v>
      </c>
      <c r="AB122" s="57">
        <f t="shared" si="55"/>
        <v>0</v>
      </c>
      <c r="AC122" s="15">
        <f>IFERROR(AB122/AB148, "NA")</f>
        <v>0</v>
      </c>
      <c r="AD122" s="61">
        <f t="shared" si="56"/>
        <v>0</v>
      </c>
      <c r="AE122" s="62">
        <f>IFERROR(AD122/AD148, "NA")</f>
        <v>0</v>
      </c>
      <c r="AF122" s="61" t="str">
        <f t="shared" si="57"/>
        <v>NA</v>
      </c>
      <c r="AG122" s="57">
        <f t="shared" si="58"/>
        <v>0</v>
      </c>
      <c r="AH122" s="15">
        <f>IFERROR(AG122/AG148, "NA")</f>
        <v>0</v>
      </c>
      <c r="AI122" s="61">
        <f t="shared" si="59"/>
        <v>0</v>
      </c>
      <c r="AJ122" s="62">
        <f>IFERROR(AI122/AI148, "NA")</f>
        <v>0</v>
      </c>
      <c r="AK122" s="61" t="str">
        <f t="shared" si="60"/>
        <v>NA</v>
      </c>
      <c r="AL122" s="62" t="str">
        <f>IFERROR(AK122/AK148, "NA")</f>
        <v>NA</v>
      </c>
    </row>
    <row r="123" ht="16.5" hidden="1" customHeight="1">
      <c r="A123" s="26" t="s">
        <v>236</v>
      </c>
      <c r="B123" s="28">
        <v>0.0</v>
      </c>
      <c r="C123" s="15">
        <f>IFERROR(B123/B148, "NA")</f>
        <v>0</v>
      </c>
      <c r="D123" s="28">
        <v>0.0</v>
      </c>
      <c r="E123" s="15">
        <f>IFERROR(D123/D148, "NA")</f>
        <v>0</v>
      </c>
      <c r="F123" s="28">
        <v>0.0</v>
      </c>
      <c r="G123" s="15">
        <f>IFERROR(F123/F148, "NA")</f>
        <v>0</v>
      </c>
      <c r="H123" s="28">
        <v>0.0</v>
      </c>
      <c r="I123" s="15">
        <f>IFERROR(H123/H148, "NA")</f>
        <v>0</v>
      </c>
      <c r="J123" s="28">
        <v>0.0</v>
      </c>
      <c r="K123" s="15">
        <f>IFERROR(J123/J148, "NA")</f>
        <v>0</v>
      </c>
      <c r="L123" s="28">
        <v>0.0</v>
      </c>
      <c r="M123" s="15">
        <f>IFERROR(L123/L148, "NA")</f>
        <v>0</v>
      </c>
      <c r="N123" s="28">
        <v>0.0</v>
      </c>
      <c r="O123" s="15">
        <f>IFERROR(N123/N148, "NA")</f>
        <v>0</v>
      </c>
      <c r="P123" s="28">
        <v>0.0</v>
      </c>
      <c r="Q123" s="15">
        <f>IFERROR(P123/P148, "NA")</f>
        <v>0</v>
      </c>
      <c r="R123" s="28">
        <v>0.0</v>
      </c>
      <c r="S123" s="15">
        <f>IFERROR(R123/R148, "NA")</f>
        <v>0</v>
      </c>
      <c r="T123" s="28">
        <v>0.0</v>
      </c>
      <c r="U123" s="15">
        <f>IFERROR(T123/T148, "NA")</f>
        <v>0</v>
      </c>
      <c r="V123" s="28">
        <v>0.0</v>
      </c>
      <c r="W123" s="15">
        <f>IFERROR(V123/V148, "NA")</f>
        <v>0</v>
      </c>
      <c r="X123" s="28">
        <v>0.0</v>
      </c>
      <c r="Y123" s="15">
        <f>IFERROR(X123/X148, "NA")</f>
        <v>0</v>
      </c>
      <c r="Z123" s="28">
        <v>0.0</v>
      </c>
      <c r="AA123" s="15">
        <f>IFERROR(Z123/Z148, "NA")</f>
        <v>0</v>
      </c>
      <c r="AB123" s="57">
        <f t="shared" si="55"/>
        <v>0</v>
      </c>
      <c r="AC123" s="15">
        <f>IFERROR(AB123/AB148, "NA")</f>
        <v>0</v>
      </c>
      <c r="AD123" s="61">
        <f t="shared" si="56"/>
        <v>0</v>
      </c>
      <c r="AE123" s="62">
        <f>IFERROR(AD123/AD148, "NA")</f>
        <v>0</v>
      </c>
      <c r="AF123" s="61" t="str">
        <f t="shared" si="57"/>
        <v>NA</v>
      </c>
      <c r="AG123" s="57">
        <f t="shared" si="58"/>
        <v>0</v>
      </c>
      <c r="AH123" s="15">
        <f>IFERROR(AG123/AG148, "NA")</f>
        <v>0</v>
      </c>
      <c r="AI123" s="61">
        <f t="shared" si="59"/>
        <v>0</v>
      </c>
      <c r="AJ123" s="62">
        <f>IFERROR(AI123/AI148, "NA")</f>
        <v>0</v>
      </c>
      <c r="AK123" s="61" t="str">
        <f t="shared" si="60"/>
        <v>NA</v>
      </c>
      <c r="AL123" s="62" t="str">
        <f>IFERROR(AK123/AK148, "NA")</f>
        <v>NA</v>
      </c>
    </row>
    <row r="124" ht="16.5" hidden="1" customHeight="1">
      <c r="A124" s="26" t="s">
        <v>237</v>
      </c>
      <c r="B124" s="28">
        <v>0.0</v>
      </c>
      <c r="C124" s="15">
        <f>IFERROR(B124/B148, "NA")</f>
        <v>0</v>
      </c>
      <c r="D124" s="28">
        <v>0.0</v>
      </c>
      <c r="E124" s="15">
        <f>IFERROR(D124/D148, "NA")</f>
        <v>0</v>
      </c>
      <c r="F124" s="28">
        <v>0.0</v>
      </c>
      <c r="G124" s="15">
        <f>IFERROR(F124/F148, "NA")</f>
        <v>0</v>
      </c>
      <c r="H124" s="28">
        <v>0.0</v>
      </c>
      <c r="I124" s="15">
        <f>IFERROR(H124/H148, "NA")</f>
        <v>0</v>
      </c>
      <c r="J124" s="28">
        <v>0.0</v>
      </c>
      <c r="K124" s="15">
        <f>IFERROR(J124/J148, "NA")</f>
        <v>0</v>
      </c>
      <c r="L124" s="28">
        <v>0.0</v>
      </c>
      <c r="M124" s="15">
        <f>IFERROR(L124/L148, "NA")</f>
        <v>0</v>
      </c>
      <c r="N124" s="28">
        <v>0.0</v>
      </c>
      <c r="O124" s="15">
        <f>IFERROR(N124/N148, "NA")</f>
        <v>0</v>
      </c>
      <c r="P124" s="28">
        <v>0.0</v>
      </c>
      <c r="Q124" s="15">
        <f>IFERROR(P124/P148, "NA")</f>
        <v>0</v>
      </c>
      <c r="R124" s="28">
        <v>0.0</v>
      </c>
      <c r="S124" s="15">
        <f>IFERROR(R124/R148, "NA")</f>
        <v>0</v>
      </c>
      <c r="T124" s="28">
        <v>0.0</v>
      </c>
      <c r="U124" s="15">
        <f>IFERROR(T124/T148, "NA")</f>
        <v>0</v>
      </c>
      <c r="V124" s="28">
        <v>0.0</v>
      </c>
      <c r="W124" s="15">
        <f>IFERROR(V124/V148, "NA")</f>
        <v>0</v>
      </c>
      <c r="X124" s="28">
        <v>2000.0</v>
      </c>
      <c r="Y124" s="15">
        <f>IFERROR(X124/X148, "NA")</f>
        <v>0.06749362101</v>
      </c>
      <c r="Z124" s="28">
        <v>2000.0</v>
      </c>
      <c r="AA124" s="15">
        <f>IFERROR(Z124/Z148, "NA")</f>
        <v>0.02265043884</v>
      </c>
      <c r="AB124" s="57">
        <f t="shared" si="55"/>
        <v>500</v>
      </c>
      <c r="AC124" s="15">
        <f>IFERROR(AB124/AB148, "NA")</f>
        <v>0.01735428991</v>
      </c>
      <c r="AD124" s="61">
        <f t="shared" si="56"/>
        <v>1500</v>
      </c>
      <c r="AE124" s="62">
        <f>IFERROR(AD124/AD148, "NA")</f>
        <v>1.826795435</v>
      </c>
      <c r="AF124" s="61">
        <f t="shared" si="57"/>
        <v>3</v>
      </c>
      <c r="AG124" s="57">
        <f t="shared" si="58"/>
        <v>250</v>
      </c>
      <c r="AH124" s="15">
        <f>IFERROR(AG124/AG148, "NA")</f>
        <v>0.0088596175</v>
      </c>
      <c r="AI124" s="61">
        <f t="shared" si="59"/>
        <v>1750</v>
      </c>
      <c r="AJ124" s="62">
        <f>IFERROR(AI124/AI148, "NA")</f>
        <v>1.237179725</v>
      </c>
      <c r="AK124" s="61">
        <f t="shared" si="60"/>
        <v>7</v>
      </c>
      <c r="AL124" s="62">
        <f>IFERROR(AK124/AK148, "NA")</f>
        <v>139.6425664</v>
      </c>
    </row>
    <row r="125" ht="16.5" hidden="1" customHeight="1">
      <c r="A125" s="26" t="s">
        <v>238</v>
      </c>
      <c r="B125" s="28">
        <v>0.0</v>
      </c>
      <c r="C125" s="15">
        <f>IFERROR(B125/B148, "NA")</f>
        <v>0</v>
      </c>
      <c r="D125" s="28">
        <v>0.0</v>
      </c>
      <c r="E125" s="15">
        <f>IFERROR(D125/D148, "NA")</f>
        <v>0</v>
      </c>
      <c r="F125" s="28">
        <v>0.0</v>
      </c>
      <c r="G125" s="15">
        <f>IFERROR(F125/F148, "NA")</f>
        <v>0</v>
      </c>
      <c r="H125" s="28">
        <v>0.0</v>
      </c>
      <c r="I125" s="15">
        <f>IFERROR(H125/H148, "NA")</f>
        <v>0</v>
      </c>
      <c r="J125" s="28">
        <v>0.0</v>
      </c>
      <c r="K125" s="15">
        <f>IFERROR(J125/J148, "NA")</f>
        <v>0</v>
      </c>
      <c r="L125" s="28">
        <v>0.0</v>
      </c>
      <c r="M125" s="15">
        <f>IFERROR(L125/L148, "NA")</f>
        <v>0</v>
      </c>
      <c r="N125" s="28">
        <v>0.0</v>
      </c>
      <c r="O125" s="15">
        <f>IFERROR(N125/N148, "NA")</f>
        <v>0</v>
      </c>
      <c r="P125" s="28">
        <v>0.0</v>
      </c>
      <c r="Q125" s="15">
        <f>IFERROR(P125/P148, "NA")</f>
        <v>0</v>
      </c>
      <c r="R125" s="28">
        <v>0.0</v>
      </c>
      <c r="S125" s="15">
        <f>IFERROR(R125/R148, "NA")</f>
        <v>0</v>
      </c>
      <c r="T125" s="28">
        <v>0.0</v>
      </c>
      <c r="U125" s="15">
        <f>IFERROR(T125/T148, "NA")</f>
        <v>0</v>
      </c>
      <c r="V125" s="28">
        <v>0.0</v>
      </c>
      <c r="W125" s="15">
        <f>IFERROR(V125/V148, "NA")</f>
        <v>0</v>
      </c>
      <c r="X125" s="28">
        <v>0.0</v>
      </c>
      <c r="Y125" s="15">
        <f>IFERROR(X125/X148, "NA")</f>
        <v>0</v>
      </c>
      <c r="Z125" s="28">
        <v>0.0</v>
      </c>
      <c r="AA125" s="15">
        <f>IFERROR(Z125/Z148, "NA")</f>
        <v>0</v>
      </c>
      <c r="AB125" s="57">
        <f t="shared" si="55"/>
        <v>0</v>
      </c>
      <c r="AC125" s="15">
        <f>IFERROR(AB125/AB148, "NA")</f>
        <v>0</v>
      </c>
      <c r="AD125" s="61">
        <f t="shared" si="56"/>
        <v>0</v>
      </c>
      <c r="AE125" s="62">
        <f>IFERROR(AD125/AD148, "NA")</f>
        <v>0</v>
      </c>
      <c r="AF125" s="61" t="str">
        <f t="shared" si="57"/>
        <v>NA</v>
      </c>
      <c r="AG125" s="57">
        <f t="shared" si="58"/>
        <v>0</v>
      </c>
      <c r="AH125" s="15">
        <f>IFERROR(AG125/AG148, "NA")</f>
        <v>0</v>
      </c>
      <c r="AI125" s="61">
        <f t="shared" si="59"/>
        <v>0</v>
      </c>
      <c r="AJ125" s="62">
        <f>IFERROR(AI125/AI148, "NA")</f>
        <v>0</v>
      </c>
      <c r="AK125" s="61" t="str">
        <f t="shared" si="60"/>
        <v>NA</v>
      </c>
      <c r="AL125" s="62" t="str">
        <f>IFERROR(AK125/AK148, "NA")</f>
        <v>NA</v>
      </c>
    </row>
    <row r="126" ht="16.5" hidden="1" customHeight="1">
      <c r="A126" s="26" t="s">
        <v>239</v>
      </c>
      <c r="B126" s="28">
        <v>0.0</v>
      </c>
      <c r="C126" s="15">
        <f>IFERROR(B126/B148, "NA")</f>
        <v>0</v>
      </c>
      <c r="D126" s="28">
        <v>0.0</v>
      </c>
      <c r="E126" s="15">
        <f>IFERROR(D126/D148, "NA")</f>
        <v>0</v>
      </c>
      <c r="F126" s="28">
        <v>0.0</v>
      </c>
      <c r="G126" s="15">
        <f>IFERROR(F126/F148, "NA")</f>
        <v>0</v>
      </c>
      <c r="H126" s="28">
        <v>0.0</v>
      </c>
      <c r="I126" s="15">
        <f>IFERROR(H126/H148, "NA")</f>
        <v>0</v>
      </c>
      <c r="J126" s="28">
        <v>0.0</v>
      </c>
      <c r="K126" s="15">
        <f>IFERROR(J126/J148, "NA")</f>
        <v>0</v>
      </c>
      <c r="L126" s="28">
        <v>0.0</v>
      </c>
      <c r="M126" s="15">
        <f>IFERROR(L126/L148, "NA")</f>
        <v>0</v>
      </c>
      <c r="N126" s="28">
        <v>0.0</v>
      </c>
      <c r="O126" s="15">
        <f>IFERROR(N126/N148, "NA")</f>
        <v>0</v>
      </c>
      <c r="P126" s="28">
        <v>0.0</v>
      </c>
      <c r="Q126" s="15">
        <f>IFERROR(P126/P148, "NA")</f>
        <v>0</v>
      </c>
      <c r="R126" s="28">
        <v>0.0</v>
      </c>
      <c r="S126" s="15">
        <f>IFERROR(R126/R148, "NA")</f>
        <v>0</v>
      </c>
      <c r="T126" s="28">
        <v>0.0</v>
      </c>
      <c r="U126" s="15">
        <f>IFERROR(T126/T148, "NA")</f>
        <v>0</v>
      </c>
      <c r="V126" s="28">
        <v>0.0</v>
      </c>
      <c r="W126" s="15">
        <f>IFERROR(V126/V148, "NA")</f>
        <v>0</v>
      </c>
      <c r="X126" s="28">
        <v>0.0</v>
      </c>
      <c r="Y126" s="15">
        <f>IFERROR(X126/X148, "NA")</f>
        <v>0</v>
      </c>
      <c r="Z126" s="28">
        <v>0.0</v>
      </c>
      <c r="AA126" s="15">
        <f>IFERROR(Z126/Z148, "NA")</f>
        <v>0</v>
      </c>
      <c r="AB126" s="57">
        <f t="shared" si="55"/>
        <v>0</v>
      </c>
      <c r="AC126" s="15">
        <f>IFERROR(AB126/AB148, "NA")</f>
        <v>0</v>
      </c>
      <c r="AD126" s="61">
        <f t="shared" si="56"/>
        <v>0</v>
      </c>
      <c r="AE126" s="62">
        <f>IFERROR(AD126/AD148, "NA")</f>
        <v>0</v>
      </c>
      <c r="AF126" s="61" t="str">
        <f t="shared" si="57"/>
        <v>NA</v>
      </c>
      <c r="AG126" s="57">
        <f t="shared" si="58"/>
        <v>0</v>
      </c>
      <c r="AH126" s="15">
        <f>IFERROR(AG126/AG148, "NA")</f>
        <v>0</v>
      </c>
      <c r="AI126" s="61">
        <f t="shared" si="59"/>
        <v>0</v>
      </c>
      <c r="AJ126" s="62">
        <f>IFERROR(AI126/AI148, "NA")</f>
        <v>0</v>
      </c>
      <c r="AK126" s="61" t="str">
        <f t="shared" si="60"/>
        <v>NA</v>
      </c>
      <c r="AL126" s="62" t="str">
        <f>IFERROR(AK126/AK148, "NA")</f>
        <v>NA</v>
      </c>
    </row>
    <row r="127" ht="16.5" hidden="1" customHeight="1">
      <c r="A127" s="26" t="s">
        <v>240</v>
      </c>
      <c r="B127" s="28">
        <v>0.0</v>
      </c>
      <c r="C127" s="15">
        <f>IFERROR(B127/B148, "NA")</f>
        <v>0</v>
      </c>
      <c r="D127" s="28">
        <v>0.0</v>
      </c>
      <c r="E127" s="15">
        <f>IFERROR(D127/D148, "NA")</f>
        <v>0</v>
      </c>
      <c r="F127" s="28">
        <v>0.0</v>
      </c>
      <c r="G127" s="15">
        <f>IFERROR(F127/F148, "NA")</f>
        <v>0</v>
      </c>
      <c r="H127" s="28">
        <v>0.0</v>
      </c>
      <c r="I127" s="15">
        <f>IFERROR(H127/H148, "NA")</f>
        <v>0</v>
      </c>
      <c r="J127" s="28">
        <v>0.0</v>
      </c>
      <c r="K127" s="15">
        <f>IFERROR(J127/J148, "NA")</f>
        <v>0</v>
      </c>
      <c r="L127" s="28">
        <v>0.0</v>
      </c>
      <c r="M127" s="15">
        <f>IFERROR(L127/L148, "NA")</f>
        <v>0</v>
      </c>
      <c r="N127" s="28">
        <v>0.0</v>
      </c>
      <c r="O127" s="15">
        <f>IFERROR(N127/N148, "NA")</f>
        <v>0</v>
      </c>
      <c r="P127" s="28">
        <v>0.0</v>
      </c>
      <c r="Q127" s="15">
        <f>IFERROR(P127/P148, "NA")</f>
        <v>0</v>
      </c>
      <c r="R127" s="28">
        <v>0.0</v>
      </c>
      <c r="S127" s="15">
        <f>IFERROR(R127/R148, "NA")</f>
        <v>0</v>
      </c>
      <c r="T127" s="28">
        <v>0.0</v>
      </c>
      <c r="U127" s="15">
        <f>IFERROR(T127/T148, "NA")</f>
        <v>0</v>
      </c>
      <c r="V127" s="28">
        <v>0.0</v>
      </c>
      <c r="W127" s="15">
        <f>IFERROR(V127/V148, "NA")</f>
        <v>0</v>
      </c>
      <c r="X127" s="28">
        <v>0.0</v>
      </c>
      <c r="Y127" s="15">
        <f>IFERROR(X127/X148, "NA")</f>
        <v>0</v>
      </c>
      <c r="Z127" s="28">
        <v>0.0</v>
      </c>
      <c r="AA127" s="15">
        <f>IFERROR(Z127/Z148, "NA")</f>
        <v>0</v>
      </c>
      <c r="AB127" s="57">
        <f t="shared" si="55"/>
        <v>0</v>
      </c>
      <c r="AC127" s="15">
        <f>IFERROR(AB127/AB148, "NA")</f>
        <v>0</v>
      </c>
      <c r="AD127" s="61">
        <f t="shared" si="56"/>
        <v>0</v>
      </c>
      <c r="AE127" s="62">
        <f>IFERROR(AD127/AD148, "NA")</f>
        <v>0</v>
      </c>
      <c r="AF127" s="61" t="str">
        <f t="shared" si="57"/>
        <v>NA</v>
      </c>
      <c r="AG127" s="57">
        <f t="shared" si="58"/>
        <v>0</v>
      </c>
      <c r="AH127" s="15">
        <f>IFERROR(AG127/AG148, "NA")</f>
        <v>0</v>
      </c>
      <c r="AI127" s="61">
        <f t="shared" si="59"/>
        <v>0</v>
      </c>
      <c r="AJ127" s="62">
        <f>IFERROR(AI127/AI148, "NA")</f>
        <v>0</v>
      </c>
      <c r="AK127" s="61" t="str">
        <f t="shared" si="60"/>
        <v>NA</v>
      </c>
      <c r="AL127" s="62" t="str">
        <f>IFERROR(AK127/AK148, "NA")</f>
        <v>NA</v>
      </c>
    </row>
    <row r="128" ht="16.5" hidden="1" customHeight="1">
      <c r="A128" s="26" t="s">
        <v>241</v>
      </c>
      <c r="B128" s="28">
        <v>353.91</v>
      </c>
      <c r="C128" s="15">
        <f>IFERROR(B128/B148, "NA")</f>
        <v>0.02448494174</v>
      </c>
      <c r="D128" s="28">
        <v>380.44</v>
      </c>
      <c r="E128" s="15">
        <f>IFERROR(D128/D148, "NA")</f>
        <v>0.01965059299</v>
      </c>
      <c r="F128" s="28">
        <v>488.45</v>
      </c>
      <c r="G128" s="15">
        <f>IFERROR(F128/F148, "NA")</f>
        <v>0.02250144996</v>
      </c>
      <c r="H128" s="28">
        <v>-1222.8</v>
      </c>
      <c r="I128" s="15">
        <f>IFERROR(H128/H148, "NA")</f>
        <v>-0.05992358126</v>
      </c>
      <c r="J128" s="28">
        <v>978.79</v>
      </c>
      <c r="K128" s="15">
        <f>IFERROR(J128/J148, "NA")</f>
        <v>0.04561128979</v>
      </c>
      <c r="L128" s="28">
        <v>223.94</v>
      </c>
      <c r="M128" s="15">
        <f>IFERROR(L128/L148, "NA")</f>
        <v>0.007537039836</v>
      </c>
      <c r="N128" s="28">
        <v>252.78</v>
      </c>
      <c r="O128" s="15">
        <f>IFERROR(N128/N148, "NA")</f>
        <v>0.008707936872</v>
      </c>
      <c r="P128" s="28">
        <v>204.34</v>
      </c>
      <c r="Q128" s="15">
        <f>IFERROR(P128/P148, "NA")</f>
        <v>0.0067443173</v>
      </c>
      <c r="R128" s="28">
        <v>-1659.85</v>
      </c>
      <c r="S128" s="15">
        <f>IFERROR(R128/R148, "NA")</f>
        <v>-0.06159736399</v>
      </c>
      <c r="T128" s="28">
        <v>189.71</v>
      </c>
      <c r="U128" s="15">
        <f>IFERROR(T128/T148, "NA")</f>
        <v>0.006759640978</v>
      </c>
      <c r="V128" s="28">
        <v>390.53</v>
      </c>
      <c r="W128" s="15">
        <f>IFERROR(V128/V148, "NA")</f>
        <v>0.01276200958</v>
      </c>
      <c r="X128" s="28">
        <v>375.22</v>
      </c>
      <c r="Y128" s="15">
        <f>IFERROR(X128/X148, "NA")</f>
        <v>0.01266247824</v>
      </c>
      <c r="Z128" s="28">
        <v>955.46</v>
      </c>
      <c r="AA128" s="15">
        <f>IFERROR(Z128/Z148, "NA")</f>
        <v>0.01082079414</v>
      </c>
      <c r="AB128" s="57">
        <f t="shared" si="55"/>
        <v>-176.0975</v>
      </c>
      <c r="AC128" s="15">
        <f>IFERROR(AB128/AB148, "NA")</f>
        <v>-0.006112094135</v>
      </c>
      <c r="AD128" s="61">
        <f t="shared" si="56"/>
        <v>551.3175</v>
      </c>
      <c r="AE128" s="62">
        <f>IFERROR(AD128/AD148, "NA")</f>
        <v>0.6714295283</v>
      </c>
      <c r="AF128" s="61">
        <f t="shared" si="57"/>
        <v>-3.13075143</v>
      </c>
      <c r="AG128" s="57">
        <f t="shared" si="58"/>
        <v>119.4325</v>
      </c>
      <c r="AH128" s="15">
        <f>IFERROR(AG128/AG148, "NA")</f>
        <v>0.004232505068</v>
      </c>
      <c r="AI128" s="61">
        <f t="shared" si="59"/>
        <v>255.7875</v>
      </c>
      <c r="AJ128" s="62">
        <f>IFERROR(AI128/AI148, "NA")</f>
        <v>0.1808314908</v>
      </c>
      <c r="AK128" s="61">
        <f t="shared" si="60"/>
        <v>2.141690913</v>
      </c>
      <c r="AL128" s="62">
        <f>IFERROR(AK128/AK148, "NA")</f>
        <v>42.72445937</v>
      </c>
    </row>
    <row r="129" ht="16.5" hidden="1" customHeight="1">
      <c r="A129" s="26" t="s">
        <v>242</v>
      </c>
      <c r="B129" s="28">
        <v>0.0</v>
      </c>
      <c r="C129" s="15">
        <f>IFERROR(B129/B148, "NA")</f>
        <v>0</v>
      </c>
      <c r="D129" s="28">
        <v>0.0</v>
      </c>
      <c r="E129" s="15">
        <f>IFERROR(D129/D148, "NA")</f>
        <v>0</v>
      </c>
      <c r="F129" s="28">
        <v>0.0</v>
      </c>
      <c r="G129" s="15">
        <f>IFERROR(F129/F148, "NA")</f>
        <v>0</v>
      </c>
      <c r="H129" s="28">
        <v>0.0</v>
      </c>
      <c r="I129" s="15">
        <f>IFERROR(H129/H148, "NA")</f>
        <v>0</v>
      </c>
      <c r="J129" s="28">
        <v>0.0</v>
      </c>
      <c r="K129" s="15">
        <f>IFERROR(J129/J148, "NA")</f>
        <v>0</v>
      </c>
      <c r="L129" s="28">
        <v>0.0</v>
      </c>
      <c r="M129" s="15">
        <f>IFERROR(L129/L148, "NA")</f>
        <v>0</v>
      </c>
      <c r="N129" s="28">
        <v>0.0</v>
      </c>
      <c r="O129" s="15">
        <f>IFERROR(N129/N148, "NA")</f>
        <v>0</v>
      </c>
      <c r="P129" s="28">
        <v>0.0</v>
      </c>
      <c r="Q129" s="15">
        <f>IFERROR(P129/P148, "NA")</f>
        <v>0</v>
      </c>
      <c r="R129" s="28">
        <v>0.0</v>
      </c>
      <c r="S129" s="15">
        <f>IFERROR(R129/R148, "NA")</f>
        <v>0</v>
      </c>
      <c r="T129" s="28">
        <v>0.0</v>
      </c>
      <c r="U129" s="15">
        <f>IFERROR(T129/T148, "NA")</f>
        <v>0</v>
      </c>
      <c r="V129" s="28">
        <v>0.0</v>
      </c>
      <c r="W129" s="15">
        <f>IFERROR(V129/V148, "NA")</f>
        <v>0</v>
      </c>
      <c r="X129" s="28">
        <v>0.0</v>
      </c>
      <c r="Y129" s="15">
        <f>IFERROR(X129/X148, "NA")</f>
        <v>0</v>
      </c>
      <c r="Z129" s="28">
        <v>0.0</v>
      </c>
      <c r="AA129" s="15">
        <f>IFERROR(Z129/Z148, "NA")</f>
        <v>0</v>
      </c>
      <c r="AB129" s="57">
        <f t="shared" si="55"/>
        <v>0</v>
      </c>
      <c r="AC129" s="15">
        <f>IFERROR(AB129/AB148, "NA")</f>
        <v>0</v>
      </c>
      <c r="AD129" s="61">
        <f t="shared" si="56"/>
        <v>0</v>
      </c>
      <c r="AE129" s="62">
        <f>IFERROR(AD129/AD148, "NA")</f>
        <v>0</v>
      </c>
      <c r="AF129" s="61" t="str">
        <f t="shared" si="57"/>
        <v>NA</v>
      </c>
      <c r="AG129" s="57">
        <f t="shared" si="58"/>
        <v>0</v>
      </c>
      <c r="AH129" s="15">
        <f>IFERROR(AG129/AG148, "NA")</f>
        <v>0</v>
      </c>
      <c r="AI129" s="61">
        <f t="shared" si="59"/>
        <v>0</v>
      </c>
      <c r="AJ129" s="62">
        <f>IFERROR(AI129/AI148, "NA")</f>
        <v>0</v>
      </c>
      <c r="AK129" s="61" t="str">
        <f t="shared" si="60"/>
        <v>NA</v>
      </c>
      <c r="AL129" s="62" t="str">
        <f>IFERROR(AK129/AK148, "NA")</f>
        <v>NA</v>
      </c>
    </row>
    <row r="130" ht="16.5" hidden="1" customHeight="1">
      <c r="A130" s="26" t="s">
        <v>243</v>
      </c>
      <c r="B130" s="28">
        <v>0.0</v>
      </c>
      <c r="C130" s="15">
        <f>IFERROR(B130/B148, "NA")</f>
        <v>0</v>
      </c>
      <c r="D130" s="28">
        <v>0.0</v>
      </c>
      <c r="E130" s="15">
        <f>IFERROR(D130/D148, "NA")</f>
        <v>0</v>
      </c>
      <c r="F130" s="28">
        <v>0.0</v>
      </c>
      <c r="G130" s="15">
        <f>IFERROR(F130/F148, "NA")</f>
        <v>0</v>
      </c>
      <c r="H130" s="28">
        <v>0.0</v>
      </c>
      <c r="I130" s="15">
        <f>IFERROR(H130/H148, "NA")</f>
        <v>0</v>
      </c>
      <c r="J130" s="28">
        <v>0.0</v>
      </c>
      <c r="K130" s="15">
        <f>IFERROR(J130/J148, "NA")</f>
        <v>0</v>
      </c>
      <c r="L130" s="28">
        <v>0.0</v>
      </c>
      <c r="M130" s="15">
        <f>IFERROR(L130/L148, "NA")</f>
        <v>0</v>
      </c>
      <c r="N130" s="28">
        <v>0.0</v>
      </c>
      <c r="O130" s="15">
        <f>IFERROR(N130/N148, "NA")</f>
        <v>0</v>
      </c>
      <c r="P130" s="28">
        <v>0.0</v>
      </c>
      <c r="Q130" s="15">
        <f>IFERROR(P130/P148, "NA")</f>
        <v>0</v>
      </c>
      <c r="R130" s="28">
        <v>0.0</v>
      </c>
      <c r="S130" s="15">
        <f>IFERROR(R130/R148, "NA")</f>
        <v>0</v>
      </c>
      <c r="T130" s="28">
        <v>0.0</v>
      </c>
      <c r="U130" s="15">
        <f>IFERROR(T130/T148, "NA")</f>
        <v>0</v>
      </c>
      <c r="V130" s="28">
        <v>0.0</v>
      </c>
      <c r="W130" s="15">
        <f>IFERROR(V130/V148, "NA")</f>
        <v>0</v>
      </c>
      <c r="X130" s="28">
        <v>0.0</v>
      </c>
      <c r="Y130" s="15">
        <f>IFERROR(X130/X148, "NA")</f>
        <v>0</v>
      </c>
      <c r="Z130" s="28">
        <v>0.0</v>
      </c>
      <c r="AA130" s="15">
        <f>IFERROR(Z130/Z148, "NA")</f>
        <v>0</v>
      </c>
      <c r="AB130" s="57">
        <f t="shared" si="55"/>
        <v>0</v>
      </c>
      <c r="AC130" s="15">
        <f>IFERROR(AB130/AB148, "NA")</f>
        <v>0</v>
      </c>
      <c r="AD130" s="61">
        <f t="shared" si="56"/>
        <v>0</v>
      </c>
      <c r="AE130" s="62">
        <f>IFERROR(AD130/AD148, "NA")</f>
        <v>0</v>
      </c>
      <c r="AF130" s="61" t="str">
        <f t="shared" si="57"/>
        <v>NA</v>
      </c>
      <c r="AG130" s="57">
        <f t="shared" si="58"/>
        <v>0</v>
      </c>
      <c r="AH130" s="15">
        <f>IFERROR(AG130/AG148, "NA")</f>
        <v>0</v>
      </c>
      <c r="AI130" s="61">
        <f t="shared" si="59"/>
        <v>0</v>
      </c>
      <c r="AJ130" s="62">
        <f>IFERROR(AI130/AI148, "NA")</f>
        <v>0</v>
      </c>
      <c r="AK130" s="61" t="str">
        <f t="shared" si="60"/>
        <v>NA</v>
      </c>
      <c r="AL130" s="62" t="str">
        <f>IFERROR(AK130/AK148, "NA")</f>
        <v>NA</v>
      </c>
    </row>
    <row r="131" ht="16.5" hidden="1" customHeight="1">
      <c r="A131" s="26" t="s">
        <v>244</v>
      </c>
      <c r="B131" s="28">
        <v>0.0</v>
      </c>
      <c r="C131" s="15">
        <f>IFERROR(B131/B148, "NA")</f>
        <v>0</v>
      </c>
      <c r="D131" s="28">
        <v>0.0</v>
      </c>
      <c r="E131" s="15">
        <f>IFERROR(D131/D148, "NA")</f>
        <v>0</v>
      </c>
      <c r="F131" s="28">
        <v>0.0</v>
      </c>
      <c r="G131" s="15">
        <f>IFERROR(F131/F148, "NA")</f>
        <v>0</v>
      </c>
      <c r="H131" s="28">
        <v>0.0</v>
      </c>
      <c r="I131" s="15">
        <f>IFERROR(H131/H148, "NA")</f>
        <v>0</v>
      </c>
      <c r="J131" s="28">
        <v>0.0</v>
      </c>
      <c r="K131" s="15">
        <f>IFERROR(J131/J148, "NA")</f>
        <v>0</v>
      </c>
      <c r="L131" s="28">
        <v>0.0</v>
      </c>
      <c r="M131" s="15">
        <f>IFERROR(L131/L148, "NA")</f>
        <v>0</v>
      </c>
      <c r="N131" s="28">
        <v>0.0</v>
      </c>
      <c r="O131" s="15">
        <f>IFERROR(N131/N148, "NA")</f>
        <v>0</v>
      </c>
      <c r="P131" s="28">
        <v>0.0</v>
      </c>
      <c r="Q131" s="15">
        <f>IFERROR(P131/P148, "NA")</f>
        <v>0</v>
      </c>
      <c r="R131" s="28">
        <v>0.0</v>
      </c>
      <c r="S131" s="15">
        <f>IFERROR(R131/R148, "NA")</f>
        <v>0</v>
      </c>
      <c r="T131" s="28">
        <v>0.0</v>
      </c>
      <c r="U131" s="15">
        <f>IFERROR(T131/T148, "NA")</f>
        <v>0</v>
      </c>
      <c r="V131" s="28">
        <v>0.0</v>
      </c>
      <c r="W131" s="15">
        <f>IFERROR(V131/V148, "NA")</f>
        <v>0</v>
      </c>
      <c r="X131" s="28">
        <v>0.0</v>
      </c>
      <c r="Y131" s="15">
        <f>IFERROR(X131/X148, "NA")</f>
        <v>0</v>
      </c>
      <c r="Z131" s="28">
        <v>0.0</v>
      </c>
      <c r="AA131" s="15">
        <f>IFERROR(Z131/Z148, "NA")</f>
        <v>0</v>
      </c>
      <c r="AB131" s="57">
        <f t="shared" si="55"/>
        <v>0</v>
      </c>
      <c r="AC131" s="15">
        <f>IFERROR(AB131/AB148, "NA")</f>
        <v>0</v>
      </c>
      <c r="AD131" s="61">
        <f t="shared" si="56"/>
        <v>0</v>
      </c>
      <c r="AE131" s="62">
        <f>IFERROR(AD131/AD148, "NA")</f>
        <v>0</v>
      </c>
      <c r="AF131" s="61" t="str">
        <f t="shared" si="57"/>
        <v>NA</v>
      </c>
      <c r="AG131" s="57">
        <f t="shared" si="58"/>
        <v>0</v>
      </c>
      <c r="AH131" s="15">
        <f>IFERROR(AG131/AG148, "NA")</f>
        <v>0</v>
      </c>
      <c r="AI131" s="61">
        <f t="shared" si="59"/>
        <v>0</v>
      </c>
      <c r="AJ131" s="62">
        <f>IFERROR(AI131/AI148, "NA")</f>
        <v>0</v>
      </c>
      <c r="AK131" s="61" t="str">
        <f t="shared" si="60"/>
        <v>NA</v>
      </c>
      <c r="AL131" s="62" t="str">
        <f>IFERROR(AK131/AK148, "NA")</f>
        <v>NA</v>
      </c>
    </row>
    <row r="132" ht="16.5" hidden="1" customHeight="1">
      <c r="A132" s="26" t="s">
        <v>245</v>
      </c>
      <c r="B132" s="28">
        <v>0.0</v>
      </c>
      <c r="C132" s="15">
        <f>IFERROR(B132/B148, "NA")</f>
        <v>0</v>
      </c>
      <c r="D132" s="28">
        <v>0.0</v>
      </c>
      <c r="E132" s="15">
        <f>IFERROR(D132/D148, "NA")</f>
        <v>0</v>
      </c>
      <c r="F132" s="28">
        <v>0.0</v>
      </c>
      <c r="G132" s="15">
        <f>IFERROR(F132/F148, "NA")</f>
        <v>0</v>
      </c>
      <c r="H132" s="28">
        <v>0.0</v>
      </c>
      <c r="I132" s="15">
        <f>IFERROR(H132/H148, "NA")</f>
        <v>0</v>
      </c>
      <c r="J132" s="28">
        <v>0.0</v>
      </c>
      <c r="K132" s="15">
        <f>IFERROR(J132/J148, "NA")</f>
        <v>0</v>
      </c>
      <c r="L132" s="28">
        <v>0.0</v>
      </c>
      <c r="M132" s="15">
        <f>IFERROR(L132/L148, "NA")</f>
        <v>0</v>
      </c>
      <c r="N132" s="28">
        <v>0.0</v>
      </c>
      <c r="O132" s="15">
        <f>IFERROR(N132/N148, "NA")</f>
        <v>0</v>
      </c>
      <c r="P132" s="28">
        <v>0.0</v>
      </c>
      <c r="Q132" s="15">
        <f>IFERROR(P132/P148, "NA")</f>
        <v>0</v>
      </c>
      <c r="R132" s="28">
        <v>0.0</v>
      </c>
      <c r="S132" s="15">
        <f>IFERROR(R132/R148, "NA")</f>
        <v>0</v>
      </c>
      <c r="T132" s="28">
        <v>0.0</v>
      </c>
      <c r="U132" s="15">
        <f>IFERROR(T132/T148, "NA")</f>
        <v>0</v>
      </c>
      <c r="V132" s="28">
        <v>0.0</v>
      </c>
      <c r="W132" s="15">
        <f>IFERROR(V132/V148, "NA")</f>
        <v>0</v>
      </c>
      <c r="X132" s="28">
        <v>0.0</v>
      </c>
      <c r="Y132" s="15">
        <f>IFERROR(X132/X148, "NA")</f>
        <v>0</v>
      </c>
      <c r="Z132" s="28">
        <v>0.0</v>
      </c>
      <c r="AA132" s="15">
        <f>IFERROR(Z132/Z148, "NA")</f>
        <v>0</v>
      </c>
      <c r="AB132" s="57">
        <f t="shared" si="55"/>
        <v>0</v>
      </c>
      <c r="AC132" s="15">
        <f>IFERROR(AB132/AB148, "NA")</f>
        <v>0</v>
      </c>
      <c r="AD132" s="61">
        <f t="shared" si="56"/>
        <v>0</v>
      </c>
      <c r="AE132" s="62">
        <f>IFERROR(AD132/AD148, "NA")</f>
        <v>0</v>
      </c>
      <c r="AF132" s="61" t="str">
        <f t="shared" si="57"/>
        <v>NA</v>
      </c>
      <c r="AG132" s="57">
        <f t="shared" si="58"/>
        <v>0</v>
      </c>
      <c r="AH132" s="15">
        <f>IFERROR(AG132/AG148, "NA")</f>
        <v>0</v>
      </c>
      <c r="AI132" s="61">
        <f t="shared" si="59"/>
        <v>0</v>
      </c>
      <c r="AJ132" s="62">
        <f>IFERROR(AI132/AI148, "NA")</f>
        <v>0</v>
      </c>
      <c r="AK132" s="61" t="str">
        <f t="shared" si="60"/>
        <v>NA</v>
      </c>
      <c r="AL132" s="62" t="str">
        <f>IFERROR(AK132/AK148, "NA")</f>
        <v>NA</v>
      </c>
    </row>
    <row r="133" ht="16.5" hidden="1" customHeight="1">
      <c r="A133" s="26" t="s">
        <v>246</v>
      </c>
      <c r="B133" s="28">
        <v>0.0</v>
      </c>
      <c r="C133" s="15">
        <f>IFERROR(B133/B148, "NA")</f>
        <v>0</v>
      </c>
      <c r="D133" s="28">
        <v>0.0</v>
      </c>
      <c r="E133" s="15">
        <f>IFERROR(D133/D148, "NA")</f>
        <v>0</v>
      </c>
      <c r="F133" s="28">
        <v>0.0</v>
      </c>
      <c r="G133" s="15">
        <f>IFERROR(F133/F148, "NA")</f>
        <v>0</v>
      </c>
      <c r="H133" s="28">
        <v>0.0</v>
      </c>
      <c r="I133" s="15">
        <f>IFERROR(H133/H148, "NA")</f>
        <v>0</v>
      </c>
      <c r="J133" s="28">
        <v>0.0</v>
      </c>
      <c r="K133" s="15">
        <f>IFERROR(J133/J148, "NA")</f>
        <v>0</v>
      </c>
      <c r="L133" s="28">
        <v>0.0</v>
      </c>
      <c r="M133" s="15">
        <f>IFERROR(L133/L148, "NA")</f>
        <v>0</v>
      </c>
      <c r="N133" s="28">
        <v>0.0</v>
      </c>
      <c r="O133" s="15">
        <f>IFERROR(N133/N148, "NA")</f>
        <v>0</v>
      </c>
      <c r="P133" s="28">
        <v>0.0</v>
      </c>
      <c r="Q133" s="15">
        <f>IFERROR(P133/P148, "NA")</f>
        <v>0</v>
      </c>
      <c r="R133" s="28">
        <v>0.0</v>
      </c>
      <c r="S133" s="15">
        <f>IFERROR(R133/R148, "NA")</f>
        <v>0</v>
      </c>
      <c r="T133" s="28">
        <v>0.0</v>
      </c>
      <c r="U133" s="15">
        <f>IFERROR(T133/T148, "NA")</f>
        <v>0</v>
      </c>
      <c r="V133" s="28">
        <v>0.0</v>
      </c>
      <c r="W133" s="15">
        <f>IFERROR(V133/V148, "NA")</f>
        <v>0</v>
      </c>
      <c r="X133" s="28">
        <v>0.0</v>
      </c>
      <c r="Y133" s="15">
        <f>IFERROR(X133/X148, "NA")</f>
        <v>0</v>
      </c>
      <c r="Z133" s="28">
        <v>0.0</v>
      </c>
      <c r="AA133" s="15">
        <f>IFERROR(Z133/Z148, "NA")</f>
        <v>0</v>
      </c>
      <c r="AB133" s="57">
        <f t="shared" si="55"/>
        <v>0</v>
      </c>
      <c r="AC133" s="15">
        <f>IFERROR(AB133/AB148, "NA")</f>
        <v>0</v>
      </c>
      <c r="AD133" s="61">
        <f t="shared" si="56"/>
        <v>0</v>
      </c>
      <c r="AE133" s="62">
        <f>IFERROR(AD133/AD148, "NA")</f>
        <v>0</v>
      </c>
      <c r="AF133" s="61" t="str">
        <f t="shared" si="57"/>
        <v>NA</v>
      </c>
      <c r="AG133" s="57">
        <f t="shared" si="58"/>
        <v>0</v>
      </c>
      <c r="AH133" s="15">
        <f>IFERROR(AG133/AG148, "NA")</f>
        <v>0</v>
      </c>
      <c r="AI133" s="61">
        <f t="shared" si="59"/>
        <v>0</v>
      </c>
      <c r="AJ133" s="62">
        <f>IFERROR(AI133/AI148, "NA")</f>
        <v>0</v>
      </c>
      <c r="AK133" s="61" t="str">
        <f t="shared" si="60"/>
        <v>NA</v>
      </c>
      <c r="AL133" s="62" t="str">
        <f>IFERROR(AK133/AK148, "NA")</f>
        <v>NA</v>
      </c>
    </row>
    <row r="134" ht="16.5" hidden="1" customHeight="1">
      <c r="A134" s="26" t="s">
        <v>247</v>
      </c>
      <c r="B134" s="28">
        <v>0.0</v>
      </c>
      <c r="C134" s="15">
        <f>IFERROR(B134/B148, "NA")</f>
        <v>0</v>
      </c>
      <c r="D134" s="28">
        <v>0.0</v>
      </c>
      <c r="E134" s="15">
        <f>IFERROR(D134/D148, "NA")</f>
        <v>0</v>
      </c>
      <c r="F134" s="28">
        <v>0.0</v>
      </c>
      <c r="G134" s="15">
        <f>IFERROR(F134/F148, "NA")</f>
        <v>0</v>
      </c>
      <c r="H134" s="28">
        <v>0.0</v>
      </c>
      <c r="I134" s="15">
        <f>IFERROR(H134/H148, "NA")</f>
        <v>0</v>
      </c>
      <c r="J134" s="28">
        <v>0.0</v>
      </c>
      <c r="K134" s="15">
        <f>IFERROR(J134/J148, "NA")</f>
        <v>0</v>
      </c>
      <c r="L134" s="28">
        <v>0.0</v>
      </c>
      <c r="M134" s="15">
        <f>IFERROR(L134/L148, "NA")</f>
        <v>0</v>
      </c>
      <c r="N134" s="28">
        <v>0.0</v>
      </c>
      <c r="O134" s="15">
        <f>IFERROR(N134/N148, "NA")</f>
        <v>0</v>
      </c>
      <c r="P134" s="28">
        <v>0.0</v>
      </c>
      <c r="Q134" s="15">
        <f>IFERROR(P134/P148, "NA")</f>
        <v>0</v>
      </c>
      <c r="R134" s="28">
        <v>0.0</v>
      </c>
      <c r="S134" s="15">
        <f>IFERROR(R134/R148, "NA")</f>
        <v>0</v>
      </c>
      <c r="T134" s="28">
        <v>0.0</v>
      </c>
      <c r="U134" s="15">
        <f>IFERROR(T134/T148, "NA")</f>
        <v>0</v>
      </c>
      <c r="V134" s="28">
        <v>0.0</v>
      </c>
      <c r="W134" s="15">
        <f>IFERROR(V134/V148, "NA")</f>
        <v>0</v>
      </c>
      <c r="X134" s="28">
        <v>0.0</v>
      </c>
      <c r="Y134" s="15">
        <f>IFERROR(X134/X148, "NA")</f>
        <v>0</v>
      </c>
      <c r="Z134" s="28">
        <v>0.0</v>
      </c>
      <c r="AA134" s="15">
        <f>IFERROR(Z134/Z148, "NA")</f>
        <v>0</v>
      </c>
      <c r="AB134" s="57">
        <f t="shared" si="55"/>
        <v>0</v>
      </c>
      <c r="AC134" s="15">
        <f>IFERROR(AB134/AB148, "NA")</f>
        <v>0</v>
      </c>
      <c r="AD134" s="61">
        <f t="shared" si="56"/>
        <v>0</v>
      </c>
      <c r="AE134" s="62">
        <f>IFERROR(AD134/AD148, "NA")</f>
        <v>0</v>
      </c>
      <c r="AF134" s="61" t="str">
        <f t="shared" si="57"/>
        <v>NA</v>
      </c>
      <c r="AG134" s="57">
        <f t="shared" si="58"/>
        <v>0</v>
      </c>
      <c r="AH134" s="15">
        <f>IFERROR(AG134/AG148, "NA")</f>
        <v>0</v>
      </c>
      <c r="AI134" s="61">
        <f t="shared" si="59"/>
        <v>0</v>
      </c>
      <c r="AJ134" s="62">
        <f>IFERROR(AI134/AI148, "NA")</f>
        <v>0</v>
      </c>
      <c r="AK134" s="61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248</v>
      </c>
      <c r="B135" s="70">
        <f>IFERROR(B110+B111+B112+B113+B114+B115+B116+B117+B118+B119+B120+B121+B122+B123+B124+B125+B126+B127+B128+B129+B130+B131+B132+B133+B134, "NA")</f>
        <v>353.91</v>
      </c>
      <c r="C135" s="71">
        <f>IFERROR(B135/B148, "NA")</f>
        <v>0.02448494174</v>
      </c>
      <c r="D135" s="70">
        <f>IFERROR(D110+D111+D112+D113+D114+D115+D116+D117+D118+D119+D120+D121+D122+D123+D124+D125+D126+D127+D128+D129+D130+D131+D132+D133+D134, "NA")</f>
        <v>380.44</v>
      </c>
      <c r="E135" s="71">
        <f>IFERROR(D135/D148, "NA")</f>
        <v>0.01965059299</v>
      </c>
      <c r="F135" s="70">
        <f>IFERROR(F110+F111+F112+F113+F114+F115+F116+F117+F118+F119+F120+F121+F122+F123+F124+F125+F126+F127+F128+F129+F130+F131+F132+F133+F134, "NA")</f>
        <v>488.45</v>
      </c>
      <c r="G135" s="71">
        <f>IFERROR(F135/F148, "NA")</f>
        <v>0.02250144996</v>
      </c>
      <c r="H135" s="70">
        <f>IFERROR(H110+H111+H112+H113+H114+H115+H116+H117+H118+H119+H120+H121+H122+H123+H124+H125+H126+H127+H128+H129+H130+H131+H132+H133+H134, "NA")</f>
        <v>-1222.8</v>
      </c>
      <c r="I135" s="71">
        <f>IFERROR(H135/H148, "NA")</f>
        <v>-0.05992358126</v>
      </c>
      <c r="J135" s="70">
        <f>IFERROR(J110+J111+J112+J113+J114+J115+J116+J117+J118+J119+J120+J121+J122+J123+J124+J125+J126+J127+J128+J129+J130+J131+J132+J133+J134, "NA")</f>
        <v>978.79</v>
      </c>
      <c r="K135" s="71">
        <f>IFERROR(J135/J148, "NA")</f>
        <v>0.04561128979</v>
      </c>
      <c r="L135" s="70">
        <f>IFERROR(L110+L111+L112+L113+L114+L115+L116+L117+L118+L119+L120+L121+L122+L123+L124+L125+L126+L127+L128+L129+L130+L131+L132+L133+L134, "NA")</f>
        <v>223.94</v>
      </c>
      <c r="M135" s="71">
        <f>IFERROR(L135/L148, "NA")</f>
        <v>0.007537039836</v>
      </c>
      <c r="N135" s="70">
        <f>IFERROR(N110+N111+N112+N113+N114+N115+N116+N117+N118+N119+N120+N121+N122+N123+N124+N125+N126+N127+N128+N129+N130+N131+N132+N133+N134, "NA")</f>
        <v>252.78</v>
      </c>
      <c r="O135" s="71">
        <f>IFERROR(N135/N148, "NA")</f>
        <v>0.008707936872</v>
      </c>
      <c r="P135" s="70">
        <f>IFERROR(P110+P111+P112+P113+P114+P115+P116+P117+P118+P119+P120+P121+P122+P123+P124+P125+P126+P127+P128+P129+P130+P131+P132+P133+P134, "NA")</f>
        <v>204.34</v>
      </c>
      <c r="Q135" s="71">
        <f>IFERROR(P135/P148, "NA")</f>
        <v>0.0067443173</v>
      </c>
      <c r="R135" s="70">
        <f>IFERROR(R110+R111+R112+R113+R114+R115+R116+R117+R118+R119+R120+R121+R122+R123+R124+R125+R126+R127+R128+R129+R130+R131+R132+R133+R134, "NA")</f>
        <v>-1659.85</v>
      </c>
      <c r="S135" s="71">
        <f>IFERROR(R135/R148, "NA")</f>
        <v>-0.06159736399</v>
      </c>
      <c r="T135" s="70">
        <f>IFERROR(T110+T111+T112+T113+T114+T115+T116+T117+T118+T119+T120+T121+T122+T123+T124+T125+T126+T127+T128+T129+T130+T131+T132+T133+T134, "NA")</f>
        <v>189.71</v>
      </c>
      <c r="U135" s="71">
        <f>IFERROR(T135/T148, "NA")</f>
        <v>0.006759640978</v>
      </c>
      <c r="V135" s="70">
        <f>IFERROR(V110+V111+V112+V113+V114+V115+V116+V117+V118+V119+V120+V121+V122+V123+V124+V125+V126+V127+V128+V129+V130+V131+V132+V133+V134, "NA")</f>
        <v>390.53</v>
      </c>
      <c r="W135" s="71">
        <f>IFERROR(V135/V148, "NA")</f>
        <v>0.01276200958</v>
      </c>
      <c r="X135" s="70">
        <f>IFERROR(X110+X111+X112+X113+X114+X115+X116+X117+X118+X119+X120+X121+X122+X123+X124+X125+X126+X127+X128+X129+X130+X131+X132+X133+X134, "NA")</f>
        <v>2375.22</v>
      </c>
      <c r="Y135" s="71">
        <f>IFERROR(X135/X148, "NA")</f>
        <v>0.08015609925</v>
      </c>
      <c r="Z135" s="70">
        <f>IFERROR(Z110+Z111+Z112+Z113+Z114+Z115+Z116+Z117+Z118+Z119+Z120+Z121+Z122+Z123+Z124+Z125+Z126+Z127+Z128+Z129+Z130+Z131+Z132+Z133+Z134, "NA")</f>
        <v>2955.46</v>
      </c>
      <c r="AA135" s="71">
        <f>IFERROR(Z135/Z148, "NA")</f>
        <v>0.03347123298</v>
      </c>
      <c r="AB135" s="70">
        <f t="shared" si="55"/>
        <v>323.9025</v>
      </c>
      <c r="AC135" s="71">
        <f>IFERROR(AB135/AB148, "NA")</f>
        <v>0.01124219578</v>
      </c>
      <c r="AD135" s="75">
        <f t="shared" si="56"/>
        <v>2051.3175</v>
      </c>
      <c r="AE135" s="76">
        <f>IFERROR(AD135/AD148, "NA")</f>
        <v>2.498224964</v>
      </c>
      <c r="AF135" s="75">
        <f t="shared" si="57"/>
        <v>6.333132656</v>
      </c>
      <c r="AG135" s="70">
        <f t="shared" si="58"/>
        <v>369.4325</v>
      </c>
      <c r="AH135" s="71">
        <f>IFERROR(AG135/AG148, "NA")</f>
        <v>0.01309212257</v>
      </c>
      <c r="AI135" s="75">
        <f t="shared" si="59"/>
        <v>2005.7875</v>
      </c>
      <c r="AJ135" s="76">
        <f>IFERROR(AI135/AI148, "NA")</f>
        <v>1.418011216</v>
      </c>
      <c r="AK135" s="75">
        <f t="shared" si="60"/>
        <v>5.429374784</v>
      </c>
      <c r="AL135" s="76">
        <f>IFERROR(AK135/AK148, "NA")</f>
        <v>108.3102613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2"/>
      <c r="AF136" s="125"/>
      <c r="AG136" s="124"/>
      <c r="AH136" s="74"/>
      <c r="AI136" s="125"/>
      <c r="AJ136" s="82"/>
      <c r="AK136" s="125"/>
      <c r="AL136" s="82"/>
    </row>
    <row r="137" ht="16.5" hidden="1" customHeight="1">
      <c r="A137" s="121" t="s">
        <v>249</v>
      </c>
      <c r="B137" s="122">
        <f>IFERROR(B107-B135, "NA")</f>
        <v>5780.86</v>
      </c>
      <c r="C137" s="98">
        <f>IFERROR(B137/B148, "NA")</f>
        <v>0.3999435458</v>
      </c>
      <c r="D137" s="122">
        <f>IFERROR(D107-D135, "NA")</f>
        <v>2070.43</v>
      </c>
      <c r="E137" s="98">
        <f>IFERROR(D137/D148, "NA")</f>
        <v>0.1069424279</v>
      </c>
      <c r="F137" s="122">
        <f>IFERROR(F107-F135, "NA")</f>
        <v>-267.97</v>
      </c>
      <c r="G137" s="98">
        <f>IFERROR(F137/F148, "NA")</f>
        <v>-0.01234458705</v>
      </c>
      <c r="H137" s="122">
        <f>IFERROR(H107-H135, "NA")</f>
        <v>-19055.5</v>
      </c>
      <c r="I137" s="98">
        <f>IFERROR(H137/H148, "NA")</f>
        <v>-0.9338189424</v>
      </c>
      <c r="J137" s="122">
        <f>IFERROR(J107-J135, "NA")</f>
        <v>9384.25</v>
      </c>
      <c r="K137" s="98">
        <f>IFERROR(J137/J148, "NA")</f>
        <v>0.4373029417</v>
      </c>
      <c r="L137" s="122">
        <f>IFERROR(L107-L135, "NA")</f>
        <v>10308.09</v>
      </c>
      <c r="M137" s="98">
        <f>IFERROR(L137/L148, "NA")</f>
        <v>0.3469343796</v>
      </c>
      <c r="N137" s="122">
        <f>IFERROR(N107-N135, "NA")</f>
        <v>3220.93</v>
      </c>
      <c r="O137" s="98">
        <f>IFERROR(N137/N148, "NA")</f>
        <v>0.110956781</v>
      </c>
      <c r="P137" s="122">
        <f>IFERROR(P107-P135, "NA")</f>
        <v>10384.74</v>
      </c>
      <c r="Q137" s="98">
        <f>IFERROR(P137/P148, "NA")</f>
        <v>0.3427521858</v>
      </c>
      <c r="R137" s="122">
        <f>IFERROR(R107-R135, "NA")</f>
        <v>-15300.65</v>
      </c>
      <c r="S137" s="98">
        <f>IFERROR(R137/R148, "NA")</f>
        <v>-0.567810168</v>
      </c>
      <c r="T137" s="122">
        <f>IFERROR(T107-T135, "NA")</f>
        <v>10009.09</v>
      </c>
      <c r="U137" s="98">
        <f>IFERROR(T137/T148, "NA")</f>
        <v>0.3566383159</v>
      </c>
      <c r="V137" s="122">
        <f>IFERROR(V107-V135, "NA")</f>
        <v>7068.96</v>
      </c>
      <c r="W137" s="98">
        <f>IFERROR(V137/V148, "NA")</f>
        <v>0.2310043665</v>
      </c>
      <c r="X137" s="122">
        <f>IFERROR(X107-X135, "NA")</f>
        <v>4634.06</v>
      </c>
      <c r="Y137" s="98">
        <f>IFERROR(X137/X148, "NA")</f>
        <v>0.1563847447</v>
      </c>
      <c r="Z137" s="122">
        <f>IFERROR(Z107-Z135, "NA")</f>
        <v>21712.11</v>
      </c>
      <c r="AA137" s="98">
        <f>IFERROR(Z137/Z148, "NA")</f>
        <v>0.2458944098</v>
      </c>
      <c r="AB137" s="122">
        <f>IFERROR((R137+T137+V137+X137)/4, "NA")</f>
        <v>1602.865</v>
      </c>
      <c r="AC137" s="98">
        <f>IFERROR(AB137/AB148, "NA")</f>
        <v>0.0556331678</v>
      </c>
      <c r="AD137" s="75">
        <f>IFERROR(X137-AB137, "NA")</f>
        <v>3031.195</v>
      </c>
      <c r="AE137" s="76">
        <f>IFERROR(AD137/AD148, "NA")</f>
        <v>3.691582127</v>
      </c>
      <c r="AF137" s="75">
        <f>IFERROR((X137-AB137)/AB137, "NA")</f>
        <v>1.891110605</v>
      </c>
      <c r="AG137" s="122">
        <f>IFERROR((J137+L137+N137+P137+R137+T137+V137+X137)/8, "NA")</f>
        <v>4963.68375</v>
      </c>
      <c r="AH137" s="98">
        <f>IFERROR(AG137/AG148, "NA")</f>
        <v>0.1759053577</v>
      </c>
      <c r="AI137" s="75">
        <f>IFERROR(X137-AG137, "NA")</f>
        <v>-329.62375</v>
      </c>
      <c r="AJ137" s="76">
        <f>IFERROR(AI137/AI148, "NA")</f>
        <v>-0.2330307545</v>
      </c>
      <c r="AK137" s="75">
        <f>IFERROR((X137-AG137)/AG137, "NA")</f>
        <v>-0.06640708123</v>
      </c>
      <c r="AL137" s="76">
        <f>IFERROR(AK137/AK148, "NA")</f>
        <v>-1.32475075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2"/>
      <c r="AF138" s="125"/>
      <c r="AG138" s="124"/>
      <c r="AH138" s="74"/>
      <c r="AI138" s="125"/>
      <c r="AJ138" s="82"/>
      <c r="AK138" s="125"/>
      <c r="AL138" s="82"/>
    </row>
    <row r="139" ht="16.5" hidden="1" customHeight="1">
      <c r="A139" s="22" t="s">
        <v>250</v>
      </c>
      <c r="B139" s="23"/>
      <c r="C139" s="10"/>
      <c r="D139" s="23"/>
      <c r="E139" s="10"/>
      <c r="F139" s="23"/>
      <c r="G139" s="10"/>
      <c r="H139" s="23"/>
      <c r="I139" s="10"/>
      <c r="J139" s="23"/>
      <c r="K139" s="10"/>
      <c r="L139" s="23"/>
      <c r="M139" s="10"/>
      <c r="N139" s="23"/>
      <c r="O139" s="10"/>
      <c r="P139" s="23"/>
      <c r="Q139" s="10"/>
      <c r="R139" s="23"/>
      <c r="S139" s="10"/>
      <c r="T139" s="23"/>
      <c r="U139" s="10"/>
      <c r="V139" s="23"/>
      <c r="W139" s="10"/>
      <c r="X139" s="23"/>
      <c r="Y139" s="10"/>
      <c r="Z139" s="23"/>
      <c r="AA139" s="10"/>
      <c r="AB139" s="23"/>
      <c r="AC139" s="10"/>
      <c r="AD139" s="24"/>
      <c r="AE139" s="25"/>
      <c r="AF139" s="24"/>
      <c r="AG139" s="23"/>
      <c r="AH139" s="10"/>
      <c r="AI139" s="24"/>
      <c r="AJ139" s="25"/>
      <c r="AK139" s="24"/>
      <c r="AL139" s="25"/>
    </row>
    <row r="140" ht="16.5" hidden="1" customHeight="1">
      <c r="A140" s="26" t="s">
        <v>251</v>
      </c>
      <c r="B140" s="28">
        <v>775.43</v>
      </c>
      <c r="C140" s="15">
        <f>IFERROR(B140/B148, "NA")</f>
        <v>0.05364741988</v>
      </c>
      <c r="D140" s="28">
        <v>0.0</v>
      </c>
      <c r="E140" s="15">
        <f>IFERROR(D140/D148, "NA")</f>
        <v>0</v>
      </c>
      <c r="F140" s="28">
        <v>0.0</v>
      </c>
      <c r="G140" s="15">
        <f>IFERROR(F140/F148, "NA")</f>
        <v>0</v>
      </c>
      <c r="H140" s="28">
        <v>8394.68</v>
      </c>
      <c r="I140" s="15">
        <f>IFERROR(H140/H148, "NA")</f>
        <v>0.4113831282</v>
      </c>
      <c r="J140" s="28">
        <v>0.0</v>
      </c>
      <c r="K140" s="15">
        <f>IFERROR(J140/J148, "NA")</f>
        <v>0</v>
      </c>
      <c r="L140" s="28">
        <v>0.0</v>
      </c>
      <c r="M140" s="15">
        <f>IFERROR(L140/L148, "NA")</f>
        <v>0</v>
      </c>
      <c r="N140" s="28">
        <v>0.0</v>
      </c>
      <c r="O140" s="15">
        <f>IFERROR(N140/N148, "NA")</f>
        <v>0</v>
      </c>
      <c r="P140" s="28">
        <v>-205.59</v>
      </c>
      <c r="Q140" s="15">
        <f>IFERROR(P140/P148, "NA")</f>
        <v>-0.006785574013</v>
      </c>
      <c r="R140" s="28">
        <v>8506.34</v>
      </c>
      <c r="S140" s="15">
        <f>IFERROR(R140/R148, "NA")</f>
        <v>0.3156719711</v>
      </c>
      <c r="T140" s="28">
        <v>0.0</v>
      </c>
      <c r="U140" s="15">
        <f>IFERROR(T140/T148, "NA")</f>
        <v>0</v>
      </c>
      <c r="V140" s="28">
        <v>0.0</v>
      </c>
      <c r="W140" s="15">
        <f>IFERROR(V140/V148, "NA")</f>
        <v>0</v>
      </c>
      <c r="X140" s="28">
        <v>0.0</v>
      </c>
      <c r="Y140" s="15">
        <f>IFERROR(X140/X148, "NA")</f>
        <v>0</v>
      </c>
      <c r="Z140" s="28">
        <v>0.0</v>
      </c>
      <c r="AA140" s="15">
        <f>IFERROR(Z140/Z148, "NA")</f>
        <v>0</v>
      </c>
      <c r="AB140" s="57">
        <f t="shared" ref="AB140:AB141" si="61">IFERROR((R140+T140+V140+X140)/4, "NA")</f>
        <v>2126.585</v>
      </c>
      <c r="AC140" s="15">
        <f>IFERROR(AB140/AB148, "NA")</f>
        <v>0.07381074522</v>
      </c>
      <c r="AD140" s="61">
        <f t="shared" ref="AD140:AD141" si="62">IFERROR(X140-AB140, "NA")</f>
        <v>-2126.585</v>
      </c>
      <c r="AE140" s="62">
        <f>IFERROR(AD140/AD148, "NA")</f>
        <v>-2.589890514</v>
      </c>
      <c r="AF140" s="61">
        <f t="shared" ref="AF140:AF141" si="63">IFERROR((X140-AB140)/AB140, "NA")</f>
        <v>-1</v>
      </c>
      <c r="AG140" s="57">
        <f t="shared" ref="AG140:AG141" si="64">IFERROR((J140+L140+N140+P140+R140+T140+V140+X140)/8, "NA")</f>
        <v>1037.59375</v>
      </c>
      <c r="AH140" s="15">
        <f>IFERROR(AG140/AG148, "NA")</f>
        <v>0.03677073498</v>
      </c>
      <c r="AI140" s="61">
        <f t="shared" ref="AI140:AI141" si="65">IFERROR(X140-AG140, "NA")</f>
        <v>-1037.59375</v>
      </c>
      <c r="AJ140" s="62">
        <f>IFERROR(AI140/AI148, "NA")</f>
        <v>-0.7335371145</v>
      </c>
      <c r="AK140" s="61">
        <f t="shared" ref="AK140:AK141" si="66">IFERROR((X140-AG140)/AG140, "NA")</f>
        <v>-1</v>
      </c>
      <c r="AL140" s="62">
        <f>IFERROR(AK140/AK148, "NA")</f>
        <v>-19.94893806</v>
      </c>
    </row>
    <row r="141" ht="16.5" hidden="1" customHeight="1">
      <c r="A141" s="67" t="s">
        <v>252</v>
      </c>
      <c r="B141" s="70">
        <f>IFERROR(B140, "NA")</f>
        <v>775.43</v>
      </c>
      <c r="C141" s="71">
        <f>IFERROR(B141/B148, "NA")</f>
        <v>0.05364741988</v>
      </c>
      <c r="D141" s="70">
        <f>IFERROR(D140, "NA")</f>
        <v>0</v>
      </c>
      <c r="E141" s="71">
        <f>IFERROR(D141/D148, "NA")</f>
        <v>0</v>
      </c>
      <c r="F141" s="70">
        <f>IFERROR(F140, "NA")</f>
        <v>0</v>
      </c>
      <c r="G141" s="71">
        <f>IFERROR(F141/F148, "NA")</f>
        <v>0</v>
      </c>
      <c r="H141" s="70">
        <f>IFERROR(H140, "NA")</f>
        <v>8394.68</v>
      </c>
      <c r="I141" s="71">
        <f>IFERROR(H141/H148, "NA")</f>
        <v>0.4113831282</v>
      </c>
      <c r="J141" s="70">
        <f>IFERROR(J140, "NA")</f>
        <v>0</v>
      </c>
      <c r="K141" s="71">
        <f>IFERROR(J141/J148, "NA")</f>
        <v>0</v>
      </c>
      <c r="L141" s="70">
        <f>IFERROR(L140, "NA")</f>
        <v>0</v>
      </c>
      <c r="M141" s="71">
        <f>IFERROR(L141/L148, "NA")</f>
        <v>0</v>
      </c>
      <c r="N141" s="70">
        <f>IFERROR(N140, "NA")</f>
        <v>0</v>
      </c>
      <c r="O141" s="71">
        <f>IFERROR(N141/N148, "NA")</f>
        <v>0</v>
      </c>
      <c r="P141" s="70">
        <f>IFERROR(P140, "NA")</f>
        <v>-205.59</v>
      </c>
      <c r="Q141" s="71">
        <f>IFERROR(P141/P148, "NA")</f>
        <v>-0.006785574013</v>
      </c>
      <c r="R141" s="70">
        <f>IFERROR(R140, "NA")</f>
        <v>8506.34</v>
      </c>
      <c r="S141" s="71">
        <f>IFERROR(R141/R148, "NA")</f>
        <v>0.3156719711</v>
      </c>
      <c r="T141" s="70">
        <f>IFERROR(T140, "NA")</f>
        <v>0</v>
      </c>
      <c r="U141" s="71">
        <f>IFERROR(T141/T148, "NA")</f>
        <v>0</v>
      </c>
      <c r="V141" s="70">
        <f>IFERROR(V140, "NA")</f>
        <v>0</v>
      </c>
      <c r="W141" s="71">
        <f>IFERROR(V141/V148, "NA")</f>
        <v>0</v>
      </c>
      <c r="X141" s="70">
        <f>IFERROR(X140, "NA")</f>
        <v>0</v>
      </c>
      <c r="Y141" s="71">
        <f>IFERROR(X141/X148, "NA")</f>
        <v>0</v>
      </c>
      <c r="Z141" s="70">
        <f>IFERROR(Z140, "NA")</f>
        <v>0</v>
      </c>
      <c r="AA141" s="71">
        <f>IFERROR(Z141/Z148, "NA")</f>
        <v>0</v>
      </c>
      <c r="AB141" s="70">
        <f t="shared" si="61"/>
        <v>2126.585</v>
      </c>
      <c r="AC141" s="71">
        <f>IFERROR(AB141/AB148, "NA")</f>
        <v>0.07381074522</v>
      </c>
      <c r="AD141" s="75">
        <f t="shared" si="62"/>
        <v>-2126.585</v>
      </c>
      <c r="AE141" s="76">
        <f>IFERROR(AD141/AD148, "NA")</f>
        <v>-2.589890514</v>
      </c>
      <c r="AF141" s="75">
        <f t="shared" si="63"/>
        <v>-1</v>
      </c>
      <c r="AG141" s="70">
        <f t="shared" si="64"/>
        <v>1037.59375</v>
      </c>
      <c r="AH141" s="71">
        <f>IFERROR(AG141/AG148, "NA")</f>
        <v>0.03677073498</v>
      </c>
      <c r="AI141" s="75">
        <f t="shared" si="65"/>
        <v>-1037.59375</v>
      </c>
      <c r="AJ141" s="76">
        <f>IFERROR(AI141/AI148, "NA")</f>
        <v>-0.7335371145</v>
      </c>
      <c r="AK141" s="75">
        <f t="shared" si="66"/>
        <v>-1</v>
      </c>
      <c r="AL141" s="76">
        <f>IFERROR(AK141/AK148, "NA")</f>
        <v>-19.94893806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2"/>
      <c r="AF142" s="125"/>
      <c r="AG142" s="124"/>
      <c r="AH142" s="74"/>
      <c r="AI142" s="125"/>
      <c r="AJ142" s="82"/>
      <c r="AK142" s="125"/>
      <c r="AL142" s="82"/>
    </row>
    <row r="143" ht="16.5" hidden="1" customHeight="1">
      <c r="A143" s="22" t="s">
        <v>253</v>
      </c>
      <c r="B143" s="23"/>
      <c r="C143" s="10"/>
      <c r="D143" s="23"/>
      <c r="E143" s="10"/>
      <c r="F143" s="23"/>
      <c r="G143" s="10"/>
      <c r="H143" s="23"/>
      <c r="I143" s="10"/>
      <c r="J143" s="23"/>
      <c r="K143" s="10"/>
      <c r="L143" s="23"/>
      <c r="M143" s="10"/>
      <c r="N143" s="23"/>
      <c r="O143" s="10"/>
      <c r="P143" s="23"/>
      <c r="Q143" s="10"/>
      <c r="R143" s="23"/>
      <c r="S143" s="10"/>
      <c r="T143" s="23"/>
      <c r="U143" s="10"/>
      <c r="V143" s="23"/>
      <c r="W143" s="10"/>
      <c r="X143" s="23"/>
      <c r="Y143" s="10"/>
      <c r="Z143" s="23"/>
      <c r="AA143" s="10"/>
      <c r="AB143" s="23"/>
      <c r="AC143" s="10"/>
      <c r="AD143" s="24"/>
      <c r="AE143" s="25"/>
      <c r="AF143" s="24"/>
      <c r="AG143" s="23"/>
      <c r="AH143" s="10"/>
      <c r="AI143" s="24"/>
      <c r="AJ143" s="25"/>
      <c r="AK143" s="24"/>
      <c r="AL143" s="25"/>
    </row>
    <row r="144" ht="16.5" hidden="1" customHeight="1">
      <c r="A144" s="26" t="s">
        <v>254</v>
      </c>
      <c r="B144" s="28">
        <v>0.0</v>
      </c>
      <c r="C144" s="15">
        <f>IFERROR(B144/B148, "NA")</f>
        <v>0</v>
      </c>
      <c r="D144" s="28">
        <v>0.0</v>
      </c>
      <c r="E144" s="15">
        <f>IFERROR(D144/D148, "NA")</f>
        <v>0</v>
      </c>
      <c r="F144" s="28">
        <v>0.0</v>
      </c>
      <c r="G144" s="15">
        <f>IFERROR(F144/F148, "NA")</f>
        <v>0</v>
      </c>
      <c r="H144" s="28">
        <v>0.0</v>
      </c>
      <c r="I144" s="15">
        <f>IFERROR(H144/H148, "NA")</f>
        <v>0</v>
      </c>
      <c r="J144" s="28">
        <v>0.0</v>
      </c>
      <c r="K144" s="15">
        <f>IFERROR(J144/J148, "NA")</f>
        <v>0</v>
      </c>
      <c r="L144" s="28">
        <v>0.0</v>
      </c>
      <c r="M144" s="15">
        <f>IFERROR(L144/L148, "NA")</f>
        <v>0</v>
      </c>
      <c r="N144" s="28">
        <v>0.0</v>
      </c>
      <c r="O144" s="15">
        <f>IFERROR(N144/N148, "NA")</f>
        <v>0</v>
      </c>
      <c r="P144" s="28">
        <v>0.0</v>
      </c>
      <c r="Q144" s="15">
        <f>IFERROR(P144/P148, "NA")</f>
        <v>0</v>
      </c>
      <c r="R144" s="28">
        <v>0.0</v>
      </c>
      <c r="S144" s="15">
        <f>IFERROR(R144/R148, "NA")</f>
        <v>0</v>
      </c>
      <c r="T144" s="28">
        <v>0.0</v>
      </c>
      <c r="U144" s="15">
        <f>IFERROR(T144/T148, "NA")</f>
        <v>0</v>
      </c>
      <c r="V144" s="28">
        <v>0.0</v>
      </c>
      <c r="W144" s="15">
        <f>IFERROR(V144/V148, "NA")</f>
        <v>0</v>
      </c>
      <c r="X144" s="28">
        <v>0.0</v>
      </c>
      <c r="Y144" s="15">
        <f>IFERROR(X144/X148, "NA")</f>
        <v>0</v>
      </c>
      <c r="Z144" s="28">
        <v>0.0</v>
      </c>
      <c r="AA144" s="15">
        <f>IFERROR(Z144/Z148, "NA")</f>
        <v>0</v>
      </c>
      <c r="AB144" s="57">
        <f t="shared" ref="AB144:AB145" si="67">IFERROR((R144+T144+V144+X144)/4, "NA")</f>
        <v>0</v>
      </c>
      <c r="AC144" s="15">
        <f>IFERROR(AB144/AB148, "NA")</f>
        <v>0</v>
      </c>
      <c r="AD144" s="61">
        <f t="shared" ref="AD144:AD145" si="68">IFERROR(X144-AB144, "NA")</f>
        <v>0</v>
      </c>
      <c r="AE144" s="62">
        <f>IFERROR(AD144/AD148, "NA")</f>
        <v>0</v>
      </c>
      <c r="AF144" s="61" t="str">
        <f t="shared" ref="AF144:AF145" si="69">IFERROR((X144-AB144)/AB144, "NA")</f>
        <v>NA</v>
      </c>
      <c r="AG144" s="57">
        <f t="shared" ref="AG144:AG145" si="70">IFERROR((J144+L144+N144+P144+R144+T144+V144+X144)/8, "NA")</f>
        <v>0</v>
      </c>
      <c r="AH144" s="15">
        <f>IFERROR(AG144/AG148, "NA")</f>
        <v>0</v>
      </c>
      <c r="AI144" s="61">
        <f t="shared" ref="AI144:AI145" si="71">IFERROR(X144-AG144, "NA")</f>
        <v>0</v>
      </c>
      <c r="AJ144" s="62">
        <f>IFERROR(AI144/AI148, "NA")</f>
        <v>0</v>
      </c>
      <c r="AK144" s="61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255</v>
      </c>
      <c r="B145" s="70">
        <f>IFERROR(B144, "NA")</f>
        <v>0</v>
      </c>
      <c r="C145" s="71">
        <f>IFERROR(B145/B148, "NA")</f>
        <v>0</v>
      </c>
      <c r="D145" s="70">
        <f>IFERROR(D144, "NA")</f>
        <v>0</v>
      </c>
      <c r="E145" s="71">
        <f>IFERROR(D145/D148, "NA")</f>
        <v>0</v>
      </c>
      <c r="F145" s="70">
        <f>IFERROR(F144, "NA")</f>
        <v>0</v>
      </c>
      <c r="G145" s="71">
        <f>IFERROR(F145/F148, "NA")</f>
        <v>0</v>
      </c>
      <c r="H145" s="70">
        <f>IFERROR(H144, "NA")</f>
        <v>0</v>
      </c>
      <c r="I145" s="71">
        <f>IFERROR(H145/H148, "NA")</f>
        <v>0</v>
      </c>
      <c r="J145" s="70">
        <f>IFERROR(J144, "NA")</f>
        <v>0</v>
      </c>
      <c r="K145" s="71">
        <f>IFERROR(J145/J148, "NA")</f>
        <v>0</v>
      </c>
      <c r="L145" s="70">
        <f>IFERROR(L144, "NA")</f>
        <v>0</v>
      </c>
      <c r="M145" s="71">
        <f>IFERROR(L145/L148, "NA")</f>
        <v>0</v>
      </c>
      <c r="N145" s="70">
        <f>IFERROR(N144, "NA")</f>
        <v>0</v>
      </c>
      <c r="O145" s="71">
        <f>IFERROR(N145/N148, "NA")</f>
        <v>0</v>
      </c>
      <c r="P145" s="70">
        <f>IFERROR(P144, "NA")</f>
        <v>0</v>
      </c>
      <c r="Q145" s="71">
        <f>IFERROR(P145/P148, "NA")</f>
        <v>0</v>
      </c>
      <c r="R145" s="70">
        <f>IFERROR(R144, "NA")</f>
        <v>0</v>
      </c>
      <c r="S145" s="71">
        <f>IFERROR(R145/R148, "NA")</f>
        <v>0</v>
      </c>
      <c r="T145" s="70">
        <f>IFERROR(T144, "NA")</f>
        <v>0</v>
      </c>
      <c r="U145" s="71">
        <f>IFERROR(T145/T148, "NA")</f>
        <v>0</v>
      </c>
      <c r="V145" s="70">
        <f>IFERROR(V144, "NA")</f>
        <v>0</v>
      </c>
      <c r="W145" s="71">
        <f>IFERROR(V145/V148, "NA")</f>
        <v>0</v>
      </c>
      <c r="X145" s="70">
        <f>IFERROR(X144, "NA")</f>
        <v>0</v>
      </c>
      <c r="Y145" s="71">
        <f>IFERROR(X145/X148, "NA")</f>
        <v>0</v>
      </c>
      <c r="Z145" s="70">
        <f>IFERROR(Z144, "NA")</f>
        <v>0</v>
      </c>
      <c r="AA145" s="71">
        <f>IFERROR(Z145/Z148, "NA")</f>
        <v>0</v>
      </c>
      <c r="AB145" s="70">
        <f t="shared" si="67"/>
        <v>0</v>
      </c>
      <c r="AC145" s="71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70">
        <f t="shared" si="70"/>
        <v>0</v>
      </c>
      <c r="AH145" s="71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2"/>
      <c r="AF146" s="125"/>
      <c r="AG146" s="124"/>
      <c r="AH146" s="74"/>
      <c r="AI146" s="125"/>
      <c r="AJ146" s="82"/>
      <c r="AK146" s="125"/>
      <c r="AL146" s="82"/>
    </row>
    <row r="147" ht="16.5" hidden="1" customHeight="1">
      <c r="A147" s="121" t="s">
        <v>256</v>
      </c>
      <c r="B147" s="122">
        <f>IFERROR(B137-B141-B145, "NA")</f>
        <v>5005.43</v>
      </c>
      <c r="C147" s="98">
        <f>IFERROR(B147/B148, "NA")</f>
        <v>0.3462961259</v>
      </c>
      <c r="D147" s="122">
        <f>IFERROR(D137-D141-D145, "NA")</f>
        <v>2070.43</v>
      </c>
      <c r="E147" s="98">
        <f>IFERROR(D147/D148, "NA")</f>
        <v>0.1069424279</v>
      </c>
      <c r="F147" s="122">
        <f>IFERROR(F137-F141-F145, "NA")</f>
        <v>-267.97</v>
      </c>
      <c r="G147" s="98">
        <f>IFERROR(F147/F148, "NA")</f>
        <v>-0.01234458705</v>
      </c>
      <c r="H147" s="122">
        <f>IFERROR(H137-H141-H145, "NA")</f>
        <v>-27450.18</v>
      </c>
      <c r="I147" s="98">
        <f>IFERROR(H147/H148, "NA")</f>
        <v>-1.345202071</v>
      </c>
      <c r="J147" s="122">
        <f>IFERROR(J137-J141-J145, "NA")</f>
        <v>9384.25</v>
      </c>
      <c r="K147" s="98">
        <f>IFERROR(J147/J148, "NA")</f>
        <v>0.4373029417</v>
      </c>
      <c r="L147" s="122">
        <f>IFERROR(L137-L141-L145, "NA")</f>
        <v>10308.09</v>
      </c>
      <c r="M147" s="98">
        <f>IFERROR(L147/L148, "NA")</f>
        <v>0.3469343796</v>
      </c>
      <c r="N147" s="122">
        <f>IFERROR(N137-N141-N145, "NA")</f>
        <v>3220.93</v>
      </c>
      <c r="O147" s="98">
        <f>IFERROR(N147/N148, "NA")</f>
        <v>0.110956781</v>
      </c>
      <c r="P147" s="122">
        <f>IFERROR(P137-P141-P145, "NA")</f>
        <v>10590.33</v>
      </c>
      <c r="Q147" s="98">
        <f>IFERROR(P147/P148, "NA")</f>
        <v>0.3495377598</v>
      </c>
      <c r="R147" s="122">
        <f>IFERROR(R137-R141-R145, "NA")</f>
        <v>-23806.99</v>
      </c>
      <c r="S147" s="98">
        <f>IFERROR(R147/R148, "NA")</f>
        <v>-0.883482139</v>
      </c>
      <c r="T147" s="122">
        <f>IFERROR(T137-T141-T145, "NA")</f>
        <v>10009.09</v>
      </c>
      <c r="U147" s="98">
        <f>IFERROR(T147/T148, "NA")</f>
        <v>0.3566383159</v>
      </c>
      <c r="V147" s="122">
        <f>IFERROR(V137-V141-V145, "NA")</f>
        <v>7068.96</v>
      </c>
      <c r="W147" s="98">
        <f>IFERROR(V147/V148, "NA")</f>
        <v>0.2310043665</v>
      </c>
      <c r="X147" s="122">
        <f>IFERROR(X137-X141-X145, "NA")</f>
        <v>4634.06</v>
      </c>
      <c r="Y147" s="98">
        <f>IFERROR(X147/X148, "NA")</f>
        <v>0.1563847447</v>
      </c>
      <c r="Z147" s="122">
        <f>IFERROR(Z137-Z141-Z145, "NA")</f>
        <v>21712.11</v>
      </c>
      <c r="AA147" s="98">
        <f>IFERROR(Z147/Z148, "NA")</f>
        <v>0.2458944098</v>
      </c>
      <c r="AB147" s="122">
        <f t="shared" ref="AB147:AB148" si="73">IFERROR((R147+T147+V147+X147)/4, "NA")</f>
        <v>-523.72</v>
      </c>
      <c r="AC147" s="98">
        <f>IFERROR(AB147/AB148, "NA")</f>
        <v>-0.01817757742</v>
      </c>
      <c r="AD147" s="75">
        <f t="shared" ref="AD147:AD148" si="74">IFERROR(X147-AB147, "NA")</f>
        <v>5157.78</v>
      </c>
      <c r="AE147" s="76">
        <f>IFERROR(AD147/AD148, "NA")</f>
        <v>6.281472641</v>
      </c>
      <c r="AF147" s="75">
        <f t="shared" ref="AF147:AF148" si="75">IFERROR((X147-AB147)/AB147, "NA")</f>
        <v>-9.848354082</v>
      </c>
      <c r="AG147" s="122">
        <f t="shared" ref="AG147:AG148" si="76">IFERROR((J147+L147+N147+P147+R147+T147+V147+X147)/8, "NA")</f>
        <v>3926.09</v>
      </c>
      <c r="AH147" s="98">
        <f>IFERROR(AG147/AG148, "NA")</f>
        <v>0.1391346227</v>
      </c>
      <c r="AI147" s="75">
        <f t="shared" ref="AI147:AI148" si="77">IFERROR(X147-AG147, "NA")</f>
        <v>707.97</v>
      </c>
      <c r="AJ147" s="76">
        <f>IFERROR(AI147/AI148, "NA")</f>
        <v>0.50050636</v>
      </c>
      <c r="AK147" s="75">
        <f t="shared" ref="AK147:AK148" si="78">IFERROR((X147-AG147)/AG147, "NA")</f>
        <v>0.1803244449</v>
      </c>
      <c r="AL147" s="76">
        <f>IFERROR(AK147/AK148, "NA")</f>
        <v>3.597281182</v>
      </c>
    </row>
    <row r="148" ht="14.25" hidden="1" customHeight="1">
      <c r="A148" s="26" t="s">
        <v>53</v>
      </c>
      <c r="B148" s="28">
        <v>14454.19</v>
      </c>
      <c r="C148" s="128"/>
      <c r="D148" s="28">
        <v>19360.23</v>
      </c>
      <c r="E148" s="128"/>
      <c r="F148" s="28">
        <v>21707.49</v>
      </c>
      <c r="G148" s="128"/>
      <c r="H148" s="28">
        <v>20405.99</v>
      </c>
      <c r="I148" s="128"/>
      <c r="J148" s="28">
        <v>21459.38</v>
      </c>
      <c r="K148" s="128"/>
      <c r="L148" s="28">
        <v>29711.93</v>
      </c>
      <c r="M148" s="128"/>
      <c r="N148" s="28">
        <v>29028.69</v>
      </c>
      <c r="O148" s="128"/>
      <c r="P148" s="28">
        <v>30298.1</v>
      </c>
      <c r="Q148" s="128"/>
      <c r="R148" s="28">
        <v>26946.77</v>
      </c>
      <c r="S148" s="128"/>
      <c r="T148" s="28">
        <v>28065.1</v>
      </c>
      <c r="U148" s="128"/>
      <c r="V148" s="28">
        <v>30600.98</v>
      </c>
      <c r="W148" s="128"/>
      <c r="X148" s="28">
        <v>29632.43</v>
      </c>
      <c r="Y148" s="128"/>
      <c r="Z148" s="28">
        <v>88298.51</v>
      </c>
      <c r="AA148" s="128"/>
      <c r="AB148" s="57">
        <f t="shared" si="73"/>
        <v>28811.32</v>
      </c>
      <c r="AC148" s="128"/>
      <c r="AD148" s="61">
        <f t="shared" si="74"/>
        <v>821.11</v>
      </c>
      <c r="AE148" s="129"/>
      <c r="AF148" s="61">
        <f t="shared" si="75"/>
        <v>0.02849956198</v>
      </c>
      <c r="AG148" s="57">
        <f t="shared" si="76"/>
        <v>28217.9225</v>
      </c>
      <c r="AH148" s="128"/>
      <c r="AI148" s="61">
        <f t="shared" si="77"/>
        <v>1414.5075</v>
      </c>
      <c r="AJ148" s="129"/>
      <c r="AK148" s="61">
        <f t="shared" si="78"/>
        <v>0.0501279816</v>
      </c>
      <c r="AL148" s="129"/>
    </row>
    <row r="149" ht="14.25" customHeight="1"/>
    <row r="150" ht="14.25" customHeight="1"/>
    <row r="151" ht="14.25" customHeight="1">
      <c r="A151" s="130" t="s">
        <v>257</v>
      </c>
    </row>
    <row r="152" ht="14.25" customHeight="1">
      <c r="A152" s="130" t="s">
        <v>258</v>
      </c>
    </row>
    <row r="153" ht="14.25" customHeight="1">
      <c r="A153" s="130" t="s">
        <v>259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5" t="s">
        <v>12</v>
      </c>
    </row>
    <row r="3" ht="14.25" customHeight="1">
      <c r="A3" s="6" t="s">
        <v>1</v>
      </c>
    </row>
    <row r="4" ht="14.25" customHeight="1"/>
    <row r="5" ht="13.5" customHeight="1">
      <c r="A5" s="17"/>
      <c r="B5" s="1" t="s">
        <v>16</v>
      </c>
      <c r="D5" s="1" t="s">
        <v>17</v>
      </c>
      <c r="F5" s="1" t="s">
        <v>18</v>
      </c>
      <c r="H5" s="1" t="s">
        <v>19</v>
      </c>
      <c r="J5" s="1" t="s">
        <v>20</v>
      </c>
      <c r="L5" s="1" t="s">
        <v>21</v>
      </c>
      <c r="N5" s="1" t="s">
        <v>22</v>
      </c>
      <c r="P5" s="1" t="s">
        <v>23</v>
      </c>
      <c r="R5" s="1" t="s">
        <v>25</v>
      </c>
      <c r="T5" s="1" t="s">
        <v>26</v>
      </c>
      <c r="V5" s="1" t="s">
        <v>27</v>
      </c>
      <c r="X5" s="1" t="s">
        <v>13</v>
      </c>
      <c r="Z5" s="1" t="s">
        <v>28</v>
      </c>
      <c r="AB5" s="1" t="s">
        <v>29</v>
      </c>
      <c r="AD5" s="21" t="s">
        <v>30</v>
      </c>
      <c r="AF5" s="21" t="s">
        <v>32</v>
      </c>
      <c r="AG5" s="1" t="s">
        <v>33</v>
      </c>
      <c r="AI5" s="21" t="s">
        <v>34</v>
      </c>
      <c r="AK5" s="21" t="s">
        <v>35</v>
      </c>
    </row>
    <row r="6" ht="16.5" customHeight="1">
      <c r="A6" s="22" t="s">
        <v>8</v>
      </c>
      <c r="B6" s="23"/>
      <c r="C6" s="10"/>
      <c r="D6" s="23"/>
      <c r="E6" s="10"/>
      <c r="F6" s="23"/>
      <c r="G6" s="10"/>
      <c r="H6" s="23"/>
      <c r="I6" s="10"/>
      <c r="J6" s="23"/>
      <c r="K6" s="10"/>
      <c r="L6" s="23"/>
      <c r="M6" s="10"/>
      <c r="N6" s="23"/>
      <c r="O6" s="10"/>
      <c r="P6" s="23"/>
      <c r="Q6" s="10"/>
      <c r="R6" s="23"/>
      <c r="S6" s="10"/>
      <c r="T6" s="23"/>
      <c r="U6" s="10"/>
      <c r="V6" s="23"/>
      <c r="W6" s="10"/>
      <c r="X6" s="23"/>
      <c r="Y6" s="10"/>
      <c r="Z6" s="23"/>
      <c r="AA6" s="10"/>
      <c r="AB6" s="23"/>
      <c r="AC6" s="10"/>
      <c r="AD6" s="24"/>
      <c r="AE6" s="25"/>
      <c r="AF6" s="24"/>
      <c r="AG6" s="23"/>
      <c r="AH6" s="10"/>
      <c r="AI6" s="24"/>
      <c r="AJ6" s="25"/>
      <c r="AK6" s="24"/>
      <c r="AL6" s="25"/>
    </row>
    <row r="7" ht="16.5" customHeight="1">
      <c r="A7" s="26" t="s">
        <v>8</v>
      </c>
      <c r="B7" s="28">
        <v>14054.02</v>
      </c>
      <c r="C7" s="15">
        <f>IFERROR(B7/B148, "NA")</f>
        <v>1</v>
      </c>
      <c r="D7" s="28">
        <v>18691.57</v>
      </c>
      <c r="E7" s="15">
        <f>IFERROR(D7/D148, "NA")</f>
        <v>1</v>
      </c>
      <c r="F7" s="28">
        <v>24249.23</v>
      </c>
      <c r="G7" s="15">
        <f>IFERROR(F7/F148, "NA")</f>
        <v>1</v>
      </c>
      <c r="H7" s="28">
        <v>22727.93</v>
      </c>
      <c r="I7" s="15">
        <f>IFERROR(H7/H148, "NA")</f>
        <v>1</v>
      </c>
      <c r="J7" s="28">
        <v>21957.35</v>
      </c>
      <c r="K7" s="15">
        <f>IFERROR(J7/J148, "NA")</f>
        <v>1</v>
      </c>
      <c r="L7" s="28">
        <v>24903.78</v>
      </c>
      <c r="M7" s="15">
        <f>IFERROR(L7/L148, "NA")</f>
        <v>1</v>
      </c>
      <c r="N7" s="28">
        <v>25332.53</v>
      </c>
      <c r="O7" s="15">
        <f>IFERROR(N7/N148, "NA")</f>
        <v>1</v>
      </c>
      <c r="P7" s="28">
        <v>26049.43</v>
      </c>
      <c r="Q7" s="15">
        <f>IFERROR(P7/P148, "NA")</f>
        <v>1</v>
      </c>
      <c r="R7" s="28">
        <v>29971.45</v>
      </c>
      <c r="S7" s="15">
        <f>IFERROR(R7/R148, "NA")</f>
        <v>1</v>
      </c>
      <c r="T7" s="28">
        <v>26102.06</v>
      </c>
      <c r="U7" s="15">
        <f>IFERROR(T7/T148, "NA")</f>
        <v>1</v>
      </c>
      <c r="V7" s="28">
        <v>30354.28</v>
      </c>
      <c r="W7" s="15">
        <f>IFERROR(V7/V148, "NA")</f>
        <v>1</v>
      </c>
      <c r="X7" s="28">
        <v>25850.78</v>
      </c>
      <c r="Y7" s="15">
        <f>IFERROR(X7/X148, "NA")</f>
        <v>1</v>
      </c>
      <c r="Z7" s="28">
        <v>82307.12</v>
      </c>
      <c r="AA7" s="15">
        <f>IFERROR(Z7/Z148, "NA")</f>
        <v>1</v>
      </c>
      <c r="AB7" s="57">
        <f t="shared" ref="AB7:AB9" si="1">IFERROR((R7+T7+V7+X7)/4, "NA")</f>
        <v>28069.6425</v>
      </c>
      <c r="AC7" s="15">
        <f>IFERROR(AB7/AB148, "NA")</f>
        <v>1</v>
      </c>
      <c r="AD7" s="61">
        <f t="shared" ref="AD7:AD9" si="2">IFERROR(X7-AB7, "NA")</f>
        <v>-2218.8625</v>
      </c>
      <c r="AE7" s="62">
        <f>IFERROR(AD7/AD148, "NA")</f>
        <v>1</v>
      </c>
      <c r="AF7" s="61">
        <f t="shared" ref="AF7:AF9" si="3">IFERROR((X7-AB7)/AB7, "NA")</f>
        <v>-0.07904847737</v>
      </c>
      <c r="AG7" s="57">
        <f t="shared" ref="AG7:AG9" si="4">IFERROR((J7+L7+N7+P7+R7+T7+V7+X7)/8, "NA")</f>
        <v>26315.2075</v>
      </c>
      <c r="AH7" s="15">
        <f>IFERROR(AG7/AG148, "NA")</f>
        <v>1</v>
      </c>
      <c r="AI7" s="61">
        <f t="shared" ref="AI7:AI9" si="5">IFERROR(X7-AG7, "NA")</f>
        <v>-464.4275</v>
      </c>
      <c r="AJ7" s="62">
        <f>IFERROR(AI7/AI148, "NA")</f>
        <v>1</v>
      </c>
      <c r="AK7" s="61">
        <f t="shared" ref="AK7:AK9" si="6">IFERROR((X7-AG7)/AG7, "NA")</f>
        <v>-0.0176486353</v>
      </c>
      <c r="AL7" s="62">
        <f>IFERROR(AK7/AK148, "NA")</f>
        <v>1</v>
      </c>
    </row>
    <row r="8" ht="30.75" hidden="1" customHeight="1">
      <c r="A8" s="26" t="s">
        <v>61</v>
      </c>
      <c r="B8" s="28">
        <v>0.0</v>
      </c>
      <c r="C8" s="15">
        <f>IFERROR(B8/B148, "NA")</f>
        <v>0</v>
      </c>
      <c r="D8" s="28">
        <v>0.0</v>
      </c>
      <c r="E8" s="15">
        <f>IFERROR(D8/D148, "NA")</f>
        <v>0</v>
      </c>
      <c r="F8" s="28">
        <v>0.0</v>
      </c>
      <c r="G8" s="15">
        <f>IFERROR(F8/F148, "NA")</f>
        <v>0</v>
      </c>
      <c r="H8" s="28">
        <v>0.0</v>
      </c>
      <c r="I8" s="15">
        <f>IFERROR(H8/H148, "NA")</f>
        <v>0</v>
      </c>
      <c r="J8" s="28">
        <v>0.0</v>
      </c>
      <c r="K8" s="15">
        <f>IFERROR(J8/J148, "NA")</f>
        <v>0</v>
      </c>
      <c r="L8" s="28">
        <v>0.0</v>
      </c>
      <c r="M8" s="15">
        <f>IFERROR(L8/L148, "NA")</f>
        <v>0</v>
      </c>
      <c r="N8" s="28">
        <v>0.0</v>
      </c>
      <c r="O8" s="15">
        <f>IFERROR(N8/N148, "NA")</f>
        <v>0</v>
      </c>
      <c r="P8" s="28">
        <v>0.0</v>
      </c>
      <c r="Q8" s="15">
        <f>IFERROR(P8/P148, "NA")</f>
        <v>0</v>
      </c>
      <c r="R8" s="28">
        <v>0.0</v>
      </c>
      <c r="S8" s="15">
        <f>IFERROR(R8/R148, "NA")</f>
        <v>0</v>
      </c>
      <c r="T8" s="28">
        <v>0.0</v>
      </c>
      <c r="U8" s="15">
        <f>IFERROR(T8/T148, "NA")</f>
        <v>0</v>
      </c>
      <c r="V8" s="28">
        <v>0.0</v>
      </c>
      <c r="W8" s="15">
        <f>IFERROR(V8/V148, "NA")</f>
        <v>0</v>
      </c>
      <c r="X8" s="28">
        <v>0.0</v>
      </c>
      <c r="Y8" s="15">
        <f>IFERROR(X8/X148, "NA")</f>
        <v>0</v>
      </c>
      <c r="Z8" s="28">
        <v>0.0</v>
      </c>
      <c r="AA8" s="15">
        <f>IFERROR(Z8/Z148, "NA")</f>
        <v>0</v>
      </c>
      <c r="AB8" s="57">
        <f t="shared" si="1"/>
        <v>0</v>
      </c>
      <c r="AC8" s="15">
        <f>IFERROR(AB8/AB148, "NA")</f>
        <v>0</v>
      </c>
      <c r="AD8" s="61">
        <f t="shared" si="2"/>
        <v>0</v>
      </c>
      <c r="AE8" s="62">
        <f>IFERROR(AD8/AD148, "NA")</f>
        <v>0</v>
      </c>
      <c r="AF8" s="61" t="str">
        <f t="shared" si="3"/>
        <v>NA</v>
      </c>
      <c r="AG8" s="57">
        <f t="shared" si="4"/>
        <v>0</v>
      </c>
      <c r="AH8" s="15">
        <f>IFERROR(AG8/AG148, "NA")</f>
        <v>0</v>
      </c>
      <c r="AI8" s="61">
        <f t="shared" si="5"/>
        <v>0</v>
      </c>
      <c r="AJ8" s="62">
        <f>IFERROR(AI8/AI148, "NA")</f>
        <v>0</v>
      </c>
      <c r="AK8" s="61" t="str">
        <f t="shared" si="6"/>
        <v>NA</v>
      </c>
      <c r="AL8" s="62" t="str">
        <f>IFERROR(AK8/AK148, "NA")</f>
        <v>NA</v>
      </c>
    </row>
    <row r="9" ht="16.5" customHeight="1">
      <c r="A9" s="67" t="s">
        <v>53</v>
      </c>
      <c r="B9" s="70">
        <f>IFERROR(B7+B8, "NA")</f>
        <v>14054.02</v>
      </c>
      <c r="C9" s="71">
        <f>IFERROR(B9/B148, "NA")</f>
        <v>1</v>
      </c>
      <c r="D9" s="70">
        <f>IFERROR(D7+D8, "NA")</f>
        <v>18691.57</v>
      </c>
      <c r="E9" s="71">
        <f>IFERROR(D9/D148, "NA")</f>
        <v>1</v>
      </c>
      <c r="F9" s="70">
        <f>IFERROR(F7+F8, "NA")</f>
        <v>24249.23</v>
      </c>
      <c r="G9" s="71">
        <f>IFERROR(F9/F148, "NA")</f>
        <v>1</v>
      </c>
      <c r="H9" s="70">
        <f>IFERROR(H7+H8, "NA")</f>
        <v>22727.93</v>
      </c>
      <c r="I9" s="71">
        <f>IFERROR(H9/H148, "NA")</f>
        <v>1</v>
      </c>
      <c r="J9" s="70">
        <f>IFERROR(J7+J8, "NA")</f>
        <v>21957.35</v>
      </c>
      <c r="K9" s="71">
        <f>IFERROR(J9/J148, "NA")</f>
        <v>1</v>
      </c>
      <c r="L9" s="70">
        <f>IFERROR(L7+L8, "NA")</f>
        <v>24903.78</v>
      </c>
      <c r="M9" s="71">
        <f>IFERROR(L9/L148, "NA")</f>
        <v>1</v>
      </c>
      <c r="N9" s="70">
        <f>IFERROR(N7+N8, "NA")</f>
        <v>25332.53</v>
      </c>
      <c r="O9" s="71">
        <f>IFERROR(N9/N148, "NA")</f>
        <v>1</v>
      </c>
      <c r="P9" s="70">
        <f>IFERROR(P7+P8, "NA")</f>
        <v>26049.43</v>
      </c>
      <c r="Q9" s="71">
        <f>IFERROR(P9/P148, "NA")</f>
        <v>1</v>
      </c>
      <c r="R9" s="70">
        <f>IFERROR(R7+R8, "NA")</f>
        <v>29971.45</v>
      </c>
      <c r="S9" s="71">
        <f>IFERROR(R9/R148, "NA")</f>
        <v>1</v>
      </c>
      <c r="T9" s="70">
        <f>IFERROR(T7+T8, "NA")</f>
        <v>26102.06</v>
      </c>
      <c r="U9" s="71">
        <f>IFERROR(T9/T148, "NA")</f>
        <v>1</v>
      </c>
      <c r="V9" s="70">
        <f>IFERROR(V7+V8, "NA")</f>
        <v>30354.28</v>
      </c>
      <c r="W9" s="71">
        <f>IFERROR(V9/V148, "NA")</f>
        <v>1</v>
      </c>
      <c r="X9" s="70">
        <f>IFERROR(X7+X8, "NA")</f>
        <v>25850.78</v>
      </c>
      <c r="Y9" s="71">
        <f>IFERROR(X9/X148, "NA")</f>
        <v>1</v>
      </c>
      <c r="Z9" s="70">
        <f>IFERROR(Z7+Z8, "NA")</f>
        <v>82307.12</v>
      </c>
      <c r="AA9" s="71">
        <f>IFERROR(Z9/Z148, "NA")</f>
        <v>1</v>
      </c>
      <c r="AB9" s="70">
        <f t="shared" si="1"/>
        <v>28069.6425</v>
      </c>
      <c r="AC9" s="71">
        <f>IFERROR(AB9/AB148, "NA")</f>
        <v>1</v>
      </c>
      <c r="AD9" s="75">
        <f t="shared" si="2"/>
        <v>-2218.8625</v>
      </c>
      <c r="AE9" s="76">
        <f>IFERROR(AD9/AD148, "NA")</f>
        <v>1</v>
      </c>
      <c r="AF9" s="75">
        <f t="shared" si="3"/>
        <v>-0.07904847737</v>
      </c>
      <c r="AG9" s="70">
        <f t="shared" si="4"/>
        <v>26315.2075</v>
      </c>
      <c r="AH9" s="71">
        <f>IFERROR(AG9/AG148, "NA")</f>
        <v>1</v>
      </c>
      <c r="AI9" s="75">
        <f t="shared" si="5"/>
        <v>-464.4275</v>
      </c>
      <c r="AJ9" s="76">
        <f>IFERROR(AI9/AI148, "NA")</f>
        <v>1</v>
      </c>
      <c r="AK9" s="75">
        <f t="shared" si="6"/>
        <v>-0.0176486353</v>
      </c>
      <c r="AL9" s="76">
        <f>IFERROR(AK9/AK148, "NA")</f>
        <v>1</v>
      </c>
    </row>
    <row r="10" ht="3.75" customHeight="1">
      <c r="A10" s="79"/>
      <c r="B10" s="80"/>
      <c r="C10" s="74"/>
      <c r="D10" s="80"/>
      <c r="E10" s="74"/>
      <c r="F10" s="80"/>
      <c r="G10" s="74"/>
      <c r="H10" s="80"/>
      <c r="I10" s="74"/>
      <c r="J10" s="80"/>
      <c r="K10" s="74"/>
      <c r="L10" s="80"/>
      <c r="M10" s="74"/>
      <c r="N10" s="80"/>
      <c r="O10" s="74"/>
      <c r="P10" s="80"/>
      <c r="Q10" s="74"/>
      <c r="R10" s="80"/>
      <c r="S10" s="74"/>
      <c r="T10" s="80"/>
      <c r="U10" s="74"/>
      <c r="V10" s="80"/>
      <c r="W10" s="74"/>
      <c r="X10" s="80"/>
      <c r="Y10" s="74"/>
      <c r="Z10" s="80"/>
      <c r="AA10" s="74"/>
      <c r="AB10" s="80"/>
      <c r="AC10" s="74"/>
      <c r="AD10" s="81"/>
      <c r="AE10" s="82"/>
      <c r="AF10" s="81"/>
      <c r="AG10" s="80"/>
      <c r="AH10" s="74"/>
      <c r="AI10" s="81"/>
      <c r="AJ10" s="82"/>
      <c r="AK10" s="81"/>
      <c r="AL10" s="82"/>
    </row>
    <row r="11" ht="16.5" customHeight="1">
      <c r="A11" s="22" t="s">
        <v>65</v>
      </c>
      <c r="B11" s="23"/>
      <c r="C11" s="10"/>
      <c r="D11" s="23"/>
      <c r="E11" s="10"/>
      <c r="F11" s="23"/>
      <c r="G11" s="10"/>
      <c r="H11" s="23"/>
      <c r="I11" s="10"/>
      <c r="J11" s="23"/>
      <c r="K11" s="10"/>
      <c r="L11" s="23"/>
      <c r="M11" s="10"/>
      <c r="N11" s="23"/>
      <c r="O11" s="10"/>
      <c r="P11" s="23"/>
      <c r="Q11" s="10"/>
      <c r="R11" s="23"/>
      <c r="S11" s="10"/>
      <c r="T11" s="23"/>
      <c r="U11" s="10"/>
      <c r="V11" s="23"/>
      <c r="W11" s="10"/>
      <c r="X11" s="23"/>
      <c r="Y11" s="10"/>
      <c r="Z11" s="23"/>
      <c r="AA11" s="10"/>
      <c r="AB11" s="23"/>
      <c r="AC11" s="10"/>
      <c r="AD11" s="24"/>
      <c r="AE11" s="25"/>
      <c r="AF11" s="24"/>
      <c r="AG11" s="23"/>
      <c r="AH11" s="10"/>
      <c r="AI11" s="24"/>
      <c r="AJ11" s="25"/>
      <c r="AK11" s="24"/>
      <c r="AL11" s="25"/>
    </row>
    <row r="12" ht="16.5" customHeight="1">
      <c r="A12" s="22" t="s">
        <v>66</v>
      </c>
      <c r="B12" s="23"/>
      <c r="C12" s="10"/>
      <c r="D12" s="23"/>
      <c r="E12" s="10"/>
      <c r="F12" s="23"/>
      <c r="G12" s="10"/>
      <c r="H12" s="23"/>
      <c r="I12" s="10"/>
      <c r="J12" s="23"/>
      <c r="K12" s="10"/>
      <c r="L12" s="23"/>
      <c r="M12" s="10"/>
      <c r="N12" s="23"/>
      <c r="O12" s="10"/>
      <c r="P12" s="23"/>
      <c r="Q12" s="10"/>
      <c r="R12" s="23"/>
      <c r="S12" s="10"/>
      <c r="T12" s="23"/>
      <c r="U12" s="10"/>
      <c r="V12" s="23"/>
      <c r="W12" s="10"/>
      <c r="X12" s="23"/>
      <c r="Y12" s="10"/>
      <c r="Z12" s="23"/>
      <c r="AA12" s="10"/>
      <c r="AB12" s="23"/>
      <c r="AC12" s="10"/>
      <c r="AD12" s="24"/>
      <c r="AE12" s="25"/>
      <c r="AF12" s="24"/>
      <c r="AG12" s="23"/>
      <c r="AH12" s="10"/>
      <c r="AI12" s="24"/>
      <c r="AJ12" s="25"/>
      <c r="AK12" s="24"/>
      <c r="AL12" s="25"/>
    </row>
    <row r="13" ht="16.5" hidden="1" customHeight="1">
      <c r="A13" s="26" t="s">
        <v>67</v>
      </c>
      <c r="B13" s="28">
        <v>0.0</v>
      </c>
      <c r="C13" s="15">
        <f>IFERROR(B13/B148, "NA")</f>
        <v>0</v>
      </c>
      <c r="D13" s="28">
        <v>0.0</v>
      </c>
      <c r="E13" s="15">
        <f>IFERROR(D13/D148, "NA")</f>
        <v>0</v>
      </c>
      <c r="F13" s="28">
        <v>0.0</v>
      </c>
      <c r="G13" s="15">
        <f>IFERROR(F13/F148, "NA")</f>
        <v>0</v>
      </c>
      <c r="H13" s="28">
        <v>0.0</v>
      </c>
      <c r="I13" s="15">
        <f>IFERROR(H13/H148, "NA")</f>
        <v>0</v>
      </c>
      <c r="J13" s="28">
        <v>0.0</v>
      </c>
      <c r="K13" s="15">
        <f>IFERROR(J13/J148, "NA")</f>
        <v>0</v>
      </c>
      <c r="L13" s="28">
        <v>0.0</v>
      </c>
      <c r="M13" s="15">
        <f>IFERROR(L13/L148, "NA")</f>
        <v>0</v>
      </c>
      <c r="N13" s="28">
        <v>0.0</v>
      </c>
      <c r="O13" s="15">
        <f>IFERROR(N13/N148, "NA")</f>
        <v>0</v>
      </c>
      <c r="P13" s="28">
        <v>0.0</v>
      </c>
      <c r="Q13" s="15">
        <f>IFERROR(P13/P148, "NA")</f>
        <v>0</v>
      </c>
      <c r="R13" s="28">
        <v>0.0</v>
      </c>
      <c r="S13" s="15">
        <f>IFERROR(R13/R148, "NA")</f>
        <v>0</v>
      </c>
      <c r="T13" s="28">
        <v>0.0</v>
      </c>
      <c r="U13" s="15">
        <f>IFERROR(T13/T148, "NA")</f>
        <v>0</v>
      </c>
      <c r="V13" s="28">
        <v>0.0</v>
      </c>
      <c r="W13" s="15">
        <f>IFERROR(V13/V148, "NA")</f>
        <v>0</v>
      </c>
      <c r="X13" s="28">
        <v>0.0</v>
      </c>
      <c r="Y13" s="15">
        <f>IFERROR(X13/X148, "NA")</f>
        <v>0</v>
      </c>
      <c r="Z13" s="28">
        <v>0.0</v>
      </c>
      <c r="AA13" s="15">
        <f>IFERROR(Z13/Z148, "NA")</f>
        <v>0</v>
      </c>
      <c r="AB13" s="57">
        <f>IFERROR((R13+T13+V13+X13)/4, "NA")</f>
        <v>0</v>
      </c>
      <c r="AC13" s="15">
        <f>IFERROR(AB13/AB148, "NA")</f>
        <v>0</v>
      </c>
      <c r="AD13" s="61">
        <f>IFERROR(X13-AB13, "NA")</f>
        <v>0</v>
      </c>
      <c r="AE13" s="62">
        <f>IFERROR(AD13/AD148, "NA")</f>
        <v>0</v>
      </c>
      <c r="AF13" s="61" t="str">
        <f>IFERROR((X13-AB13)/AB13, "NA")</f>
        <v>NA</v>
      </c>
      <c r="AG13" s="57">
        <f>IFERROR((J13+L13+N13+P13+R13+T13+V13+X13)/8, "NA")</f>
        <v>0</v>
      </c>
      <c r="AH13" s="15">
        <f>IFERROR(AG13/AG148, "NA")</f>
        <v>0</v>
      </c>
      <c r="AI13" s="61">
        <f>IFERROR(X13-AG13, "NA")</f>
        <v>0</v>
      </c>
      <c r="AJ13" s="62">
        <f>IFERROR(AI13/AI148, "NA")</f>
        <v>0</v>
      </c>
      <c r="AK13" s="61" t="str">
        <f>IFERROR((X13-AG13)/AG13, "NA")</f>
        <v>NA</v>
      </c>
      <c r="AL13" s="62" t="str">
        <f>IFERROR(AK13/AK148, "NA")</f>
        <v>NA</v>
      </c>
    </row>
    <row r="14" ht="16.5" customHeight="1">
      <c r="A14" s="22" t="s">
        <v>68</v>
      </c>
      <c r="B14" s="23"/>
      <c r="C14" s="10"/>
      <c r="D14" s="23"/>
      <c r="E14" s="10"/>
      <c r="F14" s="23"/>
      <c r="G14" s="10"/>
      <c r="H14" s="23"/>
      <c r="I14" s="10"/>
      <c r="J14" s="23"/>
      <c r="K14" s="10"/>
      <c r="L14" s="23"/>
      <c r="M14" s="10"/>
      <c r="N14" s="23"/>
      <c r="O14" s="10"/>
      <c r="P14" s="23"/>
      <c r="Q14" s="10"/>
      <c r="R14" s="23"/>
      <c r="S14" s="10"/>
      <c r="T14" s="23"/>
      <c r="U14" s="10"/>
      <c r="V14" s="23"/>
      <c r="W14" s="10"/>
      <c r="X14" s="23"/>
      <c r="Y14" s="10"/>
      <c r="Z14" s="23"/>
      <c r="AA14" s="10"/>
      <c r="AB14" s="23"/>
      <c r="AC14" s="10"/>
      <c r="AD14" s="24"/>
      <c r="AE14" s="25"/>
      <c r="AF14" s="24"/>
      <c r="AG14" s="23"/>
      <c r="AH14" s="10"/>
      <c r="AI14" s="24"/>
      <c r="AJ14" s="25"/>
      <c r="AK14" s="24"/>
      <c r="AL14" s="25"/>
    </row>
    <row r="15" ht="16.5" hidden="1" customHeight="1">
      <c r="A15" s="26" t="s">
        <v>69</v>
      </c>
      <c r="B15" s="28">
        <v>0.0</v>
      </c>
      <c r="C15" s="15">
        <f>IFERROR(B15/B148, "NA")</f>
        <v>0</v>
      </c>
      <c r="D15" s="28">
        <v>0.0</v>
      </c>
      <c r="E15" s="15">
        <f>IFERROR(D15/D148, "NA")</f>
        <v>0</v>
      </c>
      <c r="F15" s="28">
        <v>0.0</v>
      </c>
      <c r="G15" s="15">
        <f>IFERROR(F15/F148, "NA")</f>
        <v>0</v>
      </c>
      <c r="H15" s="28">
        <v>0.0</v>
      </c>
      <c r="I15" s="15">
        <f>IFERROR(H15/H148, "NA")</f>
        <v>0</v>
      </c>
      <c r="J15" s="28">
        <v>0.0</v>
      </c>
      <c r="K15" s="15">
        <f>IFERROR(J15/J148, "NA")</f>
        <v>0</v>
      </c>
      <c r="L15" s="28">
        <v>0.0</v>
      </c>
      <c r="M15" s="15">
        <f>IFERROR(L15/L148, "NA")</f>
        <v>0</v>
      </c>
      <c r="N15" s="28">
        <v>0.0</v>
      </c>
      <c r="O15" s="15">
        <f>IFERROR(N15/N148, "NA")</f>
        <v>0</v>
      </c>
      <c r="P15" s="28">
        <v>0.0</v>
      </c>
      <c r="Q15" s="15">
        <f>IFERROR(P15/P148, "NA")</f>
        <v>0</v>
      </c>
      <c r="R15" s="28">
        <v>0.0</v>
      </c>
      <c r="S15" s="15">
        <f>IFERROR(R15/R148, "NA")</f>
        <v>0</v>
      </c>
      <c r="T15" s="28">
        <v>0.0</v>
      </c>
      <c r="U15" s="15">
        <f>IFERROR(T15/T148, "NA")</f>
        <v>0</v>
      </c>
      <c r="V15" s="28">
        <v>0.0</v>
      </c>
      <c r="W15" s="15">
        <f>IFERROR(V15/V148, "NA")</f>
        <v>0</v>
      </c>
      <c r="X15" s="28">
        <v>0.0</v>
      </c>
      <c r="Y15" s="15">
        <f>IFERROR(X15/X148, "NA")</f>
        <v>0</v>
      </c>
      <c r="Z15" s="28">
        <v>0.0</v>
      </c>
      <c r="AA15" s="15">
        <f>IFERROR(Z15/Z148, "NA")</f>
        <v>0</v>
      </c>
      <c r="AB15" s="57">
        <f t="shared" ref="AB15:AB27" si="7">IFERROR((R15+T15+V15+X15)/4, "NA")</f>
        <v>0</v>
      </c>
      <c r="AC15" s="15">
        <f>IFERROR(AB15/AB148, "NA")</f>
        <v>0</v>
      </c>
      <c r="AD15" s="61">
        <f t="shared" ref="AD15:AD27" si="8">IFERROR(X15-AB15, "NA")</f>
        <v>0</v>
      </c>
      <c r="AE15" s="62">
        <f>IFERROR(AD15/AD148, "NA")</f>
        <v>0</v>
      </c>
      <c r="AF15" s="61" t="str">
        <f t="shared" ref="AF15:AF27" si="9">IFERROR((X15-AB15)/AB15, "NA")</f>
        <v>NA</v>
      </c>
      <c r="AG15" s="57">
        <f t="shared" ref="AG15:AG27" si="10">IFERROR((J15+L15+N15+P15+R15+T15+V15+X15)/8, "NA")</f>
        <v>0</v>
      </c>
      <c r="AH15" s="15">
        <f>IFERROR(AG15/AG148, "NA")</f>
        <v>0</v>
      </c>
      <c r="AI15" s="61">
        <f t="shared" ref="AI15:AI27" si="11">IFERROR(X15-AG15, "NA")</f>
        <v>0</v>
      </c>
      <c r="AJ15" s="62">
        <f>IFERROR(AI15/AI148, "NA")</f>
        <v>0</v>
      </c>
      <c r="AK15" s="61" t="str">
        <f t="shared" ref="AK15:AK27" si="12">IFERROR((X15-AG15)/AG15, "NA")</f>
        <v>NA</v>
      </c>
      <c r="AL15" s="62" t="str">
        <f>IFERROR(AK15/AK148, "NA")</f>
        <v>NA</v>
      </c>
    </row>
    <row r="16" ht="16.5" customHeight="1">
      <c r="A16" s="26" t="s">
        <v>70</v>
      </c>
      <c r="B16" s="28">
        <v>824.55</v>
      </c>
      <c r="C16" s="15">
        <f>IFERROR(B16/B148, "NA")</f>
        <v>0.05867004601</v>
      </c>
      <c r="D16" s="28">
        <v>1041.85</v>
      </c>
      <c r="E16" s="15">
        <f>IFERROR(D16/D148, "NA")</f>
        <v>0.05573903102</v>
      </c>
      <c r="F16" s="28">
        <v>1138.09</v>
      </c>
      <c r="G16" s="15">
        <f>IFERROR(F16/F148, "NA")</f>
        <v>0.04693303664</v>
      </c>
      <c r="H16" s="28">
        <v>1133.97</v>
      </c>
      <c r="I16" s="15">
        <f>IFERROR(H16/H148, "NA")</f>
        <v>0.04989323709</v>
      </c>
      <c r="J16" s="28">
        <v>1193.04</v>
      </c>
      <c r="K16" s="15">
        <f>IFERROR(J16/J148, "NA")</f>
        <v>0.0543344256</v>
      </c>
      <c r="L16" s="28">
        <v>1121.65</v>
      </c>
      <c r="M16" s="15">
        <f>IFERROR(L16/L148, "NA")</f>
        <v>0.04503934744</v>
      </c>
      <c r="N16" s="28">
        <v>1615.31</v>
      </c>
      <c r="O16" s="15">
        <f>IFERROR(N16/N148, "NA")</f>
        <v>0.06376425884</v>
      </c>
      <c r="P16" s="28">
        <v>1483.24</v>
      </c>
      <c r="Q16" s="15">
        <f>IFERROR(P16/P148, "NA")</f>
        <v>0.05693944167</v>
      </c>
      <c r="R16" s="28">
        <v>1422.62</v>
      </c>
      <c r="S16" s="15">
        <f>IFERROR(R16/R148, "NA")</f>
        <v>0.04746583832</v>
      </c>
      <c r="T16" s="28">
        <v>1218.01</v>
      </c>
      <c r="U16" s="15">
        <f>IFERROR(T16/T148, "NA")</f>
        <v>0.0466633668</v>
      </c>
      <c r="V16" s="28">
        <v>1732.49</v>
      </c>
      <c r="W16" s="15">
        <f>IFERROR(V16/V148, "NA")</f>
        <v>0.05707564139</v>
      </c>
      <c r="X16" s="28">
        <v>1039.86</v>
      </c>
      <c r="Y16" s="15">
        <f>IFERROR(X16/X148, "NA")</f>
        <v>0.04022547869</v>
      </c>
      <c r="Z16" s="28">
        <v>3990.36</v>
      </c>
      <c r="AA16" s="15">
        <f>IFERROR(Z16/Z148, "NA")</f>
        <v>0.04848134645</v>
      </c>
      <c r="AB16" s="57">
        <f t="shared" si="7"/>
        <v>1353.245</v>
      </c>
      <c r="AC16" s="15">
        <f>IFERROR(AB16/AB148, "NA")</f>
        <v>0.04821026844</v>
      </c>
      <c r="AD16" s="61">
        <f t="shared" si="8"/>
        <v>-313.385</v>
      </c>
      <c r="AE16" s="62">
        <f>IFERROR(AD16/AD148, "NA")</f>
        <v>0.1412367824</v>
      </c>
      <c r="AF16" s="61">
        <f t="shared" si="9"/>
        <v>-0.2315803864</v>
      </c>
      <c r="AG16" s="57">
        <f t="shared" si="10"/>
        <v>1353.2775</v>
      </c>
      <c r="AH16" s="15">
        <f>IFERROR(AG16/AG148, "NA")</f>
        <v>0.05142568228</v>
      </c>
      <c r="AI16" s="61">
        <f t="shared" si="11"/>
        <v>-313.4175</v>
      </c>
      <c r="AJ16" s="62">
        <f>IFERROR(AI16/AI148, "NA")</f>
        <v>0.674846989</v>
      </c>
      <c r="AK16" s="61">
        <f t="shared" si="12"/>
        <v>-0.2315988406</v>
      </c>
      <c r="AL16" s="62">
        <f>IFERROR(AK16/AK148, "NA")</f>
        <v>13.122762</v>
      </c>
    </row>
    <row r="17" ht="16.5" customHeight="1">
      <c r="A17" s="26" t="s">
        <v>71</v>
      </c>
      <c r="B17" s="28">
        <v>431.93</v>
      </c>
      <c r="C17" s="15">
        <f>IFERROR(B17/B148, "NA")</f>
        <v>0.03073355524</v>
      </c>
      <c r="D17" s="28">
        <v>740.45</v>
      </c>
      <c r="E17" s="15">
        <f>IFERROR(D17/D148, "NA")</f>
        <v>0.03961411481</v>
      </c>
      <c r="F17" s="28">
        <v>572.13</v>
      </c>
      <c r="G17" s="15">
        <f>IFERROR(F17/F148, "NA")</f>
        <v>0.02359373885</v>
      </c>
      <c r="H17" s="28">
        <v>595.88</v>
      </c>
      <c r="I17" s="15">
        <f>IFERROR(H17/H148, "NA")</f>
        <v>0.02621796178</v>
      </c>
      <c r="J17" s="28">
        <v>655.3</v>
      </c>
      <c r="K17" s="15">
        <f>IFERROR(J17/J148, "NA")</f>
        <v>0.02984422073</v>
      </c>
      <c r="L17" s="28">
        <v>613.23</v>
      </c>
      <c r="M17" s="15">
        <f>IFERROR(L17/L148, "NA")</f>
        <v>0.02462397275</v>
      </c>
      <c r="N17" s="28">
        <v>895.27</v>
      </c>
      <c r="O17" s="15">
        <f>IFERROR(N17/N148, "NA")</f>
        <v>0.03534072594</v>
      </c>
      <c r="P17" s="28">
        <v>802.25</v>
      </c>
      <c r="Q17" s="15">
        <f>IFERROR(P17/P148, "NA")</f>
        <v>0.03079721898</v>
      </c>
      <c r="R17" s="28">
        <v>556.34</v>
      </c>
      <c r="S17" s="15">
        <f>IFERROR(R17/R148, "NA")</f>
        <v>0.01856233182</v>
      </c>
      <c r="T17" s="28">
        <v>857.14</v>
      </c>
      <c r="U17" s="15">
        <f>IFERROR(T17/T148, "NA")</f>
        <v>0.03283802121</v>
      </c>
      <c r="V17" s="28">
        <v>775.05</v>
      </c>
      <c r="W17" s="15">
        <f>IFERROR(V17/V148, "NA")</f>
        <v>0.02553346678</v>
      </c>
      <c r="X17" s="28">
        <v>1107.06</v>
      </c>
      <c r="Y17" s="15">
        <f>IFERROR(X17/X148, "NA")</f>
        <v>0.0428250134</v>
      </c>
      <c r="Z17" s="28">
        <v>2739.25</v>
      </c>
      <c r="AA17" s="15">
        <f>IFERROR(Z17/Z148, "NA")</f>
        <v>0.03328083889</v>
      </c>
      <c r="AB17" s="57">
        <f t="shared" si="7"/>
        <v>823.8975</v>
      </c>
      <c r="AC17" s="15">
        <f>IFERROR(AB17/AB148, "NA")</f>
        <v>0.02935190571</v>
      </c>
      <c r="AD17" s="61">
        <f t="shared" si="8"/>
        <v>283.1625</v>
      </c>
      <c r="AE17" s="62">
        <f>IFERROR(AD17/AD148, "NA")</f>
        <v>-0.1276160645</v>
      </c>
      <c r="AF17" s="61">
        <f t="shared" si="9"/>
        <v>0.343686563</v>
      </c>
      <c r="AG17" s="57">
        <f t="shared" si="10"/>
        <v>782.705</v>
      </c>
      <c r="AH17" s="15">
        <f>IFERROR(AG17/AG148, "NA")</f>
        <v>0.02974344778</v>
      </c>
      <c r="AI17" s="61">
        <f t="shared" si="11"/>
        <v>324.355</v>
      </c>
      <c r="AJ17" s="62">
        <f>IFERROR(AI17/AI148, "NA")</f>
        <v>-0.6983974894</v>
      </c>
      <c r="AK17" s="61">
        <f t="shared" si="12"/>
        <v>0.4144026166</v>
      </c>
      <c r="AL17" s="62">
        <f>IFERROR(AK17/AK148, "NA")</f>
        <v>-23.48071732</v>
      </c>
    </row>
    <row r="18" ht="16.5" customHeight="1">
      <c r="A18" s="26" t="s">
        <v>72</v>
      </c>
      <c r="B18" s="28">
        <v>490.61</v>
      </c>
      <c r="C18" s="15">
        <f>IFERROR(B18/B148, "NA")</f>
        <v>0.03490887305</v>
      </c>
      <c r="D18" s="28">
        <v>782.87</v>
      </c>
      <c r="E18" s="15">
        <f>IFERROR(D18/D148, "NA")</f>
        <v>0.04188358709</v>
      </c>
      <c r="F18" s="28">
        <v>738.45</v>
      </c>
      <c r="G18" s="15">
        <f>IFERROR(F18/F148, "NA")</f>
        <v>0.03045251334</v>
      </c>
      <c r="H18" s="28">
        <v>689.13</v>
      </c>
      <c r="I18" s="15">
        <f>IFERROR(H18/H148, "NA")</f>
        <v>0.03032084312</v>
      </c>
      <c r="J18" s="28">
        <v>837.85</v>
      </c>
      <c r="K18" s="15">
        <f>IFERROR(J18/J148, "NA")</f>
        <v>0.03815806552</v>
      </c>
      <c r="L18" s="28">
        <v>1128.16</v>
      </c>
      <c r="M18" s="15">
        <f>IFERROR(L18/L148, "NA")</f>
        <v>0.04530075354</v>
      </c>
      <c r="N18" s="28">
        <v>997.66</v>
      </c>
      <c r="O18" s="15">
        <f>IFERROR(N18/N148, "NA")</f>
        <v>0.03938256463</v>
      </c>
      <c r="P18" s="28">
        <v>1073.96</v>
      </c>
      <c r="Q18" s="15">
        <f>IFERROR(P18/P148, "NA")</f>
        <v>0.04122777351</v>
      </c>
      <c r="R18" s="28">
        <v>1286.85</v>
      </c>
      <c r="S18" s="15">
        <f>IFERROR(R18/R148, "NA")</f>
        <v>0.04293586063</v>
      </c>
      <c r="T18" s="28">
        <v>1030.89</v>
      </c>
      <c r="U18" s="15">
        <f>IFERROR(T18/T148, "NA")</f>
        <v>0.03949458395</v>
      </c>
      <c r="V18" s="28">
        <v>1198.48</v>
      </c>
      <c r="W18" s="15">
        <f>IFERROR(V18/V148, "NA")</f>
        <v>0.03948306466</v>
      </c>
      <c r="X18" s="28">
        <v>1382.22</v>
      </c>
      <c r="Y18" s="15">
        <f>IFERROR(X18/X148, "NA")</f>
        <v>0.05346917965</v>
      </c>
      <c r="Z18" s="28">
        <v>3611.59</v>
      </c>
      <c r="AA18" s="15">
        <f>IFERROR(Z18/Z148, "NA")</f>
        <v>0.04387943595</v>
      </c>
      <c r="AB18" s="57">
        <f t="shared" si="7"/>
        <v>1224.61</v>
      </c>
      <c r="AC18" s="15">
        <f>IFERROR(AB18/AB148, "NA")</f>
        <v>0.04362755956</v>
      </c>
      <c r="AD18" s="61">
        <f t="shared" si="8"/>
        <v>157.61</v>
      </c>
      <c r="AE18" s="62">
        <f>IFERROR(AD18/AD148, "NA")</f>
        <v>-0.07103189134</v>
      </c>
      <c r="AF18" s="61">
        <f t="shared" si="9"/>
        <v>0.1287021991</v>
      </c>
      <c r="AG18" s="57">
        <f t="shared" si="10"/>
        <v>1117.00875</v>
      </c>
      <c r="AH18" s="15">
        <f>IFERROR(AG18/AG148, "NA")</f>
        <v>0.04244727122</v>
      </c>
      <c r="AI18" s="61">
        <f t="shared" si="11"/>
        <v>265.21125</v>
      </c>
      <c r="AJ18" s="62">
        <f>IFERROR(AI18/AI148, "NA")</f>
        <v>-0.5710498409</v>
      </c>
      <c r="AK18" s="61">
        <f t="shared" si="12"/>
        <v>0.2374298769</v>
      </c>
      <c r="AL18" s="62">
        <f>IFERROR(AK18/AK148, "NA")</f>
        <v>-13.45315787</v>
      </c>
    </row>
    <row r="19" ht="16.5" customHeight="1">
      <c r="A19" s="26" t="s">
        <v>74</v>
      </c>
      <c r="B19" s="28">
        <v>412.99</v>
      </c>
      <c r="C19" s="15">
        <f>IFERROR(B19/B148, "NA")</f>
        <v>0.02938589813</v>
      </c>
      <c r="D19" s="28">
        <v>512.29</v>
      </c>
      <c r="E19" s="15">
        <f>IFERROR(D19/D148, "NA")</f>
        <v>0.02740754254</v>
      </c>
      <c r="F19" s="28">
        <v>550.82</v>
      </c>
      <c r="G19" s="15">
        <f>IFERROR(F19/F148, "NA")</f>
        <v>0.02271494806</v>
      </c>
      <c r="H19" s="28">
        <v>599.69</v>
      </c>
      <c r="I19" s="15">
        <f>IFERROR(H19/H148, "NA")</f>
        <v>0.02638559693</v>
      </c>
      <c r="J19" s="28">
        <v>523.17</v>
      </c>
      <c r="K19" s="15">
        <f>IFERROR(J19/J148, "NA")</f>
        <v>0.02382664575</v>
      </c>
      <c r="L19" s="28">
        <v>613.2</v>
      </c>
      <c r="M19" s="15">
        <f>IFERROR(L19/L148, "NA")</f>
        <v>0.02462276811</v>
      </c>
      <c r="N19" s="28">
        <v>529.97</v>
      </c>
      <c r="O19" s="15">
        <f>IFERROR(N19/N148, "NA")</f>
        <v>0.02092053182</v>
      </c>
      <c r="P19" s="28">
        <v>737.34</v>
      </c>
      <c r="Q19" s="15">
        <f>IFERROR(P19/P148, "NA")</f>
        <v>0.02830541782</v>
      </c>
      <c r="R19" s="28">
        <v>681.67</v>
      </c>
      <c r="S19" s="15">
        <f>IFERROR(R19/R148, "NA")</f>
        <v>0.02274397802</v>
      </c>
      <c r="T19" s="28">
        <v>690.03</v>
      </c>
      <c r="U19" s="15">
        <f>IFERROR(T19/T148, "NA")</f>
        <v>0.02643584453</v>
      </c>
      <c r="V19" s="28">
        <v>787.1</v>
      </c>
      <c r="W19" s="15">
        <f>IFERROR(V19/V148, "NA")</f>
        <v>0.02593044539</v>
      </c>
      <c r="X19" s="28">
        <v>710.52</v>
      </c>
      <c r="Y19" s="15">
        <f>IFERROR(X19/X148, "NA")</f>
        <v>0.02748543758</v>
      </c>
      <c r="Z19" s="28">
        <v>2187.65</v>
      </c>
      <c r="AA19" s="15">
        <f>IFERROR(Z19/Z148, "NA")</f>
        <v>0.02657911005</v>
      </c>
      <c r="AB19" s="57">
        <f t="shared" si="7"/>
        <v>717.33</v>
      </c>
      <c r="AC19" s="15">
        <f>IFERROR(AB19/AB148, "NA")</f>
        <v>0.02555536644</v>
      </c>
      <c r="AD19" s="61">
        <f t="shared" si="8"/>
        <v>-6.81</v>
      </c>
      <c r="AE19" s="62">
        <f>IFERROR(AD19/AD148, "NA")</f>
        <v>0.003069140156</v>
      </c>
      <c r="AF19" s="61">
        <f t="shared" si="9"/>
        <v>-0.009493538539</v>
      </c>
      <c r="AG19" s="57">
        <f t="shared" si="10"/>
        <v>659.125</v>
      </c>
      <c r="AH19" s="15">
        <f>IFERROR(AG19/AG148, "NA")</f>
        <v>0.02504730392</v>
      </c>
      <c r="AI19" s="61">
        <f t="shared" si="11"/>
        <v>51.395</v>
      </c>
      <c r="AJ19" s="62">
        <f>IFERROR(AI19/AI148, "NA")</f>
        <v>-0.1106631283</v>
      </c>
      <c r="AK19" s="61">
        <f t="shared" si="12"/>
        <v>0.07797458752</v>
      </c>
      <c r="AL19" s="62">
        <f>IFERROR(AK19/AK148, "NA")</f>
        <v>-4.418165269</v>
      </c>
    </row>
    <row r="20" ht="16.5" customHeight="1">
      <c r="A20" s="26" t="s">
        <v>76</v>
      </c>
      <c r="B20" s="28">
        <v>189.33</v>
      </c>
      <c r="C20" s="15">
        <f>IFERROR(B20/B148, "NA")</f>
        <v>0.01347159034</v>
      </c>
      <c r="D20" s="28">
        <v>270.53</v>
      </c>
      <c r="E20" s="15">
        <f>IFERROR(D20/D148, "NA")</f>
        <v>0.01447336955</v>
      </c>
      <c r="F20" s="28">
        <v>268.35</v>
      </c>
      <c r="G20" s="15">
        <f>IFERROR(F20/F148, "NA")</f>
        <v>0.01106633077</v>
      </c>
      <c r="H20" s="28">
        <v>307.24</v>
      </c>
      <c r="I20" s="15">
        <f>IFERROR(H20/H148, "NA")</f>
        <v>0.01351816905</v>
      </c>
      <c r="J20" s="28">
        <v>366.68</v>
      </c>
      <c r="K20" s="15">
        <f>IFERROR(J20/J148, "NA")</f>
        <v>0.01669964727</v>
      </c>
      <c r="L20" s="28">
        <v>289.17</v>
      </c>
      <c r="M20" s="15">
        <f>IFERROR(L20/L148, "NA")</f>
        <v>0.0116114903</v>
      </c>
      <c r="N20" s="28">
        <v>303.26</v>
      </c>
      <c r="O20" s="15">
        <f>IFERROR(N20/N148, "NA")</f>
        <v>0.01197116909</v>
      </c>
      <c r="P20" s="28">
        <v>299.95</v>
      </c>
      <c r="Q20" s="15">
        <f>IFERROR(P20/P148, "NA")</f>
        <v>0.01151464735</v>
      </c>
      <c r="R20" s="28">
        <v>279.47</v>
      </c>
      <c r="S20" s="15">
        <f>IFERROR(R20/R148, "NA")</f>
        <v>0.009324540521</v>
      </c>
      <c r="T20" s="28">
        <v>332.28</v>
      </c>
      <c r="U20" s="15">
        <f>IFERROR(T20/T148, "NA")</f>
        <v>0.01273002974</v>
      </c>
      <c r="V20" s="28">
        <v>334.42</v>
      </c>
      <c r="W20" s="15">
        <f>IFERROR(V20/V148, "NA")</f>
        <v>0.01101722722</v>
      </c>
      <c r="X20" s="28">
        <v>409.12</v>
      </c>
      <c r="Y20" s="15">
        <f>IFERROR(X20/X148, "NA")</f>
        <v>0.01582621491</v>
      </c>
      <c r="Z20" s="28">
        <v>1075.82</v>
      </c>
      <c r="AA20" s="15">
        <f>IFERROR(Z20/Z148, "NA")</f>
        <v>0.01307080117</v>
      </c>
      <c r="AB20" s="57">
        <f t="shared" si="7"/>
        <v>338.8225</v>
      </c>
      <c r="AC20" s="15">
        <f>IFERROR(AB20/AB148, "NA")</f>
        <v>0.01207078074</v>
      </c>
      <c r="AD20" s="61">
        <f t="shared" si="8"/>
        <v>70.2975</v>
      </c>
      <c r="AE20" s="62">
        <f>IFERROR(AD20/AD148, "NA")</f>
        <v>-0.03168177388</v>
      </c>
      <c r="AF20" s="61">
        <f t="shared" si="9"/>
        <v>0.2074758908</v>
      </c>
      <c r="AG20" s="57">
        <f t="shared" si="10"/>
        <v>326.79375</v>
      </c>
      <c r="AH20" s="15">
        <f>IFERROR(AG20/AG148, "NA")</f>
        <v>0.01241843713</v>
      </c>
      <c r="AI20" s="61">
        <f t="shared" si="11"/>
        <v>82.32625</v>
      </c>
      <c r="AJ20" s="62">
        <f>IFERROR(AI20/AI148, "NA")</f>
        <v>-0.1772639432</v>
      </c>
      <c r="AK20" s="61">
        <f t="shared" si="12"/>
        <v>0.2519211276</v>
      </c>
      <c r="AL20" s="62">
        <f>IFERROR(AK20/AK148, "NA")</f>
        <v>-14.27425539</v>
      </c>
    </row>
    <row r="21" ht="16.5" customHeight="1">
      <c r="A21" s="26" t="s">
        <v>77</v>
      </c>
      <c r="B21" s="28">
        <v>98.59</v>
      </c>
      <c r="C21" s="15">
        <f>IFERROR(B21/B148, "NA")</f>
        <v>0.00701507469</v>
      </c>
      <c r="D21" s="28">
        <v>189.73</v>
      </c>
      <c r="E21" s="15">
        <f>IFERROR(D21/D148, "NA")</f>
        <v>0.0101505652</v>
      </c>
      <c r="F21" s="28">
        <v>106.27</v>
      </c>
      <c r="G21" s="15">
        <f>IFERROR(F21/F148, "NA")</f>
        <v>0.004382407194</v>
      </c>
      <c r="H21" s="28">
        <v>129.34</v>
      </c>
      <c r="I21" s="15">
        <f>IFERROR(H21/H148, "NA")</f>
        <v>0.005690795422</v>
      </c>
      <c r="J21" s="28">
        <v>200.29</v>
      </c>
      <c r="K21" s="15">
        <f>IFERROR(J21/J148, "NA")</f>
        <v>0.009121774713</v>
      </c>
      <c r="L21" s="28">
        <v>204.4</v>
      </c>
      <c r="M21" s="15">
        <f>IFERROR(L21/L148, "NA")</f>
        <v>0.00820758937</v>
      </c>
      <c r="N21" s="28">
        <v>180.43</v>
      </c>
      <c r="O21" s="15">
        <f>IFERROR(N21/N148, "NA")</f>
        <v>0.007122462699</v>
      </c>
      <c r="P21" s="28">
        <v>167.56</v>
      </c>
      <c r="Q21" s="15">
        <f>IFERROR(P21/P148, "NA")</f>
        <v>0.006432386428</v>
      </c>
      <c r="R21" s="28">
        <v>162.09</v>
      </c>
      <c r="S21" s="15">
        <f>IFERROR(R21/R148, "NA")</f>
        <v>0.005408146753</v>
      </c>
      <c r="T21" s="28">
        <v>169.99</v>
      </c>
      <c r="U21" s="15">
        <f>IFERROR(T21/T148, "NA")</f>
        <v>0.006512512806</v>
      </c>
      <c r="V21" s="28">
        <v>98.81</v>
      </c>
      <c r="W21" s="15">
        <f>IFERROR(V21/V148, "NA")</f>
        <v>0.003255224634</v>
      </c>
      <c r="X21" s="28">
        <v>99.2</v>
      </c>
      <c r="Y21" s="15">
        <f>IFERROR(X21/X148, "NA")</f>
        <v>0.003837408388</v>
      </c>
      <c r="Z21" s="28">
        <v>368.0</v>
      </c>
      <c r="AA21" s="15">
        <f>IFERROR(Z21/Z148, "NA")</f>
        <v>0.004471059126</v>
      </c>
      <c r="AB21" s="57">
        <f t="shared" si="7"/>
        <v>132.5225</v>
      </c>
      <c r="AC21" s="15">
        <f>IFERROR(AB21/AB148, "NA")</f>
        <v>0.004721203699</v>
      </c>
      <c r="AD21" s="61">
        <f t="shared" si="8"/>
        <v>-33.3225</v>
      </c>
      <c r="AE21" s="62">
        <f>IFERROR(AD21/AD148, "NA")</f>
        <v>0.01501783008</v>
      </c>
      <c r="AF21" s="61">
        <f t="shared" si="9"/>
        <v>-0.2514478673</v>
      </c>
      <c r="AG21" s="57">
        <f t="shared" si="10"/>
        <v>160.34625</v>
      </c>
      <c r="AH21" s="15">
        <f>IFERROR(AG21/AG148, "NA")</f>
        <v>0.006093292253</v>
      </c>
      <c r="AI21" s="61">
        <f t="shared" si="11"/>
        <v>-61.14625</v>
      </c>
      <c r="AJ21" s="62">
        <f>IFERROR(AI21/AI148, "NA")</f>
        <v>0.1316594086</v>
      </c>
      <c r="AK21" s="61">
        <f t="shared" si="12"/>
        <v>-0.3813388215</v>
      </c>
      <c r="AL21" s="62">
        <f>IFERROR(AK21/AK148, "NA")</f>
        <v>21.60726963</v>
      </c>
    </row>
    <row r="22" ht="16.5" hidden="1" customHeight="1">
      <c r="A22" s="26" t="s">
        <v>78</v>
      </c>
      <c r="B22" s="28">
        <v>0.0</v>
      </c>
      <c r="C22" s="15">
        <f>IFERROR(B22/B148, "NA")</f>
        <v>0</v>
      </c>
      <c r="D22" s="28">
        <v>0.0</v>
      </c>
      <c r="E22" s="15">
        <f>IFERROR(D22/D148, "NA")</f>
        <v>0</v>
      </c>
      <c r="F22" s="28">
        <v>0.0</v>
      </c>
      <c r="G22" s="15">
        <f>IFERROR(F22/F148, "NA")</f>
        <v>0</v>
      </c>
      <c r="H22" s="28">
        <v>0.0</v>
      </c>
      <c r="I22" s="15">
        <f>IFERROR(H22/H148, "NA")</f>
        <v>0</v>
      </c>
      <c r="J22" s="28">
        <v>0.0</v>
      </c>
      <c r="K22" s="15">
        <f>IFERROR(J22/J148, "NA")</f>
        <v>0</v>
      </c>
      <c r="L22" s="28">
        <v>0.0</v>
      </c>
      <c r="M22" s="15">
        <f>IFERROR(L22/L148, "NA")</f>
        <v>0</v>
      </c>
      <c r="N22" s="28">
        <v>0.0</v>
      </c>
      <c r="O22" s="15">
        <f>IFERROR(N22/N148, "NA")</f>
        <v>0</v>
      </c>
      <c r="P22" s="28">
        <v>0.0</v>
      </c>
      <c r="Q22" s="15">
        <f>IFERROR(P22/P148, "NA")</f>
        <v>0</v>
      </c>
      <c r="R22" s="28">
        <v>0.0</v>
      </c>
      <c r="S22" s="15">
        <f>IFERROR(R22/R148, "NA")</f>
        <v>0</v>
      </c>
      <c r="T22" s="28">
        <v>0.0</v>
      </c>
      <c r="U22" s="15">
        <f>IFERROR(T22/T148, "NA")</f>
        <v>0</v>
      </c>
      <c r="V22" s="28">
        <v>0.0</v>
      </c>
      <c r="W22" s="15">
        <f>IFERROR(V22/V148, "NA")</f>
        <v>0</v>
      </c>
      <c r="X22" s="28">
        <v>0.0</v>
      </c>
      <c r="Y22" s="15">
        <f>IFERROR(X22/X148, "NA")</f>
        <v>0</v>
      </c>
      <c r="Z22" s="28">
        <v>0.0</v>
      </c>
      <c r="AA22" s="15">
        <f>IFERROR(Z22/Z148, "NA")</f>
        <v>0</v>
      </c>
      <c r="AB22" s="57">
        <f t="shared" si="7"/>
        <v>0</v>
      </c>
      <c r="AC22" s="15">
        <f>IFERROR(AB22/AB148, "NA")</f>
        <v>0</v>
      </c>
      <c r="AD22" s="61">
        <f t="shared" si="8"/>
        <v>0</v>
      </c>
      <c r="AE22" s="62">
        <f>IFERROR(AD22/AD148, "NA")</f>
        <v>0</v>
      </c>
      <c r="AF22" s="61" t="str">
        <f t="shared" si="9"/>
        <v>NA</v>
      </c>
      <c r="AG22" s="57">
        <f t="shared" si="10"/>
        <v>0</v>
      </c>
      <c r="AH22" s="15">
        <f>IFERROR(AG22/AG148, "NA")</f>
        <v>0</v>
      </c>
      <c r="AI22" s="61">
        <f t="shared" si="11"/>
        <v>0</v>
      </c>
      <c r="AJ22" s="62">
        <f>IFERROR(AI22/AI148, "NA")</f>
        <v>0</v>
      </c>
      <c r="AK22" s="61" t="str">
        <f t="shared" si="12"/>
        <v>NA</v>
      </c>
      <c r="AL22" s="62" t="str">
        <f>IFERROR(AK22/AK148, "NA")</f>
        <v>NA</v>
      </c>
    </row>
    <row r="23" ht="16.5" customHeight="1">
      <c r="A23" s="26" t="s">
        <v>79</v>
      </c>
      <c r="B23" s="28">
        <v>72.22</v>
      </c>
      <c r="C23" s="15">
        <f>IFERROR(B23/B148, "NA")</f>
        <v>0.005138743221</v>
      </c>
      <c r="D23" s="28">
        <v>180.35</v>
      </c>
      <c r="E23" s="15">
        <f>IFERROR(D23/D148, "NA")</f>
        <v>0.009648734697</v>
      </c>
      <c r="F23" s="28">
        <v>7.48</v>
      </c>
      <c r="G23" s="15">
        <f>IFERROR(F23/F148, "NA")</f>
        <v>0.0003084634028</v>
      </c>
      <c r="H23" s="28">
        <v>35.96</v>
      </c>
      <c r="I23" s="15">
        <f>IFERROR(H23/H148, "NA")</f>
        <v>0.001582194243</v>
      </c>
      <c r="J23" s="28">
        <v>206.0</v>
      </c>
      <c r="K23" s="15">
        <f>IFERROR(J23/J148, "NA")</f>
        <v>0.009381824309</v>
      </c>
      <c r="L23" s="28">
        <v>100.49</v>
      </c>
      <c r="M23" s="15">
        <f>IFERROR(L23/L148, "NA")</f>
        <v>0.00403513041</v>
      </c>
      <c r="N23" s="28">
        <v>61.91</v>
      </c>
      <c r="O23" s="15">
        <f>IFERROR(N23/N148, "NA")</f>
        <v>0.002443893287</v>
      </c>
      <c r="P23" s="28">
        <v>179.42</v>
      </c>
      <c r="Q23" s="15">
        <f>IFERROR(P23/P148, "NA")</f>
        <v>0.006887674702</v>
      </c>
      <c r="R23" s="28">
        <v>72.08</v>
      </c>
      <c r="S23" s="15">
        <f>IFERROR(R23/R148, "NA")</f>
        <v>0.002404955383</v>
      </c>
      <c r="T23" s="28">
        <v>172.73</v>
      </c>
      <c r="U23" s="15">
        <f>IFERROR(T23/T148, "NA")</f>
        <v>0.006617485363</v>
      </c>
      <c r="V23" s="28">
        <v>214.4</v>
      </c>
      <c r="W23" s="15">
        <f>IFERROR(V23/V148, "NA")</f>
        <v>0.007063254342</v>
      </c>
      <c r="X23" s="28">
        <v>277.6</v>
      </c>
      <c r="Y23" s="15">
        <f>IFERROR(X23/X148, "NA")</f>
        <v>0.01073855412</v>
      </c>
      <c r="Z23" s="28">
        <v>664.73</v>
      </c>
      <c r="AA23" s="15">
        <f>IFERROR(Z23/Z148, "NA")</f>
        <v>0.008076215035</v>
      </c>
      <c r="AB23" s="57">
        <f t="shared" si="7"/>
        <v>184.2025</v>
      </c>
      <c r="AC23" s="15">
        <f>IFERROR(AB23/AB148, "NA")</f>
        <v>0.006562338655</v>
      </c>
      <c r="AD23" s="61">
        <f t="shared" si="8"/>
        <v>93.3975</v>
      </c>
      <c r="AE23" s="62">
        <f>IFERROR(AD23/AD148, "NA")</f>
        <v>-0.04209251362</v>
      </c>
      <c r="AF23" s="61">
        <f t="shared" si="9"/>
        <v>0.5070370923</v>
      </c>
      <c r="AG23" s="57">
        <f t="shared" si="10"/>
        <v>160.57875</v>
      </c>
      <c r="AH23" s="15">
        <f>IFERROR(AG23/AG148, "NA")</f>
        <v>0.006102127449</v>
      </c>
      <c r="AI23" s="61">
        <f t="shared" si="11"/>
        <v>117.02125</v>
      </c>
      <c r="AJ23" s="62">
        <f>IFERROR(AI23/AI148, "NA")</f>
        <v>-0.2519688218</v>
      </c>
      <c r="AK23" s="61">
        <f t="shared" si="12"/>
        <v>0.7287467987</v>
      </c>
      <c r="AL23" s="62">
        <f>IFERROR(AK23/AK148, "NA")</f>
        <v>-41.29196316</v>
      </c>
    </row>
    <row r="24" ht="16.5" customHeight="1">
      <c r="A24" s="26" t="s">
        <v>80</v>
      </c>
      <c r="B24" s="28">
        <v>1041.34</v>
      </c>
      <c r="C24" s="15">
        <f>IFERROR(B24/B148, "NA")</f>
        <v>0.07409552569</v>
      </c>
      <c r="D24" s="28">
        <v>1702.92</v>
      </c>
      <c r="E24" s="15">
        <f>IFERROR(D24/D148, "NA")</f>
        <v>0.09110631156</v>
      </c>
      <c r="F24" s="28">
        <v>1663.27</v>
      </c>
      <c r="G24" s="15">
        <f>IFERROR(F24/F148, "NA")</f>
        <v>0.06859063154</v>
      </c>
      <c r="H24" s="28">
        <v>1764.87</v>
      </c>
      <c r="I24" s="15">
        <f>IFERROR(H24/H148, "NA")</f>
        <v>0.0776520343</v>
      </c>
      <c r="J24" s="28">
        <v>1661.96</v>
      </c>
      <c r="K24" s="15">
        <f>IFERROR(J24/J148, "NA")</f>
        <v>0.07569037247</v>
      </c>
      <c r="L24" s="28">
        <v>1842.49</v>
      </c>
      <c r="M24" s="15">
        <f>IFERROR(L24/L148, "NA")</f>
        <v>0.07398435097</v>
      </c>
      <c r="N24" s="28">
        <v>1436.94</v>
      </c>
      <c r="O24" s="15">
        <f>IFERROR(N24/N148, "NA")</f>
        <v>0.05672311451</v>
      </c>
      <c r="P24" s="28">
        <v>2029.91</v>
      </c>
      <c r="Q24" s="15">
        <f>IFERROR(P24/P148, "NA")</f>
        <v>0.07792531353</v>
      </c>
      <c r="R24" s="28">
        <v>1957.5</v>
      </c>
      <c r="S24" s="15">
        <f>IFERROR(R24/R148, "NA")</f>
        <v>0.0653121554</v>
      </c>
      <c r="T24" s="28">
        <v>2358.75</v>
      </c>
      <c r="U24" s="15">
        <f>IFERROR(T24/T148, "NA")</f>
        <v>0.09036643085</v>
      </c>
      <c r="V24" s="28">
        <v>1560.89</v>
      </c>
      <c r="W24" s="15">
        <f>IFERROR(V24/V148, "NA")</f>
        <v>0.05142240238</v>
      </c>
      <c r="X24" s="28">
        <v>1818.07</v>
      </c>
      <c r="Y24" s="15">
        <f>IFERROR(X24/X148, "NA")</f>
        <v>0.07032940592</v>
      </c>
      <c r="Z24" s="28">
        <v>5737.71</v>
      </c>
      <c r="AA24" s="15">
        <f>IFERROR(Z24/Z148, "NA")</f>
        <v>0.06971098005</v>
      </c>
      <c r="AB24" s="57">
        <f t="shared" si="7"/>
        <v>1923.8025</v>
      </c>
      <c r="AC24" s="15">
        <f>IFERROR(AB24/AB148, "NA")</f>
        <v>0.0685367653</v>
      </c>
      <c r="AD24" s="61">
        <f t="shared" si="8"/>
        <v>-105.7325</v>
      </c>
      <c r="AE24" s="62">
        <f>IFERROR(AD24/AD148, "NA")</f>
        <v>0.04765166837</v>
      </c>
      <c r="AF24" s="61">
        <f t="shared" si="9"/>
        <v>-0.05496016353</v>
      </c>
      <c r="AG24" s="57">
        <f t="shared" si="10"/>
        <v>1833.31375</v>
      </c>
      <c r="AH24" s="15">
        <f>IFERROR(AG24/AG148, "NA")</f>
        <v>0.0696674632</v>
      </c>
      <c r="AI24" s="61">
        <f t="shared" si="11"/>
        <v>-15.24375</v>
      </c>
      <c r="AJ24" s="62">
        <f>IFERROR(AI24/AI148, "NA")</f>
        <v>0.03282266877</v>
      </c>
      <c r="AK24" s="61">
        <f t="shared" si="12"/>
        <v>-0.008314861545</v>
      </c>
      <c r="AL24" s="62">
        <f>IFERROR(AK24/AK148, "NA")</f>
        <v>0.4711333995</v>
      </c>
    </row>
    <row r="25" ht="16.5" hidden="1" customHeight="1">
      <c r="A25" s="26" t="s">
        <v>81</v>
      </c>
      <c r="B25" s="28">
        <v>0.0</v>
      </c>
      <c r="C25" s="15">
        <f>IFERROR(B25/B148, "NA")</f>
        <v>0</v>
      </c>
      <c r="D25" s="28">
        <v>0.0</v>
      </c>
      <c r="E25" s="15">
        <f>IFERROR(D25/D148, "NA")</f>
        <v>0</v>
      </c>
      <c r="F25" s="28">
        <v>0.0</v>
      </c>
      <c r="G25" s="15">
        <f>IFERROR(F25/F148, "NA")</f>
        <v>0</v>
      </c>
      <c r="H25" s="28">
        <v>0.0</v>
      </c>
      <c r="I25" s="15">
        <f>IFERROR(H25/H148, "NA")</f>
        <v>0</v>
      </c>
      <c r="J25" s="28">
        <v>0.0</v>
      </c>
      <c r="K25" s="15">
        <f>IFERROR(J25/J148, "NA")</f>
        <v>0</v>
      </c>
      <c r="L25" s="28">
        <v>0.0</v>
      </c>
      <c r="M25" s="15">
        <f>IFERROR(L25/L148, "NA")</f>
        <v>0</v>
      </c>
      <c r="N25" s="28">
        <v>0.0</v>
      </c>
      <c r="O25" s="15">
        <f>IFERROR(N25/N148, "NA")</f>
        <v>0</v>
      </c>
      <c r="P25" s="28">
        <v>0.0</v>
      </c>
      <c r="Q25" s="15">
        <f>IFERROR(P25/P148, "NA")</f>
        <v>0</v>
      </c>
      <c r="R25" s="28">
        <v>0.0</v>
      </c>
      <c r="S25" s="15">
        <f>IFERROR(R25/R148, "NA")</f>
        <v>0</v>
      </c>
      <c r="T25" s="28">
        <v>0.0</v>
      </c>
      <c r="U25" s="15">
        <f>IFERROR(T25/T148, "NA")</f>
        <v>0</v>
      </c>
      <c r="V25" s="28">
        <v>0.0</v>
      </c>
      <c r="W25" s="15">
        <f>IFERROR(V25/V148, "NA")</f>
        <v>0</v>
      </c>
      <c r="X25" s="28">
        <v>0.0</v>
      </c>
      <c r="Y25" s="15">
        <f>IFERROR(X25/X148, "NA")</f>
        <v>0</v>
      </c>
      <c r="Z25" s="28">
        <v>0.0</v>
      </c>
      <c r="AA25" s="15">
        <f>IFERROR(Z25/Z148, "NA")</f>
        <v>0</v>
      </c>
      <c r="AB25" s="57">
        <f t="shared" si="7"/>
        <v>0</v>
      </c>
      <c r="AC25" s="15">
        <f>IFERROR(AB25/AB148, "NA")</f>
        <v>0</v>
      </c>
      <c r="AD25" s="61">
        <f t="shared" si="8"/>
        <v>0</v>
      </c>
      <c r="AE25" s="62">
        <f>IFERROR(AD25/AD148, "NA")</f>
        <v>0</v>
      </c>
      <c r="AF25" s="61" t="str">
        <f t="shared" si="9"/>
        <v>NA</v>
      </c>
      <c r="AG25" s="57">
        <f t="shared" si="10"/>
        <v>0</v>
      </c>
      <c r="AH25" s="15">
        <f>IFERROR(AG25/AG148, "NA")</f>
        <v>0</v>
      </c>
      <c r="AI25" s="61">
        <f t="shared" si="11"/>
        <v>0</v>
      </c>
      <c r="AJ25" s="62">
        <f>IFERROR(AI25/AI148, "NA")</f>
        <v>0</v>
      </c>
      <c r="AK25" s="61" t="str">
        <f t="shared" si="12"/>
        <v>NA</v>
      </c>
      <c r="AL25" s="62" t="str">
        <f>IFERROR(AK25/AK148, "NA")</f>
        <v>NA</v>
      </c>
    </row>
    <row r="26" ht="16.5" hidden="1" customHeight="1">
      <c r="A26" s="26" t="s">
        <v>82</v>
      </c>
      <c r="B26" s="28">
        <v>0.0</v>
      </c>
      <c r="C26" s="15">
        <f>IFERROR(B26/B148, "NA")</f>
        <v>0</v>
      </c>
      <c r="D26" s="28">
        <v>0.0</v>
      </c>
      <c r="E26" s="15">
        <f>IFERROR(D26/D148, "NA")</f>
        <v>0</v>
      </c>
      <c r="F26" s="28">
        <v>0.0</v>
      </c>
      <c r="G26" s="15">
        <f>IFERROR(F26/F148, "NA")</f>
        <v>0</v>
      </c>
      <c r="H26" s="28">
        <v>0.0</v>
      </c>
      <c r="I26" s="15">
        <f>IFERROR(H26/H148, "NA")</f>
        <v>0</v>
      </c>
      <c r="J26" s="28">
        <v>0.0</v>
      </c>
      <c r="K26" s="15">
        <f>IFERROR(J26/J148, "NA")</f>
        <v>0</v>
      </c>
      <c r="L26" s="28">
        <v>0.0</v>
      </c>
      <c r="M26" s="15">
        <f>IFERROR(L26/L148, "NA")</f>
        <v>0</v>
      </c>
      <c r="N26" s="28">
        <v>0.0</v>
      </c>
      <c r="O26" s="15">
        <f>IFERROR(N26/N148, "NA")</f>
        <v>0</v>
      </c>
      <c r="P26" s="28">
        <v>0.0</v>
      </c>
      <c r="Q26" s="15">
        <f>IFERROR(P26/P148, "NA")</f>
        <v>0</v>
      </c>
      <c r="R26" s="28">
        <v>0.0</v>
      </c>
      <c r="S26" s="15">
        <f>IFERROR(R26/R148, "NA")</f>
        <v>0</v>
      </c>
      <c r="T26" s="28">
        <v>0.0</v>
      </c>
      <c r="U26" s="15">
        <f>IFERROR(T26/T148, "NA")</f>
        <v>0</v>
      </c>
      <c r="V26" s="28">
        <v>0.0</v>
      </c>
      <c r="W26" s="15">
        <f>IFERROR(V26/V148, "NA")</f>
        <v>0</v>
      </c>
      <c r="X26" s="28">
        <v>0.0</v>
      </c>
      <c r="Y26" s="15">
        <f>IFERROR(X26/X148, "NA")</f>
        <v>0</v>
      </c>
      <c r="Z26" s="28">
        <v>0.0</v>
      </c>
      <c r="AA26" s="15">
        <f>IFERROR(Z26/Z148, "NA")</f>
        <v>0</v>
      </c>
      <c r="AB26" s="57">
        <f t="shared" si="7"/>
        <v>0</v>
      </c>
      <c r="AC26" s="15">
        <f>IFERROR(AB26/AB148, "NA")</f>
        <v>0</v>
      </c>
      <c r="AD26" s="61">
        <f t="shared" si="8"/>
        <v>0</v>
      </c>
      <c r="AE26" s="62">
        <f>IFERROR(AD26/AD148, "NA")</f>
        <v>0</v>
      </c>
      <c r="AF26" s="61" t="str">
        <f t="shared" si="9"/>
        <v>NA</v>
      </c>
      <c r="AG26" s="57">
        <f t="shared" si="10"/>
        <v>0</v>
      </c>
      <c r="AH26" s="15">
        <f>IFERROR(AG26/AG148, "NA")</f>
        <v>0</v>
      </c>
      <c r="AI26" s="61">
        <f t="shared" si="11"/>
        <v>0</v>
      </c>
      <c r="AJ26" s="62">
        <f>IFERROR(AI26/AI148, "NA")</f>
        <v>0</v>
      </c>
      <c r="AK26" s="61" t="str">
        <f t="shared" si="12"/>
        <v>NA</v>
      </c>
      <c r="AL26" s="62" t="str">
        <f>IFERROR(AK26/AK148, "NA")</f>
        <v>NA</v>
      </c>
    </row>
    <row r="27" ht="16.5" customHeight="1">
      <c r="A27" s="67" t="s">
        <v>83</v>
      </c>
      <c r="B27" s="70">
        <f>IFERROR(B15+B16+B17+B18+B19+B20+B21+B22+B23+B24+B25+B26, "NA")</f>
        <v>3561.56</v>
      </c>
      <c r="C27" s="71">
        <f>IFERROR(B27/B148, "NA")</f>
        <v>0.2534193064</v>
      </c>
      <c r="D27" s="70">
        <f>IFERROR(D15+D16+D17+D18+D19+D20+D21+D22+D23+D24+D25+D26, "NA")</f>
        <v>5420.99</v>
      </c>
      <c r="E27" s="71">
        <f>IFERROR(D27/D148, "NA")</f>
        <v>0.2900232565</v>
      </c>
      <c r="F27" s="70">
        <f>IFERROR(F15+F16+F17+F18+F19+F20+F21+F22+F23+F24+F25+F26, "NA")</f>
        <v>5044.86</v>
      </c>
      <c r="G27" s="71">
        <f>IFERROR(F27/F148, "NA")</f>
        <v>0.2080420698</v>
      </c>
      <c r="H27" s="70">
        <f>IFERROR(H15+H16+H17+H18+H19+H20+H21+H22+H23+H24+H25+H26, "NA")</f>
        <v>5256.08</v>
      </c>
      <c r="I27" s="71">
        <f>IFERROR(H27/H148, "NA")</f>
        <v>0.2312608319</v>
      </c>
      <c r="J27" s="70">
        <f>IFERROR(J15+J16+J17+J18+J19+J20+J21+J22+J23+J24+J25+J26, "NA")</f>
        <v>5644.29</v>
      </c>
      <c r="K27" s="71">
        <f>IFERROR(J27/J148, "NA")</f>
        <v>0.2570569764</v>
      </c>
      <c r="L27" s="70">
        <f>IFERROR(L15+L16+L17+L18+L19+L20+L21+L22+L23+L24+L25+L26, "NA")</f>
        <v>5912.79</v>
      </c>
      <c r="M27" s="71">
        <f>IFERROR(L27/L148, "NA")</f>
        <v>0.2374254029</v>
      </c>
      <c r="N27" s="70">
        <f>IFERROR(N15+N16+N17+N18+N19+N20+N21+N22+N23+N24+N25+N26, "NA")</f>
        <v>6020.75</v>
      </c>
      <c r="O27" s="71">
        <f>IFERROR(N27/N148, "NA")</f>
        <v>0.2376687208</v>
      </c>
      <c r="P27" s="70">
        <f>IFERROR(P15+P16+P17+P18+P19+P20+P21+P22+P23+P24+P25+P26, "NA")</f>
        <v>6773.63</v>
      </c>
      <c r="Q27" s="71">
        <f>IFERROR(P27/P148, "NA")</f>
        <v>0.260029874</v>
      </c>
      <c r="R27" s="70">
        <f>IFERROR(R15+R16+R17+R18+R19+R20+R21+R22+R23+R24+R25+R26, "NA")</f>
        <v>6418.62</v>
      </c>
      <c r="S27" s="71">
        <f>IFERROR(R27/R148, "NA")</f>
        <v>0.2141578068</v>
      </c>
      <c r="T27" s="70">
        <f>IFERROR(T15+T16+T17+T18+T19+T20+T21+T22+T23+T24+T25+T26, "NA")</f>
        <v>6829.82</v>
      </c>
      <c r="U27" s="71">
        <f>IFERROR(T27/T148, "NA")</f>
        <v>0.2616582752</v>
      </c>
      <c r="V27" s="70">
        <f>IFERROR(V15+V16+V17+V18+V19+V20+V21+V22+V23+V24+V25+V26, "NA")</f>
        <v>6701.64</v>
      </c>
      <c r="W27" s="71">
        <f>IFERROR(V27/V148, "NA")</f>
        <v>0.2207807268</v>
      </c>
      <c r="X27" s="70">
        <f>IFERROR(X15+X16+X17+X18+X19+X20+X21+X22+X23+X24+X25+X26, "NA")</f>
        <v>6843.65</v>
      </c>
      <c r="Y27" s="71">
        <f>IFERROR(X27/X148, "NA")</f>
        <v>0.2647366927</v>
      </c>
      <c r="Z27" s="70">
        <f>IFERROR(Z15+Z16+Z17+Z18+Z19+Z20+Z21+Z22+Z23+Z24+Z25+Z26, "NA")</f>
        <v>20375.11</v>
      </c>
      <c r="AA27" s="71">
        <f>IFERROR(Z27/Z148, "NA")</f>
        <v>0.2475497867</v>
      </c>
      <c r="AB27" s="70">
        <f t="shared" si="7"/>
        <v>6698.4325</v>
      </c>
      <c r="AC27" s="71">
        <f>IFERROR(AB27/AB148, "NA")</f>
        <v>0.2386361885</v>
      </c>
      <c r="AD27" s="75">
        <f t="shared" si="8"/>
        <v>145.2175</v>
      </c>
      <c r="AE27" s="76">
        <f>IFERROR(AD27/AD148, "NA")</f>
        <v>-0.06544682241</v>
      </c>
      <c r="AF27" s="75">
        <f t="shared" si="9"/>
        <v>0.02167932572</v>
      </c>
      <c r="AG27" s="70">
        <f t="shared" si="10"/>
        <v>6393.14875</v>
      </c>
      <c r="AH27" s="71">
        <f>IFERROR(AG27/AG148, "NA")</f>
        <v>0.2429450252</v>
      </c>
      <c r="AI27" s="75">
        <f t="shared" si="11"/>
        <v>450.50125</v>
      </c>
      <c r="AJ27" s="76">
        <f>IFERROR(AI27/AI148, "NA")</f>
        <v>-0.9700141572</v>
      </c>
      <c r="AK27" s="75">
        <f t="shared" si="12"/>
        <v>0.07046625499</v>
      </c>
      <c r="AL27" s="76">
        <f>IFERROR(AK27/AK148, "NA")</f>
        <v>-3.992731097</v>
      </c>
    </row>
    <row r="28" ht="16.5" customHeight="1">
      <c r="A28" s="22" t="s">
        <v>84</v>
      </c>
      <c r="B28" s="23"/>
      <c r="C28" s="10"/>
      <c r="D28" s="23"/>
      <c r="E28" s="10"/>
      <c r="F28" s="23"/>
      <c r="G28" s="10"/>
      <c r="H28" s="23"/>
      <c r="I28" s="10"/>
      <c r="J28" s="23"/>
      <c r="K28" s="10"/>
      <c r="L28" s="23"/>
      <c r="M28" s="10"/>
      <c r="N28" s="23"/>
      <c r="O28" s="10"/>
      <c r="P28" s="23"/>
      <c r="Q28" s="10"/>
      <c r="R28" s="23"/>
      <c r="S28" s="10"/>
      <c r="T28" s="23"/>
      <c r="U28" s="10"/>
      <c r="V28" s="23"/>
      <c r="W28" s="10"/>
      <c r="X28" s="23"/>
      <c r="Y28" s="10"/>
      <c r="Z28" s="23"/>
      <c r="AA28" s="10"/>
      <c r="AB28" s="23"/>
      <c r="AC28" s="10"/>
      <c r="AD28" s="24"/>
      <c r="AE28" s="25"/>
      <c r="AF28" s="24"/>
      <c r="AG28" s="23"/>
      <c r="AH28" s="10"/>
      <c r="AI28" s="24"/>
      <c r="AJ28" s="25"/>
      <c r="AK28" s="24"/>
      <c r="AL28" s="25"/>
    </row>
    <row r="29" ht="16.5" hidden="1" customHeight="1">
      <c r="A29" s="26" t="s">
        <v>85</v>
      </c>
      <c r="B29" s="28">
        <v>0.0</v>
      </c>
      <c r="C29" s="15">
        <f>IFERROR(B29/B148, "NA")</f>
        <v>0</v>
      </c>
      <c r="D29" s="28">
        <v>0.0</v>
      </c>
      <c r="E29" s="15">
        <f>IFERROR(D29/D148, "NA")</f>
        <v>0</v>
      </c>
      <c r="F29" s="28">
        <v>0.0</v>
      </c>
      <c r="G29" s="15">
        <f>IFERROR(F29/F148, "NA")</f>
        <v>0</v>
      </c>
      <c r="H29" s="28">
        <v>0.0</v>
      </c>
      <c r="I29" s="15">
        <f>IFERROR(H29/H148, "NA")</f>
        <v>0</v>
      </c>
      <c r="J29" s="28">
        <v>0.0</v>
      </c>
      <c r="K29" s="15">
        <f>IFERROR(J29/J148, "NA")</f>
        <v>0</v>
      </c>
      <c r="L29" s="28">
        <v>0.0</v>
      </c>
      <c r="M29" s="15">
        <f>IFERROR(L29/L148, "NA")</f>
        <v>0</v>
      </c>
      <c r="N29" s="28">
        <v>0.0</v>
      </c>
      <c r="O29" s="15">
        <f>IFERROR(N29/N148, "NA")</f>
        <v>0</v>
      </c>
      <c r="P29" s="28">
        <v>0.0</v>
      </c>
      <c r="Q29" s="15">
        <f>IFERROR(P29/P148, "NA")</f>
        <v>0</v>
      </c>
      <c r="R29" s="28">
        <v>0.0</v>
      </c>
      <c r="S29" s="15">
        <f>IFERROR(R29/R148, "NA")</f>
        <v>0</v>
      </c>
      <c r="T29" s="28">
        <v>0.0</v>
      </c>
      <c r="U29" s="15">
        <f>IFERROR(T29/T148, "NA")</f>
        <v>0</v>
      </c>
      <c r="V29" s="28">
        <v>0.0</v>
      </c>
      <c r="W29" s="15">
        <f>IFERROR(V29/V148, "NA")</f>
        <v>0</v>
      </c>
      <c r="X29" s="28">
        <v>0.0</v>
      </c>
      <c r="Y29" s="15">
        <f>IFERROR(X29/X148, "NA")</f>
        <v>0</v>
      </c>
      <c r="Z29" s="28">
        <v>0.0</v>
      </c>
      <c r="AA29" s="15">
        <f>IFERROR(Z29/Z148, "NA")</f>
        <v>0</v>
      </c>
      <c r="AB29" s="57">
        <f t="shared" ref="AB29:AB35" si="13">IFERROR((R29+T29+V29+X29)/4, "NA")</f>
        <v>0</v>
      </c>
      <c r="AC29" s="15">
        <f>IFERROR(AB29/AB148, "NA")</f>
        <v>0</v>
      </c>
      <c r="AD29" s="61">
        <f t="shared" ref="AD29:AD35" si="14">IFERROR(X29-AB29, "NA")</f>
        <v>0</v>
      </c>
      <c r="AE29" s="62">
        <f>IFERROR(AD29/AD148, "NA")</f>
        <v>0</v>
      </c>
      <c r="AF29" s="61" t="str">
        <f t="shared" ref="AF29:AF35" si="15">IFERROR((X29-AB29)/AB29, "NA")</f>
        <v>NA</v>
      </c>
      <c r="AG29" s="57">
        <f t="shared" ref="AG29:AG35" si="16">IFERROR((J29+L29+N29+P29+R29+T29+V29+X29)/8, "NA")</f>
        <v>0</v>
      </c>
      <c r="AH29" s="15">
        <f>IFERROR(AG29/AG148, "NA")</f>
        <v>0</v>
      </c>
      <c r="AI29" s="61">
        <f t="shared" ref="AI29:AI35" si="17">IFERROR(X29-AG29, "NA")</f>
        <v>0</v>
      </c>
      <c r="AJ29" s="62">
        <f>IFERROR(AI29/AI148, "NA")</f>
        <v>0</v>
      </c>
      <c r="AK29" s="61" t="str">
        <f t="shared" ref="AK29:AK35" si="18">IFERROR((X29-AG29)/AG29, "NA")</f>
        <v>NA</v>
      </c>
      <c r="AL29" s="62" t="str">
        <f>IFERROR(AK29/AK148, "NA")</f>
        <v>NA</v>
      </c>
    </row>
    <row r="30" ht="16.5" customHeight="1">
      <c r="A30" s="26" t="s">
        <v>88</v>
      </c>
      <c r="B30" s="28">
        <v>168.09</v>
      </c>
      <c r="C30" s="15">
        <f>IFERROR(B30/B148, "NA")</f>
        <v>0.01196027898</v>
      </c>
      <c r="D30" s="28">
        <v>333.05</v>
      </c>
      <c r="E30" s="15">
        <f>IFERROR(D30/D148, "NA")</f>
        <v>0.01781819291</v>
      </c>
      <c r="F30" s="28">
        <v>330.85</v>
      </c>
      <c r="G30" s="15">
        <f>IFERROR(F30/F148, "NA")</f>
        <v>0.01364373219</v>
      </c>
      <c r="H30" s="28">
        <v>169.88</v>
      </c>
      <c r="I30" s="15">
        <f>IFERROR(H30/H148, "NA")</f>
        <v>0.007474503837</v>
      </c>
      <c r="J30" s="28">
        <v>289.43</v>
      </c>
      <c r="K30" s="15">
        <f>IFERROR(J30/J148, "NA")</f>
        <v>0.01318146315</v>
      </c>
      <c r="L30" s="28">
        <v>397.69</v>
      </c>
      <c r="M30" s="15">
        <f>IFERROR(L30/L148, "NA")</f>
        <v>0.01596906172</v>
      </c>
      <c r="N30" s="28">
        <v>230.94</v>
      </c>
      <c r="O30" s="15">
        <f>IFERROR(N30/N148, "NA")</f>
        <v>0.009116341716</v>
      </c>
      <c r="P30" s="28">
        <v>246.22</v>
      </c>
      <c r="Q30" s="15">
        <f>IFERROR(P30/P148, "NA")</f>
        <v>0.009452030236</v>
      </c>
      <c r="R30" s="28">
        <v>385.93</v>
      </c>
      <c r="S30" s="15">
        <f>IFERROR(R30/R148, "NA")</f>
        <v>0.01287658755</v>
      </c>
      <c r="T30" s="28">
        <v>380.3</v>
      </c>
      <c r="U30" s="15">
        <f>IFERROR(T30/T148, "NA")</f>
        <v>0.01456973128</v>
      </c>
      <c r="V30" s="28">
        <v>290.33</v>
      </c>
      <c r="W30" s="15">
        <f>IFERROR(V30/V148, "NA")</f>
        <v>0.009564713773</v>
      </c>
      <c r="X30" s="28">
        <v>608.24</v>
      </c>
      <c r="Y30" s="15">
        <f>IFERROR(X30/X148, "NA")</f>
        <v>0.02352888385</v>
      </c>
      <c r="Z30" s="28">
        <v>1278.87</v>
      </c>
      <c r="AA30" s="15">
        <f>IFERROR(Z30/Z148, "NA")</f>
        <v>0.01553778094</v>
      </c>
      <c r="AB30" s="57">
        <f t="shared" si="13"/>
        <v>416.2</v>
      </c>
      <c r="AC30" s="15">
        <f>IFERROR(AB30/AB148, "NA")</f>
        <v>0.01482740651</v>
      </c>
      <c r="AD30" s="61">
        <f t="shared" si="14"/>
        <v>192.04</v>
      </c>
      <c r="AE30" s="62">
        <f>IFERROR(AD30/AD148, "NA")</f>
        <v>-0.08654885104</v>
      </c>
      <c r="AF30" s="61">
        <f t="shared" si="15"/>
        <v>0.4614127823</v>
      </c>
      <c r="AG30" s="57">
        <f t="shared" si="16"/>
        <v>353.635</v>
      </c>
      <c r="AH30" s="15">
        <f>IFERROR(AG30/AG148, "NA")</f>
        <v>0.01343842719</v>
      </c>
      <c r="AI30" s="61">
        <f t="shared" si="17"/>
        <v>254.605</v>
      </c>
      <c r="AJ30" s="62">
        <f>IFERROR(AI30/AI148, "NA")</f>
        <v>-0.5482125843</v>
      </c>
      <c r="AK30" s="61">
        <f t="shared" si="18"/>
        <v>0.7199655012</v>
      </c>
      <c r="AL30" s="62">
        <f>IFERROR(AK30/AK148, "NA")</f>
        <v>-40.79440075</v>
      </c>
    </row>
    <row r="31" ht="16.5" customHeight="1">
      <c r="A31" s="26" t="s">
        <v>89</v>
      </c>
      <c r="B31" s="28">
        <v>6.94</v>
      </c>
      <c r="C31" s="15">
        <f>IFERROR(B31/B148, "NA")</f>
        <v>0.0004938088888</v>
      </c>
      <c r="D31" s="28">
        <v>8.3</v>
      </c>
      <c r="E31" s="15">
        <f>IFERROR(D31/D148, "NA")</f>
        <v>0.0004440504463</v>
      </c>
      <c r="F31" s="28">
        <v>2.72</v>
      </c>
      <c r="G31" s="15">
        <f>IFERROR(F31/F148, "NA")</f>
        <v>0.0001121685101</v>
      </c>
      <c r="H31" s="28">
        <v>9.69</v>
      </c>
      <c r="I31" s="15">
        <f>IFERROR(H31/H148, "NA")</f>
        <v>0.00042634767</v>
      </c>
      <c r="J31" s="28">
        <v>12.62</v>
      </c>
      <c r="K31" s="15">
        <f>IFERROR(J31/J148, "NA")</f>
        <v>0.000574750596</v>
      </c>
      <c r="L31" s="28">
        <v>1.72</v>
      </c>
      <c r="M31" s="15">
        <f>IFERROR(L31/L148, "NA")</f>
        <v>0.00006906582053</v>
      </c>
      <c r="N31" s="28">
        <v>12.56</v>
      </c>
      <c r="O31" s="15">
        <f>IFERROR(N31/N148, "NA")</f>
        <v>0.0004958051959</v>
      </c>
      <c r="P31" s="28">
        <v>10.65</v>
      </c>
      <c r="Q31" s="15">
        <f>IFERROR(P31/P148, "NA")</f>
        <v>0.0004088381205</v>
      </c>
      <c r="R31" s="28">
        <v>24.52</v>
      </c>
      <c r="S31" s="15">
        <f>IFERROR(R31/R148, "NA")</f>
        <v>0.0008181119032</v>
      </c>
      <c r="T31" s="28">
        <v>8.47</v>
      </c>
      <c r="U31" s="15">
        <f>IFERROR(T31/T148, "NA")</f>
        <v>0.0003244954613</v>
      </c>
      <c r="V31" s="28">
        <v>4.37</v>
      </c>
      <c r="W31" s="15">
        <f>IFERROR(V31/V148, "NA")</f>
        <v>0.0001439665181</v>
      </c>
      <c r="X31" s="28">
        <v>0.0</v>
      </c>
      <c r="Y31" s="15">
        <f>IFERROR(X31/X148, "NA")</f>
        <v>0</v>
      </c>
      <c r="Z31" s="28">
        <v>12.84</v>
      </c>
      <c r="AA31" s="15">
        <f>IFERROR(Z31/Z148, "NA")</f>
        <v>0.0001560010847</v>
      </c>
      <c r="AB31" s="57">
        <f t="shared" si="13"/>
        <v>9.34</v>
      </c>
      <c r="AC31" s="15">
        <f>IFERROR(AB31/AB148, "NA")</f>
        <v>0.0003327438175</v>
      </c>
      <c r="AD31" s="61">
        <f t="shared" si="14"/>
        <v>-9.34</v>
      </c>
      <c r="AE31" s="62">
        <f>IFERROR(AD31/AD148, "NA")</f>
        <v>0.004209364032</v>
      </c>
      <c r="AF31" s="61">
        <f t="shared" si="15"/>
        <v>-1</v>
      </c>
      <c r="AG31" s="57">
        <f t="shared" si="16"/>
        <v>9.36375</v>
      </c>
      <c r="AH31" s="15">
        <f>IFERROR(AG31/AG148, "NA")</f>
        <v>0.0003558303692</v>
      </c>
      <c r="AI31" s="61">
        <f t="shared" si="17"/>
        <v>-9.36375</v>
      </c>
      <c r="AJ31" s="62">
        <f>IFERROR(AI31/AI148, "NA")</f>
        <v>0.02016191978</v>
      </c>
      <c r="AK31" s="61">
        <f t="shared" si="18"/>
        <v>-1</v>
      </c>
      <c r="AL31" s="62">
        <f>IFERROR(AK31/AK148, "NA")</f>
        <v>56.66160488</v>
      </c>
    </row>
    <row r="32" ht="16.5" customHeight="1">
      <c r="A32" s="26" t="s">
        <v>90</v>
      </c>
      <c r="B32" s="28">
        <v>0.0</v>
      </c>
      <c r="C32" s="15">
        <f>IFERROR(B32/B148, "NA")</f>
        <v>0</v>
      </c>
      <c r="D32" s="28">
        <v>0.0</v>
      </c>
      <c r="E32" s="15">
        <f>IFERROR(D32/D148, "NA")</f>
        <v>0</v>
      </c>
      <c r="F32" s="28">
        <v>0.0</v>
      </c>
      <c r="G32" s="15">
        <f>IFERROR(F32/F148, "NA")</f>
        <v>0</v>
      </c>
      <c r="H32" s="28">
        <v>0.0</v>
      </c>
      <c r="I32" s="15">
        <f>IFERROR(H32/H148, "NA")</f>
        <v>0</v>
      </c>
      <c r="J32" s="28">
        <v>0.0</v>
      </c>
      <c r="K32" s="15">
        <f>IFERROR(J32/J148, "NA")</f>
        <v>0</v>
      </c>
      <c r="L32" s="28">
        <v>0.0</v>
      </c>
      <c r="M32" s="15">
        <f>IFERROR(L32/L148, "NA")</f>
        <v>0</v>
      </c>
      <c r="N32" s="28">
        <v>0.0</v>
      </c>
      <c r="O32" s="15">
        <f>IFERROR(N32/N148, "NA")</f>
        <v>0</v>
      </c>
      <c r="P32" s="28">
        <v>0.0</v>
      </c>
      <c r="Q32" s="15">
        <f>IFERROR(P32/P148, "NA")</f>
        <v>0</v>
      </c>
      <c r="R32" s="28">
        <v>0.0</v>
      </c>
      <c r="S32" s="15">
        <f>IFERROR(R32/R148, "NA")</f>
        <v>0</v>
      </c>
      <c r="T32" s="28">
        <v>-118.29</v>
      </c>
      <c r="U32" s="15">
        <f>IFERROR(T32/T148, "NA")</f>
        <v>-0.004531826224</v>
      </c>
      <c r="V32" s="28">
        <v>0.0</v>
      </c>
      <c r="W32" s="15">
        <f>IFERROR(V32/V148, "NA")</f>
        <v>0</v>
      </c>
      <c r="X32" s="28">
        <v>0.0</v>
      </c>
      <c r="Y32" s="15">
        <f>IFERROR(X32/X148, "NA")</f>
        <v>0</v>
      </c>
      <c r="Z32" s="28">
        <v>-118.29</v>
      </c>
      <c r="AA32" s="15">
        <f>IFERROR(Z32/Z148, "NA")</f>
        <v>-0.001437178217</v>
      </c>
      <c r="AB32" s="57">
        <f t="shared" si="13"/>
        <v>-29.5725</v>
      </c>
      <c r="AC32" s="15">
        <f>IFERROR(AB32/AB148, "NA")</f>
        <v>-0.001053540315</v>
      </c>
      <c r="AD32" s="61">
        <f t="shared" si="14"/>
        <v>29.5725</v>
      </c>
      <c r="AE32" s="62">
        <f>IFERROR(AD32/AD148, "NA")</f>
        <v>-0.01332777493</v>
      </c>
      <c r="AF32" s="61">
        <f t="shared" si="15"/>
        <v>-1</v>
      </c>
      <c r="AG32" s="57">
        <f t="shared" si="16"/>
        <v>-14.78625</v>
      </c>
      <c r="AH32" s="15">
        <f>IFERROR(AG32/AG148, "NA")</f>
        <v>-0.0005618899262</v>
      </c>
      <c r="AI32" s="61">
        <f t="shared" si="17"/>
        <v>14.78625</v>
      </c>
      <c r="AJ32" s="62">
        <f>IFERROR(AI32/AI148, "NA")</f>
        <v>-0.03183758498</v>
      </c>
      <c r="AK32" s="61">
        <f t="shared" si="18"/>
        <v>-1</v>
      </c>
      <c r="AL32" s="62">
        <f>IFERROR(AK32/AK148, "NA")</f>
        <v>56.66160488</v>
      </c>
    </row>
    <row r="33" ht="16.5" customHeight="1">
      <c r="A33" s="26" t="s">
        <v>91</v>
      </c>
      <c r="B33" s="28">
        <v>4.25</v>
      </c>
      <c r="C33" s="15">
        <f>IFERROR(B33/B148, "NA")</f>
        <v>0.0003024045789</v>
      </c>
      <c r="D33" s="28">
        <v>2.58</v>
      </c>
      <c r="E33" s="15">
        <f>IFERROR(D33/D148, "NA")</f>
        <v>0.0001380301387</v>
      </c>
      <c r="F33" s="28">
        <v>1.67</v>
      </c>
      <c r="G33" s="15">
        <f>IFERROR(F33/F148, "NA")</f>
        <v>0.00006886816612</v>
      </c>
      <c r="H33" s="28">
        <v>3.35</v>
      </c>
      <c r="I33" s="15">
        <f>IFERROR(H33/H148, "NA")</f>
        <v>0.0001473957373</v>
      </c>
      <c r="J33" s="28">
        <v>0.0</v>
      </c>
      <c r="K33" s="15">
        <f>IFERROR(J33/J148, "NA")</f>
        <v>0</v>
      </c>
      <c r="L33" s="28">
        <v>0.0</v>
      </c>
      <c r="M33" s="15">
        <f>IFERROR(L33/L148, "NA")</f>
        <v>0</v>
      </c>
      <c r="N33" s="28">
        <v>0.0</v>
      </c>
      <c r="O33" s="15">
        <f>IFERROR(N33/N148, "NA")</f>
        <v>0</v>
      </c>
      <c r="P33" s="28">
        <v>0.0</v>
      </c>
      <c r="Q33" s="15">
        <f>IFERROR(P33/P148, "NA")</f>
        <v>0</v>
      </c>
      <c r="R33" s="28">
        <v>3.34</v>
      </c>
      <c r="S33" s="15">
        <f>IFERROR(R33/R148, "NA")</f>
        <v>0.0001114393865</v>
      </c>
      <c r="T33" s="28">
        <v>0.0</v>
      </c>
      <c r="U33" s="15">
        <f>IFERROR(T33/T148, "NA")</f>
        <v>0</v>
      </c>
      <c r="V33" s="28">
        <v>0.0</v>
      </c>
      <c r="W33" s="15">
        <f>IFERROR(V33/V148, "NA")</f>
        <v>0</v>
      </c>
      <c r="X33" s="28">
        <v>0.0</v>
      </c>
      <c r="Y33" s="15">
        <f>IFERROR(X33/X148, "NA")</f>
        <v>0</v>
      </c>
      <c r="Z33" s="28">
        <v>0.0</v>
      </c>
      <c r="AA33" s="15">
        <f>IFERROR(Z33/Z148, "NA")</f>
        <v>0</v>
      </c>
      <c r="AB33" s="57">
        <f t="shared" si="13"/>
        <v>0.835</v>
      </c>
      <c r="AC33" s="15">
        <f>IFERROR(AB33/AB148, "NA")</f>
        <v>0.00002974743978</v>
      </c>
      <c r="AD33" s="61">
        <f t="shared" si="14"/>
        <v>-0.835</v>
      </c>
      <c r="AE33" s="62">
        <f>IFERROR(AD33/AD148, "NA")</f>
        <v>0.0003763189472</v>
      </c>
      <c r="AF33" s="61">
        <f t="shared" si="15"/>
        <v>-1</v>
      </c>
      <c r="AG33" s="57">
        <f t="shared" si="16"/>
        <v>0.4175</v>
      </c>
      <c r="AH33" s="15">
        <f>IFERROR(AG33/AG148, "NA")</f>
        <v>0.00001586535086</v>
      </c>
      <c r="AI33" s="61">
        <f t="shared" si="17"/>
        <v>-0.4175</v>
      </c>
      <c r="AJ33" s="62">
        <f>IFERROR(AI33/AI148, "NA")</f>
        <v>0.0008989562418</v>
      </c>
      <c r="AK33" s="61">
        <f t="shared" si="18"/>
        <v>-1</v>
      </c>
      <c r="AL33" s="62">
        <f>IFERROR(AK33/AK148, "NA")</f>
        <v>56.66160488</v>
      </c>
    </row>
    <row r="34" ht="16.5" customHeight="1">
      <c r="A34" s="67" t="s">
        <v>92</v>
      </c>
      <c r="B34" s="70">
        <f>IFERROR(B29+B30+B31+B32+B33, "NA")</f>
        <v>179.28</v>
      </c>
      <c r="C34" s="71">
        <f>IFERROR(B34/B148, "NA")</f>
        <v>0.01275649245</v>
      </c>
      <c r="D34" s="70">
        <f>IFERROR(D29+D30+D31+D32+D33, "NA")</f>
        <v>343.93</v>
      </c>
      <c r="E34" s="71">
        <f>IFERROR(D34/D148, "NA")</f>
        <v>0.01840027349</v>
      </c>
      <c r="F34" s="70">
        <f>IFERROR(F29+F30+F31+F32+F33, "NA")</f>
        <v>335.24</v>
      </c>
      <c r="G34" s="71">
        <f>IFERROR(F34/F148, "NA")</f>
        <v>0.01382476887</v>
      </c>
      <c r="H34" s="70">
        <f>IFERROR(H29+H30+H31+H32+H33, "NA")</f>
        <v>182.92</v>
      </c>
      <c r="I34" s="71">
        <f>IFERROR(H34/H148, "NA")</f>
        <v>0.008048247245</v>
      </c>
      <c r="J34" s="70">
        <f>IFERROR(J29+J30+J31+J32+J33, "NA")</f>
        <v>302.05</v>
      </c>
      <c r="K34" s="71">
        <f>IFERROR(J34/J148, "NA")</f>
        <v>0.01375621375</v>
      </c>
      <c r="L34" s="70">
        <f>IFERROR(L29+L30+L31+L32+L33, "NA")</f>
        <v>399.41</v>
      </c>
      <c r="M34" s="71">
        <f>IFERROR(L34/L148, "NA")</f>
        <v>0.01603812755</v>
      </c>
      <c r="N34" s="70">
        <f>IFERROR(N29+N30+N31+N32+N33, "NA")</f>
        <v>243.5</v>
      </c>
      <c r="O34" s="71">
        <f>IFERROR(N34/N148, "NA")</f>
        <v>0.009612146912</v>
      </c>
      <c r="P34" s="70">
        <f>IFERROR(P29+P30+P31+P32+P33, "NA")</f>
        <v>256.87</v>
      </c>
      <c r="Q34" s="71">
        <f>IFERROR(P34/P148, "NA")</f>
        <v>0.009860868357</v>
      </c>
      <c r="R34" s="70">
        <f>IFERROR(R29+R30+R31+R32+R33, "NA")</f>
        <v>413.79</v>
      </c>
      <c r="S34" s="71">
        <f>IFERROR(R34/R148, "NA")</f>
        <v>0.01380613884</v>
      </c>
      <c r="T34" s="70">
        <f>IFERROR(T29+T30+T31+T32+T33, "NA")</f>
        <v>270.48</v>
      </c>
      <c r="U34" s="71">
        <f>IFERROR(T34/T148, "NA")</f>
        <v>0.01036240052</v>
      </c>
      <c r="V34" s="70">
        <f>IFERROR(V29+V30+V31+V32+V33, "NA")</f>
        <v>294.7</v>
      </c>
      <c r="W34" s="71">
        <f>IFERROR(V34/V148, "NA")</f>
        <v>0.009708680292</v>
      </c>
      <c r="X34" s="70">
        <f>IFERROR(X29+X30+X31+X32+X33, "NA")</f>
        <v>608.24</v>
      </c>
      <c r="Y34" s="71">
        <f>IFERROR(X34/X148, "NA")</f>
        <v>0.02352888385</v>
      </c>
      <c r="Z34" s="70">
        <f>IFERROR(Z29+Z30+Z31+Z32+Z33, "NA")</f>
        <v>1173.42</v>
      </c>
      <c r="AA34" s="71">
        <f>IFERROR(Z34/Z148, "NA")</f>
        <v>0.0142566038</v>
      </c>
      <c r="AB34" s="70">
        <f t="shared" si="13"/>
        <v>396.8025</v>
      </c>
      <c r="AC34" s="71">
        <f>IFERROR(AB34/AB148, "NA")</f>
        <v>0.01413635745</v>
      </c>
      <c r="AD34" s="75">
        <f t="shared" si="14"/>
        <v>211.4375</v>
      </c>
      <c r="AE34" s="76">
        <f>IFERROR(AD34/AD148, "NA")</f>
        <v>-0.09529094299</v>
      </c>
      <c r="AF34" s="75">
        <f t="shared" si="15"/>
        <v>0.5328532456</v>
      </c>
      <c r="AG34" s="70">
        <f t="shared" si="16"/>
        <v>348.63</v>
      </c>
      <c r="AH34" s="71">
        <f>IFERROR(AG34/AG148, "NA")</f>
        <v>0.01324823298</v>
      </c>
      <c r="AI34" s="75">
        <f t="shared" si="17"/>
        <v>259.61</v>
      </c>
      <c r="AJ34" s="76">
        <f>IFERROR(AI34/AI148, "NA")</f>
        <v>-0.5589892933</v>
      </c>
      <c r="AK34" s="75">
        <f t="shared" si="18"/>
        <v>0.74465766</v>
      </c>
      <c r="AL34" s="76">
        <f>IFERROR(AK34/AK148, "NA")</f>
        <v>-42.1934981</v>
      </c>
    </row>
    <row r="35" ht="16.5" customHeight="1">
      <c r="A35" s="67" t="s">
        <v>93</v>
      </c>
      <c r="B35" s="70">
        <f>IFERROR(B13+B15+B16+B17+B18+B19+B20+B21+B22+B23+B24+B25+B26+B29+B30+B31+B32+B33, "NA")</f>
        <v>3740.84</v>
      </c>
      <c r="C35" s="71">
        <f>IFERROR(B35/B148, "NA")</f>
        <v>0.2661757988</v>
      </c>
      <c r="D35" s="70">
        <f>IFERROR(D13+D15+D16+D17+D18+D19+D20+D21+D22+D23+D24+D25+D26+D29+D30+D31+D32+D33, "NA")</f>
        <v>5764.92</v>
      </c>
      <c r="E35" s="71">
        <f>IFERROR(D35/D148, "NA")</f>
        <v>0.30842353</v>
      </c>
      <c r="F35" s="70">
        <f>IFERROR(F13+F15+F16+F17+F18+F19+F20+F21+F22+F23+F24+F25+F26+F29+F30+F31+F32+F33, "NA")</f>
        <v>5380.1</v>
      </c>
      <c r="G35" s="71">
        <f>IFERROR(F35/F148, "NA")</f>
        <v>0.2218668387</v>
      </c>
      <c r="H35" s="70">
        <f>IFERROR(H13+H15+H16+H17+H18+H19+H20+H21+H22+H23+H24+H25+H26+H29+H30+H31+H32+H33, "NA")</f>
        <v>5439</v>
      </c>
      <c r="I35" s="71">
        <f>IFERROR(H35/H148, "NA")</f>
        <v>0.2393090792</v>
      </c>
      <c r="J35" s="70">
        <f>IFERROR(J13+J15+J16+J17+J18+J19+J20+J21+J22+J23+J24+J25+J26+J29+J30+J31+J32+J33, "NA")</f>
        <v>5946.34</v>
      </c>
      <c r="K35" s="71">
        <f>IFERROR(J35/J148, "NA")</f>
        <v>0.2708131901</v>
      </c>
      <c r="L35" s="70">
        <f>IFERROR(L13+L15+L16+L17+L18+L19+L20+L21+L22+L23+L24+L25+L26+L29+L30+L31+L32+L33, "NA")</f>
        <v>6312.2</v>
      </c>
      <c r="M35" s="71">
        <f>IFERROR(L35/L148, "NA")</f>
        <v>0.2534635304</v>
      </c>
      <c r="N35" s="70">
        <f>IFERROR(N13+N15+N16+N17+N18+N19+N20+N21+N22+N23+N24+N25+N26+N29+N30+N31+N32+N33, "NA")</f>
        <v>6264.25</v>
      </c>
      <c r="O35" s="71">
        <f>IFERROR(N35/N148, "NA")</f>
        <v>0.2472808677</v>
      </c>
      <c r="P35" s="70">
        <f>IFERROR(P13+P15+P16+P17+P18+P19+P20+P21+P22+P23+P24+P25+P26+P29+P30+P31+P32+P33, "NA")</f>
        <v>7030.5</v>
      </c>
      <c r="Q35" s="71">
        <f>IFERROR(P35/P148, "NA")</f>
        <v>0.2698907423</v>
      </c>
      <c r="R35" s="70">
        <f>IFERROR(R13+R15+R16+R17+R18+R19+R20+R21+R22+R23+R24+R25+R26+R29+R30+R31+R32+R33, "NA")</f>
        <v>6832.41</v>
      </c>
      <c r="S35" s="71">
        <f>IFERROR(R35/R148, "NA")</f>
        <v>0.2279639457</v>
      </c>
      <c r="T35" s="70">
        <f>IFERROR(T13+T15+T16+T17+T18+T19+T20+T21+T22+T23+T24+T25+T26+T29+T30+T31+T32+T33, "NA")</f>
        <v>7100.3</v>
      </c>
      <c r="U35" s="71">
        <f>IFERROR(T35/T148, "NA")</f>
        <v>0.2720206758</v>
      </c>
      <c r="V35" s="70">
        <f>IFERROR(V13+V15+V16+V17+V18+V19+V20+V21+V22+V23+V24+V25+V26+V29+V30+V31+V32+V33, "NA")</f>
        <v>6996.34</v>
      </c>
      <c r="W35" s="71">
        <f>IFERROR(V35/V148, "NA")</f>
        <v>0.2304894071</v>
      </c>
      <c r="X35" s="70">
        <f>IFERROR(X13+X15+X16+X17+X18+X19+X20+X21+X22+X23+X24+X25+X26+X29+X30+X31+X32+X33, "NA")</f>
        <v>7451.89</v>
      </c>
      <c r="Y35" s="71">
        <f>IFERROR(X35/X148, "NA")</f>
        <v>0.2882655765</v>
      </c>
      <c r="Z35" s="70">
        <f>IFERROR(Z13+Z15+Z16+Z17+Z18+Z19+Z20+Z21+Z22+Z23+Z24+Z25+Z26+Z29+Z30+Z31+Z32+Z33, "NA")</f>
        <v>21548.53</v>
      </c>
      <c r="AA35" s="71">
        <f>IFERROR(Z35/Z148, "NA")</f>
        <v>0.2618063905</v>
      </c>
      <c r="AB35" s="70">
        <f t="shared" si="13"/>
        <v>7095.235</v>
      </c>
      <c r="AC35" s="71">
        <f>IFERROR(AB35/AB148, "NA")</f>
        <v>0.252772546</v>
      </c>
      <c r="AD35" s="75">
        <f t="shared" si="14"/>
        <v>356.655</v>
      </c>
      <c r="AE35" s="76">
        <f>IFERROR(AD35/AD148, "NA")</f>
        <v>-0.1607377654</v>
      </c>
      <c r="AF35" s="75">
        <f t="shared" si="15"/>
        <v>0.05026683401</v>
      </c>
      <c r="AG35" s="70">
        <f t="shared" si="16"/>
        <v>6741.77875</v>
      </c>
      <c r="AH35" s="71">
        <f>IFERROR(AG35/AG148, "NA")</f>
        <v>0.2561932582</v>
      </c>
      <c r="AI35" s="75">
        <f t="shared" si="17"/>
        <v>710.11125</v>
      </c>
      <c r="AJ35" s="76">
        <f>IFERROR(AI35/AI148, "NA")</f>
        <v>-1.52900345</v>
      </c>
      <c r="AK35" s="75">
        <f t="shared" si="18"/>
        <v>0.1053299547</v>
      </c>
      <c r="AL35" s="76">
        <f>IFERROR(AK35/AK148, "NA")</f>
        <v>-5.968164272</v>
      </c>
    </row>
    <row r="36" ht="16.5" customHeight="1">
      <c r="A36" s="22" t="s">
        <v>94</v>
      </c>
      <c r="B36" s="23"/>
      <c r="C36" s="10"/>
      <c r="D36" s="23"/>
      <c r="E36" s="10"/>
      <c r="F36" s="23"/>
      <c r="G36" s="10"/>
      <c r="H36" s="23"/>
      <c r="I36" s="10"/>
      <c r="J36" s="23"/>
      <c r="K36" s="10"/>
      <c r="L36" s="23"/>
      <c r="M36" s="10"/>
      <c r="N36" s="23"/>
      <c r="O36" s="10"/>
      <c r="P36" s="23"/>
      <c r="Q36" s="10"/>
      <c r="R36" s="23"/>
      <c r="S36" s="10"/>
      <c r="T36" s="23"/>
      <c r="U36" s="10"/>
      <c r="V36" s="23"/>
      <c r="W36" s="10"/>
      <c r="X36" s="23"/>
      <c r="Y36" s="10"/>
      <c r="Z36" s="23"/>
      <c r="AA36" s="10"/>
      <c r="AB36" s="23"/>
      <c r="AC36" s="10"/>
      <c r="AD36" s="24"/>
      <c r="AE36" s="25"/>
      <c r="AF36" s="24"/>
      <c r="AG36" s="23"/>
      <c r="AH36" s="10"/>
      <c r="AI36" s="24"/>
      <c r="AJ36" s="25"/>
      <c r="AK36" s="24"/>
      <c r="AL36" s="25"/>
    </row>
    <row r="37" ht="16.5" hidden="1" customHeight="1">
      <c r="A37" s="26" t="s">
        <v>95</v>
      </c>
      <c r="B37" s="28">
        <v>0.0</v>
      </c>
      <c r="C37" s="15">
        <f>IFERROR(B37/B148, "NA")</f>
        <v>0</v>
      </c>
      <c r="D37" s="28">
        <v>0.0</v>
      </c>
      <c r="E37" s="15">
        <f>IFERROR(D37/D148, "NA")</f>
        <v>0</v>
      </c>
      <c r="F37" s="28">
        <v>0.0</v>
      </c>
      <c r="G37" s="15">
        <f>IFERROR(F37/F148, "NA")</f>
        <v>0</v>
      </c>
      <c r="H37" s="28">
        <v>0.0</v>
      </c>
      <c r="I37" s="15">
        <f>IFERROR(H37/H148, "NA")</f>
        <v>0</v>
      </c>
      <c r="J37" s="28">
        <v>0.0</v>
      </c>
      <c r="K37" s="15">
        <f>IFERROR(J37/J148, "NA")</f>
        <v>0</v>
      </c>
      <c r="L37" s="28">
        <v>0.0</v>
      </c>
      <c r="M37" s="15">
        <f>IFERROR(L37/L148, "NA")</f>
        <v>0</v>
      </c>
      <c r="N37" s="28">
        <v>0.0</v>
      </c>
      <c r="O37" s="15">
        <f>IFERROR(N37/N148, "NA")</f>
        <v>0</v>
      </c>
      <c r="P37" s="28">
        <v>0.0</v>
      </c>
      <c r="Q37" s="15">
        <f>IFERROR(P37/P148, "NA")</f>
        <v>0</v>
      </c>
      <c r="R37" s="28">
        <v>0.0</v>
      </c>
      <c r="S37" s="15">
        <f>IFERROR(R37/R148, "NA")</f>
        <v>0</v>
      </c>
      <c r="T37" s="28">
        <v>0.0</v>
      </c>
      <c r="U37" s="15">
        <f>IFERROR(T37/T148, "NA")</f>
        <v>0</v>
      </c>
      <c r="V37" s="28">
        <v>0.0</v>
      </c>
      <c r="W37" s="15">
        <f>IFERROR(V37/V148, "NA")</f>
        <v>0</v>
      </c>
      <c r="X37" s="28">
        <v>0.0</v>
      </c>
      <c r="Y37" s="15">
        <f>IFERROR(X37/X148, "NA")</f>
        <v>0</v>
      </c>
      <c r="Z37" s="28">
        <v>0.0</v>
      </c>
      <c r="AA37" s="15">
        <f>IFERROR(Z37/Z148, "NA")</f>
        <v>0</v>
      </c>
      <c r="AB37" s="57">
        <f>IFERROR((R37+T37+V37+X37)/4, "NA")</f>
        <v>0</v>
      </c>
      <c r="AC37" s="15">
        <f>IFERROR(AB37/AB148, "NA")</f>
        <v>0</v>
      </c>
      <c r="AD37" s="61">
        <f>IFERROR(X37-AB37, "NA")</f>
        <v>0</v>
      </c>
      <c r="AE37" s="62">
        <f>IFERROR(AD37/AD148, "NA")</f>
        <v>0</v>
      </c>
      <c r="AF37" s="61" t="str">
        <f>IFERROR((X37-AB37)/AB37, "NA")</f>
        <v>NA</v>
      </c>
      <c r="AG37" s="57">
        <f>IFERROR((J37+L37+N37+P37+R37+T37+V37+X37)/8, "NA")</f>
        <v>0</v>
      </c>
      <c r="AH37" s="15">
        <f>IFERROR(AG37/AG148, "NA")</f>
        <v>0</v>
      </c>
      <c r="AI37" s="61">
        <f>IFERROR(X37-AG37, "NA")</f>
        <v>0</v>
      </c>
      <c r="AJ37" s="62">
        <f>IFERROR(AI37/AI148, "NA")</f>
        <v>0</v>
      </c>
      <c r="AK37" s="61" t="str">
        <f>IFERROR((X37-AG37)/AG37, "NA")</f>
        <v>NA</v>
      </c>
      <c r="AL37" s="62" t="str">
        <f>IFERROR(AK37/AK148, "NA")</f>
        <v>NA</v>
      </c>
    </row>
    <row r="38" ht="16.5" customHeight="1">
      <c r="A38" s="22" t="s">
        <v>96</v>
      </c>
      <c r="B38" s="23"/>
      <c r="C38" s="10"/>
      <c r="D38" s="23"/>
      <c r="E38" s="10"/>
      <c r="F38" s="23"/>
      <c r="G38" s="10"/>
      <c r="H38" s="23"/>
      <c r="I38" s="10"/>
      <c r="J38" s="23"/>
      <c r="K38" s="10"/>
      <c r="L38" s="23"/>
      <c r="M38" s="10"/>
      <c r="N38" s="23"/>
      <c r="O38" s="10"/>
      <c r="P38" s="23"/>
      <c r="Q38" s="10"/>
      <c r="R38" s="23"/>
      <c r="S38" s="10"/>
      <c r="T38" s="23"/>
      <c r="U38" s="10"/>
      <c r="V38" s="23"/>
      <c r="W38" s="10"/>
      <c r="X38" s="23"/>
      <c r="Y38" s="10"/>
      <c r="Z38" s="23"/>
      <c r="AA38" s="10"/>
      <c r="AB38" s="23"/>
      <c r="AC38" s="10"/>
      <c r="AD38" s="24"/>
      <c r="AE38" s="25"/>
      <c r="AF38" s="24"/>
      <c r="AG38" s="23"/>
      <c r="AH38" s="10"/>
      <c r="AI38" s="24"/>
      <c r="AJ38" s="25"/>
      <c r="AK38" s="24"/>
      <c r="AL38" s="25"/>
    </row>
    <row r="39" ht="16.5" hidden="1" customHeight="1">
      <c r="A39" s="26" t="s">
        <v>97</v>
      </c>
      <c r="B39" s="28">
        <v>0.0</v>
      </c>
      <c r="C39" s="15">
        <f>IFERROR(B39/B148, "NA")</f>
        <v>0</v>
      </c>
      <c r="D39" s="28">
        <v>0.0</v>
      </c>
      <c r="E39" s="15">
        <f>IFERROR(D39/D148, "NA")</f>
        <v>0</v>
      </c>
      <c r="F39" s="28">
        <v>0.0</v>
      </c>
      <c r="G39" s="15">
        <f>IFERROR(F39/F148, "NA")</f>
        <v>0</v>
      </c>
      <c r="H39" s="28">
        <v>0.0</v>
      </c>
      <c r="I39" s="15">
        <f>IFERROR(H39/H148, "NA")</f>
        <v>0</v>
      </c>
      <c r="J39" s="28">
        <v>0.0</v>
      </c>
      <c r="K39" s="15">
        <f>IFERROR(J39/J148, "NA")</f>
        <v>0</v>
      </c>
      <c r="L39" s="28">
        <v>0.0</v>
      </c>
      <c r="M39" s="15">
        <f>IFERROR(L39/L148, "NA")</f>
        <v>0</v>
      </c>
      <c r="N39" s="28">
        <v>0.0</v>
      </c>
      <c r="O39" s="15">
        <f>IFERROR(N39/N148, "NA")</f>
        <v>0</v>
      </c>
      <c r="P39" s="28">
        <v>0.0</v>
      </c>
      <c r="Q39" s="15">
        <f>IFERROR(P39/P148, "NA")</f>
        <v>0</v>
      </c>
      <c r="R39" s="28">
        <v>0.0</v>
      </c>
      <c r="S39" s="15">
        <f>IFERROR(R39/R148, "NA")</f>
        <v>0</v>
      </c>
      <c r="T39" s="28">
        <v>0.0</v>
      </c>
      <c r="U39" s="15">
        <f>IFERROR(T39/T148, "NA")</f>
        <v>0</v>
      </c>
      <c r="V39" s="28">
        <v>0.0</v>
      </c>
      <c r="W39" s="15">
        <f>IFERROR(V39/V148, "NA")</f>
        <v>0</v>
      </c>
      <c r="X39" s="28">
        <v>0.0</v>
      </c>
      <c r="Y39" s="15">
        <f>IFERROR(X39/X148, "NA")</f>
        <v>0</v>
      </c>
      <c r="Z39" s="28">
        <v>0.0</v>
      </c>
      <c r="AA39" s="15">
        <f>IFERROR(Z39/Z148, "NA")</f>
        <v>0</v>
      </c>
      <c r="AB39" s="57">
        <f t="shared" ref="AB39:AB44" si="19">IFERROR((R39+T39+V39+X39)/4, "NA")</f>
        <v>0</v>
      </c>
      <c r="AC39" s="15">
        <f>IFERROR(AB39/AB148, "NA")</f>
        <v>0</v>
      </c>
      <c r="AD39" s="61">
        <f t="shared" ref="AD39:AD44" si="20">IFERROR(X39-AB39, "NA")</f>
        <v>0</v>
      </c>
      <c r="AE39" s="62">
        <f>IFERROR(AD39/AD148, "NA")</f>
        <v>0</v>
      </c>
      <c r="AF39" s="61" t="str">
        <f t="shared" ref="AF39:AF44" si="21">IFERROR((X39-AB39)/AB39, "NA")</f>
        <v>NA</v>
      </c>
      <c r="AG39" s="57">
        <f t="shared" ref="AG39:AG44" si="22">IFERROR((J39+L39+N39+P39+R39+T39+V39+X39)/8, "NA")</f>
        <v>0</v>
      </c>
      <c r="AH39" s="15">
        <f>IFERROR(AG39/AG148, "NA")</f>
        <v>0</v>
      </c>
      <c r="AI39" s="61">
        <f t="shared" ref="AI39:AI44" si="23">IFERROR(X39-AG39, "NA")</f>
        <v>0</v>
      </c>
      <c r="AJ39" s="62">
        <f>IFERROR(AI39/AI148, "NA")</f>
        <v>0</v>
      </c>
      <c r="AK39" s="61" t="str">
        <f t="shared" ref="AK39:AK44" si="24">IFERROR((X39-AG39)/AG39, "NA")</f>
        <v>NA</v>
      </c>
      <c r="AL39" s="62" t="str">
        <f>IFERROR(AK39/AK148, "NA")</f>
        <v>NA</v>
      </c>
    </row>
    <row r="40" ht="16.5" customHeight="1">
      <c r="A40" s="26" t="s">
        <v>100</v>
      </c>
      <c r="B40" s="28">
        <v>494.74</v>
      </c>
      <c r="C40" s="15">
        <f>IFERROR(B40/B148, "NA")</f>
        <v>0.03520273915</v>
      </c>
      <c r="D40" s="28">
        <v>740.67</v>
      </c>
      <c r="E40" s="15">
        <f>IFERROR(D40/D148, "NA")</f>
        <v>0.03962588482</v>
      </c>
      <c r="F40" s="28">
        <v>780.75</v>
      </c>
      <c r="G40" s="15">
        <f>IFERROR(F40/F148, "NA")</f>
        <v>0.03219689862</v>
      </c>
      <c r="H40" s="28">
        <v>780.99</v>
      </c>
      <c r="I40" s="15">
        <f>IFERROR(H40/H148, "NA")</f>
        <v>0.03436256623</v>
      </c>
      <c r="J40" s="28">
        <v>651.86</v>
      </c>
      <c r="K40" s="15">
        <f>IFERROR(J40/J148, "NA")</f>
        <v>0.02968755337</v>
      </c>
      <c r="L40" s="28">
        <v>751.29</v>
      </c>
      <c r="M40" s="15">
        <f>IFERROR(L40/L148, "NA")</f>
        <v>0.03016770948</v>
      </c>
      <c r="N40" s="28">
        <v>857.07</v>
      </c>
      <c r="O40" s="15">
        <f>IFERROR(N40/N148, "NA")</f>
        <v>0.03383278338</v>
      </c>
      <c r="P40" s="28">
        <v>861.24</v>
      </c>
      <c r="Q40" s="15">
        <f>IFERROR(P40/P148, "NA")</f>
        <v>0.03306175989</v>
      </c>
      <c r="R40" s="28">
        <v>911.3</v>
      </c>
      <c r="S40" s="15">
        <f>IFERROR(R40/R148, "NA")</f>
        <v>0.03040560267</v>
      </c>
      <c r="T40" s="28">
        <v>811.12</v>
      </c>
      <c r="U40" s="15">
        <f>IFERROR(T40/T148, "NA")</f>
        <v>0.03107494198</v>
      </c>
      <c r="V40" s="28">
        <v>792.52</v>
      </c>
      <c r="W40" s="15">
        <f>IFERROR(V40/V148, "NA")</f>
        <v>0.02610900341</v>
      </c>
      <c r="X40" s="28">
        <v>674.11</v>
      </c>
      <c r="Y40" s="15">
        <f>IFERROR(X40/X148, "NA")</f>
        <v>0.02607696944</v>
      </c>
      <c r="Z40" s="28">
        <v>2277.75</v>
      </c>
      <c r="AA40" s="15">
        <f>IFERROR(Z40/Z148, "NA")</f>
        <v>0.02767379055</v>
      </c>
      <c r="AB40" s="57">
        <f t="shared" si="19"/>
        <v>797.2625</v>
      </c>
      <c r="AC40" s="15">
        <f>IFERROR(AB40/AB148, "NA")</f>
        <v>0.02840301582</v>
      </c>
      <c r="AD40" s="61">
        <f t="shared" si="20"/>
        <v>-123.1525</v>
      </c>
      <c r="AE40" s="62">
        <f>IFERROR(AD40/AD148, "NA")</f>
        <v>0.0555025379</v>
      </c>
      <c r="AF40" s="61">
        <f t="shared" si="21"/>
        <v>-0.1544691993</v>
      </c>
      <c r="AG40" s="57">
        <f t="shared" si="22"/>
        <v>788.81375</v>
      </c>
      <c r="AH40" s="15">
        <f>IFERROR(AG40/AG148, "NA")</f>
        <v>0.02997558541</v>
      </c>
      <c r="AI40" s="61">
        <f t="shared" si="23"/>
        <v>-114.70375</v>
      </c>
      <c r="AJ40" s="62">
        <f>IFERROR(AI40/AI148, "NA")</f>
        <v>0.2469788072</v>
      </c>
      <c r="AK40" s="61">
        <f t="shared" si="24"/>
        <v>-0.1454129698</v>
      </c>
      <c r="AL40" s="62">
        <f>IFERROR(AK40/AK148, "NA")</f>
        <v>8.239332239</v>
      </c>
    </row>
    <row r="41" ht="16.5" customHeight="1">
      <c r="A41" s="26" t="s">
        <v>101</v>
      </c>
      <c r="B41" s="28">
        <v>273.64</v>
      </c>
      <c r="C41" s="15">
        <f>IFERROR(B41/B148, "NA")</f>
        <v>0.01947058564</v>
      </c>
      <c r="D41" s="28">
        <v>546.2</v>
      </c>
      <c r="E41" s="15">
        <f>IFERROR(D41/D148, "NA")</f>
        <v>0.02922172937</v>
      </c>
      <c r="F41" s="28">
        <v>-219.33</v>
      </c>
      <c r="G41" s="15">
        <f>IFERROR(F41/F148, "NA")</f>
        <v>-0.009044823279</v>
      </c>
      <c r="H41" s="28">
        <v>218.12</v>
      </c>
      <c r="I41" s="15">
        <f>IFERROR(H41/H148, "NA")</f>
        <v>0.009597002455</v>
      </c>
      <c r="J41" s="28">
        <v>240.25</v>
      </c>
      <c r="K41" s="15">
        <f>IFERROR(J41/J148, "NA")</f>
        <v>0.01094166646</v>
      </c>
      <c r="L41" s="28">
        <v>165.2</v>
      </c>
      <c r="M41" s="15">
        <f>IFERROR(L41/L148, "NA")</f>
        <v>0.006633531135</v>
      </c>
      <c r="N41" s="28">
        <v>16.09</v>
      </c>
      <c r="O41" s="15">
        <f>IFERROR(N41/N148, "NA")</f>
        <v>0.0006351517199</v>
      </c>
      <c r="P41" s="28">
        <v>430.85</v>
      </c>
      <c r="Q41" s="15">
        <f>IFERROR(P41/P148, "NA")</f>
        <v>0.01653970931</v>
      </c>
      <c r="R41" s="28">
        <v>297.92</v>
      </c>
      <c r="S41" s="15">
        <f>IFERROR(R41/R148, "NA")</f>
        <v>0.009940126354</v>
      </c>
      <c r="T41" s="28">
        <v>229.86</v>
      </c>
      <c r="U41" s="15">
        <f>IFERROR(T41/T148, "NA")</f>
        <v>0.008806201503</v>
      </c>
      <c r="V41" s="28">
        <v>182.77</v>
      </c>
      <c r="W41" s="15">
        <f>IFERROR(V41/V148, "NA")</f>
        <v>0.006021226661</v>
      </c>
      <c r="X41" s="28">
        <v>364.19</v>
      </c>
      <c r="Y41" s="15">
        <f>IFERROR(X41/X148, "NA")</f>
        <v>0.01408816291</v>
      </c>
      <c r="Z41" s="28">
        <v>776.82</v>
      </c>
      <c r="AA41" s="15">
        <f>IFERROR(Z41/Z148, "NA")</f>
        <v>0.009438065625</v>
      </c>
      <c r="AB41" s="57">
        <f t="shared" si="19"/>
        <v>268.685</v>
      </c>
      <c r="AC41" s="15">
        <f>IFERROR(AB41/AB148, "NA")</f>
        <v>0.00957208486</v>
      </c>
      <c r="AD41" s="61">
        <f t="shared" si="20"/>
        <v>95.505</v>
      </c>
      <c r="AE41" s="62">
        <f>IFERROR(AD41/AD148, "NA")</f>
        <v>-0.04304232461</v>
      </c>
      <c r="AF41" s="61">
        <f t="shared" si="21"/>
        <v>0.355453412</v>
      </c>
      <c r="AG41" s="57">
        <f t="shared" si="22"/>
        <v>240.89125</v>
      </c>
      <c r="AH41" s="15">
        <f>IFERROR(AG41/AG148, "NA")</f>
        <v>0.009154069942</v>
      </c>
      <c r="AI41" s="61">
        <f t="shared" si="23"/>
        <v>123.29875</v>
      </c>
      <c r="AJ41" s="62">
        <f>IFERROR(AI41/AI148, "NA")</f>
        <v>-0.2654854633</v>
      </c>
      <c r="AK41" s="61">
        <f t="shared" si="24"/>
        <v>0.5118440375</v>
      </c>
      <c r="AL41" s="62">
        <f>IFERROR(AK41/AK148, "NA")</f>
        <v>-29.00190461</v>
      </c>
    </row>
    <row r="42" ht="16.5" hidden="1" customHeight="1">
      <c r="A42" s="26" t="s">
        <v>102</v>
      </c>
      <c r="B42" s="28">
        <v>0.0</v>
      </c>
      <c r="C42" s="15">
        <f>IFERROR(B42/B148, "NA")</f>
        <v>0</v>
      </c>
      <c r="D42" s="28">
        <v>0.0</v>
      </c>
      <c r="E42" s="15">
        <f>IFERROR(D42/D148, "NA")</f>
        <v>0</v>
      </c>
      <c r="F42" s="28">
        <v>0.0</v>
      </c>
      <c r="G42" s="15">
        <f>IFERROR(F42/F148, "NA")</f>
        <v>0</v>
      </c>
      <c r="H42" s="28">
        <v>0.0</v>
      </c>
      <c r="I42" s="15">
        <f>IFERROR(H42/H148, "NA")</f>
        <v>0</v>
      </c>
      <c r="J42" s="28">
        <v>0.0</v>
      </c>
      <c r="K42" s="15">
        <f>IFERROR(J42/J148, "NA")</f>
        <v>0</v>
      </c>
      <c r="L42" s="28">
        <v>0.0</v>
      </c>
      <c r="M42" s="15">
        <f>IFERROR(L42/L148, "NA")</f>
        <v>0</v>
      </c>
      <c r="N42" s="28">
        <v>0.0</v>
      </c>
      <c r="O42" s="15">
        <f>IFERROR(N42/N148, "NA")</f>
        <v>0</v>
      </c>
      <c r="P42" s="28">
        <v>0.0</v>
      </c>
      <c r="Q42" s="15">
        <f>IFERROR(P42/P148, "NA")</f>
        <v>0</v>
      </c>
      <c r="R42" s="28">
        <v>0.0</v>
      </c>
      <c r="S42" s="15">
        <f>IFERROR(R42/R148, "NA")</f>
        <v>0</v>
      </c>
      <c r="T42" s="28">
        <v>0.0</v>
      </c>
      <c r="U42" s="15">
        <f>IFERROR(T42/T148, "NA")</f>
        <v>0</v>
      </c>
      <c r="V42" s="28">
        <v>0.0</v>
      </c>
      <c r="W42" s="15">
        <f>IFERROR(V42/V148, "NA")</f>
        <v>0</v>
      </c>
      <c r="X42" s="28">
        <v>0.0</v>
      </c>
      <c r="Y42" s="15">
        <f>IFERROR(X42/X148, "NA")</f>
        <v>0</v>
      </c>
      <c r="Z42" s="28">
        <v>0.0</v>
      </c>
      <c r="AA42" s="15">
        <f>IFERROR(Z42/Z148, "NA")</f>
        <v>0</v>
      </c>
      <c r="AB42" s="57">
        <f t="shared" si="19"/>
        <v>0</v>
      </c>
      <c r="AC42" s="15">
        <f>IFERROR(AB42/AB148, "NA")</f>
        <v>0</v>
      </c>
      <c r="AD42" s="61">
        <f t="shared" si="20"/>
        <v>0</v>
      </c>
      <c r="AE42" s="62">
        <f>IFERROR(AD42/AD148, "NA")</f>
        <v>0</v>
      </c>
      <c r="AF42" s="61" t="str">
        <f t="shared" si="21"/>
        <v>NA</v>
      </c>
      <c r="AG42" s="57">
        <f t="shared" si="22"/>
        <v>0</v>
      </c>
      <c r="AH42" s="15">
        <f>IFERROR(AG42/AG148, "NA")</f>
        <v>0</v>
      </c>
      <c r="AI42" s="61">
        <f t="shared" si="23"/>
        <v>0</v>
      </c>
      <c r="AJ42" s="62">
        <f>IFERROR(AI42/AI148, "NA")</f>
        <v>0</v>
      </c>
      <c r="AK42" s="61" t="str">
        <f t="shared" si="24"/>
        <v>NA</v>
      </c>
      <c r="AL42" s="62" t="str">
        <f>IFERROR(AK42/AK148, "NA")</f>
        <v>NA</v>
      </c>
    </row>
    <row r="43" ht="16.5" hidden="1" customHeight="1">
      <c r="A43" s="26" t="s">
        <v>103</v>
      </c>
      <c r="B43" s="28">
        <v>0.0</v>
      </c>
      <c r="C43" s="15">
        <f>IFERROR(B43/B148, "NA")</f>
        <v>0</v>
      </c>
      <c r="D43" s="28">
        <v>0.0</v>
      </c>
      <c r="E43" s="15">
        <f>IFERROR(D43/D148, "NA")</f>
        <v>0</v>
      </c>
      <c r="F43" s="28">
        <v>0.0</v>
      </c>
      <c r="G43" s="15">
        <f>IFERROR(F43/F148, "NA")</f>
        <v>0</v>
      </c>
      <c r="H43" s="28">
        <v>0.0</v>
      </c>
      <c r="I43" s="15">
        <f>IFERROR(H43/H148, "NA")</f>
        <v>0</v>
      </c>
      <c r="J43" s="28">
        <v>0.0</v>
      </c>
      <c r="K43" s="15">
        <f>IFERROR(J43/J148, "NA")</f>
        <v>0</v>
      </c>
      <c r="L43" s="28">
        <v>0.0</v>
      </c>
      <c r="M43" s="15">
        <f>IFERROR(L43/L148, "NA")</f>
        <v>0</v>
      </c>
      <c r="N43" s="28">
        <v>0.0</v>
      </c>
      <c r="O43" s="15">
        <f>IFERROR(N43/N148, "NA")</f>
        <v>0</v>
      </c>
      <c r="P43" s="28">
        <v>0.0</v>
      </c>
      <c r="Q43" s="15">
        <f>IFERROR(P43/P148, "NA")</f>
        <v>0</v>
      </c>
      <c r="R43" s="28">
        <v>0.0</v>
      </c>
      <c r="S43" s="15">
        <f>IFERROR(R43/R148, "NA")</f>
        <v>0</v>
      </c>
      <c r="T43" s="28">
        <v>0.0</v>
      </c>
      <c r="U43" s="15">
        <f>IFERROR(T43/T148, "NA")</f>
        <v>0</v>
      </c>
      <c r="V43" s="28">
        <v>0.0</v>
      </c>
      <c r="W43" s="15">
        <f>IFERROR(V43/V148, "NA")</f>
        <v>0</v>
      </c>
      <c r="X43" s="28">
        <v>0.0</v>
      </c>
      <c r="Y43" s="15">
        <f>IFERROR(X43/X148, "NA")</f>
        <v>0</v>
      </c>
      <c r="Z43" s="28">
        <v>0.0</v>
      </c>
      <c r="AA43" s="15">
        <f>IFERROR(Z43/Z148, "NA")</f>
        <v>0</v>
      </c>
      <c r="AB43" s="57">
        <f t="shared" si="19"/>
        <v>0</v>
      </c>
      <c r="AC43" s="15">
        <f>IFERROR(AB43/AB148, "NA")</f>
        <v>0</v>
      </c>
      <c r="AD43" s="61">
        <f t="shared" si="20"/>
        <v>0</v>
      </c>
      <c r="AE43" s="62">
        <f>IFERROR(AD43/AD148, "NA")</f>
        <v>0</v>
      </c>
      <c r="AF43" s="61" t="str">
        <f t="shared" si="21"/>
        <v>NA</v>
      </c>
      <c r="AG43" s="57">
        <f t="shared" si="22"/>
        <v>0</v>
      </c>
      <c r="AH43" s="15">
        <f>IFERROR(AG43/AG148, "NA")</f>
        <v>0</v>
      </c>
      <c r="AI43" s="61">
        <f t="shared" si="23"/>
        <v>0</v>
      </c>
      <c r="AJ43" s="62">
        <f>IFERROR(AI43/AI148, "NA")</f>
        <v>0</v>
      </c>
      <c r="AK43" s="61" t="str">
        <f t="shared" si="24"/>
        <v>NA</v>
      </c>
      <c r="AL43" s="62" t="str">
        <f>IFERROR(AK43/AK148, "NA")</f>
        <v>NA</v>
      </c>
    </row>
    <row r="44" ht="16.5" customHeight="1">
      <c r="A44" s="67" t="s">
        <v>104</v>
      </c>
      <c r="B44" s="70">
        <f>IFERROR(B39+B40+B41+B42+B43, "NA")</f>
        <v>768.38</v>
      </c>
      <c r="C44" s="71">
        <f>IFERROR(B44/B148, "NA")</f>
        <v>0.05467332479</v>
      </c>
      <c r="D44" s="70">
        <f>IFERROR(D39+D40+D41+D42+D43, "NA")</f>
        <v>1286.87</v>
      </c>
      <c r="E44" s="71">
        <f>IFERROR(D44/D148, "NA")</f>
        <v>0.06884761419</v>
      </c>
      <c r="F44" s="70">
        <f>IFERROR(F39+F40+F41+F42+F43, "NA")</f>
        <v>561.42</v>
      </c>
      <c r="G44" s="71">
        <f>IFERROR(F44/F148, "NA")</f>
        <v>0.02315207534</v>
      </c>
      <c r="H44" s="70">
        <f>IFERROR(H39+H40+H41+H42+H43, "NA")</f>
        <v>999.11</v>
      </c>
      <c r="I44" s="71">
        <f>IFERROR(H44/H148, "NA")</f>
        <v>0.04395956869</v>
      </c>
      <c r="J44" s="70">
        <f>IFERROR(J39+J40+J41+J42+J43, "NA")</f>
        <v>892.11</v>
      </c>
      <c r="K44" s="71">
        <f>IFERROR(J44/J148, "NA")</f>
        <v>0.04062921983</v>
      </c>
      <c r="L44" s="70">
        <f>IFERROR(L39+L40+L41+L42+L43, "NA")</f>
        <v>916.49</v>
      </c>
      <c r="M44" s="71">
        <f>IFERROR(L44/L148, "NA")</f>
        <v>0.03680124061</v>
      </c>
      <c r="N44" s="70">
        <f>IFERROR(N39+N40+N41+N42+N43, "NA")</f>
        <v>873.16</v>
      </c>
      <c r="O44" s="71">
        <f>IFERROR(N44/N148, "NA")</f>
        <v>0.0344679351</v>
      </c>
      <c r="P44" s="70">
        <f>IFERROR(P39+P40+P41+P42+P43, "NA")</f>
        <v>1292.09</v>
      </c>
      <c r="Q44" s="71">
        <f>IFERROR(P44/P148, "NA")</f>
        <v>0.04960146921</v>
      </c>
      <c r="R44" s="70">
        <f>IFERROR(R39+R40+R41+R42+R43, "NA")</f>
        <v>1209.22</v>
      </c>
      <c r="S44" s="71">
        <f>IFERROR(R44/R148, "NA")</f>
        <v>0.04034572902</v>
      </c>
      <c r="T44" s="70">
        <f>IFERROR(T39+T40+T41+T42+T43, "NA")</f>
        <v>1040.98</v>
      </c>
      <c r="U44" s="71">
        <f>IFERROR(T44/T148, "NA")</f>
        <v>0.03988114348</v>
      </c>
      <c r="V44" s="70">
        <f>IFERROR(V39+V40+V41+V42+V43, "NA")</f>
        <v>975.29</v>
      </c>
      <c r="W44" s="71">
        <f>IFERROR(V44/V148, "NA")</f>
        <v>0.03213023007</v>
      </c>
      <c r="X44" s="70">
        <f>IFERROR(X39+X40+X41+X42+X43, "NA")</f>
        <v>1038.3</v>
      </c>
      <c r="Y44" s="71">
        <f>IFERROR(X44/X148, "NA")</f>
        <v>0.04016513235</v>
      </c>
      <c r="Z44" s="70">
        <f>IFERROR(Z39+Z40+Z41+Z42+Z43, "NA")</f>
        <v>3054.57</v>
      </c>
      <c r="AA44" s="71">
        <f>IFERROR(Z44/Z148, "NA")</f>
        <v>0.03711185618</v>
      </c>
      <c r="AB44" s="70">
        <f t="shared" si="19"/>
        <v>1065.9475</v>
      </c>
      <c r="AC44" s="71">
        <f>IFERROR(AB44/AB148, "NA")</f>
        <v>0.03797510068</v>
      </c>
      <c r="AD44" s="75">
        <f t="shared" si="20"/>
        <v>-27.6475</v>
      </c>
      <c r="AE44" s="76">
        <f>IFERROR(AD44/AD148, "NA")</f>
        <v>0.01246021328</v>
      </c>
      <c r="AF44" s="75">
        <f t="shared" si="21"/>
        <v>-0.02593701847</v>
      </c>
      <c r="AG44" s="70">
        <f t="shared" si="22"/>
        <v>1029.705</v>
      </c>
      <c r="AH44" s="71">
        <f>IFERROR(AG44/AG148, "NA")</f>
        <v>0.03912965535</v>
      </c>
      <c r="AI44" s="75">
        <f t="shared" si="23"/>
        <v>8.595</v>
      </c>
      <c r="AJ44" s="76">
        <f>IFERROR(AI44/AI148, "NA")</f>
        <v>-0.01850665604</v>
      </c>
      <c r="AK44" s="75">
        <f t="shared" si="24"/>
        <v>0.008347050854</v>
      </c>
      <c r="AL44" s="76">
        <f>IFERROR(AK44/AK148, "NA")</f>
        <v>-0.4729572974</v>
      </c>
    </row>
    <row r="45" ht="16.5" customHeight="1">
      <c r="A45" s="22" t="s">
        <v>105</v>
      </c>
      <c r="B45" s="23"/>
      <c r="C45" s="10"/>
      <c r="D45" s="23"/>
      <c r="E45" s="10"/>
      <c r="F45" s="23"/>
      <c r="G45" s="10"/>
      <c r="H45" s="23"/>
      <c r="I45" s="10"/>
      <c r="J45" s="23"/>
      <c r="K45" s="10"/>
      <c r="L45" s="23"/>
      <c r="M45" s="10"/>
      <c r="N45" s="23"/>
      <c r="O45" s="10"/>
      <c r="P45" s="23"/>
      <c r="Q45" s="10"/>
      <c r="R45" s="23"/>
      <c r="S45" s="10"/>
      <c r="T45" s="23"/>
      <c r="U45" s="10"/>
      <c r="V45" s="23"/>
      <c r="W45" s="10"/>
      <c r="X45" s="23"/>
      <c r="Y45" s="10"/>
      <c r="Z45" s="23"/>
      <c r="AA45" s="10"/>
      <c r="AB45" s="23"/>
      <c r="AC45" s="10"/>
      <c r="AD45" s="24"/>
      <c r="AE45" s="25"/>
      <c r="AF45" s="24"/>
      <c r="AG45" s="23"/>
      <c r="AH45" s="10"/>
      <c r="AI45" s="24"/>
      <c r="AJ45" s="25"/>
      <c r="AK45" s="24"/>
      <c r="AL45" s="25"/>
    </row>
    <row r="46" ht="16.5" hidden="1" customHeight="1">
      <c r="A46" s="26" t="s">
        <v>106</v>
      </c>
      <c r="B46" s="28">
        <v>0.0</v>
      </c>
      <c r="C46" s="15">
        <f>IFERROR(B46/B148, "NA")</f>
        <v>0</v>
      </c>
      <c r="D46" s="28">
        <v>0.0</v>
      </c>
      <c r="E46" s="15">
        <f>IFERROR(D46/D148, "NA")</f>
        <v>0</v>
      </c>
      <c r="F46" s="28">
        <v>0.0</v>
      </c>
      <c r="G46" s="15">
        <f>IFERROR(F46/F148, "NA")</f>
        <v>0</v>
      </c>
      <c r="H46" s="28">
        <v>0.0</v>
      </c>
      <c r="I46" s="15">
        <f>IFERROR(H46/H148, "NA")</f>
        <v>0</v>
      </c>
      <c r="J46" s="28">
        <v>0.0</v>
      </c>
      <c r="K46" s="15">
        <f>IFERROR(J46/J148, "NA")</f>
        <v>0</v>
      </c>
      <c r="L46" s="28">
        <v>0.0</v>
      </c>
      <c r="M46" s="15">
        <f>IFERROR(L46/L148, "NA")</f>
        <v>0</v>
      </c>
      <c r="N46" s="28">
        <v>0.0</v>
      </c>
      <c r="O46" s="15">
        <f>IFERROR(N46/N148, "NA")</f>
        <v>0</v>
      </c>
      <c r="P46" s="28">
        <v>0.0</v>
      </c>
      <c r="Q46" s="15">
        <f>IFERROR(P46/P148, "NA")</f>
        <v>0</v>
      </c>
      <c r="R46" s="28">
        <v>0.0</v>
      </c>
      <c r="S46" s="15">
        <f>IFERROR(R46/R148, "NA")</f>
        <v>0</v>
      </c>
      <c r="T46" s="28">
        <v>0.0</v>
      </c>
      <c r="U46" s="15">
        <f>IFERROR(T46/T148, "NA")</f>
        <v>0</v>
      </c>
      <c r="V46" s="28">
        <v>0.0</v>
      </c>
      <c r="W46" s="15">
        <f>IFERROR(V46/V148, "NA")</f>
        <v>0</v>
      </c>
      <c r="X46" s="28">
        <v>0.0</v>
      </c>
      <c r="Y46" s="15">
        <f>IFERROR(X46/X148, "NA")</f>
        <v>0</v>
      </c>
      <c r="Z46" s="28">
        <v>0.0</v>
      </c>
      <c r="AA46" s="15">
        <f>IFERROR(Z46/Z148, "NA")</f>
        <v>0</v>
      </c>
      <c r="AB46" s="57">
        <f t="shared" ref="AB46:AB57" si="25">IFERROR((R46+T46+V46+X46)/4, "NA")</f>
        <v>0</v>
      </c>
      <c r="AC46" s="15">
        <f>IFERROR(AB46/AB148, "NA")</f>
        <v>0</v>
      </c>
      <c r="AD46" s="61">
        <f t="shared" ref="AD46:AD57" si="26">IFERROR(X46-AB46, "NA")</f>
        <v>0</v>
      </c>
      <c r="AE46" s="62">
        <f>IFERROR(AD46/AD148, "NA")</f>
        <v>0</v>
      </c>
      <c r="AF46" s="61" t="str">
        <f t="shared" ref="AF46:AF57" si="27">IFERROR((X46-AB46)/AB46, "NA")</f>
        <v>NA</v>
      </c>
      <c r="AG46" s="57">
        <f t="shared" ref="AG46:AG57" si="28">IFERROR((J46+L46+N46+P46+R46+T46+V46+X46)/8, "NA")</f>
        <v>0</v>
      </c>
      <c r="AH46" s="15">
        <f>IFERROR(AG46/AG148, "NA")</f>
        <v>0</v>
      </c>
      <c r="AI46" s="61">
        <f t="shared" ref="AI46:AI57" si="29">IFERROR(X46-AG46, "NA")</f>
        <v>0</v>
      </c>
      <c r="AJ46" s="62">
        <f>IFERROR(AI46/AI148, "NA")</f>
        <v>0</v>
      </c>
      <c r="AK46" s="61" t="str">
        <f t="shared" ref="AK46:AK57" si="30">IFERROR((X46-AG46)/AG46, "NA")</f>
        <v>NA</v>
      </c>
      <c r="AL46" s="62" t="str">
        <f>IFERROR(AK46/AK148, "NA")</f>
        <v>NA</v>
      </c>
    </row>
    <row r="47" ht="16.5" customHeight="1">
      <c r="A47" s="26" t="s">
        <v>108</v>
      </c>
      <c r="B47" s="28">
        <v>23.95</v>
      </c>
      <c r="C47" s="15">
        <f>IFERROR(B47/B148, "NA")</f>
        <v>0.001704138745</v>
      </c>
      <c r="D47" s="28">
        <v>0.0</v>
      </c>
      <c r="E47" s="15">
        <f>IFERROR(D47/D148, "NA")</f>
        <v>0</v>
      </c>
      <c r="F47" s="28">
        <v>97.66</v>
      </c>
      <c r="G47" s="15">
        <f>IFERROR(F47/F148, "NA")</f>
        <v>0.004027344373</v>
      </c>
      <c r="H47" s="28">
        <v>85.38</v>
      </c>
      <c r="I47" s="15">
        <f>IFERROR(H47/H148, "NA")</f>
        <v>0.003756611359</v>
      </c>
      <c r="J47" s="28">
        <v>0.0</v>
      </c>
      <c r="K47" s="15">
        <f>IFERROR(J47/J148, "NA")</f>
        <v>0</v>
      </c>
      <c r="L47" s="28">
        <v>46.06</v>
      </c>
      <c r="M47" s="15">
        <f>IFERROR(L47/L148, "NA")</f>
        <v>0.001849518427</v>
      </c>
      <c r="N47" s="28">
        <v>100.24</v>
      </c>
      <c r="O47" s="15">
        <f>IFERROR(N47/N148, "NA")</f>
        <v>0.003956967583</v>
      </c>
      <c r="P47" s="28">
        <v>28.89</v>
      </c>
      <c r="Q47" s="15">
        <f>IFERROR(P47/P148, "NA")</f>
        <v>0.00110904538</v>
      </c>
      <c r="R47" s="28">
        <v>101.43</v>
      </c>
      <c r="S47" s="15">
        <f>IFERROR(R47/R148, "NA")</f>
        <v>0.00338422065</v>
      </c>
      <c r="T47" s="28">
        <v>133.6</v>
      </c>
      <c r="U47" s="15">
        <f>IFERROR(T47/T148, "NA")</f>
        <v>0.005118369968</v>
      </c>
      <c r="V47" s="28">
        <v>73.27</v>
      </c>
      <c r="W47" s="15">
        <f>IFERROR(V47/V148, "NA")</f>
        <v>0.002413827638</v>
      </c>
      <c r="X47" s="28">
        <v>62.71</v>
      </c>
      <c r="Y47" s="15">
        <f>IFERROR(X47/X148, "NA")</f>
        <v>0.002425845564</v>
      </c>
      <c r="Z47" s="28">
        <v>269.58</v>
      </c>
      <c r="AA47" s="15">
        <f>IFERROR(Z47/Z148, "NA")</f>
        <v>0.003275293802</v>
      </c>
      <c r="AB47" s="57">
        <f t="shared" si="25"/>
        <v>92.7525</v>
      </c>
      <c r="AC47" s="15">
        <f>IFERROR(AB47/AB148, "NA")</f>
        <v>0.003304370549</v>
      </c>
      <c r="AD47" s="61">
        <f t="shared" si="26"/>
        <v>-30.0425</v>
      </c>
      <c r="AE47" s="62">
        <f>IFERROR(AD47/AD148, "NA")</f>
        <v>0.01353959518</v>
      </c>
      <c r="AF47" s="61">
        <f t="shared" si="27"/>
        <v>-0.3238996253</v>
      </c>
      <c r="AG47" s="57">
        <f t="shared" si="28"/>
        <v>68.275</v>
      </c>
      <c r="AH47" s="15">
        <f>IFERROR(AG47/AG148, "NA")</f>
        <v>0.002594507378</v>
      </c>
      <c r="AI47" s="61">
        <f t="shared" si="29"/>
        <v>-5.565</v>
      </c>
      <c r="AJ47" s="62">
        <f>IFERROR(AI47/AI148, "NA")</f>
        <v>0.01198249458</v>
      </c>
      <c r="AK47" s="61">
        <f t="shared" si="30"/>
        <v>-0.08150860491</v>
      </c>
      <c r="AL47" s="62">
        <f>IFERROR(AK47/AK148, "NA")</f>
        <v>4.618408365</v>
      </c>
    </row>
    <row r="48" ht="16.5" hidden="1" customHeight="1">
      <c r="A48" s="26" t="s">
        <v>109</v>
      </c>
      <c r="B48" s="28">
        <v>0.0</v>
      </c>
      <c r="C48" s="15">
        <f>IFERROR(B48/B148, "NA")</f>
        <v>0</v>
      </c>
      <c r="D48" s="28">
        <v>0.0</v>
      </c>
      <c r="E48" s="15">
        <f>IFERROR(D48/D148, "NA")</f>
        <v>0</v>
      </c>
      <c r="F48" s="28">
        <v>0.0</v>
      </c>
      <c r="G48" s="15">
        <f>IFERROR(F48/F148, "NA")</f>
        <v>0</v>
      </c>
      <c r="H48" s="28">
        <v>0.0</v>
      </c>
      <c r="I48" s="15">
        <f>IFERROR(H48/H148, "NA")</f>
        <v>0</v>
      </c>
      <c r="J48" s="28">
        <v>0.0</v>
      </c>
      <c r="K48" s="15">
        <f>IFERROR(J48/J148, "NA")</f>
        <v>0</v>
      </c>
      <c r="L48" s="28">
        <v>0.0</v>
      </c>
      <c r="M48" s="15">
        <f>IFERROR(L48/L148, "NA")</f>
        <v>0</v>
      </c>
      <c r="N48" s="28">
        <v>0.0</v>
      </c>
      <c r="O48" s="15">
        <f>IFERROR(N48/N148, "NA")</f>
        <v>0</v>
      </c>
      <c r="P48" s="28">
        <v>0.0</v>
      </c>
      <c r="Q48" s="15">
        <f>IFERROR(P48/P148, "NA")</f>
        <v>0</v>
      </c>
      <c r="R48" s="28">
        <v>0.0</v>
      </c>
      <c r="S48" s="15">
        <f>IFERROR(R48/R148, "NA")</f>
        <v>0</v>
      </c>
      <c r="T48" s="28">
        <v>0.0</v>
      </c>
      <c r="U48" s="15">
        <f>IFERROR(T48/T148, "NA")</f>
        <v>0</v>
      </c>
      <c r="V48" s="28">
        <v>0.0</v>
      </c>
      <c r="W48" s="15">
        <f>IFERROR(V48/V148, "NA")</f>
        <v>0</v>
      </c>
      <c r="X48" s="28">
        <v>0.0</v>
      </c>
      <c r="Y48" s="15">
        <f>IFERROR(X48/X148, "NA")</f>
        <v>0</v>
      </c>
      <c r="Z48" s="28">
        <v>0.0</v>
      </c>
      <c r="AA48" s="15">
        <f>IFERROR(Z48/Z148, "NA")</f>
        <v>0</v>
      </c>
      <c r="AB48" s="57">
        <f t="shared" si="25"/>
        <v>0</v>
      </c>
      <c r="AC48" s="15">
        <f>IFERROR(AB48/AB148, "NA")</f>
        <v>0</v>
      </c>
      <c r="AD48" s="61">
        <f t="shared" si="26"/>
        <v>0</v>
      </c>
      <c r="AE48" s="62">
        <f>IFERROR(AD48/AD148, "NA")</f>
        <v>0</v>
      </c>
      <c r="AF48" s="61" t="str">
        <f t="shared" si="27"/>
        <v>NA</v>
      </c>
      <c r="AG48" s="57">
        <f t="shared" si="28"/>
        <v>0</v>
      </c>
      <c r="AH48" s="15">
        <f>IFERROR(AG48/AG148, "NA")</f>
        <v>0</v>
      </c>
      <c r="AI48" s="61">
        <f t="shared" si="29"/>
        <v>0</v>
      </c>
      <c r="AJ48" s="62">
        <f>IFERROR(AI48/AI148, "NA")</f>
        <v>0</v>
      </c>
      <c r="AK48" s="61" t="str">
        <f t="shared" si="30"/>
        <v>NA</v>
      </c>
      <c r="AL48" s="62" t="str">
        <f>IFERROR(AK48/AK148, "NA")</f>
        <v>NA</v>
      </c>
    </row>
    <row r="49" ht="16.5" customHeight="1">
      <c r="A49" s="26" t="s">
        <v>110</v>
      </c>
      <c r="B49" s="28">
        <v>0.0</v>
      </c>
      <c r="C49" s="15">
        <f>IFERROR(B49/B148, "NA")</f>
        <v>0</v>
      </c>
      <c r="D49" s="28">
        <v>0.0</v>
      </c>
      <c r="E49" s="15">
        <f>IFERROR(D49/D148, "NA")</f>
        <v>0</v>
      </c>
      <c r="F49" s="28">
        <v>0.0</v>
      </c>
      <c r="G49" s="15">
        <f>IFERROR(F49/F148, "NA")</f>
        <v>0</v>
      </c>
      <c r="H49" s="28">
        <v>0.0</v>
      </c>
      <c r="I49" s="15">
        <f>IFERROR(H49/H148, "NA")</f>
        <v>0</v>
      </c>
      <c r="J49" s="28">
        <v>0.0</v>
      </c>
      <c r="K49" s="15">
        <f>IFERROR(J49/J148, "NA")</f>
        <v>0</v>
      </c>
      <c r="L49" s="28">
        <v>0.0</v>
      </c>
      <c r="M49" s="15">
        <f>IFERROR(L49/L148, "NA")</f>
        <v>0</v>
      </c>
      <c r="N49" s="28">
        <v>0.0</v>
      </c>
      <c r="O49" s="15">
        <f>IFERROR(N49/N148, "NA")</f>
        <v>0</v>
      </c>
      <c r="P49" s="28">
        <v>1.4</v>
      </c>
      <c r="Q49" s="15">
        <f>IFERROR(P49/P148, "NA")</f>
        <v>0.00005374397828</v>
      </c>
      <c r="R49" s="28">
        <v>0.0</v>
      </c>
      <c r="S49" s="15">
        <f>IFERROR(R49/R148, "NA")</f>
        <v>0</v>
      </c>
      <c r="T49" s="28">
        <v>0.0</v>
      </c>
      <c r="U49" s="15">
        <f>IFERROR(T49/T148, "NA")</f>
        <v>0</v>
      </c>
      <c r="V49" s="28">
        <v>0.0</v>
      </c>
      <c r="W49" s="15">
        <f>IFERROR(V49/V148, "NA")</f>
        <v>0</v>
      </c>
      <c r="X49" s="28">
        <v>0.0</v>
      </c>
      <c r="Y49" s="15">
        <f>IFERROR(X49/X148, "NA")</f>
        <v>0</v>
      </c>
      <c r="Z49" s="28">
        <v>0.0</v>
      </c>
      <c r="AA49" s="15">
        <f>IFERROR(Z49/Z148, "NA")</f>
        <v>0</v>
      </c>
      <c r="AB49" s="57">
        <f t="shared" si="25"/>
        <v>0</v>
      </c>
      <c r="AC49" s="15">
        <f>IFERROR(AB49/AB148, "NA")</f>
        <v>0</v>
      </c>
      <c r="AD49" s="61">
        <f t="shared" si="26"/>
        <v>0</v>
      </c>
      <c r="AE49" s="62">
        <f>IFERROR(AD49/AD148, "NA")</f>
        <v>0</v>
      </c>
      <c r="AF49" s="61" t="str">
        <f t="shared" si="27"/>
        <v>NA</v>
      </c>
      <c r="AG49" s="57">
        <f t="shared" si="28"/>
        <v>0.175</v>
      </c>
      <c r="AH49" s="15">
        <f>IFERROR(AG49/AG148, "NA")</f>
        <v>0.000006650147068</v>
      </c>
      <c r="AI49" s="61">
        <f t="shared" si="29"/>
        <v>-0.175</v>
      </c>
      <c r="AJ49" s="62">
        <f>IFERROR(AI49/AI148, "NA")</f>
        <v>0.0003768080056</v>
      </c>
      <c r="AK49" s="61">
        <f t="shared" si="30"/>
        <v>-1</v>
      </c>
      <c r="AL49" s="62">
        <f>IFERROR(AK49/AK148, "NA")</f>
        <v>56.66160488</v>
      </c>
    </row>
    <row r="50" ht="16.5" hidden="1" customHeight="1">
      <c r="A50" s="26" t="s">
        <v>111</v>
      </c>
      <c r="B50" s="28">
        <v>0.0</v>
      </c>
      <c r="C50" s="15">
        <f>IFERROR(B50/B148, "NA")</f>
        <v>0</v>
      </c>
      <c r="D50" s="28">
        <v>0.0</v>
      </c>
      <c r="E50" s="15">
        <f>IFERROR(D50/D148, "NA")</f>
        <v>0</v>
      </c>
      <c r="F50" s="28">
        <v>0.0</v>
      </c>
      <c r="G50" s="15">
        <f>IFERROR(F50/F148, "NA")</f>
        <v>0</v>
      </c>
      <c r="H50" s="28">
        <v>0.0</v>
      </c>
      <c r="I50" s="15">
        <f>IFERROR(H50/H148, "NA")</f>
        <v>0</v>
      </c>
      <c r="J50" s="28">
        <v>0.0</v>
      </c>
      <c r="K50" s="15">
        <f>IFERROR(J50/J148, "NA")</f>
        <v>0</v>
      </c>
      <c r="L50" s="28">
        <v>0.0</v>
      </c>
      <c r="M50" s="15">
        <f>IFERROR(L50/L148, "NA")</f>
        <v>0</v>
      </c>
      <c r="N50" s="28">
        <v>0.0</v>
      </c>
      <c r="O50" s="15">
        <f>IFERROR(N50/N148, "NA")</f>
        <v>0</v>
      </c>
      <c r="P50" s="28">
        <v>0.0</v>
      </c>
      <c r="Q50" s="15">
        <f>IFERROR(P50/P148, "NA")</f>
        <v>0</v>
      </c>
      <c r="R50" s="28">
        <v>0.0</v>
      </c>
      <c r="S50" s="15">
        <f>IFERROR(R50/R148, "NA")</f>
        <v>0</v>
      </c>
      <c r="T50" s="28">
        <v>0.0</v>
      </c>
      <c r="U50" s="15">
        <f>IFERROR(T50/T148, "NA")</f>
        <v>0</v>
      </c>
      <c r="V50" s="28">
        <v>0.0</v>
      </c>
      <c r="W50" s="15">
        <f>IFERROR(V50/V148, "NA")</f>
        <v>0</v>
      </c>
      <c r="X50" s="28">
        <v>0.0</v>
      </c>
      <c r="Y50" s="15">
        <f>IFERROR(X50/X148, "NA")</f>
        <v>0</v>
      </c>
      <c r="Z50" s="28">
        <v>0.0</v>
      </c>
      <c r="AA50" s="15">
        <f>IFERROR(Z50/Z148, "NA")</f>
        <v>0</v>
      </c>
      <c r="AB50" s="57">
        <f t="shared" si="25"/>
        <v>0</v>
      </c>
      <c r="AC50" s="15">
        <f>IFERROR(AB50/AB148, "NA")</f>
        <v>0</v>
      </c>
      <c r="AD50" s="61">
        <f t="shared" si="26"/>
        <v>0</v>
      </c>
      <c r="AE50" s="62">
        <f>IFERROR(AD50/AD148, "NA")</f>
        <v>0</v>
      </c>
      <c r="AF50" s="61" t="str">
        <f t="shared" si="27"/>
        <v>NA</v>
      </c>
      <c r="AG50" s="57">
        <f t="shared" si="28"/>
        <v>0</v>
      </c>
      <c r="AH50" s="15">
        <f>IFERROR(AG50/AG148, "NA")</f>
        <v>0</v>
      </c>
      <c r="AI50" s="61">
        <f t="shared" si="29"/>
        <v>0</v>
      </c>
      <c r="AJ50" s="62">
        <f>IFERROR(AI50/AI148, "NA")</f>
        <v>0</v>
      </c>
      <c r="AK50" s="61" t="str">
        <f t="shared" si="30"/>
        <v>NA</v>
      </c>
      <c r="AL50" s="62" t="str">
        <f>IFERROR(AK50/AK148, "NA")</f>
        <v>NA</v>
      </c>
    </row>
    <row r="51" ht="16.5" hidden="1" customHeight="1">
      <c r="A51" s="26" t="s">
        <v>112</v>
      </c>
      <c r="B51" s="28">
        <v>0.0</v>
      </c>
      <c r="C51" s="15">
        <f>IFERROR(B51/B148, "NA")</f>
        <v>0</v>
      </c>
      <c r="D51" s="28">
        <v>0.0</v>
      </c>
      <c r="E51" s="15">
        <f>IFERROR(D51/D148, "NA")</f>
        <v>0</v>
      </c>
      <c r="F51" s="28">
        <v>0.0</v>
      </c>
      <c r="G51" s="15">
        <f>IFERROR(F51/F148, "NA")</f>
        <v>0</v>
      </c>
      <c r="H51" s="28">
        <v>0.0</v>
      </c>
      <c r="I51" s="15">
        <f>IFERROR(H51/H148, "NA")</f>
        <v>0</v>
      </c>
      <c r="J51" s="28">
        <v>0.0</v>
      </c>
      <c r="K51" s="15">
        <f>IFERROR(J51/J148, "NA")</f>
        <v>0</v>
      </c>
      <c r="L51" s="28">
        <v>0.0</v>
      </c>
      <c r="M51" s="15">
        <f>IFERROR(L51/L148, "NA")</f>
        <v>0</v>
      </c>
      <c r="N51" s="28">
        <v>0.0</v>
      </c>
      <c r="O51" s="15">
        <f>IFERROR(N51/N148, "NA")</f>
        <v>0</v>
      </c>
      <c r="P51" s="28">
        <v>0.0</v>
      </c>
      <c r="Q51" s="15">
        <f>IFERROR(P51/P148, "NA")</f>
        <v>0</v>
      </c>
      <c r="R51" s="28">
        <v>0.0</v>
      </c>
      <c r="S51" s="15">
        <f>IFERROR(R51/R148, "NA")</f>
        <v>0</v>
      </c>
      <c r="T51" s="28">
        <v>0.0</v>
      </c>
      <c r="U51" s="15">
        <f>IFERROR(T51/T148, "NA")</f>
        <v>0</v>
      </c>
      <c r="V51" s="28">
        <v>0.0</v>
      </c>
      <c r="W51" s="15">
        <f>IFERROR(V51/V148, "NA")</f>
        <v>0</v>
      </c>
      <c r="X51" s="28">
        <v>0.0</v>
      </c>
      <c r="Y51" s="15">
        <f>IFERROR(X51/X148, "NA")</f>
        <v>0</v>
      </c>
      <c r="Z51" s="28">
        <v>0.0</v>
      </c>
      <c r="AA51" s="15">
        <f>IFERROR(Z51/Z148, "NA")</f>
        <v>0</v>
      </c>
      <c r="AB51" s="57">
        <f t="shared" si="25"/>
        <v>0</v>
      </c>
      <c r="AC51" s="15">
        <f>IFERROR(AB51/AB148, "NA")</f>
        <v>0</v>
      </c>
      <c r="AD51" s="61">
        <f t="shared" si="26"/>
        <v>0</v>
      </c>
      <c r="AE51" s="62">
        <f>IFERROR(AD51/AD148, "NA")</f>
        <v>0</v>
      </c>
      <c r="AF51" s="61" t="str">
        <f t="shared" si="27"/>
        <v>NA</v>
      </c>
      <c r="AG51" s="57">
        <f t="shared" si="28"/>
        <v>0</v>
      </c>
      <c r="AH51" s="15">
        <f>IFERROR(AG51/AG148, "NA")</f>
        <v>0</v>
      </c>
      <c r="AI51" s="61">
        <f t="shared" si="29"/>
        <v>0</v>
      </c>
      <c r="AJ51" s="62">
        <f>IFERROR(AI51/AI148, "NA")</f>
        <v>0</v>
      </c>
      <c r="AK51" s="61" t="str">
        <f t="shared" si="30"/>
        <v>NA</v>
      </c>
      <c r="AL51" s="62" t="str">
        <f>IFERROR(AK51/AK148, "NA")</f>
        <v>NA</v>
      </c>
    </row>
    <row r="52" ht="16.5" customHeight="1">
      <c r="A52" s="67" t="s">
        <v>113</v>
      </c>
      <c r="B52" s="70">
        <f>IFERROR(B46+B47+B48+B49+B50+B51, "NA")</f>
        <v>23.95</v>
      </c>
      <c r="C52" s="71">
        <f>IFERROR(B52/B148, "NA")</f>
        <v>0.001704138745</v>
      </c>
      <c r="D52" s="70">
        <f>IFERROR(D46+D47+D48+D49+D50+D51, "NA")</f>
        <v>0</v>
      </c>
      <c r="E52" s="71">
        <f>IFERROR(D52/D148, "NA")</f>
        <v>0</v>
      </c>
      <c r="F52" s="70">
        <f>IFERROR(F46+F47+F48+F49+F50+F51, "NA")</f>
        <v>97.66</v>
      </c>
      <c r="G52" s="71">
        <f>IFERROR(F52/F148, "NA")</f>
        <v>0.004027344373</v>
      </c>
      <c r="H52" s="70">
        <f>IFERROR(H46+H47+H48+H49+H50+H51, "NA")</f>
        <v>85.38</v>
      </c>
      <c r="I52" s="71">
        <f>IFERROR(H52/H148, "NA")</f>
        <v>0.003756611359</v>
      </c>
      <c r="J52" s="70">
        <f>IFERROR(J46+J47+J48+J49+J50+J51, "NA")</f>
        <v>0</v>
      </c>
      <c r="K52" s="71">
        <f>IFERROR(J52/J148, "NA")</f>
        <v>0</v>
      </c>
      <c r="L52" s="70">
        <f>IFERROR(L46+L47+L48+L49+L50+L51, "NA")</f>
        <v>46.06</v>
      </c>
      <c r="M52" s="71">
        <f>IFERROR(L52/L148, "NA")</f>
        <v>0.001849518427</v>
      </c>
      <c r="N52" s="70">
        <f>IFERROR(N46+N47+N48+N49+N50+N51, "NA")</f>
        <v>100.24</v>
      </c>
      <c r="O52" s="71">
        <f>IFERROR(N52/N148, "NA")</f>
        <v>0.003956967583</v>
      </c>
      <c r="P52" s="70">
        <f>IFERROR(P46+P47+P48+P49+P50+P51, "NA")</f>
        <v>30.29</v>
      </c>
      <c r="Q52" s="71">
        <f>IFERROR(P52/P148, "NA")</f>
        <v>0.001162789359</v>
      </c>
      <c r="R52" s="70">
        <f>IFERROR(R46+R47+R48+R49+R50+R51, "NA")</f>
        <v>101.43</v>
      </c>
      <c r="S52" s="71">
        <f>IFERROR(R52/R148, "NA")</f>
        <v>0.00338422065</v>
      </c>
      <c r="T52" s="70">
        <f>IFERROR(T46+T47+T48+T49+T50+T51, "NA")</f>
        <v>133.6</v>
      </c>
      <c r="U52" s="71">
        <f>IFERROR(T52/T148, "NA")</f>
        <v>0.005118369968</v>
      </c>
      <c r="V52" s="70">
        <f>IFERROR(V46+V47+V48+V49+V50+V51, "NA")</f>
        <v>73.27</v>
      </c>
      <c r="W52" s="71">
        <f>IFERROR(V52/V148, "NA")</f>
        <v>0.002413827638</v>
      </c>
      <c r="X52" s="70">
        <f>IFERROR(X46+X47+X48+X49+X50+X51, "NA")</f>
        <v>62.71</v>
      </c>
      <c r="Y52" s="71">
        <f>IFERROR(X52/X148, "NA")</f>
        <v>0.002425845564</v>
      </c>
      <c r="Z52" s="70">
        <f>IFERROR(Z46+Z47+Z48+Z49+Z50+Z51, "NA")</f>
        <v>269.58</v>
      </c>
      <c r="AA52" s="71">
        <f>IFERROR(Z52/Z148, "NA")</f>
        <v>0.003275293802</v>
      </c>
      <c r="AB52" s="70">
        <f t="shared" si="25"/>
        <v>92.7525</v>
      </c>
      <c r="AC52" s="71">
        <f>IFERROR(AB52/AB148, "NA")</f>
        <v>0.003304370549</v>
      </c>
      <c r="AD52" s="75">
        <f t="shared" si="26"/>
        <v>-30.0425</v>
      </c>
      <c r="AE52" s="76">
        <f>IFERROR(AD52/AD148, "NA")</f>
        <v>0.01353959518</v>
      </c>
      <c r="AF52" s="75">
        <f t="shared" si="27"/>
        <v>-0.3238996253</v>
      </c>
      <c r="AG52" s="70">
        <f t="shared" si="28"/>
        <v>68.45</v>
      </c>
      <c r="AH52" s="71">
        <f>IFERROR(AG52/AG148, "NA")</f>
        <v>0.002601157525</v>
      </c>
      <c r="AI52" s="75">
        <f t="shared" si="29"/>
        <v>-5.74</v>
      </c>
      <c r="AJ52" s="76">
        <f>IFERROR(AI52/AI148, "NA")</f>
        <v>0.01235930258</v>
      </c>
      <c r="AK52" s="75">
        <f t="shared" si="30"/>
        <v>-0.0838568298</v>
      </c>
      <c r="AL52" s="76">
        <f>IFERROR(AK52/AK148, "NA")</f>
        <v>4.751462557</v>
      </c>
    </row>
    <row r="53" ht="16.5" customHeight="1">
      <c r="A53" s="26" t="s">
        <v>114</v>
      </c>
      <c r="B53" s="28">
        <v>17.02</v>
      </c>
      <c r="C53" s="15">
        <f>IFERROR(B53/B148, "NA")</f>
        <v>0.001211041396</v>
      </c>
      <c r="D53" s="28">
        <v>11.26</v>
      </c>
      <c r="E53" s="15">
        <f>IFERROR(D53/D148, "NA")</f>
        <v>0.0006024106054</v>
      </c>
      <c r="F53" s="28">
        <v>63.1</v>
      </c>
      <c r="G53" s="15">
        <f>IFERROR(F53/F148, "NA")</f>
        <v>0.00260214448</v>
      </c>
      <c r="H53" s="28">
        <v>34.54</v>
      </c>
      <c r="I53" s="15">
        <f>IFERROR(H53/H148, "NA")</f>
        <v>0.00151971605</v>
      </c>
      <c r="J53" s="28">
        <v>9.83</v>
      </c>
      <c r="K53" s="15">
        <f>IFERROR(J53/J148, "NA")</f>
        <v>0.0004476860823</v>
      </c>
      <c r="L53" s="28">
        <v>37.54</v>
      </c>
      <c r="M53" s="15">
        <f>IFERROR(L53/L148, "NA")</f>
        <v>0.001507401688</v>
      </c>
      <c r="N53" s="28">
        <v>29.84</v>
      </c>
      <c r="O53" s="15">
        <f>IFERROR(N53/N148, "NA")</f>
        <v>0.00117793209</v>
      </c>
      <c r="P53" s="28">
        <v>28.47</v>
      </c>
      <c r="Q53" s="15">
        <f>IFERROR(P53/P148, "NA")</f>
        <v>0.001092922187</v>
      </c>
      <c r="R53" s="28">
        <v>28.12</v>
      </c>
      <c r="S53" s="15">
        <f>IFERROR(R53/R148, "NA")</f>
        <v>0.0009382262119</v>
      </c>
      <c r="T53" s="28">
        <v>32.85</v>
      </c>
      <c r="U53" s="15">
        <f>IFERROR(T53/T148, "NA")</f>
        <v>0.001258521358</v>
      </c>
      <c r="V53" s="28">
        <v>26.94</v>
      </c>
      <c r="W53" s="15">
        <f>IFERROR(V53/V148, "NA")</f>
        <v>0.0008875189924</v>
      </c>
      <c r="X53" s="28">
        <v>60.63</v>
      </c>
      <c r="Y53" s="15">
        <f>IFERROR(X53/X148, "NA")</f>
        <v>0.002345383776</v>
      </c>
      <c r="Z53" s="28">
        <v>120.42</v>
      </c>
      <c r="AA53" s="15">
        <f>IFERROR(Z53/Z148, "NA")</f>
        <v>0.001463056902</v>
      </c>
      <c r="AB53" s="57">
        <f t="shared" si="25"/>
        <v>37.135</v>
      </c>
      <c r="AC53" s="15">
        <f>IFERROR(AB53/AB148, "NA")</f>
        <v>0.001322959493</v>
      </c>
      <c r="AD53" s="61">
        <f t="shared" si="26"/>
        <v>23.495</v>
      </c>
      <c r="AE53" s="62">
        <f>IFERROR(AD53/AD148, "NA")</f>
        <v>-0.01058875888</v>
      </c>
      <c r="AF53" s="61">
        <f t="shared" si="27"/>
        <v>0.6326915309</v>
      </c>
      <c r="AG53" s="57">
        <f t="shared" si="28"/>
        <v>31.7775</v>
      </c>
      <c r="AH53" s="15">
        <f>IFERROR(AG53/AG148, "NA")</f>
        <v>0.001207571705</v>
      </c>
      <c r="AI53" s="61">
        <f t="shared" si="29"/>
        <v>28.8525</v>
      </c>
      <c r="AJ53" s="62">
        <f>IFERROR(AI53/AI148, "NA")</f>
        <v>-0.06212487417</v>
      </c>
      <c r="AK53" s="61">
        <f t="shared" si="30"/>
        <v>0.9079537409</v>
      </c>
      <c r="AL53" s="62">
        <f>IFERROR(AK53/AK148, "NA")</f>
        <v>-51.44611611</v>
      </c>
    </row>
    <row r="54" ht="16.5" customHeight="1">
      <c r="A54" s="26" t="s">
        <v>115</v>
      </c>
      <c r="B54" s="28">
        <v>3.0</v>
      </c>
      <c r="C54" s="15">
        <f>IFERROR(B54/B148, "NA")</f>
        <v>0.0002134620557</v>
      </c>
      <c r="D54" s="28">
        <v>6.0</v>
      </c>
      <c r="E54" s="15">
        <f>IFERROR(D54/D148, "NA")</f>
        <v>0.0003210003226</v>
      </c>
      <c r="F54" s="28">
        <v>6.0</v>
      </c>
      <c r="G54" s="15">
        <f>IFERROR(F54/F148, "NA")</f>
        <v>0.000247430537</v>
      </c>
      <c r="H54" s="28">
        <v>9.31</v>
      </c>
      <c r="I54" s="15">
        <f>IFERROR(H54/H148, "NA")</f>
        <v>0.0004096281536</v>
      </c>
      <c r="J54" s="28">
        <v>6.0</v>
      </c>
      <c r="K54" s="15">
        <f>IFERROR(J54/J148, "NA")</f>
        <v>0.0002732570187</v>
      </c>
      <c r="L54" s="28">
        <v>6.0</v>
      </c>
      <c r="M54" s="15">
        <f>IFERROR(L54/L148, "NA")</f>
        <v>0.0002409272809</v>
      </c>
      <c r="N54" s="28">
        <v>12.31</v>
      </c>
      <c r="O54" s="15">
        <f>IFERROR(N54/N148, "NA")</f>
        <v>0.0004859364619</v>
      </c>
      <c r="P54" s="28">
        <v>26.0</v>
      </c>
      <c r="Q54" s="15">
        <f>IFERROR(P54/P148, "NA")</f>
        <v>0.0009981024537</v>
      </c>
      <c r="R54" s="28">
        <v>137.29</v>
      </c>
      <c r="S54" s="15">
        <f>IFERROR(R54/R148, "NA")</f>
        <v>0.004580692626</v>
      </c>
      <c r="T54" s="28">
        <v>30.31</v>
      </c>
      <c r="U54" s="15">
        <f>IFERROR(T54/T148, "NA")</f>
        <v>0.001161211031</v>
      </c>
      <c r="V54" s="28">
        <v>27.75</v>
      </c>
      <c r="W54" s="15">
        <f>IFERROR(V54/V148, "NA")</f>
        <v>0.0009142038619</v>
      </c>
      <c r="X54" s="28">
        <v>28.06</v>
      </c>
      <c r="Y54" s="15">
        <f>IFERROR(X54/X148, "NA")</f>
        <v>0.001085460477</v>
      </c>
      <c r="Z54" s="28">
        <v>86.12</v>
      </c>
      <c r="AA54" s="15">
        <f>IFERROR(Z54/Z148, "NA")</f>
        <v>0.001046325032</v>
      </c>
      <c r="AB54" s="57">
        <f t="shared" si="25"/>
        <v>55.8525</v>
      </c>
      <c r="AC54" s="15">
        <f>IFERROR(AB54/AB148, "NA")</f>
        <v>0.00198978309</v>
      </c>
      <c r="AD54" s="61">
        <f t="shared" si="26"/>
        <v>-27.7925</v>
      </c>
      <c r="AE54" s="62">
        <f>IFERROR(AD54/AD148, "NA")</f>
        <v>0.01252556208</v>
      </c>
      <c r="AF54" s="61">
        <f t="shared" si="27"/>
        <v>-0.4976052997</v>
      </c>
      <c r="AG54" s="57">
        <f t="shared" si="28"/>
        <v>34.215</v>
      </c>
      <c r="AH54" s="15">
        <f>IFERROR(AG54/AG148, "NA")</f>
        <v>0.001300198754</v>
      </c>
      <c r="AI54" s="61">
        <f t="shared" si="29"/>
        <v>-6.155</v>
      </c>
      <c r="AJ54" s="62">
        <f>IFERROR(AI54/AI148, "NA")</f>
        <v>0.01325287585</v>
      </c>
      <c r="AK54" s="61">
        <f t="shared" si="30"/>
        <v>-0.1798918603</v>
      </c>
      <c r="AL54" s="62">
        <f>IFERROR(AK54/AK148, "NA")</f>
        <v>10.19296151</v>
      </c>
    </row>
    <row r="55" ht="16.5" customHeight="1">
      <c r="A55" s="26" t="s">
        <v>116</v>
      </c>
      <c r="B55" s="28">
        <v>-175.62</v>
      </c>
      <c r="C55" s="15">
        <f>IFERROR(B55/B148, "NA")</f>
        <v>-0.01249606874</v>
      </c>
      <c r="D55" s="28">
        <v>-229.05</v>
      </c>
      <c r="E55" s="15">
        <f>IFERROR(D55/D148, "NA")</f>
        <v>-0.01225418732</v>
      </c>
      <c r="F55" s="28">
        <v>-226.82</v>
      </c>
      <c r="G55" s="15">
        <f>IFERROR(F55/F148, "NA")</f>
        <v>-0.009353699066</v>
      </c>
      <c r="H55" s="28">
        <v>-202.21</v>
      </c>
      <c r="I55" s="15">
        <f>IFERROR(H55/H148, "NA")</f>
        <v>-0.008896982699</v>
      </c>
      <c r="J55" s="28">
        <v>-149.22</v>
      </c>
      <c r="K55" s="15">
        <f>IFERROR(J55/J148, "NA")</f>
        <v>-0.006795902056</v>
      </c>
      <c r="L55" s="28">
        <v>-263.56</v>
      </c>
      <c r="M55" s="15">
        <f>IFERROR(L55/L148, "NA")</f>
        <v>-0.01058313236</v>
      </c>
      <c r="N55" s="28">
        <v>-237.24</v>
      </c>
      <c r="O55" s="15">
        <f>IFERROR(N55/N148, "NA")</f>
        <v>-0.009365033812</v>
      </c>
      <c r="P55" s="28">
        <v>-293.4</v>
      </c>
      <c r="Q55" s="15">
        <f>IFERROR(P55/P148, "NA")</f>
        <v>-0.0112632023</v>
      </c>
      <c r="R55" s="28">
        <v>-208.04</v>
      </c>
      <c r="S55" s="15">
        <f>IFERROR(R55/R148, "NA")</f>
        <v>-0.006941272444</v>
      </c>
      <c r="T55" s="28">
        <v>-177.11</v>
      </c>
      <c r="U55" s="15">
        <f>IFERROR(T55/T148, "NA")</f>
        <v>-0.006785288211</v>
      </c>
      <c r="V55" s="28">
        <v>-200.43</v>
      </c>
      <c r="W55" s="15">
        <f>IFERROR(V55/V148, "NA")</f>
        <v>-0.006603022704</v>
      </c>
      <c r="X55" s="28">
        <v>-219.94</v>
      </c>
      <c r="Y55" s="15">
        <f>IFERROR(X55/X148, "NA")</f>
        <v>-0.008508060492</v>
      </c>
      <c r="Z55" s="28">
        <v>-597.48</v>
      </c>
      <c r="AA55" s="15">
        <f>IFERROR(Z55/Z148, "NA")</f>
        <v>-0.007259153279</v>
      </c>
      <c r="AB55" s="57">
        <f t="shared" si="25"/>
        <v>-201.38</v>
      </c>
      <c r="AC55" s="15">
        <f>IFERROR(AB55/AB148, "NA")</f>
        <v>-0.007174298711</v>
      </c>
      <c r="AD55" s="61">
        <f t="shared" si="26"/>
        <v>-18.56</v>
      </c>
      <c r="AE55" s="62">
        <f>IFERROR(AD55/AD148, "NA")</f>
        <v>0.0083646463</v>
      </c>
      <c r="AF55" s="61">
        <f t="shared" si="27"/>
        <v>0.09216406793</v>
      </c>
      <c r="AG55" s="57">
        <f t="shared" si="28"/>
        <v>-218.6175</v>
      </c>
      <c r="AH55" s="15">
        <f>IFERROR(AG55/AG148, "NA")</f>
        <v>-0.008307648724</v>
      </c>
      <c r="AI55" s="61">
        <f t="shared" si="29"/>
        <v>-1.3225</v>
      </c>
      <c r="AJ55" s="62">
        <f>IFERROR(AI55/AI148, "NA")</f>
        <v>0.002847591928</v>
      </c>
      <c r="AK55" s="61">
        <f t="shared" si="30"/>
        <v>0.006049378481</v>
      </c>
      <c r="AL55" s="62">
        <f>IFERROR(AK55/AK148, "NA")</f>
        <v>-0.3427674932</v>
      </c>
    </row>
    <row r="56" ht="16.5" customHeight="1">
      <c r="A56" s="67" t="s">
        <v>117</v>
      </c>
      <c r="B56" s="70">
        <f>IFERROR(B37+B39+B40+B41+B42+B43+B46+B47+B48+B49+B50+B51+B53+B54+B55, "NA")</f>
        <v>636.73</v>
      </c>
      <c r="C56" s="71">
        <f>IFERROR(B56/B148, "NA")</f>
        <v>0.04530589824</v>
      </c>
      <c r="D56" s="70">
        <f>IFERROR(D37+D39+D40+D41+D42+D43+D46+D47+D48+D49+D50+D51+D53+D54+D55, "NA")</f>
        <v>1075.08</v>
      </c>
      <c r="E56" s="71">
        <f>IFERROR(D56/D148, "NA")</f>
        <v>0.0575168378</v>
      </c>
      <c r="F56" s="70">
        <f>IFERROR(F37+F39+F40+F41+F42+F43+F46+F47+F48+F49+F50+F51+F53+F54+F55, "NA")</f>
        <v>501.36</v>
      </c>
      <c r="G56" s="71">
        <f>IFERROR(F56/F148, "NA")</f>
        <v>0.02067529567</v>
      </c>
      <c r="H56" s="70">
        <f>IFERROR(H37+H39+H40+H41+H42+H43+H46+H47+H48+H49+H50+H51+H53+H54+H55, "NA")</f>
        <v>926.13</v>
      </c>
      <c r="I56" s="71">
        <f>IFERROR(H56/H148, "NA")</f>
        <v>0.04074854155</v>
      </c>
      <c r="J56" s="70">
        <f>IFERROR(J37+J39+J40+J41+J42+J43+J46+J47+J48+J49+J50+J51+J53+J54+J55, "NA")</f>
        <v>758.72</v>
      </c>
      <c r="K56" s="71">
        <f>IFERROR(J56/J148, "NA")</f>
        <v>0.03455426087</v>
      </c>
      <c r="L56" s="70">
        <f>IFERROR(L37+L39+L40+L41+L42+L43+L46+L47+L48+L49+L50+L51+L53+L54+L55, "NA")</f>
        <v>742.53</v>
      </c>
      <c r="M56" s="71">
        <f>IFERROR(L56/L148, "NA")</f>
        <v>0.02981595565</v>
      </c>
      <c r="N56" s="70">
        <f>IFERROR(N37+N39+N40+N41+N42+N43+N46+N47+N48+N49+N50+N51+N53+N54+N55, "NA")</f>
        <v>778.31</v>
      </c>
      <c r="O56" s="71">
        <f>IFERROR(N56/N148, "NA")</f>
        <v>0.03072373742</v>
      </c>
      <c r="P56" s="70">
        <f>IFERROR(P37+P39+P40+P41+P42+P43+P46+P47+P48+P49+P50+P51+P53+P54+P55, "NA")</f>
        <v>1083.45</v>
      </c>
      <c r="Q56" s="71">
        <f>IFERROR(P56/P148, "NA")</f>
        <v>0.0415920809</v>
      </c>
      <c r="R56" s="70">
        <f>IFERROR(R37+R39+R40+R41+R42+R43+R46+R47+R48+R49+R50+R51+R53+R54+R55, "NA")</f>
        <v>1268.02</v>
      </c>
      <c r="S56" s="71">
        <f>IFERROR(R56/R148, "NA")</f>
        <v>0.04230759606</v>
      </c>
      <c r="T56" s="70">
        <f>IFERROR(T37+T39+T40+T41+T42+T43+T46+T47+T48+T49+T50+T51+T53+T54+T55, "NA")</f>
        <v>1060.63</v>
      </c>
      <c r="U56" s="71">
        <f>IFERROR(T56/T148, "NA")</f>
        <v>0.04063395763</v>
      </c>
      <c r="V56" s="70">
        <f>IFERROR(V37+V39+V40+V41+V42+V43+V46+V47+V48+V49+V50+V51+V53+V54+V55, "NA")</f>
        <v>902.82</v>
      </c>
      <c r="W56" s="71">
        <f>IFERROR(V56/V148, "NA")</f>
        <v>0.02974275786</v>
      </c>
      <c r="X56" s="70">
        <f>IFERROR(X37+X39+X40+X41+X42+X43+X46+X47+X48+X49+X50+X51+X53+X54+X55, "NA")</f>
        <v>969.76</v>
      </c>
      <c r="Y56" s="71">
        <f>IFERROR(X56/X148, "NA")</f>
        <v>0.03751376167</v>
      </c>
      <c r="Z56" s="70">
        <f>IFERROR(Z37+Z39+Z40+Z41+Z42+Z43+Z46+Z47+Z48+Z49+Z50+Z51+Z53+Z54+Z55, "NA")</f>
        <v>2933.21</v>
      </c>
      <c r="AA56" s="71">
        <f>IFERROR(Z56/Z148, "NA")</f>
        <v>0.03563737864</v>
      </c>
      <c r="AB56" s="70">
        <f t="shared" si="25"/>
        <v>1050.3075</v>
      </c>
      <c r="AC56" s="71">
        <f>IFERROR(AB56/AB148, "NA")</f>
        <v>0.0374179151</v>
      </c>
      <c r="AD56" s="75">
        <f t="shared" si="26"/>
        <v>-80.5475</v>
      </c>
      <c r="AE56" s="76">
        <f>IFERROR(AD56/AD148, "NA")</f>
        <v>0.03630125796</v>
      </c>
      <c r="AF56" s="75">
        <f t="shared" si="27"/>
        <v>-0.07668944571</v>
      </c>
      <c r="AG56" s="70">
        <f t="shared" si="28"/>
        <v>945.53</v>
      </c>
      <c r="AH56" s="71">
        <f>IFERROR(AG56/AG148, "NA")</f>
        <v>0.03593093461</v>
      </c>
      <c r="AI56" s="75">
        <f t="shared" si="29"/>
        <v>24.23</v>
      </c>
      <c r="AJ56" s="76">
        <f>IFERROR(AI56/AI148, "NA")</f>
        <v>-0.05217175985</v>
      </c>
      <c r="AK56" s="75">
        <f t="shared" si="30"/>
        <v>0.02562583948</v>
      </c>
      <c r="AL56" s="76">
        <f>IFERROR(AK56/AK148, "NA")</f>
        <v>-1.452001191</v>
      </c>
    </row>
    <row r="57" ht="16.5" customHeight="1">
      <c r="A57" s="67" t="s">
        <v>54</v>
      </c>
      <c r="B57" s="118">
        <f>IFERROR(B13+B15+B16+B17+B18+B19+B20+B21+B22+B23+B24+B25+B26+B29+B30+B31+B32+B33+B37+B39+B40+B41+B42+B43+B46+B47+B48+B49+B50+B51+B53+B54+B55, "NA")</f>
        <v>4377.57</v>
      </c>
      <c r="C57" s="94">
        <f>IFERROR(B57/B148, "NA")</f>
        <v>0.3114816971</v>
      </c>
      <c r="D57" s="118">
        <f>IFERROR(D13+D15+D16+D17+D18+D19+D20+D21+D22+D23+D24+D25+D26+D29+D30+D31+D32+D33+D37+D39+D40+D41+D42+D43+D46+D47+D48+D49+D50+D51+D53+D54+D55, "NA")</f>
        <v>6840</v>
      </c>
      <c r="E57" s="94">
        <f>IFERROR(D57/D148, "NA")</f>
        <v>0.3659403678</v>
      </c>
      <c r="F57" s="118">
        <f>IFERROR(F13+F15+F16+F17+F18+F19+F20+F21+F22+F23+F24+F25+F26+F29+F30+F31+F32+F33+F37+F39+F40+F41+F42+F43+F46+F47+F48+F49+F50+F51+F53+F54+F55, "NA")</f>
        <v>5881.46</v>
      </c>
      <c r="G57" s="94">
        <f>IFERROR(F57/F148, "NA")</f>
        <v>0.2425421343</v>
      </c>
      <c r="H57" s="118">
        <f>IFERROR(H13+H15+H16+H17+H18+H19+H20+H21+H22+H23+H24+H25+H26+H29+H30+H31+H32+H33+H37+H39+H40+H41+H42+H43+H46+H47+H48+H49+H50+H51+H53+H54+H55, "NA")</f>
        <v>6365.13</v>
      </c>
      <c r="I57" s="94">
        <f>IFERROR(H57/H148, "NA")</f>
        <v>0.2800576207</v>
      </c>
      <c r="J57" s="118">
        <f>IFERROR(J13+J15+J16+J17+J18+J19+J20+J21+J22+J23+J24+J25+J26+J29+J30+J31+J32+J33+J37+J39+J40+J41+J42+J43+J46+J47+J48+J49+J50+J51+J53+J54+J55, "NA")</f>
        <v>6705.06</v>
      </c>
      <c r="K57" s="94">
        <f>IFERROR(J57/J148, "NA")</f>
        <v>0.305367451</v>
      </c>
      <c r="L57" s="118">
        <f>IFERROR(L13+L15+L16+L17+L18+L19+L20+L21+L22+L23+L24+L25+L26+L29+L30+L31+L32+L33+L37+L39+L40+L41+L42+L43+L46+L47+L48+L49+L50+L51+L53+L54+L55, "NA")</f>
        <v>7054.73</v>
      </c>
      <c r="M57" s="94">
        <f>IFERROR(L57/L148, "NA")</f>
        <v>0.2832794861</v>
      </c>
      <c r="N57" s="118">
        <f>IFERROR(N13+N15+N16+N17+N18+N19+N20+N21+N22+N23+N24+N25+N26+N29+N30+N31+N32+N33+N37+N39+N40+N41+N42+N43+N46+N47+N48+N49+N50+N51+N53+N54+N55, "NA")</f>
        <v>7042.56</v>
      </c>
      <c r="O57" s="94">
        <f>IFERROR(N57/N148, "NA")</f>
        <v>0.2780046051</v>
      </c>
      <c r="P57" s="118">
        <f>IFERROR(P13+P15+P16+P17+P18+P19+P20+P21+P22+P23+P24+P25+P26+P29+P30+P31+P32+P33+P37+P39+P40+P41+P42+P43+P46+P47+P48+P49+P50+P51+P53+P54+P55, "NA")</f>
        <v>8113.95</v>
      </c>
      <c r="Q57" s="94">
        <f>IFERROR(P57/P148, "NA")</f>
        <v>0.3114828232</v>
      </c>
      <c r="R57" s="118">
        <f>IFERROR(R13+R15+R16+R17+R18+R19+R20+R21+R22+R23+R24+R25+R26+R29+R30+R31+R32+R33+R37+R39+R40+R41+R42+R43+R46+R47+R48+R49+R50+R51+R53+R54+R55, "NA")</f>
        <v>8100.43</v>
      </c>
      <c r="S57" s="94">
        <f>IFERROR(R57/R148, "NA")</f>
        <v>0.2702715418</v>
      </c>
      <c r="T57" s="118">
        <f>IFERROR(T13+T15+T16+T17+T18+T19+T20+T21+T22+T23+T24+T25+T26+T29+T30+T31+T32+T33+T37+T39+T40+T41+T42+T43+T46+T47+T48+T49+T50+T51+T53+T54+T55, "NA")</f>
        <v>8160.93</v>
      </c>
      <c r="U57" s="94">
        <f>IFERROR(T57/T148, "NA")</f>
        <v>0.3126546334</v>
      </c>
      <c r="V57" s="118">
        <f>IFERROR(V13+V15+V16+V17+V18+V19+V20+V21+V22+V23+V24+V25+V26+V29+V30+V31+V32+V33+V37+V39+V40+V41+V42+V43+V46+V47+V48+V49+V50+V51+V53+V54+V55, "NA")</f>
        <v>7899.16</v>
      </c>
      <c r="W57" s="94">
        <f>IFERROR(V57/V148, "NA")</f>
        <v>0.260232165</v>
      </c>
      <c r="X57" s="118">
        <f>IFERROR(X13+X15+X16+X17+X18+X19+X20+X21+X22+X23+X24+X25+X26+X29+X30+X31+X32+X33+X37+X39+X40+X41+X42+X43+X46+X47+X48+X49+X50+X51+X53+X54+X55, "NA")</f>
        <v>8421.65</v>
      </c>
      <c r="Y57" s="94">
        <f>IFERROR(X57/X148, "NA")</f>
        <v>0.3257793382</v>
      </c>
      <c r="Z57" s="118">
        <f>IFERROR(Z13+Z15+Z16+Z17+Z18+Z19+Z20+Z21+Z22+Z23+Z24+Z25+Z26+Z29+Z30+Z31+Z32+Z33+Z37+Z39+Z40+Z41+Z42+Z43+Z46+Z47+Z48+Z49+Z50+Z51+Z53+Z54+Z55, "NA")</f>
        <v>24481.74</v>
      </c>
      <c r="AA57" s="94">
        <f>IFERROR(Z57/Z148, "NA")</f>
        <v>0.2974437691</v>
      </c>
      <c r="AB57" s="118">
        <f t="shared" si="25"/>
        <v>8145.5425</v>
      </c>
      <c r="AC57" s="94">
        <f>IFERROR(AB57/AB148, "NA")</f>
        <v>0.2901904611</v>
      </c>
      <c r="AD57" s="119">
        <f t="shared" si="26"/>
        <v>276.1075</v>
      </c>
      <c r="AE57" s="120">
        <f>IFERROR(AD57/AD148, "NA")</f>
        <v>-0.1244365074</v>
      </c>
      <c r="AF57" s="119">
        <f t="shared" si="27"/>
        <v>0.0338967601</v>
      </c>
      <c r="AG57" s="118">
        <f t="shared" si="28"/>
        <v>7687.30875</v>
      </c>
      <c r="AH57" s="94">
        <f>IFERROR(AG57/AG148, "NA")</f>
        <v>0.2921241928</v>
      </c>
      <c r="AI57" s="119">
        <f t="shared" si="29"/>
        <v>734.34125</v>
      </c>
      <c r="AJ57" s="120">
        <f>IFERROR(AI57/AI148, "NA")</f>
        <v>-1.58117521</v>
      </c>
      <c r="AK57" s="119">
        <f t="shared" si="30"/>
        <v>0.09552644155</v>
      </c>
      <c r="AL57" s="120">
        <f>IFERROR(AK57/AK148, "NA")</f>
        <v>-5.412681487</v>
      </c>
    </row>
    <row r="58" ht="3.75" customHeight="1">
      <c r="A58" s="79"/>
      <c r="B58" s="80"/>
      <c r="C58" s="74"/>
      <c r="D58" s="80"/>
      <c r="E58" s="74"/>
      <c r="F58" s="80"/>
      <c r="G58" s="74"/>
      <c r="H58" s="80"/>
      <c r="I58" s="74"/>
      <c r="J58" s="80"/>
      <c r="K58" s="74"/>
      <c r="L58" s="80"/>
      <c r="M58" s="74"/>
      <c r="N58" s="80"/>
      <c r="O58" s="74"/>
      <c r="P58" s="80"/>
      <c r="Q58" s="74"/>
      <c r="R58" s="80"/>
      <c r="S58" s="74"/>
      <c r="T58" s="80"/>
      <c r="U58" s="74"/>
      <c r="V58" s="80"/>
      <c r="W58" s="74"/>
      <c r="X58" s="80"/>
      <c r="Y58" s="74"/>
      <c r="Z58" s="80"/>
      <c r="AA58" s="74"/>
      <c r="AB58" s="80"/>
      <c r="AC58" s="74"/>
      <c r="AD58" s="81"/>
      <c r="AE58" s="82"/>
      <c r="AF58" s="81"/>
      <c r="AG58" s="80"/>
      <c r="AH58" s="74"/>
      <c r="AI58" s="81"/>
      <c r="AJ58" s="82"/>
      <c r="AK58" s="81"/>
      <c r="AL58" s="82"/>
    </row>
    <row r="59" ht="16.5" customHeight="1">
      <c r="A59" s="121" t="s">
        <v>120</v>
      </c>
      <c r="B59" s="122">
        <f>IFERROR(B9-B57, "NA")</f>
        <v>9676.45</v>
      </c>
      <c r="C59" s="98">
        <f>IFERROR(B59/B148, "NA")</f>
        <v>0.6885183029</v>
      </c>
      <c r="D59" s="122">
        <f>IFERROR(D9-D57, "NA")</f>
        <v>11851.57</v>
      </c>
      <c r="E59" s="98">
        <f>IFERROR(D59/D148, "NA")</f>
        <v>0.6340596322</v>
      </c>
      <c r="F59" s="122">
        <f>IFERROR(F9-F57, "NA")</f>
        <v>18367.77</v>
      </c>
      <c r="G59" s="98">
        <f>IFERROR(F59/F148, "NA")</f>
        <v>0.7574578657</v>
      </c>
      <c r="H59" s="122">
        <f>IFERROR(H9-H57, "NA")</f>
        <v>16362.8</v>
      </c>
      <c r="I59" s="98">
        <f>IFERROR(H59/H148, "NA")</f>
        <v>0.7199423793</v>
      </c>
      <c r="J59" s="122">
        <f>IFERROR(J9-J57, "NA")</f>
        <v>15252.29</v>
      </c>
      <c r="K59" s="98">
        <f>IFERROR(J59/J148, "NA")</f>
        <v>0.694632549</v>
      </c>
      <c r="L59" s="122">
        <f>IFERROR(L9-L57, "NA")</f>
        <v>17849.05</v>
      </c>
      <c r="M59" s="98">
        <f>IFERROR(L59/L148, "NA")</f>
        <v>0.7167205139</v>
      </c>
      <c r="N59" s="122">
        <f>IFERROR(N9-N57, "NA")</f>
        <v>18289.97</v>
      </c>
      <c r="O59" s="98">
        <f>IFERROR(N59/N148, "NA")</f>
        <v>0.7219953949</v>
      </c>
      <c r="P59" s="122">
        <f>IFERROR(P9-P57, "NA")</f>
        <v>17935.48</v>
      </c>
      <c r="Q59" s="98">
        <f>IFERROR(P59/P148, "NA")</f>
        <v>0.6885171768</v>
      </c>
      <c r="R59" s="122">
        <f>IFERROR(R9-R57, "NA")</f>
        <v>21871.02</v>
      </c>
      <c r="S59" s="98">
        <f>IFERROR(R59/R148, "NA")</f>
        <v>0.7297284582</v>
      </c>
      <c r="T59" s="122">
        <f>IFERROR(T9-T57, "NA")</f>
        <v>17941.13</v>
      </c>
      <c r="U59" s="98">
        <f>IFERROR(T59/T148, "NA")</f>
        <v>0.6873453666</v>
      </c>
      <c r="V59" s="122">
        <f>IFERROR(V9-V57, "NA")</f>
        <v>22455.12</v>
      </c>
      <c r="W59" s="98">
        <f>IFERROR(V59/V148, "NA")</f>
        <v>0.739767835</v>
      </c>
      <c r="X59" s="122">
        <f>IFERROR(X9-X57, "NA")</f>
        <v>17429.13</v>
      </c>
      <c r="Y59" s="98">
        <f>IFERROR(X59/X148, "NA")</f>
        <v>0.6742206618</v>
      </c>
      <c r="Z59" s="122">
        <f>IFERROR(Z9-Z57, "NA")</f>
        <v>57825.38</v>
      </c>
      <c r="AA59" s="98">
        <f>IFERROR(Z59/Z148, "NA")</f>
        <v>0.7025562309</v>
      </c>
      <c r="AB59" s="122">
        <f>IFERROR((R59+T59+V59+X59)/4, "NA")</f>
        <v>19924.1</v>
      </c>
      <c r="AC59" s="98">
        <f>IFERROR(AB59/AB148, "NA")</f>
        <v>0.7098095389</v>
      </c>
      <c r="AD59" s="75">
        <f>IFERROR(X59-AB59, "NA")</f>
        <v>-2494.97</v>
      </c>
      <c r="AE59" s="76">
        <f>IFERROR(AD59/AD148, "NA")</f>
        <v>1.124436507</v>
      </c>
      <c r="AF59" s="75">
        <f>IFERROR((X59-AB59)/AB59, "NA")</f>
        <v>-0.125223724</v>
      </c>
      <c r="AG59" s="122">
        <f>IFERROR((J59+L59+N59+P59+R59+T59+V59+X59)/8, "NA")</f>
        <v>18627.89875</v>
      </c>
      <c r="AH59" s="98">
        <f>IFERROR(AG59/AG148, "NA")</f>
        <v>0.7078758072</v>
      </c>
      <c r="AI59" s="75">
        <f>IFERROR(X59-AG59, "NA")</f>
        <v>-1198.76875</v>
      </c>
      <c r="AJ59" s="76">
        <f>IFERROR(AI59/AI148, "NA")</f>
        <v>2.58117521</v>
      </c>
      <c r="AK59" s="75">
        <f>IFERROR((X59-AG59)/AG59, "NA")</f>
        <v>-0.06435340701</v>
      </c>
      <c r="AL59" s="76">
        <f>IFERROR(AK59/AK148, "NA")</f>
        <v>3.646367321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2"/>
      <c r="AF60" s="125"/>
      <c r="AG60" s="124"/>
      <c r="AH60" s="74"/>
      <c r="AI60" s="125"/>
      <c r="AJ60" s="82"/>
      <c r="AK60" s="125"/>
      <c r="AL60" s="82"/>
    </row>
    <row r="61" ht="16.5" customHeight="1">
      <c r="A61" s="22" t="s">
        <v>121</v>
      </c>
      <c r="B61" s="23"/>
      <c r="C61" s="10"/>
      <c r="D61" s="23"/>
      <c r="E61" s="10"/>
      <c r="F61" s="23"/>
      <c r="G61" s="10"/>
      <c r="H61" s="23"/>
      <c r="I61" s="10"/>
      <c r="J61" s="23"/>
      <c r="K61" s="10"/>
      <c r="L61" s="23"/>
      <c r="M61" s="10"/>
      <c r="N61" s="23"/>
      <c r="O61" s="10"/>
      <c r="P61" s="23"/>
      <c r="Q61" s="10"/>
      <c r="R61" s="23"/>
      <c r="S61" s="10"/>
      <c r="T61" s="23"/>
      <c r="U61" s="10"/>
      <c r="V61" s="23"/>
      <c r="W61" s="10"/>
      <c r="X61" s="23"/>
      <c r="Y61" s="10"/>
      <c r="Z61" s="23"/>
      <c r="AA61" s="10"/>
      <c r="AB61" s="23"/>
      <c r="AC61" s="10"/>
      <c r="AD61" s="24"/>
      <c r="AE61" s="25"/>
      <c r="AF61" s="24"/>
      <c r="AG61" s="23"/>
      <c r="AH61" s="10"/>
      <c r="AI61" s="24"/>
      <c r="AJ61" s="25"/>
      <c r="AK61" s="24"/>
      <c r="AL61" s="25"/>
    </row>
    <row r="62" ht="16.5" customHeight="1">
      <c r="A62" s="22" t="s">
        <v>121</v>
      </c>
      <c r="B62" s="23"/>
      <c r="C62" s="10"/>
      <c r="D62" s="23"/>
      <c r="E62" s="10"/>
      <c r="F62" s="23"/>
      <c r="G62" s="10"/>
      <c r="H62" s="23"/>
      <c r="I62" s="10"/>
      <c r="J62" s="23"/>
      <c r="K62" s="10"/>
      <c r="L62" s="23"/>
      <c r="M62" s="10"/>
      <c r="N62" s="23"/>
      <c r="O62" s="10"/>
      <c r="P62" s="23"/>
      <c r="Q62" s="10"/>
      <c r="R62" s="23"/>
      <c r="S62" s="10"/>
      <c r="T62" s="23"/>
      <c r="U62" s="10"/>
      <c r="V62" s="23"/>
      <c r="W62" s="10"/>
      <c r="X62" s="23"/>
      <c r="Y62" s="10"/>
      <c r="Z62" s="23"/>
      <c r="AA62" s="10"/>
      <c r="AB62" s="23"/>
      <c r="AC62" s="10"/>
      <c r="AD62" s="24"/>
      <c r="AE62" s="25"/>
      <c r="AF62" s="24"/>
      <c r="AG62" s="23"/>
      <c r="AH62" s="10"/>
      <c r="AI62" s="24"/>
      <c r="AJ62" s="25"/>
      <c r="AK62" s="24"/>
      <c r="AL62" s="25"/>
    </row>
    <row r="63" ht="16.5" hidden="1" customHeight="1">
      <c r="A63" s="26" t="s">
        <v>122</v>
      </c>
      <c r="B63" s="28">
        <v>0.0</v>
      </c>
      <c r="C63" s="15">
        <f>IFERROR(B63/B148, "NA")</f>
        <v>0</v>
      </c>
      <c r="D63" s="28">
        <v>0.0</v>
      </c>
      <c r="E63" s="15">
        <f>IFERROR(D63/D148, "NA")</f>
        <v>0</v>
      </c>
      <c r="F63" s="28">
        <v>0.0</v>
      </c>
      <c r="G63" s="15">
        <f>IFERROR(F63/F148, "NA")</f>
        <v>0</v>
      </c>
      <c r="H63" s="28">
        <v>0.0</v>
      </c>
      <c r="I63" s="15">
        <f>IFERROR(H63/H148, "NA")</f>
        <v>0</v>
      </c>
      <c r="J63" s="28">
        <v>0.0</v>
      </c>
      <c r="K63" s="15">
        <f>IFERROR(J63/J148, "NA")</f>
        <v>0</v>
      </c>
      <c r="L63" s="28">
        <v>0.0</v>
      </c>
      <c r="M63" s="15">
        <f>IFERROR(L63/L148, "NA")</f>
        <v>0</v>
      </c>
      <c r="N63" s="28">
        <v>0.0</v>
      </c>
      <c r="O63" s="15">
        <f>IFERROR(N63/N148, "NA")</f>
        <v>0</v>
      </c>
      <c r="P63" s="28">
        <v>0.0</v>
      </c>
      <c r="Q63" s="15">
        <f>IFERROR(P63/P148, "NA")</f>
        <v>0</v>
      </c>
      <c r="R63" s="28">
        <v>0.0</v>
      </c>
      <c r="S63" s="15">
        <f>IFERROR(R63/R148, "NA")</f>
        <v>0</v>
      </c>
      <c r="T63" s="28">
        <v>0.0</v>
      </c>
      <c r="U63" s="15">
        <f>IFERROR(T63/T148, "NA")</f>
        <v>0</v>
      </c>
      <c r="V63" s="28">
        <v>0.0</v>
      </c>
      <c r="W63" s="15">
        <f>IFERROR(V63/V148, "NA")</f>
        <v>0</v>
      </c>
      <c r="X63" s="28">
        <v>0.0</v>
      </c>
      <c r="Y63" s="15">
        <f>IFERROR(X63/X148, "NA")</f>
        <v>0</v>
      </c>
      <c r="Z63" s="28">
        <v>0.0</v>
      </c>
      <c r="AA63" s="15">
        <f>IFERROR(Z63/Z148, "NA")</f>
        <v>0</v>
      </c>
      <c r="AB63" s="57">
        <f>IFERROR((R63+T63+V63+X63)/4, "NA")</f>
        <v>0</v>
      </c>
      <c r="AC63" s="15">
        <f>IFERROR(AB63/AB148, "NA")</f>
        <v>0</v>
      </c>
      <c r="AD63" s="61">
        <f>IFERROR(X63-AB63, "NA")</f>
        <v>0</v>
      </c>
      <c r="AE63" s="62">
        <f>IFERROR(AD63/AD148, "NA")</f>
        <v>0</v>
      </c>
      <c r="AF63" s="61" t="str">
        <f>IFERROR((X63-AB63)/AB63, "NA")</f>
        <v>NA</v>
      </c>
      <c r="AG63" s="57">
        <f>IFERROR((J63+L63+N63+P63+R63+T63+V63+X63)/8, "NA")</f>
        <v>0</v>
      </c>
      <c r="AH63" s="15">
        <f>IFERROR(AG63/AG148, "NA")</f>
        <v>0</v>
      </c>
      <c r="AI63" s="61">
        <f>IFERROR(X63-AG63, "NA")</f>
        <v>0</v>
      </c>
      <c r="AJ63" s="62">
        <f>IFERROR(AI63/AI148, "NA")</f>
        <v>0</v>
      </c>
      <c r="AK63" s="61" t="str">
        <f>IFERROR((X63-AG63)/AG63, "NA")</f>
        <v>NA</v>
      </c>
      <c r="AL63" s="62" t="str">
        <f>IFERROR(AK63/AK148, "NA")</f>
        <v>NA</v>
      </c>
    </row>
    <row r="64" ht="16.5" customHeight="1">
      <c r="A64" s="22" t="s">
        <v>123</v>
      </c>
      <c r="B64" s="23"/>
      <c r="C64" s="10"/>
      <c r="D64" s="23"/>
      <c r="E64" s="10"/>
      <c r="F64" s="23"/>
      <c r="G64" s="10"/>
      <c r="H64" s="23"/>
      <c r="I64" s="10"/>
      <c r="J64" s="23"/>
      <c r="K64" s="10"/>
      <c r="L64" s="23"/>
      <c r="M64" s="10"/>
      <c r="N64" s="23"/>
      <c r="O64" s="10"/>
      <c r="P64" s="23"/>
      <c r="Q64" s="10"/>
      <c r="R64" s="23"/>
      <c r="S64" s="10"/>
      <c r="T64" s="23"/>
      <c r="U64" s="10"/>
      <c r="V64" s="23"/>
      <c r="W64" s="10"/>
      <c r="X64" s="23"/>
      <c r="Y64" s="10"/>
      <c r="Z64" s="23"/>
      <c r="AA64" s="10"/>
      <c r="AB64" s="23"/>
      <c r="AC64" s="10"/>
      <c r="AD64" s="24"/>
      <c r="AE64" s="25"/>
      <c r="AF64" s="24"/>
      <c r="AG64" s="23"/>
      <c r="AH64" s="10"/>
      <c r="AI64" s="24"/>
      <c r="AJ64" s="25"/>
      <c r="AK64" s="24"/>
      <c r="AL64" s="25"/>
    </row>
    <row r="65" ht="16.5" hidden="1" customHeight="1">
      <c r="A65" s="26" t="s">
        <v>124</v>
      </c>
      <c r="B65" s="28">
        <v>0.0</v>
      </c>
      <c r="C65" s="15">
        <f>IFERROR(B65/B148, "NA")</f>
        <v>0</v>
      </c>
      <c r="D65" s="28">
        <v>0.0</v>
      </c>
      <c r="E65" s="15">
        <f>IFERROR(D65/D148, "NA")</f>
        <v>0</v>
      </c>
      <c r="F65" s="28">
        <v>0.0</v>
      </c>
      <c r="G65" s="15">
        <f>IFERROR(F65/F148, "NA")</f>
        <v>0</v>
      </c>
      <c r="H65" s="28">
        <v>0.0</v>
      </c>
      <c r="I65" s="15">
        <f>IFERROR(H65/H148, "NA")</f>
        <v>0</v>
      </c>
      <c r="J65" s="28">
        <v>0.0</v>
      </c>
      <c r="K65" s="15">
        <f>IFERROR(J65/J148, "NA")</f>
        <v>0</v>
      </c>
      <c r="L65" s="28">
        <v>0.0</v>
      </c>
      <c r="M65" s="15">
        <f>IFERROR(L65/L148, "NA")</f>
        <v>0</v>
      </c>
      <c r="N65" s="28">
        <v>0.0</v>
      </c>
      <c r="O65" s="15">
        <f>IFERROR(N65/N148, "NA")</f>
        <v>0</v>
      </c>
      <c r="P65" s="28">
        <v>0.0</v>
      </c>
      <c r="Q65" s="15">
        <f>IFERROR(P65/P148, "NA")</f>
        <v>0</v>
      </c>
      <c r="R65" s="28">
        <v>0.0</v>
      </c>
      <c r="S65" s="15">
        <f>IFERROR(R65/R148, "NA")</f>
        <v>0</v>
      </c>
      <c r="T65" s="28">
        <v>0.0</v>
      </c>
      <c r="U65" s="15">
        <f>IFERROR(T65/T148, "NA")</f>
        <v>0</v>
      </c>
      <c r="V65" s="28">
        <v>0.0</v>
      </c>
      <c r="W65" s="15">
        <f>IFERROR(V65/V148, "NA")</f>
        <v>0</v>
      </c>
      <c r="X65" s="28">
        <v>0.0</v>
      </c>
      <c r="Y65" s="15">
        <f>IFERROR(X65/X148, "NA")</f>
        <v>0</v>
      </c>
      <c r="Z65" s="28">
        <v>0.0</v>
      </c>
      <c r="AA65" s="15">
        <f>IFERROR(Z65/Z148, "NA")</f>
        <v>0</v>
      </c>
      <c r="AB65" s="57">
        <f t="shared" ref="AB65:AB72" si="31">IFERROR((R65+T65+V65+X65)/4, "NA")</f>
        <v>0</v>
      </c>
      <c r="AC65" s="15">
        <f>IFERROR(AB65/AB148, "NA")</f>
        <v>0</v>
      </c>
      <c r="AD65" s="61">
        <f t="shared" ref="AD65:AD72" si="32">IFERROR(X65-AB65, "NA")</f>
        <v>0</v>
      </c>
      <c r="AE65" s="62">
        <f>IFERROR(AD65/AD148, "NA")</f>
        <v>0</v>
      </c>
      <c r="AF65" s="61" t="str">
        <f t="shared" ref="AF65:AF72" si="33">IFERROR((X65-AB65)/AB65, "NA")</f>
        <v>NA</v>
      </c>
      <c r="AG65" s="57">
        <f t="shared" ref="AG65:AG72" si="34">IFERROR((J65+L65+N65+P65+R65+T65+V65+X65)/8, "NA")</f>
        <v>0</v>
      </c>
      <c r="AH65" s="15">
        <f>IFERROR(AG65/AG148, "NA")</f>
        <v>0</v>
      </c>
      <c r="AI65" s="61">
        <f t="shared" ref="AI65:AI72" si="35">IFERROR(X65-AG65, "NA")</f>
        <v>0</v>
      </c>
      <c r="AJ65" s="62">
        <f>IFERROR(AI65/AI148, "NA")</f>
        <v>0</v>
      </c>
      <c r="AK65" s="61" t="str">
        <f t="shared" ref="AK65:AK72" si="36">IFERROR((X65-AG65)/AG65, "NA")</f>
        <v>NA</v>
      </c>
      <c r="AL65" s="62" t="str">
        <f>IFERROR(AK65/AK148, "NA")</f>
        <v>NA</v>
      </c>
    </row>
    <row r="66" ht="16.5" customHeight="1">
      <c r="A66" s="26" t="s">
        <v>125</v>
      </c>
      <c r="B66" s="28">
        <v>1298.08</v>
      </c>
      <c r="C66" s="15">
        <f>IFERROR(B66/B148, "NA")</f>
        <v>0.09236360842</v>
      </c>
      <c r="D66" s="28">
        <v>1298.08</v>
      </c>
      <c r="E66" s="15">
        <f>IFERROR(D66/D148, "NA")</f>
        <v>0.06944734979</v>
      </c>
      <c r="F66" s="28">
        <v>1298.08</v>
      </c>
      <c r="G66" s="15">
        <f>IFERROR(F66/F148, "NA")</f>
        <v>0.0535307719</v>
      </c>
      <c r="H66" s="28">
        <v>1298.08</v>
      </c>
      <c r="I66" s="15">
        <f>IFERROR(H66/H148, "NA")</f>
        <v>0.05711386827</v>
      </c>
      <c r="J66" s="28">
        <v>1298.08</v>
      </c>
      <c r="K66" s="15">
        <f>IFERROR(J66/J148, "NA")</f>
        <v>0.05911824514</v>
      </c>
      <c r="L66" s="28">
        <v>1298.08</v>
      </c>
      <c r="M66" s="15">
        <f>IFERROR(L66/L148, "NA")</f>
        <v>0.05212381414</v>
      </c>
      <c r="N66" s="28">
        <v>1298.08</v>
      </c>
      <c r="O66" s="15">
        <f>IFERROR(N66/N148, "NA")</f>
        <v>0.0512416249</v>
      </c>
      <c r="P66" s="28">
        <v>1298.08</v>
      </c>
      <c r="Q66" s="15">
        <f>IFERROR(P66/P148, "NA")</f>
        <v>0.04983141666</v>
      </c>
      <c r="R66" s="28">
        <v>1298.08</v>
      </c>
      <c r="S66" s="15">
        <f>IFERROR(R66/R148, "NA")</f>
        <v>0.04331055054</v>
      </c>
      <c r="T66" s="28">
        <v>1298.08</v>
      </c>
      <c r="U66" s="15">
        <f>IFERROR(T66/T148, "NA")</f>
        <v>0.04973094078</v>
      </c>
      <c r="V66" s="28">
        <v>1298.08</v>
      </c>
      <c r="W66" s="15">
        <f>IFERROR(V66/V148, "NA")</f>
        <v>0.04276431528</v>
      </c>
      <c r="X66" s="28">
        <v>1298.08</v>
      </c>
      <c r="Y66" s="15">
        <f>IFERROR(X66/X148, "NA")</f>
        <v>0.05021434556</v>
      </c>
      <c r="Z66" s="28">
        <v>3894.24</v>
      </c>
      <c r="AA66" s="15">
        <f>IFERROR(Z66/Z148, "NA")</f>
        <v>0.04731352525</v>
      </c>
      <c r="AB66" s="57">
        <f t="shared" si="31"/>
        <v>1298.08</v>
      </c>
      <c r="AC66" s="15">
        <f>IFERROR(AB66/AB148, "NA")</f>
        <v>0.046244978</v>
      </c>
      <c r="AD66" s="61">
        <f t="shared" si="32"/>
        <v>0</v>
      </c>
      <c r="AE66" s="62">
        <f>IFERROR(AD66/AD148, "NA")</f>
        <v>0</v>
      </c>
      <c r="AF66" s="61">
        <f t="shared" si="33"/>
        <v>0</v>
      </c>
      <c r="AG66" s="57">
        <f t="shared" si="34"/>
        <v>1298.08</v>
      </c>
      <c r="AH66" s="15">
        <f>IFERROR(AG66/AG148, "NA")</f>
        <v>0.04932813089</v>
      </c>
      <c r="AI66" s="61">
        <f t="shared" si="35"/>
        <v>0</v>
      </c>
      <c r="AJ66" s="62">
        <f>IFERROR(AI66/AI148, "NA")</f>
        <v>0</v>
      </c>
      <c r="AK66" s="61">
        <f t="shared" si="36"/>
        <v>0</v>
      </c>
      <c r="AL66" s="62">
        <f>IFERROR(AK66/AK148, "NA")</f>
        <v>0</v>
      </c>
    </row>
    <row r="67" ht="16.5" hidden="1" customHeight="1">
      <c r="A67" s="26" t="s">
        <v>128</v>
      </c>
      <c r="B67" s="28">
        <v>0.0</v>
      </c>
      <c r="C67" s="15">
        <f>IFERROR(B67/B148, "NA")</f>
        <v>0</v>
      </c>
      <c r="D67" s="28">
        <v>0.0</v>
      </c>
      <c r="E67" s="15">
        <f>IFERROR(D67/D148, "NA")</f>
        <v>0</v>
      </c>
      <c r="F67" s="28">
        <v>0.0</v>
      </c>
      <c r="G67" s="15">
        <f>IFERROR(F67/F148, "NA")</f>
        <v>0</v>
      </c>
      <c r="H67" s="28">
        <v>0.0</v>
      </c>
      <c r="I67" s="15">
        <f>IFERROR(H67/H148, "NA")</f>
        <v>0</v>
      </c>
      <c r="J67" s="28">
        <v>0.0</v>
      </c>
      <c r="K67" s="15">
        <f>IFERROR(J67/J148, "NA")</f>
        <v>0</v>
      </c>
      <c r="L67" s="28">
        <v>0.0</v>
      </c>
      <c r="M67" s="15">
        <f>IFERROR(L67/L148, "NA")</f>
        <v>0</v>
      </c>
      <c r="N67" s="28">
        <v>0.0</v>
      </c>
      <c r="O67" s="15">
        <f>IFERROR(N67/N148, "NA")</f>
        <v>0</v>
      </c>
      <c r="P67" s="28">
        <v>0.0</v>
      </c>
      <c r="Q67" s="15">
        <f>IFERROR(P67/P148, "NA")</f>
        <v>0</v>
      </c>
      <c r="R67" s="28">
        <v>0.0</v>
      </c>
      <c r="S67" s="15">
        <f>IFERROR(R67/R148, "NA")</f>
        <v>0</v>
      </c>
      <c r="T67" s="28">
        <v>0.0</v>
      </c>
      <c r="U67" s="15">
        <f>IFERROR(T67/T148, "NA")</f>
        <v>0</v>
      </c>
      <c r="V67" s="28">
        <v>0.0</v>
      </c>
      <c r="W67" s="15">
        <f>IFERROR(V67/V148, "NA")</f>
        <v>0</v>
      </c>
      <c r="X67" s="28">
        <v>0.0</v>
      </c>
      <c r="Y67" s="15">
        <f>IFERROR(X67/X148, "NA")</f>
        <v>0</v>
      </c>
      <c r="Z67" s="28">
        <v>0.0</v>
      </c>
      <c r="AA67" s="15">
        <f>IFERROR(Z67/Z148, "NA")</f>
        <v>0</v>
      </c>
      <c r="AB67" s="57">
        <f t="shared" si="31"/>
        <v>0</v>
      </c>
      <c r="AC67" s="15">
        <f>IFERROR(AB67/AB148, "NA")</f>
        <v>0</v>
      </c>
      <c r="AD67" s="61">
        <f t="shared" si="32"/>
        <v>0</v>
      </c>
      <c r="AE67" s="62">
        <f>IFERROR(AD67/AD148, "NA")</f>
        <v>0</v>
      </c>
      <c r="AF67" s="61" t="str">
        <f t="shared" si="33"/>
        <v>NA</v>
      </c>
      <c r="AG67" s="57">
        <f t="shared" si="34"/>
        <v>0</v>
      </c>
      <c r="AH67" s="15">
        <f>IFERROR(AG67/AG148, "NA")</f>
        <v>0</v>
      </c>
      <c r="AI67" s="61">
        <f t="shared" si="35"/>
        <v>0</v>
      </c>
      <c r="AJ67" s="62">
        <f>IFERROR(AI67/AI148, "NA")</f>
        <v>0</v>
      </c>
      <c r="AK67" s="61" t="str">
        <f t="shared" si="36"/>
        <v>NA</v>
      </c>
      <c r="AL67" s="62" t="str">
        <f>IFERROR(AK67/AK148, "NA")</f>
        <v>NA</v>
      </c>
    </row>
    <row r="68" ht="16.5" customHeight="1">
      <c r="A68" s="26" t="s">
        <v>131</v>
      </c>
      <c r="B68" s="28">
        <v>3852.49</v>
      </c>
      <c r="C68" s="15">
        <f>IFERROR(B68/B148, "NA")</f>
        <v>0.274120145</v>
      </c>
      <c r="D68" s="28">
        <v>4707.09</v>
      </c>
      <c r="E68" s="15">
        <f>IFERROR(D68/D148, "NA")</f>
        <v>0.2518295681</v>
      </c>
      <c r="F68" s="28">
        <v>5276.02</v>
      </c>
      <c r="G68" s="15">
        <f>IFERROR(F68/F148, "NA")</f>
        <v>0.2175747436</v>
      </c>
      <c r="H68" s="28">
        <v>4714.97</v>
      </c>
      <c r="I68" s="15">
        <f>IFERROR(H68/H148, "NA")</f>
        <v>0.2074526805</v>
      </c>
      <c r="J68" s="28">
        <v>4538.26</v>
      </c>
      <c r="K68" s="15">
        <f>IFERROR(J68/J148, "NA")</f>
        <v>0.206685233</v>
      </c>
      <c r="L68" s="28">
        <v>5137.56</v>
      </c>
      <c r="M68" s="15">
        <f>IFERROR(L68/L148, "NA")</f>
        <v>0.2062963936</v>
      </c>
      <c r="N68" s="28">
        <v>5229.26</v>
      </c>
      <c r="O68" s="15">
        <f>IFERROR(N68/N148, "NA")</f>
        <v>0.2064247037</v>
      </c>
      <c r="P68" s="28">
        <v>4837.76</v>
      </c>
      <c r="Q68" s="15">
        <f>IFERROR(P68/P148, "NA")</f>
        <v>0.1857146202</v>
      </c>
      <c r="R68" s="28">
        <v>5122.43</v>
      </c>
      <c r="S68" s="15">
        <f>IFERROR(R68/R148, "NA")</f>
        <v>0.1709103163</v>
      </c>
      <c r="T68" s="28">
        <v>4825.71</v>
      </c>
      <c r="U68" s="15">
        <f>IFERROR(T68/T148, "NA")</f>
        <v>0.1848785115</v>
      </c>
      <c r="V68" s="28">
        <v>5396.07</v>
      </c>
      <c r="W68" s="15">
        <f>IFERROR(V68/V148, "NA")</f>
        <v>0.1777696588</v>
      </c>
      <c r="X68" s="28">
        <v>5271.82</v>
      </c>
      <c r="Y68" s="15">
        <f>IFERROR(X68/X148, "NA")</f>
        <v>0.2039327247</v>
      </c>
      <c r="Z68" s="28">
        <v>15493.6</v>
      </c>
      <c r="AA68" s="15">
        <f>IFERROR(Z68/Z148, "NA")</f>
        <v>0.1882413089</v>
      </c>
      <c r="AB68" s="57">
        <f t="shared" si="31"/>
        <v>5154.0075</v>
      </c>
      <c r="AC68" s="15">
        <f>IFERROR(AB68/AB148, "NA")</f>
        <v>0.1836150033</v>
      </c>
      <c r="AD68" s="61">
        <f t="shared" si="32"/>
        <v>117.8125</v>
      </c>
      <c r="AE68" s="62">
        <f>IFERROR(AD68/AD148, "NA")</f>
        <v>-0.05309589936</v>
      </c>
      <c r="AF68" s="61">
        <f t="shared" si="33"/>
        <v>0.02285842619</v>
      </c>
      <c r="AG68" s="57">
        <f t="shared" si="34"/>
        <v>5044.85875</v>
      </c>
      <c r="AH68" s="15">
        <f>IFERROR(AG68/AG148, "NA")</f>
        <v>0.1917088721</v>
      </c>
      <c r="AI68" s="61">
        <f t="shared" si="35"/>
        <v>226.96125</v>
      </c>
      <c r="AJ68" s="62">
        <f>IFERROR(AI68/AI148, "NA")</f>
        <v>-0.4886903769</v>
      </c>
      <c r="AK68" s="61">
        <f t="shared" si="36"/>
        <v>0.04498862332</v>
      </c>
      <c r="AL68" s="62">
        <f>IFERROR(AK68/AK148, "NA")</f>
        <v>-2.549127599</v>
      </c>
    </row>
    <row r="69" ht="16.5" customHeight="1">
      <c r="A69" s="26" t="s">
        <v>134</v>
      </c>
      <c r="B69" s="28">
        <v>0.0</v>
      </c>
      <c r="C69" s="15">
        <f>IFERROR(B69/B148, "NA")</f>
        <v>0</v>
      </c>
      <c r="D69" s="28">
        <v>83.49</v>
      </c>
      <c r="E69" s="15">
        <f>IFERROR(D69/D148, "NA")</f>
        <v>0.004466719489</v>
      </c>
      <c r="F69" s="28">
        <v>0.0</v>
      </c>
      <c r="G69" s="15">
        <f>IFERROR(F69/F148, "NA")</f>
        <v>0</v>
      </c>
      <c r="H69" s="28">
        <v>64.29</v>
      </c>
      <c r="I69" s="15">
        <f>IFERROR(H69/H148, "NA")</f>
        <v>0.002828678195</v>
      </c>
      <c r="J69" s="28">
        <v>0.0</v>
      </c>
      <c r="K69" s="15">
        <f>IFERROR(J69/J148, "NA")</f>
        <v>0</v>
      </c>
      <c r="L69" s="28">
        <v>0.0</v>
      </c>
      <c r="M69" s="15">
        <f>IFERROR(L69/L148, "NA")</f>
        <v>0</v>
      </c>
      <c r="N69" s="28">
        <v>0.0</v>
      </c>
      <c r="O69" s="15">
        <f>IFERROR(N69/N148, "NA")</f>
        <v>0</v>
      </c>
      <c r="P69" s="28">
        <v>0.0</v>
      </c>
      <c r="Q69" s="15">
        <f>IFERROR(P69/P148, "NA")</f>
        <v>0</v>
      </c>
      <c r="R69" s="28">
        <v>20.72</v>
      </c>
      <c r="S69" s="15">
        <f>IFERROR(R69/R148, "NA")</f>
        <v>0.0006913245772</v>
      </c>
      <c r="T69" s="28">
        <v>0.0</v>
      </c>
      <c r="U69" s="15">
        <f>IFERROR(T69/T148, "NA")</f>
        <v>0</v>
      </c>
      <c r="V69" s="28">
        <v>90.79</v>
      </c>
      <c r="W69" s="15">
        <f>IFERROR(V69/V148, "NA")</f>
        <v>0.002991011482</v>
      </c>
      <c r="X69" s="28">
        <v>23.78</v>
      </c>
      <c r="Y69" s="15">
        <f>IFERROR(X69/X148, "NA")</f>
        <v>0.0009198948736</v>
      </c>
      <c r="Z69" s="28">
        <v>114.57</v>
      </c>
      <c r="AA69" s="15">
        <f>IFERROR(Z69/Z148, "NA")</f>
        <v>0.001391981641</v>
      </c>
      <c r="AB69" s="57">
        <f t="shared" si="31"/>
        <v>33.8225</v>
      </c>
      <c r="AC69" s="15">
        <f>IFERROR(AB69/AB148, "NA")</f>
        <v>0.00120494944</v>
      </c>
      <c r="AD69" s="61">
        <f t="shared" si="32"/>
        <v>-10.0425</v>
      </c>
      <c r="AE69" s="62">
        <f>IFERROR(AD69/AD148, "NA")</f>
        <v>0.004525967697</v>
      </c>
      <c r="AF69" s="61">
        <f t="shared" si="33"/>
        <v>-0.2969177323</v>
      </c>
      <c r="AG69" s="57">
        <f t="shared" si="34"/>
        <v>16.91125</v>
      </c>
      <c r="AH69" s="15">
        <f>IFERROR(AG69/AG148, "NA")</f>
        <v>0.000642641712</v>
      </c>
      <c r="AI69" s="61">
        <f t="shared" si="35"/>
        <v>6.86875</v>
      </c>
      <c r="AJ69" s="62">
        <f>IFERROR(AI69/AI148, "NA")</f>
        <v>-0.01478971422</v>
      </c>
      <c r="AK69" s="61">
        <f t="shared" si="36"/>
        <v>0.4061645354</v>
      </c>
      <c r="AL69" s="62">
        <f>IFERROR(AK69/AK148, "NA")</f>
        <v>-23.01393442</v>
      </c>
    </row>
    <row r="70" ht="16.5" customHeight="1">
      <c r="A70" s="67" t="s">
        <v>138</v>
      </c>
      <c r="B70" s="70">
        <f>IFERROR(B65+B66+B67+B68+B69, "NA")</f>
        <v>5150.57</v>
      </c>
      <c r="C70" s="71">
        <f>IFERROR(B70/B148, "NA")</f>
        <v>0.3664837534</v>
      </c>
      <c r="D70" s="70">
        <f>IFERROR(D65+D66+D67+D68+D69, "NA")</f>
        <v>6088.66</v>
      </c>
      <c r="E70" s="71">
        <f>IFERROR(D70/D148, "NA")</f>
        <v>0.3257436374</v>
      </c>
      <c r="F70" s="70">
        <f>IFERROR(F65+F66+F67+F68+F69, "NA")</f>
        <v>6574.1</v>
      </c>
      <c r="G70" s="71">
        <f>IFERROR(F70/F148, "NA")</f>
        <v>0.2711055155</v>
      </c>
      <c r="H70" s="70">
        <f>IFERROR(H65+H66+H67+H68+H69, "NA")</f>
        <v>6077.34</v>
      </c>
      <c r="I70" s="71">
        <f>IFERROR(H70/H148, "NA")</f>
        <v>0.2673952269</v>
      </c>
      <c r="J70" s="70">
        <f>IFERROR(J65+J66+J67+J68+J69, "NA")</f>
        <v>5836.34</v>
      </c>
      <c r="K70" s="71">
        <f>IFERROR(J70/J148, "NA")</f>
        <v>0.2658034781</v>
      </c>
      <c r="L70" s="70">
        <f>IFERROR(L65+L66+L67+L68+L69, "NA")</f>
        <v>6435.64</v>
      </c>
      <c r="M70" s="71">
        <f>IFERROR(L70/L148, "NA")</f>
        <v>0.2584202077</v>
      </c>
      <c r="N70" s="70">
        <f>IFERROR(N65+N66+N67+N68+N69, "NA")</f>
        <v>6527.34</v>
      </c>
      <c r="O70" s="71">
        <f>IFERROR(N70/N148, "NA")</f>
        <v>0.2576663286</v>
      </c>
      <c r="P70" s="70">
        <f>IFERROR(P65+P66+P67+P68+P69, "NA")</f>
        <v>6135.84</v>
      </c>
      <c r="Q70" s="71">
        <f>IFERROR(P70/P148, "NA")</f>
        <v>0.2355460369</v>
      </c>
      <c r="R70" s="70">
        <f>IFERROR(R65+R66+R67+R68+R69, "NA")</f>
        <v>6441.23</v>
      </c>
      <c r="S70" s="71">
        <f>IFERROR(R70/R148, "NA")</f>
        <v>0.2149121914</v>
      </c>
      <c r="T70" s="70">
        <f>IFERROR(T65+T66+T67+T68+T69, "NA")</f>
        <v>6123.79</v>
      </c>
      <c r="U70" s="71">
        <f>IFERROR(T70/T148, "NA")</f>
        <v>0.2346094523</v>
      </c>
      <c r="V70" s="70">
        <f>IFERROR(V65+V66+V67+V68+V69, "NA")</f>
        <v>6784.94</v>
      </c>
      <c r="W70" s="71">
        <f>IFERROR(V70/V148, "NA")</f>
        <v>0.2235249856</v>
      </c>
      <c r="X70" s="70">
        <f>IFERROR(X65+X66+X67+X68+X69, "NA")</f>
        <v>6593.68</v>
      </c>
      <c r="Y70" s="71">
        <f>IFERROR(X70/X148, "NA")</f>
        <v>0.2550669651</v>
      </c>
      <c r="Z70" s="70">
        <f>IFERROR(Z65+Z66+Z67+Z68+Z69, "NA")</f>
        <v>19502.41</v>
      </c>
      <c r="AA70" s="71">
        <f>IFERROR(Z70/Z148, "NA")</f>
        <v>0.2369468158</v>
      </c>
      <c r="AB70" s="70">
        <f t="shared" si="31"/>
        <v>6485.91</v>
      </c>
      <c r="AC70" s="71">
        <f>IFERROR(AB70/AB148, "NA")</f>
        <v>0.2310649307</v>
      </c>
      <c r="AD70" s="75">
        <f t="shared" si="32"/>
        <v>107.77</v>
      </c>
      <c r="AE70" s="76">
        <f>IFERROR(AD70/AD148, "NA")</f>
        <v>-0.04856993167</v>
      </c>
      <c r="AF70" s="75">
        <f t="shared" si="33"/>
        <v>0.01661601842</v>
      </c>
      <c r="AG70" s="70">
        <f t="shared" si="34"/>
        <v>6359.85</v>
      </c>
      <c r="AH70" s="71">
        <f>IFERROR(AG70/AG148, "NA")</f>
        <v>0.2416796447</v>
      </c>
      <c r="AI70" s="75">
        <f t="shared" si="35"/>
        <v>233.83</v>
      </c>
      <c r="AJ70" s="76">
        <f>IFERROR(AI70/AI148, "NA")</f>
        <v>-0.5034800911</v>
      </c>
      <c r="AK70" s="75">
        <f t="shared" si="36"/>
        <v>0.03676659041</v>
      </c>
      <c r="AL70" s="76">
        <f>IFERROR(AK70/AK148, "NA")</f>
        <v>-2.083254018</v>
      </c>
    </row>
    <row r="71" ht="16.5" hidden="1" customHeight="1">
      <c r="A71" s="26" t="s">
        <v>143</v>
      </c>
      <c r="B71" s="28">
        <v>0.0</v>
      </c>
      <c r="C71" s="15">
        <f>IFERROR(B71/B148, "NA")</f>
        <v>0</v>
      </c>
      <c r="D71" s="28">
        <v>0.0</v>
      </c>
      <c r="E71" s="15">
        <f>IFERROR(D71/D148, "NA")</f>
        <v>0</v>
      </c>
      <c r="F71" s="28">
        <v>0.0</v>
      </c>
      <c r="G71" s="15">
        <f>IFERROR(F71/F148, "NA")</f>
        <v>0</v>
      </c>
      <c r="H71" s="28">
        <v>0.0</v>
      </c>
      <c r="I71" s="15">
        <f>IFERROR(H71/H148, "NA")</f>
        <v>0</v>
      </c>
      <c r="J71" s="28">
        <v>0.0</v>
      </c>
      <c r="K71" s="15">
        <f>IFERROR(J71/J148, "NA")</f>
        <v>0</v>
      </c>
      <c r="L71" s="28">
        <v>0.0</v>
      </c>
      <c r="M71" s="15">
        <f>IFERROR(L71/L148, "NA")</f>
        <v>0</v>
      </c>
      <c r="N71" s="28">
        <v>0.0</v>
      </c>
      <c r="O71" s="15">
        <f>IFERROR(N71/N148, "NA")</f>
        <v>0</v>
      </c>
      <c r="P71" s="28">
        <v>0.0</v>
      </c>
      <c r="Q71" s="15">
        <f>IFERROR(P71/P148, "NA")</f>
        <v>0</v>
      </c>
      <c r="R71" s="28">
        <v>0.0</v>
      </c>
      <c r="S71" s="15">
        <f>IFERROR(R71/R148, "NA")</f>
        <v>0</v>
      </c>
      <c r="T71" s="28">
        <v>0.0</v>
      </c>
      <c r="U71" s="15">
        <f>IFERROR(T71/T148, "NA")</f>
        <v>0</v>
      </c>
      <c r="V71" s="28">
        <v>0.0</v>
      </c>
      <c r="W71" s="15">
        <f>IFERROR(V71/V148, "NA")</f>
        <v>0</v>
      </c>
      <c r="X71" s="28">
        <v>0.0</v>
      </c>
      <c r="Y71" s="15">
        <f>IFERROR(X71/X148, "NA")</f>
        <v>0</v>
      </c>
      <c r="Z71" s="28">
        <v>0.0</v>
      </c>
      <c r="AA71" s="15">
        <f>IFERROR(Z71/Z148, "NA")</f>
        <v>0</v>
      </c>
      <c r="AB71" s="57">
        <f t="shared" si="31"/>
        <v>0</v>
      </c>
      <c r="AC71" s="15">
        <f>IFERROR(AB71/AB148, "NA")</f>
        <v>0</v>
      </c>
      <c r="AD71" s="61">
        <f t="shared" si="32"/>
        <v>0</v>
      </c>
      <c r="AE71" s="62">
        <f>IFERROR(AD71/AD148, "NA")</f>
        <v>0</v>
      </c>
      <c r="AF71" s="61" t="str">
        <f t="shared" si="33"/>
        <v>NA</v>
      </c>
      <c r="AG71" s="57">
        <f t="shared" si="34"/>
        <v>0</v>
      </c>
      <c r="AH71" s="15">
        <f>IFERROR(AG71/AG148, "NA")</f>
        <v>0</v>
      </c>
      <c r="AI71" s="61">
        <f t="shared" si="35"/>
        <v>0</v>
      </c>
      <c r="AJ71" s="62">
        <f>IFERROR(AI71/AI148, "NA")</f>
        <v>0</v>
      </c>
      <c r="AK71" s="61" t="str">
        <f t="shared" si="36"/>
        <v>NA</v>
      </c>
      <c r="AL71" s="62" t="str">
        <f>IFERROR(AK71/AK148, "NA")</f>
        <v>NA</v>
      </c>
    </row>
    <row r="72" ht="16.5" customHeight="1">
      <c r="A72" s="26" t="s">
        <v>146</v>
      </c>
      <c r="B72" s="28">
        <v>0.0</v>
      </c>
      <c r="C72" s="15">
        <f>IFERROR(B72/B148, "NA")</f>
        <v>0</v>
      </c>
      <c r="D72" s="28">
        <v>0.0</v>
      </c>
      <c r="E72" s="15">
        <f>IFERROR(D72/D148, "NA")</f>
        <v>0</v>
      </c>
      <c r="F72" s="28">
        <v>0.0</v>
      </c>
      <c r="G72" s="15">
        <f>IFERROR(F72/F148, "NA")</f>
        <v>0</v>
      </c>
      <c r="H72" s="28">
        <v>325.0</v>
      </c>
      <c r="I72" s="15">
        <f>IFERROR(H72/H148, "NA")</f>
        <v>0.01429958646</v>
      </c>
      <c r="J72" s="28">
        <v>0.0</v>
      </c>
      <c r="K72" s="15">
        <f>IFERROR(J72/J148, "NA")</f>
        <v>0</v>
      </c>
      <c r="L72" s="28">
        <v>0.0</v>
      </c>
      <c r="M72" s="15">
        <f>IFERROR(L72/L148, "NA")</f>
        <v>0</v>
      </c>
      <c r="N72" s="28">
        <v>0.0</v>
      </c>
      <c r="O72" s="15">
        <f>IFERROR(N72/N148, "NA")</f>
        <v>0</v>
      </c>
      <c r="P72" s="28">
        <v>0.0</v>
      </c>
      <c r="Q72" s="15">
        <f>IFERROR(P72/P148, "NA")</f>
        <v>0</v>
      </c>
      <c r="R72" s="28">
        <v>-1012.0</v>
      </c>
      <c r="S72" s="15">
        <f>IFERROR(R72/R148, "NA")</f>
        <v>-0.0337654668</v>
      </c>
      <c r="T72" s="28">
        <v>0.0</v>
      </c>
      <c r="U72" s="15">
        <f>IFERROR(T72/T148, "NA")</f>
        <v>0</v>
      </c>
      <c r="V72" s="28">
        <v>0.0</v>
      </c>
      <c r="W72" s="15">
        <f>IFERROR(V72/V148, "NA")</f>
        <v>0</v>
      </c>
      <c r="X72" s="28">
        <v>0.0</v>
      </c>
      <c r="Y72" s="15">
        <f>IFERROR(X72/X148, "NA")</f>
        <v>0</v>
      </c>
      <c r="Z72" s="28">
        <v>0.0</v>
      </c>
      <c r="AA72" s="15">
        <f>IFERROR(Z72/Z148, "NA")</f>
        <v>0</v>
      </c>
      <c r="AB72" s="57">
        <f t="shared" si="31"/>
        <v>-253</v>
      </c>
      <c r="AC72" s="15">
        <f>IFERROR(AB72/AB148, "NA")</f>
        <v>-0.009013296126</v>
      </c>
      <c r="AD72" s="61">
        <f t="shared" si="32"/>
        <v>253</v>
      </c>
      <c r="AE72" s="62">
        <f>IFERROR(AD72/AD148, "NA")</f>
        <v>-0.1140223876</v>
      </c>
      <c r="AF72" s="61">
        <f t="shared" si="33"/>
        <v>-1</v>
      </c>
      <c r="AG72" s="57">
        <f t="shared" si="34"/>
        <v>-126.5</v>
      </c>
      <c r="AH72" s="15">
        <f>IFERROR(AG72/AG148, "NA")</f>
        <v>-0.004807106309</v>
      </c>
      <c r="AI72" s="61">
        <f t="shared" si="35"/>
        <v>126.5</v>
      </c>
      <c r="AJ72" s="62">
        <f>IFERROR(AI72/AI148, "NA")</f>
        <v>-0.2723783583</v>
      </c>
      <c r="AK72" s="61">
        <f t="shared" si="36"/>
        <v>-1</v>
      </c>
      <c r="AL72" s="62">
        <f>IFERROR(AK72/AK148, "NA")</f>
        <v>56.66160488</v>
      </c>
    </row>
    <row r="73" ht="16.5" customHeight="1">
      <c r="A73" s="22" t="s">
        <v>151</v>
      </c>
      <c r="B73" s="23"/>
      <c r="C73" s="10"/>
      <c r="D73" s="23"/>
      <c r="E73" s="10"/>
      <c r="F73" s="23"/>
      <c r="G73" s="10"/>
      <c r="H73" s="23"/>
      <c r="I73" s="10"/>
      <c r="J73" s="23"/>
      <c r="K73" s="10"/>
      <c r="L73" s="23"/>
      <c r="M73" s="10"/>
      <c r="N73" s="23"/>
      <c r="O73" s="10"/>
      <c r="P73" s="23"/>
      <c r="Q73" s="10"/>
      <c r="R73" s="23"/>
      <c r="S73" s="10"/>
      <c r="T73" s="23"/>
      <c r="U73" s="10"/>
      <c r="V73" s="23"/>
      <c r="W73" s="10"/>
      <c r="X73" s="23"/>
      <c r="Y73" s="10"/>
      <c r="Z73" s="23"/>
      <c r="AA73" s="10"/>
      <c r="AB73" s="23"/>
      <c r="AC73" s="10"/>
      <c r="AD73" s="24"/>
      <c r="AE73" s="25"/>
      <c r="AF73" s="24"/>
      <c r="AG73" s="23"/>
      <c r="AH73" s="10"/>
      <c r="AI73" s="24"/>
      <c r="AJ73" s="25"/>
      <c r="AK73" s="24"/>
      <c r="AL73" s="25"/>
    </row>
    <row r="74" ht="16.5" customHeight="1">
      <c r="A74" s="26" t="s">
        <v>153</v>
      </c>
      <c r="B74" s="28">
        <v>492.36</v>
      </c>
      <c r="C74" s="15">
        <f>IFERROR(B74/B148, "NA")</f>
        <v>0.03503339258</v>
      </c>
      <c r="D74" s="28">
        <v>570.93</v>
      </c>
      <c r="E74" s="15">
        <f>IFERROR(D74/D148, "NA")</f>
        <v>0.0305447857</v>
      </c>
      <c r="F74" s="28">
        <v>640.55</v>
      </c>
      <c r="G74" s="15">
        <f>IFERROR(F74/F148, "NA")</f>
        <v>0.02641527174</v>
      </c>
      <c r="H74" s="28">
        <v>577.87</v>
      </c>
      <c r="I74" s="15">
        <f>IFERROR(H74/H148, "NA")</f>
        <v>0.02542554469</v>
      </c>
      <c r="J74" s="28">
        <v>555.51</v>
      </c>
      <c r="K74" s="15">
        <f>IFERROR(J74/J148, "NA")</f>
        <v>0.02529950108</v>
      </c>
      <c r="L74" s="28">
        <v>604.07</v>
      </c>
      <c r="M74" s="15">
        <f>IFERROR(L74/L148, "NA")</f>
        <v>0.0242561571</v>
      </c>
      <c r="N74" s="28">
        <v>611.54</v>
      </c>
      <c r="O74" s="15">
        <f>IFERROR(N74/N148, "NA")</f>
        <v>0.02414050235</v>
      </c>
      <c r="P74" s="28">
        <v>589.8</v>
      </c>
      <c r="Q74" s="15">
        <f>IFERROR(P74/P148, "NA")</f>
        <v>0.02264157028</v>
      </c>
      <c r="R74" s="28">
        <v>604.63</v>
      </c>
      <c r="S74" s="15">
        <f>IFERROR(R74/R148, "NA")</f>
        <v>0.02017353181</v>
      </c>
      <c r="T74" s="28">
        <v>555.99</v>
      </c>
      <c r="U74" s="15">
        <f>IFERROR(T74/T148, "NA")</f>
        <v>0.02130061765</v>
      </c>
      <c r="V74" s="28">
        <v>583.34</v>
      </c>
      <c r="W74" s="15">
        <f>IFERROR(V74/V148, "NA")</f>
        <v>0.01921771823</v>
      </c>
      <c r="X74" s="28">
        <v>622.3</v>
      </c>
      <c r="Y74" s="15">
        <f>IFERROR(X74/X148, "NA")</f>
        <v>0.02407277459</v>
      </c>
      <c r="Z74" s="28">
        <v>1761.63</v>
      </c>
      <c r="AA74" s="15">
        <f>IFERROR(Z74/Z148, "NA")</f>
        <v>0.02140313013</v>
      </c>
      <c r="AB74" s="57">
        <f t="shared" ref="AB74:AB85" si="37">IFERROR((R74+T74+V74+X74)/4, "NA")</f>
        <v>591.565</v>
      </c>
      <c r="AC74" s="15">
        <f>IFERROR(AB74/AB148, "NA")</f>
        <v>0.02107490325</v>
      </c>
      <c r="AD74" s="61">
        <f t="shared" ref="AD74:AD85" si="38">IFERROR(X74-AB74, "NA")</f>
        <v>30.735</v>
      </c>
      <c r="AE74" s="62">
        <f>IFERROR(AD74/AD148, "NA")</f>
        <v>-0.01385169203</v>
      </c>
      <c r="AF74" s="61">
        <f t="shared" ref="AF74:AF85" si="39">IFERROR((X74-AB74)/AB74, "NA")</f>
        <v>0.05195540642</v>
      </c>
      <c r="AG74" s="57">
        <f t="shared" ref="AG74:AG85" si="40">IFERROR((J74+L74+N74+P74+R74+T74+V74+X74)/8, "NA")</f>
        <v>590.8975</v>
      </c>
      <c r="AH74" s="15">
        <f>IFERROR(AG74/AG148, "NA")</f>
        <v>0.02245460158</v>
      </c>
      <c r="AI74" s="61">
        <f t="shared" ref="AI74:AI85" si="41">IFERROR(X74-AG74, "NA")</f>
        <v>31.4025</v>
      </c>
      <c r="AJ74" s="62">
        <f>IFERROR(AI74/AI148, "NA")</f>
        <v>-0.06761550511</v>
      </c>
      <c r="AK74" s="61">
        <f t="shared" ref="AK74:AK85" si="42">IFERROR((X74-AG74)/AG74, "NA")</f>
        <v>0.05314373474</v>
      </c>
      <c r="AL74" s="62">
        <f>IFERROR(AK74/AK148, "NA")</f>
        <v>-3.0112093</v>
      </c>
    </row>
    <row r="75" ht="16.5" hidden="1" customHeight="1">
      <c r="A75" s="26" t="s">
        <v>158</v>
      </c>
      <c r="B75" s="28">
        <v>0.0</v>
      </c>
      <c r="C75" s="15">
        <f>IFERROR(B75/B148, "NA")</f>
        <v>0</v>
      </c>
      <c r="D75" s="28">
        <v>0.0</v>
      </c>
      <c r="E75" s="15">
        <f>IFERROR(D75/D148, "NA")</f>
        <v>0</v>
      </c>
      <c r="F75" s="28">
        <v>0.0</v>
      </c>
      <c r="G75" s="15">
        <f>IFERROR(F75/F148, "NA")</f>
        <v>0</v>
      </c>
      <c r="H75" s="28">
        <v>0.0</v>
      </c>
      <c r="I75" s="15">
        <f>IFERROR(H75/H148, "NA")</f>
        <v>0</v>
      </c>
      <c r="J75" s="28">
        <v>0.0</v>
      </c>
      <c r="K75" s="15">
        <f>IFERROR(J75/J148, "NA")</f>
        <v>0</v>
      </c>
      <c r="L75" s="28">
        <v>0.0</v>
      </c>
      <c r="M75" s="15">
        <f>IFERROR(L75/L148, "NA")</f>
        <v>0</v>
      </c>
      <c r="N75" s="28">
        <v>0.0</v>
      </c>
      <c r="O75" s="15">
        <f>IFERROR(N75/N148, "NA")</f>
        <v>0</v>
      </c>
      <c r="P75" s="28">
        <v>0.0</v>
      </c>
      <c r="Q75" s="15">
        <f>IFERROR(P75/P148, "NA")</f>
        <v>0</v>
      </c>
      <c r="R75" s="28">
        <v>0.0</v>
      </c>
      <c r="S75" s="15">
        <f>IFERROR(R75/R148, "NA")</f>
        <v>0</v>
      </c>
      <c r="T75" s="28">
        <v>0.0</v>
      </c>
      <c r="U75" s="15">
        <f>IFERROR(T75/T148, "NA")</f>
        <v>0</v>
      </c>
      <c r="V75" s="28">
        <v>0.0</v>
      </c>
      <c r="W75" s="15">
        <f>IFERROR(V75/V148, "NA")</f>
        <v>0</v>
      </c>
      <c r="X75" s="28">
        <v>0.0</v>
      </c>
      <c r="Y75" s="15">
        <f>IFERROR(X75/X148, "NA")</f>
        <v>0</v>
      </c>
      <c r="Z75" s="28">
        <v>0.0</v>
      </c>
      <c r="AA75" s="15">
        <f>IFERROR(Z75/Z148, "NA")</f>
        <v>0</v>
      </c>
      <c r="AB75" s="57">
        <f t="shared" si="37"/>
        <v>0</v>
      </c>
      <c r="AC75" s="15">
        <f>IFERROR(AB75/AB148, "NA")</f>
        <v>0</v>
      </c>
      <c r="AD75" s="61">
        <f t="shared" si="38"/>
        <v>0</v>
      </c>
      <c r="AE75" s="62">
        <f>IFERROR(AD75/AD148, "NA")</f>
        <v>0</v>
      </c>
      <c r="AF75" s="61" t="str">
        <f t="shared" si="39"/>
        <v>NA</v>
      </c>
      <c r="AG75" s="57">
        <f t="shared" si="40"/>
        <v>0</v>
      </c>
      <c r="AH75" s="15">
        <f>IFERROR(AG75/AG148, "NA")</f>
        <v>0</v>
      </c>
      <c r="AI75" s="61">
        <f t="shared" si="41"/>
        <v>0</v>
      </c>
      <c r="AJ75" s="62">
        <f>IFERROR(AI75/AI148, "NA")</f>
        <v>0</v>
      </c>
      <c r="AK75" s="61" t="str">
        <f t="shared" si="42"/>
        <v>NA</v>
      </c>
      <c r="AL75" s="62" t="str">
        <f>IFERROR(AK75/AK148, "NA")</f>
        <v>NA</v>
      </c>
    </row>
    <row r="76" ht="16.5" hidden="1" customHeight="1">
      <c r="A76" s="26" t="s">
        <v>160</v>
      </c>
      <c r="B76" s="28">
        <v>0.0</v>
      </c>
      <c r="C76" s="15">
        <f>IFERROR(B76/B148, "NA")</f>
        <v>0</v>
      </c>
      <c r="D76" s="28">
        <v>0.0</v>
      </c>
      <c r="E76" s="15">
        <f>IFERROR(D76/D148, "NA")</f>
        <v>0</v>
      </c>
      <c r="F76" s="28">
        <v>0.0</v>
      </c>
      <c r="G76" s="15">
        <f>IFERROR(F76/F148, "NA")</f>
        <v>0</v>
      </c>
      <c r="H76" s="28">
        <v>0.0</v>
      </c>
      <c r="I76" s="15">
        <f>IFERROR(H76/H148, "NA")</f>
        <v>0</v>
      </c>
      <c r="J76" s="28">
        <v>0.0</v>
      </c>
      <c r="K76" s="15">
        <f>IFERROR(J76/J148, "NA")</f>
        <v>0</v>
      </c>
      <c r="L76" s="28">
        <v>0.0</v>
      </c>
      <c r="M76" s="15">
        <f>IFERROR(L76/L148, "NA")</f>
        <v>0</v>
      </c>
      <c r="N76" s="28">
        <v>0.0</v>
      </c>
      <c r="O76" s="15">
        <f>IFERROR(N76/N148, "NA")</f>
        <v>0</v>
      </c>
      <c r="P76" s="28">
        <v>0.0</v>
      </c>
      <c r="Q76" s="15">
        <f>IFERROR(P76/P148, "NA")</f>
        <v>0</v>
      </c>
      <c r="R76" s="28">
        <v>0.0</v>
      </c>
      <c r="S76" s="15">
        <f>IFERROR(R76/R148, "NA")</f>
        <v>0</v>
      </c>
      <c r="T76" s="28">
        <v>0.0</v>
      </c>
      <c r="U76" s="15">
        <f>IFERROR(T76/T148, "NA")</f>
        <v>0</v>
      </c>
      <c r="V76" s="28">
        <v>0.0</v>
      </c>
      <c r="W76" s="15">
        <f>IFERROR(V76/V148, "NA")</f>
        <v>0</v>
      </c>
      <c r="X76" s="28">
        <v>0.0</v>
      </c>
      <c r="Y76" s="15">
        <f>IFERROR(X76/X148, "NA")</f>
        <v>0</v>
      </c>
      <c r="Z76" s="28">
        <v>0.0</v>
      </c>
      <c r="AA76" s="15">
        <f>IFERROR(Z76/Z148, "NA")</f>
        <v>0</v>
      </c>
      <c r="AB76" s="57">
        <f t="shared" si="37"/>
        <v>0</v>
      </c>
      <c r="AC76" s="15">
        <f>IFERROR(AB76/AB148, "NA")</f>
        <v>0</v>
      </c>
      <c r="AD76" s="61">
        <f t="shared" si="38"/>
        <v>0</v>
      </c>
      <c r="AE76" s="62">
        <f>IFERROR(AD76/AD148, "NA")</f>
        <v>0</v>
      </c>
      <c r="AF76" s="61" t="str">
        <f t="shared" si="39"/>
        <v>NA</v>
      </c>
      <c r="AG76" s="57">
        <f t="shared" si="40"/>
        <v>0</v>
      </c>
      <c r="AH76" s="15">
        <f>IFERROR(AG76/AG148, "NA")</f>
        <v>0</v>
      </c>
      <c r="AI76" s="61">
        <f t="shared" si="41"/>
        <v>0</v>
      </c>
      <c r="AJ76" s="62">
        <f>IFERROR(AI76/AI148, "NA")</f>
        <v>0</v>
      </c>
      <c r="AK76" s="61" t="str">
        <f t="shared" si="42"/>
        <v>NA</v>
      </c>
      <c r="AL76" s="62" t="str">
        <f>IFERROR(AK76/AK148, "NA")</f>
        <v>NA</v>
      </c>
    </row>
    <row r="77" ht="16.5" hidden="1" customHeight="1">
      <c r="A77" s="26" t="s">
        <v>163</v>
      </c>
      <c r="B77" s="28">
        <v>0.0</v>
      </c>
      <c r="C77" s="15">
        <f>IFERROR(B77/B148, "NA")</f>
        <v>0</v>
      </c>
      <c r="D77" s="28">
        <v>0.0</v>
      </c>
      <c r="E77" s="15">
        <f>IFERROR(D77/D148, "NA")</f>
        <v>0</v>
      </c>
      <c r="F77" s="28">
        <v>0.0</v>
      </c>
      <c r="G77" s="15">
        <f>IFERROR(F77/F148, "NA")</f>
        <v>0</v>
      </c>
      <c r="H77" s="28">
        <v>0.0</v>
      </c>
      <c r="I77" s="15">
        <f>IFERROR(H77/H148, "NA")</f>
        <v>0</v>
      </c>
      <c r="J77" s="28">
        <v>0.0</v>
      </c>
      <c r="K77" s="15">
        <f>IFERROR(J77/J148, "NA")</f>
        <v>0</v>
      </c>
      <c r="L77" s="28">
        <v>0.0</v>
      </c>
      <c r="M77" s="15">
        <f>IFERROR(L77/L148, "NA")</f>
        <v>0</v>
      </c>
      <c r="N77" s="28">
        <v>0.0</v>
      </c>
      <c r="O77" s="15">
        <f>IFERROR(N77/N148, "NA")</f>
        <v>0</v>
      </c>
      <c r="P77" s="28">
        <v>0.0</v>
      </c>
      <c r="Q77" s="15">
        <f>IFERROR(P77/P148, "NA")</f>
        <v>0</v>
      </c>
      <c r="R77" s="28">
        <v>0.0</v>
      </c>
      <c r="S77" s="15">
        <f>IFERROR(R77/R148, "NA")</f>
        <v>0</v>
      </c>
      <c r="T77" s="28">
        <v>0.0</v>
      </c>
      <c r="U77" s="15">
        <f>IFERROR(T77/T148, "NA")</f>
        <v>0</v>
      </c>
      <c r="V77" s="28">
        <v>0.0</v>
      </c>
      <c r="W77" s="15">
        <f>IFERROR(V77/V148, "NA")</f>
        <v>0</v>
      </c>
      <c r="X77" s="28">
        <v>0.0</v>
      </c>
      <c r="Y77" s="15">
        <f>IFERROR(X77/X148, "NA")</f>
        <v>0</v>
      </c>
      <c r="Z77" s="28">
        <v>0.0</v>
      </c>
      <c r="AA77" s="15">
        <f>IFERROR(Z77/Z148, "NA")</f>
        <v>0</v>
      </c>
      <c r="AB77" s="57">
        <f t="shared" si="37"/>
        <v>0</v>
      </c>
      <c r="AC77" s="15">
        <f>IFERROR(AB77/AB148, "NA")</f>
        <v>0</v>
      </c>
      <c r="AD77" s="61">
        <f t="shared" si="38"/>
        <v>0</v>
      </c>
      <c r="AE77" s="62">
        <f>IFERROR(AD77/AD148, "NA")</f>
        <v>0</v>
      </c>
      <c r="AF77" s="61" t="str">
        <f t="shared" si="39"/>
        <v>NA</v>
      </c>
      <c r="AG77" s="57">
        <f t="shared" si="40"/>
        <v>0</v>
      </c>
      <c r="AH77" s="15">
        <f>IFERROR(AG77/AG148, "NA")</f>
        <v>0</v>
      </c>
      <c r="AI77" s="61">
        <f t="shared" si="41"/>
        <v>0</v>
      </c>
      <c r="AJ77" s="62">
        <f>IFERROR(AI77/AI148, "NA")</f>
        <v>0</v>
      </c>
      <c r="AK77" s="61" t="str">
        <f t="shared" si="42"/>
        <v>NA</v>
      </c>
      <c r="AL77" s="62" t="str">
        <f>IFERROR(AK77/AK148, "NA")</f>
        <v>NA</v>
      </c>
    </row>
    <row r="78" ht="16.5" hidden="1" customHeight="1">
      <c r="A78" s="26" t="s">
        <v>167</v>
      </c>
      <c r="B78" s="28">
        <v>0.0</v>
      </c>
      <c r="C78" s="15">
        <f>IFERROR(B78/B148, "NA")</f>
        <v>0</v>
      </c>
      <c r="D78" s="28">
        <v>0.0</v>
      </c>
      <c r="E78" s="15">
        <f>IFERROR(D78/D148, "NA")</f>
        <v>0</v>
      </c>
      <c r="F78" s="28">
        <v>0.0</v>
      </c>
      <c r="G78" s="15">
        <f>IFERROR(F78/F148, "NA")</f>
        <v>0</v>
      </c>
      <c r="H78" s="28">
        <v>0.0</v>
      </c>
      <c r="I78" s="15">
        <f>IFERROR(H78/H148, "NA")</f>
        <v>0</v>
      </c>
      <c r="J78" s="28">
        <v>0.0</v>
      </c>
      <c r="K78" s="15">
        <f>IFERROR(J78/J148, "NA")</f>
        <v>0</v>
      </c>
      <c r="L78" s="28">
        <v>0.0</v>
      </c>
      <c r="M78" s="15">
        <f>IFERROR(L78/L148, "NA")</f>
        <v>0</v>
      </c>
      <c r="N78" s="28">
        <v>0.0</v>
      </c>
      <c r="O78" s="15">
        <f>IFERROR(N78/N148, "NA")</f>
        <v>0</v>
      </c>
      <c r="P78" s="28">
        <v>0.0</v>
      </c>
      <c r="Q78" s="15">
        <f>IFERROR(P78/P148, "NA")</f>
        <v>0</v>
      </c>
      <c r="R78" s="28">
        <v>0.0</v>
      </c>
      <c r="S78" s="15">
        <f>IFERROR(R78/R148, "NA")</f>
        <v>0</v>
      </c>
      <c r="T78" s="28">
        <v>0.0</v>
      </c>
      <c r="U78" s="15">
        <f>IFERROR(T78/T148, "NA")</f>
        <v>0</v>
      </c>
      <c r="V78" s="28">
        <v>0.0</v>
      </c>
      <c r="W78" s="15">
        <f>IFERROR(V78/V148, "NA")</f>
        <v>0</v>
      </c>
      <c r="X78" s="28">
        <v>0.0</v>
      </c>
      <c r="Y78" s="15">
        <f>IFERROR(X78/X148, "NA")</f>
        <v>0</v>
      </c>
      <c r="Z78" s="28">
        <v>0.0</v>
      </c>
      <c r="AA78" s="15">
        <f>IFERROR(Z78/Z148, "NA")</f>
        <v>0</v>
      </c>
      <c r="AB78" s="57">
        <f t="shared" si="37"/>
        <v>0</v>
      </c>
      <c r="AC78" s="15">
        <f>IFERROR(AB78/AB148, "NA")</f>
        <v>0</v>
      </c>
      <c r="AD78" s="61">
        <f t="shared" si="38"/>
        <v>0</v>
      </c>
      <c r="AE78" s="62">
        <f>IFERROR(AD78/AD148, "NA")</f>
        <v>0</v>
      </c>
      <c r="AF78" s="61" t="str">
        <f t="shared" si="39"/>
        <v>NA</v>
      </c>
      <c r="AG78" s="57">
        <f t="shared" si="40"/>
        <v>0</v>
      </c>
      <c r="AH78" s="15">
        <f>IFERROR(AG78/AG148, "NA")</f>
        <v>0</v>
      </c>
      <c r="AI78" s="61">
        <f t="shared" si="41"/>
        <v>0</v>
      </c>
      <c r="AJ78" s="62">
        <f>IFERROR(AI78/AI148, "NA")</f>
        <v>0</v>
      </c>
      <c r="AK78" s="61" t="str">
        <f t="shared" si="42"/>
        <v>NA</v>
      </c>
      <c r="AL78" s="62" t="str">
        <f>IFERROR(AK78/AK148, "NA")</f>
        <v>NA</v>
      </c>
    </row>
    <row r="79" ht="16.5" hidden="1" customHeight="1">
      <c r="A79" s="26" t="s">
        <v>169</v>
      </c>
      <c r="B79" s="28">
        <v>0.0</v>
      </c>
      <c r="C79" s="15">
        <f>IFERROR(B79/B148, "NA")</f>
        <v>0</v>
      </c>
      <c r="D79" s="28">
        <v>0.0</v>
      </c>
      <c r="E79" s="15">
        <f>IFERROR(D79/D148, "NA")</f>
        <v>0</v>
      </c>
      <c r="F79" s="28">
        <v>0.0</v>
      </c>
      <c r="G79" s="15">
        <f>IFERROR(F79/F148, "NA")</f>
        <v>0</v>
      </c>
      <c r="H79" s="28">
        <v>0.0</v>
      </c>
      <c r="I79" s="15">
        <f>IFERROR(H79/H148, "NA")</f>
        <v>0</v>
      </c>
      <c r="J79" s="28">
        <v>0.0</v>
      </c>
      <c r="K79" s="15">
        <f>IFERROR(J79/J148, "NA")</f>
        <v>0</v>
      </c>
      <c r="L79" s="28">
        <v>0.0</v>
      </c>
      <c r="M79" s="15">
        <f>IFERROR(L79/L148, "NA")</f>
        <v>0</v>
      </c>
      <c r="N79" s="28">
        <v>0.0</v>
      </c>
      <c r="O79" s="15">
        <f>IFERROR(N79/N148, "NA")</f>
        <v>0</v>
      </c>
      <c r="P79" s="28">
        <v>0.0</v>
      </c>
      <c r="Q79" s="15">
        <f>IFERROR(P79/P148, "NA")</f>
        <v>0</v>
      </c>
      <c r="R79" s="28">
        <v>0.0</v>
      </c>
      <c r="S79" s="15">
        <f>IFERROR(R79/R148, "NA")</f>
        <v>0</v>
      </c>
      <c r="T79" s="28">
        <v>0.0</v>
      </c>
      <c r="U79" s="15">
        <f>IFERROR(T79/T148, "NA")</f>
        <v>0</v>
      </c>
      <c r="V79" s="28">
        <v>0.0</v>
      </c>
      <c r="W79" s="15">
        <f>IFERROR(V79/V148, "NA")</f>
        <v>0</v>
      </c>
      <c r="X79" s="28">
        <v>0.0</v>
      </c>
      <c r="Y79" s="15">
        <f>IFERROR(X79/X148, "NA")</f>
        <v>0</v>
      </c>
      <c r="Z79" s="28">
        <v>0.0</v>
      </c>
      <c r="AA79" s="15">
        <f>IFERROR(Z79/Z148, "NA")</f>
        <v>0</v>
      </c>
      <c r="AB79" s="57">
        <f t="shared" si="37"/>
        <v>0</v>
      </c>
      <c r="AC79" s="15">
        <f>IFERROR(AB79/AB148, "NA")</f>
        <v>0</v>
      </c>
      <c r="AD79" s="61">
        <f t="shared" si="38"/>
        <v>0</v>
      </c>
      <c r="AE79" s="62">
        <f>IFERROR(AD79/AD148, "NA")</f>
        <v>0</v>
      </c>
      <c r="AF79" s="61" t="str">
        <f t="shared" si="39"/>
        <v>NA</v>
      </c>
      <c r="AG79" s="57">
        <f t="shared" si="40"/>
        <v>0</v>
      </c>
      <c r="AH79" s="15">
        <f>IFERROR(AG79/AG148, "NA")</f>
        <v>0</v>
      </c>
      <c r="AI79" s="61">
        <f t="shared" si="41"/>
        <v>0</v>
      </c>
      <c r="AJ79" s="62">
        <f>IFERROR(AI79/AI148, "NA")</f>
        <v>0</v>
      </c>
      <c r="AK79" s="61" t="str">
        <f t="shared" si="42"/>
        <v>NA</v>
      </c>
      <c r="AL79" s="62" t="str">
        <f>IFERROR(AK79/AK148, "NA")</f>
        <v>NA</v>
      </c>
    </row>
    <row r="80" ht="16.5" hidden="1" customHeight="1">
      <c r="A80" s="26" t="s">
        <v>172</v>
      </c>
      <c r="B80" s="28">
        <v>0.0</v>
      </c>
      <c r="C80" s="15">
        <f>IFERROR(B80/B148, "NA")</f>
        <v>0</v>
      </c>
      <c r="D80" s="28">
        <v>0.0</v>
      </c>
      <c r="E80" s="15">
        <f>IFERROR(D80/D148, "NA")</f>
        <v>0</v>
      </c>
      <c r="F80" s="28">
        <v>0.0</v>
      </c>
      <c r="G80" s="15">
        <f>IFERROR(F80/F148, "NA")</f>
        <v>0</v>
      </c>
      <c r="H80" s="28">
        <v>0.0</v>
      </c>
      <c r="I80" s="15">
        <f>IFERROR(H80/H148, "NA")</f>
        <v>0</v>
      </c>
      <c r="J80" s="28">
        <v>0.0</v>
      </c>
      <c r="K80" s="15">
        <f>IFERROR(J80/J148, "NA")</f>
        <v>0</v>
      </c>
      <c r="L80" s="28">
        <v>0.0</v>
      </c>
      <c r="M80" s="15">
        <f>IFERROR(L80/L148, "NA")</f>
        <v>0</v>
      </c>
      <c r="N80" s="28">
        <v>0.0</v>
      </c>
      <c r="O80" s="15">
        <f>IFERROR(N80/N148, "NA")</f>
        <v>0</v>
      </c>
      <c r="P80" s="28">
        <v>0.0</v>
      </c>
      <c r="Q80" s="15">
        <f>IFERROR(P80/P148, "NA")</f>
        <v>0</v>
      </c>
      <c r="R80" s="28">
        <v>0.0</v>
      </c>
      <c r="S80" s="15">
        <f>IFERROR(R80/R148, "NA")</f>
        <v>0</v>
      </c>
      <c r="T80" s="28">
        <v>0.0</v>
      </c>
      <c r="U80" s="15">
        <f>IFERROR(T80/T148, "NA")</f>
        <v>0</v>
      </c>
      <c r="V80" s="28">
        <v>0.0</v>
      </c>
      <c r="W80" s="15">
        <f>IFERROR(V80/V148, "NA")</f>
        <v>0</v>
      </c>
      <c r="X80" s="28">
        <v>0.0</v>
      </c>
      <c r="Y80" s="15">
        <f>IFERROR(X80/X148, "NA")</f>
        <v>0</v>
      </c>
      <c r="Z80" s="28">
        <v>0.0</v>
      </c>
      <c r="AA80" s="15">
        <f>IFERROR(Z80/Z148, "NA")</f>
        <v>0</v>
      </c>
      <c r="AB80" s="57">
        <f t="shared" si="37"/>
        <v>0</v>
      </c>
      <c r="AC80" s="15">
        <f>IFERROR(AB80/AB148, "NA")</f>
        <v>0</v>
      </c>
      <c r="AD80" s="61">
        <f t="shared" si="38"/>
        <v>0</v>
      </c>
      <c r="AE80" s="62">
        <f>IFERROR(AD80/AD148, "NA")</f>
        <v>0</v>
      </c>
      <c r="AF80" s="61" t="str">
        <f t="shared" si="39"/>
        <v>NA</v>
      </c>
      <c r="AG80" s="57">
        <f t="shared" si="40"/>
        <v>0</v>
      </c>
      <c r="AH80" s="15">
        <f>IFERROR(AG80/AG148, "NA")</f>
        <v>0</v>
      </c>
      <c r="AI80" s="61">
        <f t="shared" si="41"/>
        <v>0</v>
      </c>
      <c r="AJ80" s="62">
        <f>IFERROR(AI80/AI148, "NA")</f>
        <v>0</v>
      </c>
      <c r="AK80" s="61" t="str">
        <f t="shared" si="42"/>
        <v>NA</v>
      </c>
      <c r="AL80" s="62" t="str">
        <f>IFERROR(AK80/AK148, "NA")</f>
        <v>NA</v>
      </c>
    </row>
    <row r="81" ht="16.5" customHeight="1">
      <c r="A81" s="67" t="s">
        <v>176</v>
      </c>
      <c r="B81" s="70">
        <f>IFERROR(B74+B75+B76+B77+B78+B79+B80, "NA")</f>
        <v>492.36</v>
      </c>
      <c r="C81" s="71">
        <f>IFERROR(B81/B148, "NA")</f>
        <v>0.03503339258</v>
      </c>
      <c r="D81" s="70">
        <f>IFERROR(D74+D75+D76+D77+D78+D79+D80, "NA")</f>
        <v>570.93</v>
      </c>
      <c r="E81" s="71">
        <f>IFERROR(D81/D148, "NA")</f>
        <v>0.0305447857</v>
      </c>
      <c r="F81" s="70">
        <f>IFERROR(F74+F75+F76+F77+F78+F79+F80, "NA")</f>
        <v>640.55</v>
      </c>
      <c r="G81" s="71">
        <f>IFERROR(F81/F148, "NA")</f>
        <v>0.02641527174</v>
      </c>
      <c r="H81" s="70">
        <f>IFERROR(H74+H75+H76+H77+H78+H79+H80, "NA")</f>
        <v>577.87</v>
      </c>
      <c r="I81" s="71">
        <f>IFERROR(H81/H148, "NA")</f>
        <v>0.02542554469</v>
      </c>
      <c r="J81" s="70">
        <f>IFERROR(J74+J75+J76+J77+J78+J79+J80, "NA")</f>
        <v>555.51</v>
      </c>
      <c r="K81" s="71">
        <f>IFERROR(J81/J148, "NA")</f>
        <v>0.02529950108</v>
      </c>
      <c r="L81" s="70">
        <f>IFERROR(L74+L75+L76+L77+L78+L79+L80, "NA")</f>
        <v>604.07</v>
      </c>
      <c r="M81" s="71">
        <f>IFERROR(L81/L148, "NA")</f>
        <v>0.0242561571</v>
      </c>
      <c r="N81" s="70">
        <f>IFERROR(N74+N75+N76+N77+N78+N79+N80, "NA")</f>
        <v>611.54</v>
      </c>
      <c r="O81" s="71">
        <f>IFERROR(N81/N148, "NA")</f>
        <v>0.02414050235</v>
      </c>
      <c r="P81" s="70">
        <f>IFERROR(P74+P75+P76+P77+P78+P79+P80, "NA")</f>
        <v>589.8</v>
      </c>
      <c r="Q81" s="71">
        <f>IFERROR(P81/P148, "NA")</f>
        <v>0.02264157028</v>
      </c>
      <c r="R81" s="70">
        <f>IFERROR(R74+R75+R76+R77+R78+R79+R80, "NA")</f>
        <v>604.63</v>
      </c>
      <c r="S81" s="71">
        <f>IFERROR(R81/R148, "NA")</f>
        <v>0.02017353181</v>
      </c>
      <c r="T81" s="70">
        <f>IFERROR(T74+T75+T76+T77+T78+T79+T80, "NA")</f>
        <v>555.99</v>
      </c>
      <c r="U81" s="71">
        <f>IFERROR(T81/T148, "NA")</f>
        <v>0.02130061765</v>
      </c>
      <c r="V81" s="70">
        <f>IFERROR(V74+V75+V76+V77+V78+V79+V80, "NA")</f>
        <v>583.34</v>
      </c>
      <c r="W81" s="71">
        <f>IFERROR(V81/V148, "NA")</f>
        <v>0.01921771823</v>
      </c>
      <c r="X81" s="70">
        <f>IFERROR(X74+X75+X76+X77+X78+X79+X80, "NA")</f>
        <v>622.3</v>
      </c>
      <c r="Y81" s="71">
        <f>IFERROR(X81/X148, "NA")</f>
        <v>0.02407277459</v>
      </c>
      <c r="Z81" s="70">
        <f>IFERROR(Z74+Z75+Z76+Z77+Z78+Z79+Z80, "NA")</f>
        <v>1761.63</v>
      </c>
      <c r="AA81" s="71">
        <f>IFERROR(Z81/Z148, "NA")</f>
        <v>0.02140313013</v>
      </c>
      <c r="AB81" s="70">
        <f t="shared" si="37"/>
        <v>591.565</v>
      </c>
      <c r="AC81" s="71">
        <f>IFERROR(AB81/AB148, "NA")</f>
        <v>0.02107490325</v>
      </c>
      <c r="AD81" s="75">
        <f t="shared" si="38"/>
        <v>30.735</v>
      </c>
      <c r="AE81" s="76">
        <f>IFERROR(AD81/AD148, "NA")</f>
        <v>-0.01385169203</v>
      </c>
      <c r="AF81" s="75">
        <f t="shared" si="39"/>
        <v>0.05195540642</v>
      </c>
      <c r="AG81" s="70">
        <f t="shared" si="40"/>
        <v>590.8975</v>
      </c>
      <c r="AH81" s="71">
        <f>IFERROR(AG81/AG148, "NA")</f>
        <v>0.02245460158</v>
      </c>
      <c r="AI81" s="75">
        <f t="shared" si="41"/>
        <v>31.4025</v>
      </c>
      <c r="AJ81" s="76">
        <f>IFERROR(AI81/AI148, "NA")</f>
        <v>-0.06761550511</v>
      </c>
      <c r="AK81" s="75">
        <f t="shared" si="42"/>
        <v>0.05314373474</v>
      </c>
      <c r="AL81" s="76">
        <f>IFERROR(AK81/AK148, "NA")</f>
        <v>-3.0112093</v>
      </c>
    </row>
    <row r="82" ht="16.5" customHeight="1">
      <c r="A82" s="26" t="s">
        <v>179</v>
      </c>
      <c r="B82" s="28">
        <v>365.6</v>
      </c>
      <c r="C82" s="15">
        <f>IFERROR(B82/B148, "NA")</f>
        <v>0.02601390919</v>
      </c>
      <c r="D82" s="28">
        <v>0.0</v>
      </c>
      <c r="E82" s="15">
        <f>IFERROR(D82/D148, "NA")</f>
        <v>0</v>
      </c>
      <c r="F82" s="28">
        <v>0.0</v>
      </c>
      <c r="G82" s="15">
        <f>IFERROR(F82/F148, "NA")</f>
        <v>0</v>
      </c>
      <c r="H82" s="28">
        <v>0.0</v>
      </c>
      <c r="I82" s="15">
        <f>IFERROR(H82/H148, "NA")</f>
        <v>0</v>
      </c>
      <c r="J82" s="28">
        <v>247.23</v>
      </c>
      <c r="K82" s="15">
        <f>IFERROR(J82/J148, "NA")</f>
        <v>0.01125955546</v>
      </c>
      <c r="L82" s="28">
        <v>0.0</v>
      </c>
      <c r="M82" s="15">
        <f>IFERROR(L82/L148, "NA")</f>
        <v>0</v>
      </c>
      <c r="N82" s="28">
        <v>0.0</v>
      </c>
      <c r="O82" s="15">
        <f>IFERROR(N82/N148, "NA")</f>
        <v>0</v>
      </c>
      <c r="P82" s="28">
        <v>0.0</v>
      </c>
      <c r="Q82" s="15">
        <f>IFERROR(P82/P148, "NA")</f>
        <v>0</v>
      </c>
      <c r="R82" s="28">
        <v>0.0</v>
      </c>
      <c r="S82" s="15">
        <f>IFERROR(R82/R148, "NA")</f>
        <v>0</v>
      </c>
      <c r="T82" s="28">
        <v>247.23</v>
      </c>
      <c r="U82" s="15">
        <f>IFERROR(T82/T148, "NA")</f>
        <v>0.009471666221</v>
      </c>
      <c r="V82" s="28">
        <v>0.0</v>
      </c>
      <c r="W82" s="15">
        <f>IFERROR(V82/V148, "NA")</f>
        <v>0</v>
      </c>
      <c r="X82" s="28">
        <v>0.0</v>
      </c>
      <c r="Y82" s="15">
        <f>IFERROR(X82/X148, "NA")</f>
        <v>0</v>
      </c>
      <c r="Z82" s="28">
        <v>247.23</v>
      </c>
      <c r="AA82" s="15">
        <f>IFERROR(Z82/Z148, "NA")</f>
        <v>0.003003749858</v>
      </c>
      <c r="AB82" s="57">
        <f t="shared" si="37"/>
        <v>61.8075</v>
      </c>
      <c r="AC82" s="15">
        <f>IFERROR(AB82/AB148, "NA")</f>
        <v>0.002201933993</v>
      </c>
      <c r="AD82" s="61">
        <f t="shared" si="38"/>
        <v>-61.8075</v>
      </c>
      <c r="AE82" s="62">
        <f>IFERROR(AD82/AD148, "NA")</f>
        <v>0.02785548902</v>
      </c>
      <c r="AF82" s="61">
        <f t="shared" si="39"/>
        <v>-1</v>
      </c>
      <c r="AG82" s="57">
        <f t="shared" si="40"/>
        <v>61.8075</v>
      </c>
      <c r="AH82" s="15">
        <f>IFERROR(AG82/AG148, "NA")</f>
        <v>0.002348736942</v>
      </c>
      <c r="AI82" s="61">
        <f t="shared" si="41"/>
        <v>-61.8075</v>
      </c>
      <c r="AJ82" s="62">
        <f>IFERROR(AI82/AI148, "NA")</f>
        <v>0.1330832046</v>
      </c>
      <c r="AK82" s="61">
        <f t="shared" si="42"/>
        <v>-1</v>
      </c>
      <c r="AL82" s="62">
        <f>IFERROR(AK82/AK148, "NA")</f>
        <v>56.66160488</v>
      </c>
    </row>
    <row r="83" ht="16.5" hidden="1" customHeight="1">
      <c r="A83" s="26" t="s">
        <v>181</v>
      </c>
      <c r="B83" s="28">
        <v>0.0</v>
      </c>
      <c r="C83" s="15">
        <f>IFERROR(B83/B148, "NA")</f>
        <v>0</v>
      </c>
      <c r="D83" s="28">
        <v>0.0</v>
      </c>
      <c r="E83" s="15">
        <f>IFERROR(D83/D148, "NA")</f>
        <v>0</v>
      </c>
      <c r="F83" s="28">
        <v>0.0</v>
      </c>
      <c r="G83" s="15">
        <f>IFERROR(F83/F148, "NA")</f>
        <v>0</v>
      </c>
      <c r="H83" s="28">
        <v>0.0</v>
      </c>
      <c r="I83" s="15">
        <f>IFERROR(H83/H148, "NA")</f>
        <v>0</v>
      </c>
      <c r="J83" s="28">
        <v>0.0</v>
      </c>
      <c r="K83" s="15">
        <f>IFERROR(J83/J148, "NA")</f>
        <v>0</v>
      </c>
      <c r="L83" s="28">
        <v>0.0</v>
      </c>
      <c r="M83" s="15">
        <f>IFERROR(L83/L148, "NA")</f>
        <v>0</v>
      </c>
      <c r="N83" s="28">
        <v>0.0</v>
      </c>
      <c r="O83" s="15">
        <f>IFERROR(N83/N148, "NA")</f>
        <v>0</v>
      </c>
      <c r="P83" s="28">
        <v>0.0</v>
      </c>
      <c r="Q83" s="15">
        <f>IFERROR(P83/P148, "NA")</f>
        <v>0</v>
      </c>
      <c r="R83" s="28">
        <v>0.0</v>
      </c>
      <c r="S83" s="15">
        <f>IFERROR(R83/R148, "NA")</f>
        <v>0</v>
      </c>
      <c r="T83" s="28">
        <v>0.0</v>
      </c>
      <c r="U83" s="15">
        <f>IFERROR(T83/T148, "NA")</f>
        <v>0</v>
      </c>
      <c r="V83" s="28">
        <v>0.0</v>
      </c>
      <c r="W83" s="15">
        <f>IFERROR(V83/V148, "NA")</f>
        <v>0</v>
      </c>
      <c r="X83" s="28">
        <v>0.0</v>
      </c>
      <c r="Y83" s="15">
        <f>IFERROR(X83/X148, "NA")</f>
        <v>0</v>
      </c>
      <c r="Z83" s="28">
        <v>0.0</v>
      </c>
      <c r="AA83" s="15">
        <f>IFERROR(Z83/Z148, "NA")</f>
        <v>0</v>
      </c>
      <c r="AB83" s="57">
        <f t="shared" si="37"/>
        <v>0</v>
      </c>
      <c r="AC83" s="15">
        <f>IFERROR(AB83/AB148, "NA")</f>
        <v>0</v>
      </c>
      <c r="AD83" s="61">
        <f t="shared" si="38"/>
        <v>0</v>
      </c>
      <c r="AE83" s="62">
        <f>IFERROR(AD83/AD148, "NA")</f>
        <v>0</v>
      </c>
      <c r="AF83" s="61" t="str">
        <f t="shared" si="39"/>
        <v>NA</v>
      </c>
      <c r="AG83" s="57">
        <f t="shared" si="40"/>
        <v>0</v>
      </c>
      <c r="AH83" s="15">
        <f>IFERROR(AG83/AG148, "NA")</f>
        <v>0</v>
      </c>
      <c r="AI83" s="61">
        <f t="shared" si="41"/>
        <v>0</v>
      </c>
      <c r="AJ83" s="62">
        <f>IFERROR(AI83/AI148, "NA")</f>
        <v>0</v>
      </c>
      <c r="AK83" s="61" t="str">
        <f t="shared" si="42"/>
        <v>NA</v>
      </c>
      <c r="AL83" s="62" t="str">
        <f>IFERROR(AK83/AK148, "NA")</f>
        <v>NA</v>
      </c>
    </row>
    <row r="84" ht="16.5" customHeight="1">
      <c r="A84" s="67" t="s">
        <v>55</v>
      </c>
      <c r="B84" s="70">
        <f>IFERROR(B63+B65+B66+B67+B68+B69+B71+B72+B74+B75+B76+B77+B78+B79+B80+B82+B83, "NA")</f>
        <v>6008.53</v>
      </c>
      <c r="C84" s="71">
        <f>IFERROR(B84/B148, "NA")</f>
        <v>0.4275310552</v>
      </c>
      <c r="D84" s="70">
        <f>IFERROR(D63+D65+D66+D67+D68+D69+D71+D72+D74+D75+D76+D77+D78+D79+D80+D82+D83, "NA")</f>
        <v>6659.59</v>
      </c>
      <c r="E84" s="71">
        <f>IFERROR(D84/D148, "NA")</f>
        <v>0.3562884231</v>
      </c>
      <c r="F84" s="70">
        <f>IFERROR(F63+F65+F66+F67+F68+F69+F71+F72+F74+F75+F76+F77+F78+F79+F80+F82+F83, "NA")</f>
        <v>7214.65</v>
      </c>
      <c r="G84" s="71">
        <f>IFERROR(F84/F148, "NA")</f>
        <v>0.2975207873</v>
      </c>
      <c r="H84" s="70">
        <f>IFERROR(H63+H65+H66+H67+H68+H69+H71+H72+H74+H75+H76+H77+H78+H79+H80+H82+H83, "NA")</f>
        <v>6980.21</v>
      </c>
      <c r="I84" s="71">
        <f>IFERROR(H84/H148, "NA")</f>
        <v>0.3071203581</v>
      </c>
      <c r="J84" s="70">
        <f>IFERROR(J63+J65+J66+J67+J68+J69+J71+J72+J74+J75+J76+J77+J78+J79+J80+J82+J83, "NA")</f>
        <v>6639.08</v>
      </c>
      <c r="K84" s="71">
        <f>IFERROR(J84/J148, "NA")</f>
        <v>0.3023625346</v>
      </c>
      <c r="L84" s="70">
        <f>IFERROR(L63+L65+L66+L67+L68+L69+L71+L72+L74+L75+L76+L77+L78+L79+L80+L82+L83, "NA")</f>
        <v>7039.71</v>
      </c>
      <c r="M84" s="71">
        <f>IFERROR(L84/L148, "NA")</f>
        <v>0.2826763648</v>
      </c>
      <c r="N84" s="70">
        <f>IFERROR(N63+N65+N66+N67+N68+N69+N71+N72+N74+N75+N76+N77+N78+N79+N80+N82+N83, "NA")</f>
        <v>7138.88</v>
      </c>
      <c r="O84" s="71">
        <f>IFERROR(N84/N148, "NA")</f>
        <v>0.281806831</v>
      </c>
      <c r="P84" s="70">
        <f>IFERROR(P63+P65+P66+P67+P68+P69+P71+P72+P74+P75+P76+P77+P78+P79+P80+P82+P83, "NA")</f>
        <v>6725.64</v>
      </c>
      <c r="Q84" s="71">
        <f>IFERROR(P84/P148, "NA")</f>
        <v>0.2581876072</v>
      </c>
      <c r="R84" s="70">
        <f>IFERROR(R63+R65+R66+R67+R68+R69+R71+R72+R74+R75+R76+R77+R78+R79+R80+R82+R83, "NA")</f>
        <v>6033.86</v>
      </c>
      <c r="S84" s="71">
        <f>IFERROR(R84/R148, "NA")</f>
        <v>0.2013202564</v>
      </c>
      <c r="T84" s="70">
        <f>IFERROR(T63+T65+T66+T67+T68+T69+T71+T72+T74+T75+T76+T77+T78+T79+T80+T82+T83, "NA")</f>
        <v>6927.01</v>
      </c>
      <c r="U84" s="71">
        <f>IFERROR(T84/T148, "NA")</f>
        <v>0.2653817362</v>
      </c>
      <c r="V84" s="70">
        <f>IFERROR(V63+V65+V66+V67+V68+V69+V71+V72+V74+V75+V76+V77+V78+V79+V80+V82+V83, "NA")</f>
        <v>7368.28</v>
      </c>
      <c r="W84" s="71">
        <f>IFERROR(V84/V148, "NA")</f>
        <v>0.2427427038</v>
      </c>
      <c r="X84" s="70">
        <f>IFERROR(X63+X65+X66+X67+X68+X69+X71+X72+X74+X75+X76+X77+X78+X79+X80+X82+X83, "NA")</f>
        <v>7215.98</v>
      </c>
      <c r="Y84" s="71">
        <f>IFERROR(X84/X148, "NA")</f>
        <v>0.2791397397</v>
      </c>
      <c r="Z84" s="70">
        <f>IFERROR(Z63+Z65+Z66+Z67+Z68+Z69+Z71+Z72+Z74+Z75+Z76+Z77+Z78+Z79+Z80+Z82+Z83, "NA")</f>
        <v>21511.27</v>
      </c>
      <c r="AA84" s="71">
        <f>IFERROR(Z84/Z148, "NA")</f>
        <v>0.2613536958</v>
      </c>
      <c r="AB84" s="70">
        <f t="shared" si="37"/>
        <v>6886.2825</v>
      </c>
      <c r="AC84" s="71">
        <f>IFERROR(AB84/AB148, "NA")</f>
        <v>0.2453284719</v>
      </c>
      <c r="AD84" s="75">
        <f t="shared" si="38"/>
        <v>329.6975</v>
      </c>
      <c r="AE84" s="76">
        <f>IFERROR(AD84/AD148, "NA")</f>
        <v>-0.1485885223</v>
      </c>
      <c r="AF84" s="75">
        <f t="shared" si="39"/>
        <v>0.04787742879</v>
      </c>
      <c r="AG84" s="70">
        <f t="shared" si="40"/>
        <v>6886.055</v>
      </c>
      <c r="AH84" s="71">
        <f>IFERROR(AG84/AG148, "NA")</f>
        <v>0.261675877</v>
      </c>
      <c r="AI84" s="75">
        <f t="shared" si="41"/>
        <v>329.925</v>
      </c>
      <c r="AJ84" s="76">
        <f>IFERROR(AI84/AI148, "NA")</f>
        <v>-0.7103907499</v>
      </c>
      <c r="AK84" s="75">
        <f t="shared" si="42"/>
        <v>0.04791204834</v>
      </c>
      <c r="AL84" s="76">
        <f>IFERROR(AK84/AK148, "NA")</f>
        <v>-2.714773552</v>
      </c>
    </row>
    <row r="85" ht="16.5" customHeight="1">
      <c r="A85" s="67" t="s">
        <v>55</v>
      </c>
      <c r="B85" s="118">
        <f>IFERROR(B63+B65+B66+B67+B68+B69+B71+B72+B74+B75+B76+B77+B78+B79+B80+B82+B83, "NA")</f>
        <v>6008.53</v>
      </c>
      <c r="C85" s="94">
        <f>IFERROR(B85/B148, "NA")</f>
        <v>0.4275310552</v>
      </c>
      <c r="D85" s="118">
        <f>IFERROR(D63+D65+D66+D67+D68+D69+D71+D72+D74+D75+D76+D77+D78+D79+D80+D82+D83, "NA")</f>
        <v>6659.59</v>
      </c>
      <c r="E85" s="94">
        <f>IFERROR(D85/D148, "NA")</f>
        <v>0.3562884231</v>
      </c>
      <c r="F85" s="118">
        <f>IFERROR(F63+F65+F66+F67+F68+F69+F71+F72+F74+F75+F76+F77+F78+F79+F80+F82+F83, "NA")</f>
        <v>7214.65</v>
      </c>
      <c r="G85" s="94">
        <f>IFERROR(F85/F148, "NA")</f>
        <v>0.2975207873</v>
      </c>
      <c r="H85" s="118">
        <f>IFERROR(H63+H65+H66+H67+H68+H69+H71+H72+H74+H75+H76+H77+H78+H79+H80+H82+H83, "NA")</f>
        <v>6980.21</v>
      </c>
      <c r="I85" s="94">
        <f>IFERROR(H85/H148, "NA")</f>
        <v>0.3071203581</v>
      </c>
      <c r="J85" s="118">
        <f>IFERROR(J63+J65+J66+J67+J68+J69+J71+J72+J74+J75+J76+J77+J78+J79+J80+J82+J83, "NA")</f>
        <v>6639.08</v>
      </c>
      <c r="K85" s="94">
        <f>IFERROR(J85/J148, "NA")</f>
        <v>0.3023625346</v>
      </c>
      <c r="L85" s="118">
        <f>IFERROR(L63+L65+L66+L67+L68+L69+L71+L72+L74+L75+L76+L77+L78+L79+L80+L82+L83, "NA")</f>
        <v>7039.71</v>
      </c>
      <c r="M85" s="94">
        <f>IFERROR(L85/L148, "NA")</f>
        <v>0.2826763648</v>
      </c>
      <c r="N85" s="118">
        <f>IFERROR(N63+N65+N66+N67+N68+N69+N71+N72+N74+N75+N76+N77+N78+N79+N80+N82+N83, "NA")</f>
        <v>7138.88</v>
      </c>
      <c r="O85" s="94">
        <f>IFERROR(N85/N148, "NA")</f>
        <v>0.281806831</v>
      </c>
      <c r="P85" s="118">
        <f>IFERROR(P63+P65+P66+P67+P68+P69+P71+P72+P74+P75+P76+P77+P78+P79+P80+P82+P83, "NA")</f>
        <v>6725.64</v>
      </c>
      <c r="Q85" s="94">
        <f>IFERROR(P85/P148, "NA")</f>
        <v>0.2581876072</v>
      </c>
      <c r="R85" s="118">
        <f>IFERROR(R63+R65+R66+R67+R68+R69+R71+R72+R74+R75+R76+R77+R78+R79+R80+R82+R83, "NA")</f>
        <v>6033.86</v>
      </c>
      <c r="S85" s="94">
        <f>IFERROR(R85/R148, "NA")</f>
        <v>0.2013202564</v>
      </c>
      <c r="T85" s="118">
        <f>IFERROR(T63+T65+T66+T67+T68+T69+T71+T72+T74+T75+T76+T77+T78+T79+T80+T82+T83, "NA")</f>
        <v>6927.01</v>
      </c>
      <c r="U85" s="94">
        <f>IFERROR(T85/T148, "NA")</f>
        <v>0.2653817362</v>
      </c>
      <c r="V85" s="118">
        <f>IFERROR(V63+V65+V66+V67+V68+V69+V71+V72+V74+V75+V76+V77+V78+V79+V80+V82+V83, "NA")</f>
        <v>7368.28</v>
      </c>
      <c r="W85" s="94">
        <f>IFERROR(V85/V148, "NA")</f>
        <v>0.2427427038</v>
      </c>
      <c r="X85" s="118">
        <f>IFERROR(X63+X65+X66+X67+X68+X69+X71+X72+X74+X75+X76+X77+X78+X79+X80+X82+X83, "NA")</f>
        <v>7215.98</v>
      </c>
      <c r="Y85" s="94">
        <f>IFERROR(X85/X148, "NA")</f>
        <v>0.2791397397</v>
      </c>
      <c r="Z85" s="118">
        <f>IFERROR(Z63+Z65+Z66+Z67+Z68+Z69+Z71+Z72+Z74+Z75+Z76+Z77+Z78+Z79+Z80+Z82+Z83, "NA")</f>
        <v>21511.27</v>
      </c>
      <c r="AA85" s="94">
        <f>IFERROR(Z85/Z148, "NA")</f>
        <v>0.2613536958</v>
      </c>
      <c r="AB85" s="118">
        <f t="shared" si="37"/>
        <v>6886.2825</v>
      </c>
      <c r="AC85" s="94">
        <f>IFERROR(AB85/AB148, "NA")</f>
        <v>0.2453284719</v>
      </c>
      <c r="AD85" s="119">
        <f t="shared" si="38"/>
        <v>329.6975</v>
      </c>
      <c r="AE85" s="120">
        <f>IFERROR(AD85/AD148, "NA")</f>
        <v>-0.1485885223</v>
      </c>
      <c r="AF85" s="119">
        <f t="shared" si="39"/>
        <v>0.04787742879</v>
      </c>
      <c r="AG85" s="118">
        <f t="shared" si="40"/>
        <v>6886.055</v>
      </c>
      <c r="AH85" s="94">
        <f>IFERROR(AG85/AG148, "NA")</f>
        <v>0.261675877</v>
      </c>
      <c r="AI85" s="119">
        <f t="shared" si="41"/>
        <v>329.925</v>
      </c>
      <c r="AJ85" s="120">
        <f>IFERROR(AI85/AI148, "NA")</f>
        <v>-0.7103907499</v>
      </c>
      <c r="AK85" s="119">
        <f t="shared" si="42"/>
        <v>0.04791204834</v>
      </c>
      <c r="AL85" s="120">
        <f>IFERROR(AK85/AK148, "NA")</f>
        <v>-2.714773552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2"/>
      <c r="AF86" s="125"/>
      <c r="AG86" s="124"/>
      <c r="AH86" s="74"/>
      <c r="AI86" s="125"/>
      <c r="AJ86" s="82"/>
      <c r="AK86" s="125"/>
      <c r="AL86" s="82"/>
    </row>
    <row r="87" ht="16.5" customHeight="1">
      <c r="A87" s="121" t="s">
        <v>56</v>
      </c>
      <c r="B87" s="122">
        <f>IFERROR(B59-B85, "NA")</f>
        <v>3667.92</v>
      </c>
      <c r="C87" s="98">
        <f>IFERROR(B87/B148, "NA")</f>
        <v>0.2609872478</v>
      </c>
      <c r="D87" s="122">
        <f>IFERROR(D59-D85, "NA")</f>
        <v>5191.98</v>
      </c>
      <c r="E87" s="98">
        <f>IFERROR(D87/D148, "NA")</f>
        <v>0.2777712092</v>
      </c>
      <c r="F87" s="122">
        <f>IFERROR(F59-F85, "NA")</f>
        <v>11153.12</v>
      </c>
      <c r="G87" s="98">
        <f>IFERROR(F87/F148, "NA")</f>
        <v>0.4599370784</v>
      </c>
      <c r="H87" s="122">
        <f>IFERROR(H59-H85, "NA")</f>
        <v>9382.59</v>
      </c>
      <c r="I87" s="98">
        <f>IFERROR(H87/H148, "NA")</f>
        <v>0.4128220212</v>
      </c>
      <c r="J87" s="122">
        <f>IFERROR(J59-J85, "NA")</f>
        <v>8613.21</v>
      </c>
      <c r="K87" s="98">
        <f>IFERROR(J87/J148, "NA")</f>
        <v>0.3922700144</v>
      </c>
      <c r="L87" s="122">
        <f>IFERROR(L59-L85, "NA")</f>
        <v>10809.34</v>
      </c>
      <c r="M87" s="98">
        <f>IFERROR(L87/L148, "NA")</f>
        <v>0.4340441491</v>
      </c>
      <c r="N87" s="122">
        <f>IFERROR(N59-N85, "NA")</f>
        <v>11151.09</v>
      </c>
      <c r="O87" s="98">
        <f>IFERROR(N87/N148, "NA")</f>
        <v>0.4401885639</v>
      </c>
      <c r="P87" s="122">
        <f>IFERROR(P59-P85, "NA")</f>
        <v>11209.84</v>
      </c>
      <c r="Q87" s="98">
        <f>IFERROR(P87/P148, "NA")</f>
        <v>0.4303295696</v>
      </c>
      <c r="R87" s="122">
        <f>IFERROR(R59-R85, "NA")</f>
        <v>15837.16</v>
      </c>
      <c r="S87" s="98">
        <f>IFERROR(R87/R148, "NA")</f>
        <v>0.5284082018</v>
      </c>
      <c r="T87" s="122">
        <f>IFERROR(T59-T85, "NA")</f>
        <v>11014.12</v>
      </c>
      <c r="U87" s="98">
        <f>IFERROR(T87/T148, "NA")</f>
        <v>0.4219636305</v>
      </c>
      <c r="V87" s="122">
        <f>IFERROR(V59-V85, "NA")</f>
        <v>15086.84</v>
      </c>
      <c r="W87" s="98">
        <f>IFERROR(V87/V148, "NA")</f>
        <v>0.4970251312</v>
      </c>
      <c r="X87" s="122">
        <f>IFERROR(X59-X85, "NA")</f>
        <v>10213.15</v>
      </c>
      <c r="Y87" s="98">
        <f>IFERROR(X87/X148, "NA")</f>
        <v>0.3950809221</v>
      </c>
      <c r="Z87" s="122">
        <f>IFERROR(Z59-Z85, "NA")</f>
        <v>36314.11</v>
      </c>
      <c r="AA87" s="98">
        <f>IFERROR(Z87/Z148, "NA")</f>
        <v>0.4412025351</v>
      </c>
      <c r="AB87" s="122">
        <f>IFERROR((R87+T87+V87+X87)/4, "NA")</f>
        <v>13037.8175</v>
      </c>
      <c r="AC87" s="98">
        <f>IFERROR(AB87/AB148, "NA")</f>
        <v>0.464481067</v>
      </c>
      <c r="AD87" s="75">
        <f>IFERROR(X87-AB87, "NA")</f>
        <v>-2824.6675</v>
      </c>
      <c r="AE87" s="76">
        <f>IFERROR(AD87/AD148, "NA")</f>
        <v>1.27302503</v>
      </c>
      <c r="AF87" s="75">
        <f>IFERROR((X87-AB87)/AB87, "NA")</f>
        <v>-0.2166518668</v>
      </c>
      <c r="AG87" s="122">
        <f>IFERROR((J87+L87+N87+P87+R87+T87+V87+X87)/8, "NA")</f>
        <v>11741.84375</v>
      </c>
      <c r="AH87" s="98">
        <f>IFERROR(AG87/AG148, "NA")</f>
        <v>0.4461999302</v>
      </c>
      <c r="AI87" s="75">
        <f>IFERROR(X87-AG87, "NA")</f>
        <v>-1528.69375</v>
      </c>
      <c r="AJ87" s="76">
        <f>IFERROR(AI87/AI148, "NA")</f>
        <v>3.29156596</v>
      </c>
      <c r="AK87" s="75">
        <f>IFERROR((X87-AG87)/AG87, "NA")</f>
        <v>-0.1301919684</v>
      </c>
      <c r="AL87" s="76">
        <f>IFERROR(AK87/AK148, "NA")</f>
        <v>7.37688587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2"/>
      <c r="AF88" s="125"/>
      <c r="AG88" s="124"/>
      <c r="AH88" s="74"/>
      <c r="AI88" s="125"/>
      <c r="AJ88" s="82"/>
      <c r="AK88" s="125"/>
      <c r="AL88" s="82"/>
    </row>
    <row r="89" ht="16.5" hidden="1" customHeight="1">
      <c r="A89" s="22" t="s">
        <v>206</v>
      </c>
      <c r="B89" s="23"/>
      <c r="C89" s="10"/>
      <c r="D89" s="23"/>
      <c r="E89" s="10"/>
      <c r="F89" s="23"/>
      <c r="G89" s="10"/>
      <c r="H89" s="23"/>
      <c r="I89" s="10"/>
      <c r="J89" s="23"/>
      <c r="K89" s="10"/>
      <c r="L89" s="23"/>
      <c r="M89" s="10"/>
      <c r="N89" s="23"/>
      <c r="O89" s="10"/>
      <c r="P89" s="23"/>
      <c r="Q89" s="10"/>
      <c r="R89" s="23"/>
      <c r="S89" s="10"/>
      <c r="T89" s="23"/>
      <c r="U89" s="10"/>
      <c r="V89" s="23"/>
      <c r="W89" s="10"/>
      <c r="X89" s="23"/>
      <c r="Y89" s="10"/>
      <c r="Z89" s="23"/>
      <c r="AA89" s="10"/>
      <c r="AB89" s="23"/>
      <c r="AC89" s="10"/>
      <c r="AD89" s="24"/>
      <c r="AE89" s="25"/>
      <c r="AF89" s="24"/>
      <c r="AG89" s="23"/>
      <c r="AH89" s="10"/>
      <c r="AI89" s="24"/>
      <c r="AJ89" s="25"/>
      <c r="AK89" s="24"/>
      <c r="AL89" s="25"/>
    </row>
    <row r="90" ht="16.5" hidden="1" customHeight="1">
      <c r="A90" s="26" t="s">
        <v>207</v>
      </c>
      <c r="B90" s="28">
        <v>421.1</v>
      </c>
      <c r="C90" s="15">
        <f>IFERROR(B90/B148, "NA")</f>
        <v>0.02996295722</v>
      </c>
      <c r="D90" s="28">
        <v>612.14</v>
      </c>
      <c r="E90" s="15">
        <f>IFERROR(D90/D148, "NA")</f>
        <v>0.03274952291</v>
      </c>
      <c r="F90" s="28">
        <v>315.37</v>
      </c>
      <c r="G90" s="15">
        <f>IFERROR(F90/F148, "NA")</f>
        <v>0.01300536141</v>
      </c>
      <c r="H90" s="28">
        <v>623.01</v>
      </c>
      <c r="I90" s="15">
        <f>IFERROR(H90/H148, "NA")</f>
        <v>0.02741164726</v>
      </c>
      <c r="J90" s="28">
        <v>2372.09</v>
      </c>
      <c r="K90" s="15">
        <f>IFERROR(J90/J148, "NA")</f>
        <v>0.1080317069</v>
      </c>
      <c r="L90" s="28">
        <v>609.65</v>
      </c>
      <c r="M90" s="15">
        <f>IFERROR(L90/L148, "NA")</f>
        <v>0.02448021947</v>
      </c>
      <c r="N90" s="28">
        <v>470.22</v>
      </c>
      <c r="O90" s="15">
        <f>IFERROR(N90/N148, "NA")</f>
        <v>0.0185619044</v>
      </c>
      <c r="P90" s="28">
        <v>664.15</v>
      </c>
      <c r="Q90" s="15">
        <f>IFERROR(P90/P148, "NA")</f>
        <v>0.02549575941</v>
      </c>
      <c r="R90" s="28">
        <v>526.89</v>
      </c>
      <c r="S90" s="15">
        <f>IFERROR(R90/R148, "NA")</f>
        <v>0.01757973004</v>
      </c>
      <c r="T90" s="28">
        <v>582.65</v>
      </c>
      <c r="U90" s="15">
        <f>IFERROR(T90/T148, "NA")</f>
        <v>0.02232199298</v>
      </c>
      <c r="V90" s="28">
        <v>885.2</v>
      </c>
      <c r="W90" s="15">
        <f>IFERROR(V90/V148, "NA")</f>
        <v>0.02916227959</v>
      </c>
      <c r="X90" s="28">
        <v>611.69</v>
      </c>
      <c r="Y90" s="15">
        <f>IFERROR(X90/X148, "NA")</f>
        <v>0.0236623421</v>
      </c>
      <c r="Z90" s="28">
        <v>2079.54</v>
      </c>
      <c r="AA90" s="15">
        <f>IFERROR(Z90/Z148, "NA")</f>
        <v>0.02526561493</v>
      </c>
      <c r="AB90" s="57">
        <f t="shared" ref="AB90:AB99" si="43">IFERROR((R90+T90+V90+X90)/4, "NA")</f>
        <v>651.6075</v>
      </c>
      <c r="AC90" s="15">
        <f>IFERROR(AB90/AB148, "NA")</f>
        <v>0.02321395793</v>
      </c>
      <c r="AD90" s="61">
        <f t="shared" ref="AD90:AD99" si="44">IFERROR(X90-AB90, "NA")</f>
        <v>-39.9175</v>
      </c>
      <c r="AE90" s="62">
        <f>IFERROR(AD90/AD148, "NA")</f>
        <v>0.01799007374</v>
      </c>
      <c r="AF90" s="61">
        <f t="shared" ref="AF90:AF99" si="45">IFERROR((X90-AB90)/AB90, "NA")</f>
        <v>-0.06126003768</v>
      </c>
      <c r="AG90" s="57">
        <f t="shared" ref="AG90:AG99" si="46">IFERROR((J90+L90+N90+P90+R90+T90+V90+X90)/8, "NA")</f>
        <v>840.3175</v>
      </c>
      <c r="AH90" s="15">
        <f>IFERROR(AG90/AG148, "NA")</f>
        <v>0.03193277119</v>
      </c>
      <c r="AI90" s="61">
        <f t="shared" ref="AI90:AI99" si="47">IFERROR(X90-AG90, "NA")</f>
        <v>-228.6275</v>
      </c>
      <c r="AJ90" s="62">
        <f>IFERROR(AI90/AI148, "NA")</f>
        <v>0.4922781274</v>
      </c>
      <c r="AK90" s="61">
        <f t="shared" ref="AK90:AK99" si="48">IFERROR((X90-AG90)/AG90, "NA")</f>
        <v>-0.2720727582</v>
      </c>
      <c r="AL90" s="62">
        <f>IFERROR(AK90/AK148, "NA")</f>
        <v>15.41607912</v>
      </c>
    </row>
    <row r="91" ht="16.5" hidden="1" customHeight="1">
      <c r="A91" s="26" t="s">
        <v>208</v>
      </c>
      <c r="B91" s="28">
        <v>501.67</v>
      </c>
      <c r="C91" s="15">
        <f>IFERROR(B91/B148, "NA")</f>
        <v>0.03569583649</v>
      </c>
      <c r="D91" s="28">
        <v>613.98</v>
      </c>
      <c r="E91" s="15">
        <f>IFERROR(D91/D148, "NA")</f>
        <v>0.03284796301</v>
      </c>
      <c r="F91" s="28">
        <v>748.02</v>
      </c>
      <c r="G91" s="15">
        <f>IFERROR(F91/F148, "NA")</f>
        <v>0.03084716504</v>
      </c>
      <c r="H91" s="28">
        <v>715.58</v>
      </c>
      <c r="I91" s="15">
        <f>IFERROR(H91/H148, "NA")</f>
        <v>0.03148460947</v>
      </c>
      <c r="J91" s="28">
        <v>571.08</v>
      </c>
      <c r="K91" s="15">
        <f>IFERROR(J91/J148, "NA")</f>
        <v>0.02600860304</v>
      </c>
      <c r="L91" s="28">
        <v>888.18</v>
      </c>
      <c r="M91" s="15">
        <f>IFERROR(L91/L148, "NA")</f>
        <v>0.03566446539</v>
      </c>
      <c r="N91" s="28">
        <v>982.42</v>
      </c>
      <c r="O91" s="15">
        <f>IFERROR(N91/N148, "NA")</f>
        <v>0.03878096661</v>
      </c>
      <c r="P91" s="28">
        <v>1331.69</v>
      </c>
      <c r="Q91" s="15">
        <f>IFERROR(P91/P148, "NA")</f>
        <v>0.05112165602</v>
      </c>
      <c r="R91" s="28">
        <v>1460.68</v>
      </c>
      <c r="S91" s="15">
        <f>IFERROR(R91/R148, "NA")</f>
        <v>0.04873571349</v>
      </c>
      <c r="T91" s="28">
        <v>1470.48</v>
      </c>
      <c r="U91" s="15">
        <f>IFERROR(T91/T148, "NA")</f>
        <v>0.05633578346</v>
      </c>
      <c r="V91" s="28">
        <v>881.33</v>
      </c>
      <c r="W91" s="15">
        <f>IFERROR(V91/V148, "NA")</f>
        <v>0.02903478521</v>
      </c>
      <c r="X91" s="28">
        <v>673.11</v>
      </c>
      <c r="Y91" s="15">
        <f>IFERROR(X91/X148, "NA")</f>
        <v>0.02603828589</v>
      </c>
      <c r="Z91" s="28">
        <v>3024.92</v>
      </c>
      <c r="AA91" s="15">
        <f>IFERROR(Z91/Z148, "NA")</f>
        <v>0.03675162003</v>
      </c>
      <c r="AB91" s="57">
        <f t="shared" si="43"/>
        <v>1121.4</v>
      </c>
      <c r="AC91" s="15">
        <f>IFERROR(AB91/AB148, "NA")</f>
        <v>0.0399506335</v>
      </c>
      <c r="AD91" s="61">
        <f t="shared" si="44"/>
        <v>-448.29</v>
      </c>
      <c r="AE91" s="62">
        <f>IFERROR(AD91/AD148, "NA")</f>
        <v>0.2020359531</v>
      </c>
      <c r="AF91" s="61">
        <f t="shared" si="45"/>
        <v>-0.3997592295</v>
      </c>
      <c r="AG91" s="57">
        <f t="shared" si="46"/>
        <v>1032.37125</v>
      </c>
      <c r="AH91" s="15">
        <f>IFERROR(AG91/AG148, "NA")</f>
        <v>0.03923097509</v>
      </c>
      <c r="AI91" s="61">
        <f t="shared" si="47"/>
        <v>-359.26125</v>
      </c>
      <c r="AJ91" s="62">
        <f>IFERROR(AI91/AI148, "NA")</f>
        <v>0.7735572291</v>
      </c>
      <c r="AK91" s="61">
        <f t="shared" si="48"/>
        <v>-0.3479961787</v>
      </c>
      <c r="AL91" s="62">
        <f>IFERROR(AK91/AK148, "NA")</f>
        <v>19.71802198</v>
      </c>
    </row>
    <row r="92" ht="16.5" hidden="1" customHeight="1">
      <c r="A92" s="26" t="s">
        <v>209</v>
      </c>
      <c r="B92" s="28">
        <v>138.26</v>
      </c>
      <c r="C92" s="15">
        <f>IFERROR(B92/B148, "NA")</f>
        <v>0.009837754607</v>
      </c>
      <c r="D92" s="28">
        <v>197.06</v>
      </c>
      <c r="E92" s="15">
        <f>IFERROR(D92/D148, "NA")</f>
        <v>0.0105427206</v>
      </c>
      <c r="F92" s="28">
        <v>236.05</v>
      </c>
      <c r="G92" s="15">
        <f>IFERROR(F92/F148, "NA")</f>
        <v>0.009734329709</v>
      </c>
      <c r="H92" s="28">
        <v>323.19</v>
      </c>
      <c r="I92" s="15">
        <f>IFERROR(H92/H148, "NA")</f>
        <v>0.01421994876</v>
      </c>
      <c r="J92" s="28">
        <v>304.59</v>
      </c>
      <c r="K92" s="15">
        <f>IFERROR(J92/J148, "NA")</f>
        <v>0.01387189256</v>
      </c>
      <c r="L92" s="28">
        <v>164.67</v>
      </c>
      <c r="M92" s="15">
        <f>IFERROR(L92/L148, "NA")</f>
        <v>0.006612249225</v>
      </c>
      <c r="N92" s="28">
        <v>108.33</v>
      </c>
      <c r="O92" s="15">
        <f>IFERROR(N92/N148, "NA")</f>
        <v>0.004276319815</v>
      </c>
      <c r="P92" s="28">
        <v>470.59</v>
      </c>
      <c r="Q92" s="15">
        <f>IFERROR(P92/P148, "NA")</f>
        <v>0.01806527053</v>
      </c>
      <c r="R92" s="28">
        <v>286.55</v>
      </c>
      <c r="S92" s="15">
        <f>IFERROR(R92/R148, "NA")</f>
        <v>0.009560765328</v>
      </c>
      <c r="T92" s="28">
        <v>257.94</v>
      </c>
      <c r="U92" s="15">
        <f>IFERROR(T92/T148, "NA")</f>
        <v>0.009881978664</v>
      </c>
      <c r="V92" s="28">
        <v>238.6</v>
      </c>
      <c r="W92" s="15">
        <f>IFERROR(V92/V148, "NA")</f>
        <v>0.007860505998</v>
      </c>
      <c r="X92" s="28">
        <v>10.43</v>
      </c>
      <c r="Y92" s="15">
        <f>IFERROR(X92/X148, "NA")</f>
        <v>0.0004034694504</v>
      </c>
      <c r="Z92" s="28">
        <v>506.97</v>
      </c>
      <c r="AA92" s="15">
        <f>IFERROR(Z92/Z148, "NA")</f>
        <v>0.006159491427</v>
      </c>
      <c r="AB92" s="57">
        <f t="shared" si="43"/>
        <v>198.38</v>
      </c>
      <c r="AC92" s="15">
        <f>IFERROR(AB92/AB148, "NA")</f>
        <v>0.007067421682</v>
      </c>
      <c r="AD92" s="61">
        <f t="shared" si="44"/>
        <v>-187.95</v>
      </c>
      <c r="AE92" s="62">
        <f>IFERROR(AD92/AD148, "NA")</f>
        <v>0.08470556422</v>
      </c>
      <c r="AF92" s="61">
        <f t="shared" si="45"/>
        <v>-0.9474241355</v>
      </c>
      <c r="AG92" s="57">
        <f t="shared" si="46"/>
        <v>230.2125</v>
      </c>
      <c r="AH92" s="15">
        <f>IFERROR(AG92/AG148, "NA")</f>
        <v>0.008748268468</v>
      </c>
      <c r="AI92" s="61">
        <f t="shared" si="47"/>
        <v>-219.7825</v>
      </c>
      <c r="AJ92" s="62">
        <f>IFERROR(AI92/AI148, "NA")</f>
        <v>0.4732331742</v>
      </c>
      <c r="AK92" s="61">
        <f t="shared" si="48"/>
        <v>-0.9546940327</v>
      </c>
      <c r="AL92" s="62">
        <f>IFERROR(AK92/AK148, "NA")</f>
        <v>54.09449606</v>
      </c>
    </row>
    <row r="93" ht="16.5" hidden="1" customHeight="1">
      <c r="A93" s="26" t="s">
        <v>210</v>
      </c>
      <c r="B93" s="28">
        <v>771.44</v>
      </c>
      <c r="C93" s="15">
        <f>IFERROR(B93/B148, "NA")</f>
        <v>0.05489105608</v>
      </c>
      <c r="D93" s="28">
        <v>1180.58</v>
      </c>
      <c r="E93" s="15">
        <f>IFERROR(D93/D148, "NA")</f>
        <v>0.06316109348</v>
      </c>
      <c r="F93" s="28">
        <v>2010.53</v>
      </c>
      <c r="G93" s="15">
        <f>IFERROR(F93/F148, "NA")</f>
        <v>0.08291108625</v>
      </c>
      <c r="H93" s="28">
        <v>1830.59</v>
      </c>
      <c r="I93" s="15">
        <f>IFERROR(H93/H148, "NA")</f>
        <v>0.08054363068</v>
      </c>
      <c r="J93" s="28">
        <v>1315.24</v>
      </c>
      <c r="K93" s="15">
        <f>IFERROR(J93/J148, "NA")</f>
        <v>0.05989976022</v>
      </c>
      <c r="L93" s="28">
        <v>1993.47</v>
      </c>
      <c r="M93" s="15">
        <f>IFERROR(L93/L148, "NA")</f>
        <v>0.08004688445</v>
      </c>
      <c r="N93" s="28">
        <v>2050.81</v>
      </c>
      <c r="O93" s="15">
        <f>IFERROR(N93/N148, "NA")</f>
        <v>0.08095559346</v>
      </c>
      <c r="P93" s="28">
        <v>1649.05</v>
      </c>
      <c r="Q93" s="15">
        <f>IFERROR(P93/P148, "NA")</f>
        <v>0.06330464812</v>
      </c>
      <c r="R93" s="28">
        <v>2366.95</v>
      </c>
      <c r="S93" s="15">
        <f>IFERROR(R93/R148, "NA")</f>
        <v>0.07897348977</v>
      </c>
      <c r="T93" s="28">
        <v>2067.89</v>
      </c>
      <c r="U93" s="15">
        <f>IFERROR(T93/T148, "NA")</f>
        <v>0.07922324905</v>
      </c>
      <c r="V93" s="28">
        <v>2271.0</v>
      </c>
      <c r="W93" s="15">
        <f>IFERROR(V93/V148, "NA")</f>
        <v>0.0748164674</v>
      </c>
      <c r="X93" s="28">
        <v>1520.21</v>
      </c>
      <c r="Y93" s="15">
        <f>IFERROR(X93/X148, "NA")</f>
        <v>0.05880712303</v>
      </c>
      <c r="Z93" s="28">
        <v>5859.1</v>
      </c>
      <c r="AA93" s="15">
        <f>IFERROR(Z93/Z148, "NA")</f>
        <v>0.07118582208</v>
      </c>
      <c r="AB93" s="57">
        <f t="shared" si="43"/>
        <v>2056.5125</v>
      </c>
      <c r="AC93" s="15">
        <f>IFERROR(AB93/AB148, "NA")</f>
        <v>0.07326464881</v>
      </c>
      <c r="AD93" s="61">
        <f t="shared" si="44"/>
        <v>-536.3025</v>
      </c>
      <c r="AE93" s="62">
        <f>IFERROR(AD93/AD148, "NA")</f>
        <v>0.2417015475</v>
      </c>
      <c r="AF93" s="61">
        <f t="shared" si="45"/>
        <v>-0.2607825141</v>
      </c>
      <c r="AG93" s="57">
        <f t="shared" si="46"/>
        <v>1904.3275</v>
      </c>
      <c r="AH93" s="15">
        <f>IFERROR(AG93/AG148, "NA")</f>
        <v>0.07236604538</v>
      </c>
      <c r="AI93" s="61">
        <f t="shared" si="47"/>
        <v>-384.1175</v>
      </c>
      <c r="AJ93" s="62">
        <f>IFERROR(AI93/AI148, "NA")</f>
        <v>0.8270774233</v>
      </c>
      <c r="AK93" s="61">
        <f t="shared" si="48"/>
        <v>-0.2017076895</v>
      </c>
      <c r="AL93" s="62">
        <f>IFERROR(AK93/AK148, "NA")</f>
        <v>11.4290814</v>
      </c>
    </row>
    <row r="94" ht="16.5" hidden="1" customHeight="1">
      <c r="A94" s="26" t="s">
        <v>211</v>
      </c>
      <c r="B94" s="28">
        <v>347.3</v>
      </c>
      <c r="C94" s="15">
        <f>IFERROR(B94/B148, "NA")</f>
        <v>0.02471179065</v>
      </c>
      <c r="D94" s="28">
        <v>555.55</v>
      </c>
      <c r="E94" s="15">
        <f>IFERROR(D94/D148, "NA")</f>
        <v>0.02972195487</v>
      </c>
      <c r="F94" s="28">
        <v>616.75</v>
      </c>
      <c r="G94" s="15">
        <f>IFERROR(F94/F148, "NA")</f>
        <v>0.02543379728</v>
      </c>
      <c r="H94" s="28">
        <v>572.07</v>
      </c>
      <c r="I94" s="15">
        <f>IFERROR(H94/H148, "NA")</f>
        <v>0.02517035207</v>
      </c>
      <c r="J94" s="28">
        <v>705.86</v>
      </c>
      <c r="K94" s="15">
        <f>IFERROR(J94/J148, "NA")</f>
        <v>0.03214686654</v>
      </c>
      <c r="L94" s="28">
        <v>715.46</v>
      </c>
      <c r="M94" s="15">
        <f>IFERROR(L94/L148, "NA")</f>
        <v>0.02872897207</v>
      </c>
      <c r="N94" s="28">
        <v>561.08</v>
      </c>
      <c r="O94" s="15">
        <f>IFERROR(N94/N148, "NA")</f>
        <v>0.02214859708</v>
      </c>
      <c r="P94" s="28">
        <v>734.16</v>
      </c>
      <c r="Q94" s="15">
        <f>IFERROR(P94/P148, "NA")</f>
        <v>0.02818334221</v>
      </c>
      <c r="R94" s="28">
        <v>839.99</v>
      </c>
      <c r="S94" s="15">
        <f>IFERROR(R94/R148, "NA")</f>
        <v>0.0280263384</v>
      </c>
      <c r="T94" s="28">
        <v>678.85</v>
      </c>
      <c r="U94" s="15">
        <f>IFERROR(T94/T148, "NA")</f>
        <v>0.02600752584</v>
      </c>
      <c r="V94" s="28">
        <v>800.07</v>
      </c>
      <c r="W94" s="15">
        <f>IFERROR(V94/V148, "NA")</f>
        <v>0.02635773275</v>
      </c>
      <c r="X94" s="28">
        <v>688.69</v>
      </c>
      <c r="Y94" s="15">
        <f>IFERROR(X94/X148, "NA")</f>
        <v>0.02664097563</v>
      </c>
      <c r="Z94" s="28">
        <v>2167.61</v>
      </c>
      <c r="AA94" s="15">
        <f>IFERROR(Z94/Z148, "NA")</f>
        <v>0.02633563172</v>
      </c>
      <c r="AB94" s="57">
        <f t="shared" si="43"/>
        <v>751.9</v>
      </c>
      <c r="AC94" s="15">
        <f>IFERROR(AB94/AB148, "NA")</f>
        <v>0.02678694608</v>
      </c>
      <c r="AD94" s="61">
        <f t="shared" si="44"/>
        <v>-63.21</v>
      </c>
      <c r="AE94" s="62">
        <f>IFERROR(AD94/AD148, "NA")</f>
        <v>0.02848756964</v>
      </c>
      <c r="AF94" s="61">
        <f t="shared" si="45"/>
        <v>-0.08406703019</v>
      </c>
      <c r="AG94" s="57">
        <f t="shared" si="46"/>
        <v>715.52</v>
      </c>
      <c r="AH94" s="15">
        <f>IFERROR(AG94/AG148, "NA")</f>
        <v>0.02719036131</v>
      </c>
      <c r="AI94" s="61">
        <f t="shared" si="47"/>
        <v>-26.83</v>
      </c>
      <c r="AJ94" s="62">
        <f>IFERROR(AI94/AI148, "NA")</f>
        <v>0.05777005022</v>
      </c>
      <c r="AK94" s="61">
        <f t="shared" si="48"/>
        <v>-0.03749720483</v>
      </c>
      <c r="AL94" s="62">
        <f>IFERROR(AK94/AK148, "NA")</f>
        <v>2.124651804</v>
      </c>
    </row>
    <row r="95" ht="16.5" hidden="1" customHeight="1">
      <c r="A95" s="26" t="s">
        <v>212</v>
      </c>
      <c r="B95" s="28">
        <v>0.0</v>
      </c>
      <c r="C95" s="15">
        <f>IFERROR(B95/B148, "NA")</f>
        <v>0</v>
      </c>
      <c r="D95" s="28">
        <v>0.0</v>
      </c>
      <c r="E95" s="15">
        <f>IFERROR(D95/D148, "NA")</f>
        <v>0</v>
      </c>
      <c r="F95" s="28">
        <v>0.0</v>
      </c>
      <c r="G95" s="15">
        <f>IFERROR(F95/F148, "NA")</f>
        <v>0</v>
      </c>
      <c r="H95" s="28">
        <v>1472.86</v>
      </c>
      <c r="I95" s="15">
        <f>IFERROR(H95/H148, "NA")</f>
        <v>0.06480396587</v>
      </c>
      <c r="J95" s="28">
        <v>0.0</v>
      </c>
      <c r="K95" s="15">
        <f>IFERROR(J95/J148, "NA")</f>
        <v>0</v>
      </c>
      <c r="L95" s="28">
        <v>0.0</v>
      </c>
      <c r="M95" s="15">
        <f>IFERROR(L95/L148, "NA")</f>
        <v>0</v>
      </c>
      <c r="N95" s="28">
        <v>0.0</v>
      </c>
      <c r="O95" s="15">
        <f>IFERROR(N95/N148, "NA")</f>
        <v>0</v>
      </c>
      <c r="P95" s="28">
        <v>0.0</v>
      </c>
      <c r="Q95" s="15">
        <f>IFERROR(P95/P148, "NA")</f>
        <v>0</v>
      </c>
      <c r="R95" s="28">
        <v>1440.59</v>
      </c>
      <c r="S95" s="15">
        <f>IFERROR(R95/R148, "NA")</f>
        <v>0.04806540891</v>
      </c>
      <c r="T95" s="28">
        <v>0.0</v>
      </c>
      <c r="U95" s="15">
        <f>IFERROR(T95/T148, "NA")</f>
        <v>0</v>
      </c>
      <c r="V95" s="28">
        <v>0.0</v>
      </c>
      <c r="W95" s="15">
        <f>IFERROR(V95/V148, "NA")</f>
        <v>0</v>
      </c>
      <c r="X95" s="28">
        <v>0.0</v>
      </c>
      <c r="Y95" s="15">
        <f>IFERROR(X95/X148, "NA")</f>
        <v>0</v>
      </c>
      <c r="Z95" s="28">
        <v>0.0</v>
      </c>
      <c r="AA95" s="15">
        <f>IFERROR(Z95/Z148, "NA")</f>
        <v>0</v>
      </c>
      <c r="AB95" s="57">
        <f t="shared" si="43"/>
        <v>360.1475</v>
      </c>
      <c r="AC95" s="15">
        <f>IFERROR(AB95/AB148, "NA")</f>
        <v>0.01283049829</v>
      </c>
      <c r="AD95" s="61">
        <f t="shared" si="44"/>
        <v>-360.1475</v>
      </c>
      <c r="AE95" s="62">
        <f>IFERROR(AD95/AD148, "NA")</f>
        <v>0.1623117701</v>
      </c>
      <c r="AF95" s="61">
        <f t="shared" si="45"/>
        <v>-1</v>
      </c>
      <c r="AG95" s="57">
        <f t="shared" si="46"/>
        <v>180.07375</v>
      </c>
      <c r="AH95" s="15">
        <f>IFERROR(AG95/AG148, "NA")</f>
        <v>0.006842953832</v>
      </c>
      <c r="AI95" s="61">
        <f t="shared" si="47"/>
        <v>-180.07375</v>
      </c>
      <c r="AJ95" s="62">
        <f>IFERROR(AI95/AI148, "NA")</f>
        <v>0.3877327462</v>
      </c>
      <c r="AK95" s="61">
        <f t="shared" si="48"/>
        <v>-1</v>
      </c>
      <c r="AL95" s="62">
        <f>IFERROR(AK95/AK148, "NA")</f>
        <v>56.66160488</v>
      </c>
    </row>
    <row r="96" ht="16.5" hidden="1" customHeight="1">
      <c r="A96" s="26" t="s">
        <v>213</v>
      </c>
      <c r="B96" s="28">
        <v>0.0</v>
      </c>
      <c r="C96" s="15">
        <f>IFERROR(B96/B148, "NA")</f>
        <v>0</v>
      </c>
      <c r="D96" s="28">
        <v>0.0</v>
      </c>
      <c r="E96" s="15">
        <f>IFERROR(D96/D148, "NA")</f>
        <v>0</v>
      </c>
      <c r="F96" s="28">
        <v>0.0</v>
      </c>
      <c r="G96" s="15">
        <f>IFERROR(F96/F148, "NA")</f>
        <v>0</v>
      </c>
      <c r="H96" s="28">
        <v>0.0</v>
      </c>
      <c r="I96" s="15">
        <f>IFERROR(H96/H148, "NA")</f>
        <v>0</v>
      </c>
      <c r="J96" s="28">
        <v>0.0</v>
      </c>
      <c r="K96" s="15">
        <f>IFERROR(J96/J148, "NA")</f>
        <v>0</v>
      </c>
      <c r="L96" s="28">
        <v>0.0</v>
      </c>
      <c r="M96" s="15">
        <f>IFERROR(L96/L148, "NA")</f>
        <v>0</v>
      </c>
      <c r="N96" s="28">
        <v>0.0</v>
      </c>
      <c r="O96" s="15">
        <f>IFERROR(N96/N148, "NA")</f>
        <v>0</v>
      </c>
      <c r="P96" s="28">
        <v>0.0</v>
      </c>
      <c r="Q96" s="15">
        <f>IFERROR(P96/P148, "NA")</f>
        <v>0</v>
      </c>
      <c r="R96" s="28">
        <v>0.0</v>
      </c>
      <c r="S96" s="15">
        <f>IFERROR(R96/R148, "NA")</f>
        <v>0</v>
      </c>
      <c r="T96" s="28">
        <v>0.0</v>
      </c>
      <c r="U96" s="15">
        <f>IFERROR(T96/T148, "NA")</f>
        <v>0</v>
      </c>
      <c r="V96" s="28">
        <v>0.0</v>
      </c>
      <c r="W96" s="15">
        <f>IFERROR(V96/V148, "NA")</f>
        <v>0</v>
      </c>
      <c r="X96" s="28">
        <v>0.0</v>
      </c>
      <c r="Y96" s="15">
        <f>IFERROR(X96/X148, "NA")</f>
        <v>0</v>
      </c>
      <c r="Z96" s="28">
        <v>0.0</v>
      </c>
      <c r="AA96" s="15">
        <f>IFERROR(Z96/Z148, "NA")</f>
        <v>0</v>
      </c>
      <c r="AB96" s="57">
        <f t="shared" si="43"/>
        <v>0</v>
      </c>
      <c r="AC96" s="15">
        <f>IFERROR(AB96/AB148, "NA")</f>
        <v>0</v>
      </c>
      <c r="AD96" s="61">
        <f t="shared" si="44"/>
        <v>0</v>
      </c>
      <c r="AE96" s="62">
        <f>IFERROR(AD96/AD148, "NA")</f>
        <v>0</v>
      </c>
      <c r="AF96" s="61" t="str">
        <f t="shared" si="45"/>
        <v>NA</v>
      </c>
      <c r="AG96" s="57">
        <f t="shared" si="46"/>
        <v>0</v>
      </c>
      <c r="AH96" s="15">
        <f>IFERROR(AG96/AG148, "NA")</f>
        <v>0</v>
      </c>
      <c r="AI96" s="61">
        <f t="shared" si="47"/>
        <v>0</v>
      </c>
      <c r="AJ96" s="62">
        <f>IFERROR(AI96/AI148, "NA")</f>
        <v>0</v>
      </c>
      <c r="AK96" s="61" t="str">
        <f t="shared" si="48"/>
        <v>NA</v>
      </c>
      <c r="AL96" s="62" t="str">
        <f>IFERROR(AK96/AK148, "NA")</f>
        <v>NA</v>
      </c>
    </row>
    <row r="97" ht="16.5" hidden="1" customHeight="1">
      <c r="A97" s="26" t="s">
        <v>214</v>
      </c>
      <c r="B97" s="28">
        <v>0.0</v>
      </c>
      <c r="C97" s="15">
        <f>IFERROR(B97/B148, "NA")</f>
        <v>0</v>
      </c>
      <c r="D97" s="28">
        <v>0.0</v>
      </c>
      <c r="E97" s="15">
        <f>IFERROR(D97/D148, "NA")</f>
        <v>0</v>
      </c>
      <c r="F97" s="28">
        <v>247.3</v>
      </c>
      <c r="G97" s="15">
        <f>IFERROR(F97/F148, "NA")</f>
        <v>0.01019826197</v>
      </c>
      <c r="H97" s="28">
        <v>1008.15</v>
      </c>
      <c r="I97" s="15">
        <f>IFERROR(H97/H148, "NA")</f>
        <v>0.04435731719</v>
      </c>
      <c r="J97" s="28">
        <v>0.0</v>
      </c>
      <c r="K97" s="15">
        <f>IFERROR(J97/J148, "NA")</f>
        <v>0</v>
      </c>
      <c r="L97" s="28">
        <v>301.12</v>
      </c>
      <c r="M97" s="15">
        <f>IFERROR(L97/L148, "NA")</f>
        <v>0.01209133714</v>
      </c>
      <c r="N97" s="28">
        <v>247.3</v>
      </c>
      <c r="O97" s="15">
        <f>IFERROR(N97/N148, "NA")</f>
        <v>0.009762151668</v>
      </c>
      <c r="P97" s="28">
        <v>0.0</v>
      </c>
      <c r="Q97" s="15">
        <f>IFERROR(P97/P148, "NA")</f>
        <v>0</v>
      </c>
      <c r="R97" s="28">
        <v>458.33</v>
      </c>
      <c r="S97" s="15">
        <f>IFERROR(R97/R148, "NA")</f>
        <v>0.01529221976</v>
      </c>
      <c r="T97" s="28">
        <v>213.99</v>
      </c>
      <c r="U97" s="15">
        <f>IFERROR(T97/T148, "NA")</f>
        <v>0.008198203513</v>
      </c>
      <c r="V97" s="28">
        <v>3774.33</v>
      </c>
      <c r="W97" s="15">
        <f>IFERROR(V97/V148, "NA")</f>
        <v>0.1243425968</v>
      </c>
      <c r="X97" s="28">
        <v>250.05</v>
      </c>
      <c r="Y97" s="15">
        <f>IFERROR(X97/X148, "NA")</f>
        <v>0.009672822251</v>
      </c>
      <c r="Z97" s="28">
        <v>4238.37</v>
      </c>
      <c r="AA97" s="15">
        <f>IFERROR(Z97/Z148, "NA")</f>
        <v>0.05149457301</v>
      </c>
      <c r="AB97" s="57">
        <f t="shared" si="43"/>
        <v>1174.175</v>
      </c>
      <c r="AC97" s="15">
        <f>IFERROR(AB97/AB148, "NA")</f>
        <v>0.04183077857</v>
      </c>
      <c r="AD97" s="61">
        <f t="shared" si="44"/>
        <v>-924.125</v>
      </c>
      <c r="AE97" s="62">
        <f>IFERROR(AD97/AD148, "NA")</f>
        <v>0.4164859247</v>
      </c>
      <c r="AF97" s="61">
        <f t="shared" si="45"/>
        <v>-0.7870419656</v>
      </c>
      <c r="AG97" s="57">
        <f t="shared" si="46"/>
        <v>655.64</v>
      </c>
      <c r="AH97" s="15">
        <f>IFERROR(AG97/AG148, "NA")</f>
        <v>0.02491487099</v>
      </c>
      <c r="AI97" s="61">
        <f t="shared" si="47"/>
        <v>-405.59</v>
      </c>
      <c r="AJ97" s="62">
        <f>IFERROR(AI97/AI148, "NA")</f>
        <v>0.8733117656</v>
      </c>
      <c r="AK97" s="61">
        <f t="shared" si="48"/>
        <v>-0.6186169239</v>
      </c>
      <c r="AL97" s="62">
        <f>IFERROR(AK97/AK148, "NA")</f>
        <v>35.05182771</v>
      </c>
    </row>
    <row r="98" ht="16.5" hidden="1" customHeight="1">
      <c r="A98" s="26" t="s">
        <v>215</v>
      </c>
      <c r="B98" s="28">
        <v>246.25</v>
      </c>
      <c r="C98" s="15">
        <f>IFERROR(B98/B148, "NA")</f>
        <v>0.01752167707</v>
      </c>
      <c r="D98" s="28">
        <v>249.06</v>
      </c>
      <c r="E98" s="15">
        <f>IFERROR(D98/D148, "NA")</f>
        <v>0.01332472339</v>
      </c>
      <c r="F98" s="28">
        <v>2265.01</v>
      </c>
      <c r="G98" s="15">
        <f>IFERROR(F98/F148, "NA")</f>
        <v>0.09340544009</v>
      </c>
      <c r="H98" s="28">
        <v>1465.28</v>
      </c>
      <c r="I98" s="15">
        <f>IFERROR(H98/H148, "NA")</f>
        <v>0.06447045551</v>
      </c>
      <c r="J98" s="28">
        <v>600.18</v>
      </c>
      <c r="K98" s="15">
        <f>IFERROR(J98/J148, "NA")</f>
        <v>0.02733389958</v>
      </c>
      <c r="L98" s="28">
        <v>354.26</v>
      </c>
      <c r="M98" s="15">
        <f>IFERROR(L98/L148, "NA")</f>
        <v>0.01422514976</v>
      </c>
      <c r="N98" s="28">
        <v>2395.08</v>
      </c>
      <c r="O98" s="15">
        <f>IFERROR(N98/N148, "NA")</f>
        <v>0.09454562967</v>
      </c>
      <c r="P98" s="28">
        <v>333.4</v>
      </c>
      <c r="Q98" s="15">
        <f>IFERROR(P98/P148, "NA")</f>
        <v>0.01279874454</v>
      </c>
      <c r="R98" s="28">
        <v>1661.68</v>
      </c>
      <c r="S98" s="15">
        <f>IFERROR(R98/R148, "NA")</f>
        <v>0.05544209573</v>
      </c>
      <c r="T98" s="28">
        <v>232.28</v>
      </c>
      <c r="U98" s="15">
        <f>IFERROR(T98/T148, "NA")</f>
        <v>0.008898914492</v>
      </c>
      <c r="V98" s="28">
        <v>405.67</v>
      </c>
      <c r="W98" s="15">
        <f>IFERROR(V98/V148, "NA")</f>
        <v>0.01336450741</v>
      </c>
      <c r="X98" s="28">
        <v>2204.71</v>
      </c>
      <c r="Y98" s="15">
        <f>IFERROR(X98/X148, "NA")</f>
        <v>0.08528601458</v>
      </c>
      <c r="Z98" s="28">
        <v>2842.66</v>
      </c>
      <c r="AA98" s="15">
        <f>IFERROR(Z98/Z148, "NA")</f>
        <v>0.0345372308</v>
      </c>
      <c r="AB98" s="57">
        <f t="shared" si="43"/>
        <v>1126.085</v>
      </c>
      <c r="AC98" s="15">
        <f>IFERROR(AB98/AB148, "NA")</f>
        <v>0.04011753979</v>
      </c>
      <c r="AD98" s="61">
        <f t="shared" si="44"/>
        <v>1078.625</v>
      </c>
      <c r="AE98" s="62">
        <f>IFERROR(AD98/AD148, "NA")</f>
        <v>-0.4861161969</v>
      </c>
      <c r="AF98" s="61">
        <f t="shared" si="45"/>
        <v>0.9578539808</v>
      </c>
      <c r="AG98" s="57">
        <f t="shared" si="46"/>
        <v>1023.4075</v>
      </c>
      <c r="AH98" s="15">
        <f>IFERROR(AG98/AG148, "NA")</f>
        <v>0.03889034506</v>
      </c>
      <c r="AI98" s="61">
        <f t="shared" si="47"/>
        <v>1181.3025</v>
      </c>
      <c r="AJ98" s="62">
        <f>IFERROR(AI98/AI148, "NA")</f>
        <v>-2.54356708</v>
      </c>
      <c r="AK98" s="61">
        <f t="shared" si="48"/>
        <v>1.154283606</v>
      </c>
      <c r="AL98" s="62">
        <f>IFERROR(AK98/AK148, "NA")</f>
        <v>-65.40356163</v>
      </c>
    </row>
    <row r="99" ht="16.5" hidden="1" customHeight="1">
      <c r="A99" s="67" t="s">
        <v>216</v>
      </c>
      <c r="B99" s="70">
        <f>IFERROR(B90+B91+B92+B93+B94+B95+B96+B97+B98, "NA")</f>
        <v>2426.02</v>
      </c>
      <c r="C99" s="71">
        <f>IFERROR(B99/B148, "NA")</f>
        <v>0.1726210721</v>
      </c>
      <c r="D99" s="70">
        <f>IFERROR(D90+D91+D92+D93+D94+D95+D96+D97+D98, "NA")</f>
        <v>3408.37</v>
      </c>
      <c r="E99" s="71">
        <f>IFERROR(D99/D148, "NA")</f>
        <v>0.1823479783</v>
      </c>
      <c r="F99" s="70">
        <f>IFERROR(F90+F91+F92+F93+F94+F95+F96+F97+F98, "NA")</f>
        <v>6439.03</v>
      </c>
      <c r="G99" s="71">
        <f>IFERROR(F99/F148, "NA")</f>
        <v>0.2655354417</v>
      </c>
      <c r="H99" s="70">
        <f>IFERROR(H90+H91+H92+H93+H94+H95+H96+H97+H98, "NA")</f>
        <v>8010.73</v>
      </c>
      <c r="I99" s="71">
        <f>IFERROR(H99/H148, "NA")</f>
        <v>0.3524619268</v>
      </c>
      <c r="J99" s="70">
        <f>IFERROR(J90+J91+J92+J93+J94+J95+J96+J97+J98, "NA")</f>
        <v>5869.04</v>
      </c>
      <c r="K99" s="71">
        <f>IFERROR(J99/J148, "NA")</f>
        <v>0.2672927289</v>
      </c>
      <c r="L99" s="70">
        <f>IFERROR(L90+L91+L92+L93+L94+L95+L96+L97+L98, "NA")</f>
        <v>5026.81</v>
      </c>
      <c r="M99" s="71">
        <f>IFERROR(L99/L148, "NA")</f>
        <v>0.2018492775</v>
      </c>
      <c r="N99" s="70">
        <f>IFERROR(N90+N91+N92+N93+N94+N95+N96+N97+N98, "NA")</f>
        <v>6815.24</v>
      </c>
      <c r="O99" s="71">
        <f>IFERROR(N99/N148, "NA")</f>
        <v>0.2690311627</v>
      </c>
      <c r="P99" s="70">
        <f>IFERROR(P90+P91+P92+P93+P94+P95+P96+P97+P98, "NA")</f>
        <v>5183.04</v>
      </c>
      <c r="Q99" s="71">
        <f>IFERROR(P99/P148, "NA")</f>
        <v>0.1989694208</v>
      </c>
      <c r="R99" s="70">
        <f>IFERROR(R90+R91+R92+R93+R94+R95+R96+R97+R98, "NA")</f>
        <v>9041.66</v>
      </c>
      <c r="S99" s="71">
        <f>IFERROR(R99/R148, "NA")</f>
        <v>0.3016757614</v>
      </c>
      <c r="T99" s="70">
        <f>IFERROR(T90+T91+T92+T93+T94+T95+T96+T97+T98, "NA")</f>
        <v>5504.08</v>
      </c>
      <c r="U99" s="71">
        <f>IFERROR(T99/T148, "NA")</f>
        <v>0.210867648</v>
      </c>
      <c r="V99" s="70">
        <f>IFERROR(V90+V91+V92+V93+V94+V95+V96+V97+V98, "NA")</f>
        <v>9256.2</v>
      </c>
      <c r="W99" s="71">
        <f>IFERROR(V99/V148, "NA")</f>
        <v>0.3049388752</v>
      </c>
      <c r="X99" s="70">
        <f>IFERROR(X90+X91+X92+X93+X94+X95+X96+X97+X98, "NA")</f>
        <v>5958.89</v>
      </c>
      <c r="Y99" s="71">
        <f>IFERROR(X99/X148, "NA")</f>
        <v>0.2305110329</v>
      </c>
      <c r="Z99" s="70">
        <f>IFERROR(Z90+Z91+Z92+Z93+Z94+Z95+Z96+Z97+Z98, "NA")</f>
        <v>20719.17</v>
      </c>
      <c r="AA99" s="71">
        <f>IFERROR(Z99/Z148, "NA")</f>
        <v>0.251729984</v>
      </c>
      <c r="AB99" s="70">
        <f t="shared" si="43"/>
        <v>7440.2075</v>
      </c>
      <c r="AC99" s="71">
        <f>IFERROR(AB99/AB148, "NA")</f>
        <v>0.2650624246</v>
      </c>
      <c r="AD99" s="75">
        <f t="shared" si="44"/>
        <v>-1481.3175</v>
      </c>
      <c r="AE99" s="76">
        <f>IFERROR(AD99/AD148, "NA")</f>
        <v>0.6676022061</v>
      </c>
      <c r="AF99" s="75">
        <f t="shared" si="45"/>
        <v>-0.1990962618</v>
      </c>
      <c r="AG99" s="70">
        <f t="shared" si="46"/>
        <v>6581.87</v>
      </c>
      <c r="AH99" s="71">
        <f>IFERROR(AG99/AG148, "NA")</f>
        <v>0.2501165913</v>
      </c>
      <c r="AI99" s="75">
        <f t="shared" si="47"/>
        <v>-622.98</v>
      </c>
      <c r="AJ99" s="76">
        <f>IFERROR(AI99/AI148, "NA")</f>
        <v>1.341393436</v>
      </c>
      <c r="AK99" s="75">
        <f t="shared" si="48"/>
        <v>-0.09465091228</v>
      </c>
      <c r="AL99" s="76">
        <f>IFERROR(AK99/AK148, "NA")</f>
        <v>5.363072593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2"/>
      <c r="AF100" s="125"/>
      <c r="AG100" s="124"/>
      <c r="AH100" s="74"/>
      <c r="AI100" s="125"/>
      <c r="AJ100" s="82"/>
      <c r="AK100" s="125"/>
      <c r="AL100" s="82"/>
    </row>
    <row r="101" ht="16.5" hidden="1" customHeight="1">
      <c r="A101" s="121" t="s">
        <v>217</v>
      </c>
      <c r="B101" s="122">
        <f>IFERROR(B87-B99, "NA")</f>
        <v>1241.9</v>
      </c>
      <c r="C101" s="98">
        <f>IFERROR(B101/B148, "NA")</f>
        <v>0.08836617566</v>
      </c>
      <c r="D101" s="122">
        <f>IFERROR(D87-D99, "NA")</f>
        <v>1783.61</v>
      </c>
      <c r="E101" s="98">
        <f>IFERROR(D101/D148, "NA")</f>
        <v>0.0954232309</v>
      </c>
      <c r="F101" s="122">
        <f>IFERROR(F87-F99, "NA")</f>
        <v>4714.09</v>
      </c>
      <c r="G101" s="98">
        <f>IFERROR(F101/F148, "NA")</f>
        <v>0.1944016367</v>
      </c>
      <c r="H101" s="122">
        <f>IFERROR(H87-H99, "NA")</f>
        <v>1371.86</v>
      </c>
      <c r="I101" s="98">
        <f>IFERROR(H101/H148, "NA")</f>
        <v>0.06036009439</v>
      </c>
      <c r="J101" s="122">
        <f>IFERROR(J87-J99, "NA")</f>
        <v>2744.17</v>
      </c>
      <c r="K101" s="98">
        <f>IFERROR(J101/J148, "NA")</f>
        <v>0.1249772855</v>
      </c>
      <c r="L101" s="122">
        <f>IFERROR(L87-L99, "NA")</f>
        <v>5782.53</v>
      </c>
      <c r="M101" s="98">
        <f>IFERROR(L101/L148, "NA")</f>
        <v>0.2321948716</v>
      </c>
      <c r="N101" s="122">
        <f>IFERROR(N87-N99, "NA")</f>
        <v>4335.85</v>
      </c>
      <c r="O101" s="98">
        <f>IFERROR(N101/N148, "NA")</f>
        <v>0.1711574012</v>
      </c>
      <c r="P101" s="122">
        <f>IFERROR(P87-P99, "NA")</f>
        <v>6026.8</v>
      </c>
      <c r="Q101" s="98">
        <f>IFERROR(P101/P148, "NA")</f>
        <v>0.2313601488</v>
      </c>
      <c r="R101" s="122">
        <f>IFERROR(R87-R99, "NA")</f>
        <v>6795.5</v>
      </c>
      <c r="S101" s="98">
        <f>IFERROR(R101/R148, "NA")</f>
        <v>0.2267324404</v>
      </c>
      <c r="T101" s="122">
        <f>IFERROR(T87-T99, "NA")</f>
        <v>5510.04</v>
      </c>
      <c r="U101" s="98">
        <f>IFERROR(T101/T148, "NA")</f>
        <v>0.2110959825</v>
      </c>
      <c r="V101" s="122">
        <f>IFERROR(V87-V99, "NA")</f>
        <v>5830.64</v>
      </c>
      <c r="W101" s="98">
        <f>IFERROR(V101/V148, "NA")</f>
        <v>0.192086256</v>
      </c>
      <c r="X101" s="122">
        <f>IFERROR(X87-X99, "NA")</f>
        <v>4254.26</v>
      </c>
      <c r="Y101" s="98">
        <f>IFERROR(X101/X148, "NA")</f>
        <v>0.1645698892</v>
      </c>
      <c r="Z101" s="122">
        <f>IFERROR(Z87-Z99, "NA")</f>
        <v>15594.94</v>
      </c>
      <c r="AA101" s="98">
        <f>IFERROR(Z101/Z148, "NA")</f>
        <v>0.1894725511</v>
      </c>
      <c r="AB101" s="122">
        <f>IFERROR((R101+T101+V101+X101)/4, "NA")</f>
        <v>5597.61</v>
      </c>
      <c r="AC101" s="98">
        <f>IFERROR(AB101/AB148, "NA")</f>
        <v>0.1994186424</v>
      </c>
      <c r="AD101" s="75">
        <f>IFERROR(X101-AB101, "NA")</f>
        <v>-1343.35</v>
      </c>
      <c r="AE101" s="76">
        <f>IFERROR(AD101/AD148, "NA")</f>
        <v>0.6054228236</v>
      </c>
      <c r="AF101" s="75">
        <f>IFERROR((X101-AB101)/AB101, "NA")</f>
        <v>-0.2399863513</v>
      </c>
      <c r="AG101" s="122">
        <f>IFERROR((J101+L101+N101+P101+R101+T101+V101+X101)/8, "NA")</f>
        <v>5159.97375</v>
      </c>
      <c r="AH101" s="98">
        <f>IFERROR(AG101/AG148, "NA")</f>
        <v>0.1960833389</v>
      </c>
      <c r="AI101" s="75">
        <f>IFERROR(X101-AG101, "NA")</f>
        <v>-905.71375</v>
      </c>
      <c r="AJ101" s="76">
        <f>IFERROR(AI101/AI148, "NA")</f>
        <v>1.950172524</v>
      </c>
      <c r="AK101" s="75">
        <f>IFERROR((X101-AG101)/AG101, "NA")</f>
        <v>-0.1755268135</v>
      </c>
      <c r="AL101" s="76">
        <f>IFERROR(AK101/AK148, "NA")</f>
        <v>9.945630951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2"/>
      <c r="AF102" s="125"/>
      <c r="AG102" s="124"/>
      <c r="AH102" s="74"/>
      <c r="AI102" s="125"/>
      <c r="AJ102" s="82"/>
      <c r="AK102" s="125"/>
      <c r="AL102" s="82"/>
    </row>
    <row r="103" ht="16.5" hidden="1" customHeight="1">
      <c r="A103" s="22" t="s">
        <v>218</v>
      </c>
      <c r="B103" s="23"/>
      <c r="C103" s="10"/>
      <c r="D103" s="23"/>
      <c r="E103" s="10"/>
      <c r="F103" s="23"/>
      <c r="G103" s="10"/>
      <c r="H103" s="23"/>
      <c r="I103" s="10"/>
      <c r="J103" s="23"/>
      <c r="K103" s="10"/>
      <c r="L103" s="23"/>
      <c r="M103" s="10"/>
      <c r="N103" s="23"/>
      <c r="O103" s="10"/>
      <c r="P103" s="23"/>
      <c r="Q103" s="10"/>
      <c r="R103" s="23"/>
      <c r="S103" s="10"/>
      <c r="T103" s="23"/>
      <c r="U103" s="10"/>
      <c r="V103" s="23"/>
      <c r="W103" s="10"/>
      <c r="X103" s="23"/>
      <c r="Y103" s="10"/>
      <c r="Z103" s="23"/>
      <c r="AA103" s="10"/>
      <c r="AB103" s="23"/>
      <c r="AC103" s="10"/>
      <c r="AD103" s="24"/>
      <c r="AE103" s="25"/>
      <c r="AF103" s="24"/>
      <c r="AG103" s="23"/>
      <c r="AH103" s="10"/>
      <c r="AI103" s="24"/>
      <c r="AJ103" s="25"/>
      <c r="AK103" s="24"/>
      <c r="AL103" s="25"/>
    </row>
    <row r="104" ht="16.5" hidden="1" customHeight="1">
      <c r="A104" s="126" t="s">
        <v>219</v>
      </c>
      <c r="B104" s="127">
        <v>924.25</v>
      </c>
      <c r="C104" s="98">
        <f>IFERROR(B104/B148, "NA")</f>
        <v>0.06576410166</v>
      </c>
      <c r="D104" s="127">
        <v>0.0</v>
      </c>
      <c r="E104" s="98">
        <f>IFERROR(D104/D148, "NA")</f>
        <v>0</v>
      </c>
      <c r="F104" s="127">
        <v>3982.93</v>
      </c>
      <c r="G104" s="98">
        <f>IFERROR(F104/F148, "NA")</f>
        <v>0.1642497514</v>
      </c>
      <c r="H104" s="127">
        <v>20028.93</v>
      </c>
      <c r="I104" s="98">
        <f>IFERROR(H104/H148, "NA")</f>
        <v>0.8812474343</v>
      </c>
      <c r="J104" s="127">
        <v>739.03</v>
      </c>
      <c r="K104" s="98">
        <f>IFERROR(J104/J148, "NA")</f>
        <v>0.03365752242</v>
      </c>
      <c r="L104" s="127">
        <v>0.0</v>
      </c>
      <c r="M104" s="98">
        <f>IFERROR(L104/L148, "NA")</f>
        <v>0</v>
      </c>
      <c r="N104" s="127">
        <v>4113.5</v>
      </c>
      <c r="O104" s="98">
        <f>IFERROR(N104/N148, "NA")</f>
        <v>0.1623801492</v>
      </c>
      <c r="P104" s="127">
        <v>0.0</v>
      </c>
      <c r="Q104" s="98">
        <f>IFERROR(P104/P148, "NA")</f>
        <v>0</v>
      </c>
      <c r="R104" s="127">
        <v>24662.58</v>
      </c>
      <c r="S104" s="98">
        <f>IFERROR(R104/R148, "NA")</f>
        <v>0.8228690971</v>
      </c>
      <c r="T104" s="127">
        <v>835.36</v>
      </c>
      <c r="U104" s="98">
        <f>IFERROR(T104/T148, "NA")</f>
        <v>0.03200360431</v>
      </c>
      <c r="V104" s="127">
        <v>0.0</v>
      </c>
      <c r="W104" s="98">
        <f>IFERROR(V104/V148, "NA")</f>
        <v>0</v>
      </c>
      <c r="X104" s="127">
        <v>1664.7</v>
      </c>
      <c r="Y104" s="98">
        <f>IFERROR(X104/X148, "NA")</f>
        <v>0.06439650951</v>
      </c>
      <c r="Z104" s="127">
        <v>2500.06</v>
      </c>
      <c r="AA104" s="98">
        <f>IFERROR(Z104/Z148, "NA")</f>
        <v>0.03037477195</v>
      </c>
      <c r="AB104" s="122">
        <f t="shared" ref="AB104:AB105" si="49">IFERROR((R104+T104+V104+X104)/4, "NA")</f>
        <v>6790.66</v>
      </c>
      <c r="AC104" s="98">
        <f>IFERROR(AB104/AB148, "NA")</f>
        <v>0.2419218556</v>
      </c>
      <c r="AD104" s="75">
        <f t="shared" ref="AD104:AD105" si="50">IFERROR(X104-AB104, "NA")</f>
        <v>-5125.96</v>
      </c>
      <c r="AE104" s="76">
        <f>IFERROR(AD104/AD148, "NA")</f>
        <v>2.310174695</v>
      </c>
      <c r="AF104" s="75">
        <f t="shared" ref="AF104:AF105" si="51">IFERROR((X104-AB104)/AB104, "NA")</f>
        <v>-0.7548544619</v>
      </c>
      <c r="AG104" s="122">
        <f t="shared" ref="AG104:AG105" si="52">IFERROR((J104+L104+N104+P104+R104+T104+V104+X104)/8, "NA")</f>
        <v>4001.89625</v>
      </c>
      <c r="AH104" s="98">
        <f>IFERROR(AG104/AG148, "NA")</f>
        <v>0.1520754206</v>
      </c>
      <c r="AI104" s="75">
        <f t="shared" ref="AI104:AI105" si="53">IFERROR(X104-AG104, "NA")</f>
        <v>-2337.19625</v>
      </c>
      <c r="AJ104" s="76">
        <f>IFERROR(AI104/AI148, "NA")</f>
        <v>5.032424329</v>
      </c>
      <c r="AK104" s="75">
        <f t="shared" ref="AK104:AK105" si="54">IFERROR((X104-AG104)/AG104, "NA")</f>
        <v>-0.5840221995</v>
      </c>
      <c r="AL104" s="76">
        <f>IFERROR(AK104/AK148, "NA")</f>
        <v>33.09163511</v>
      </c>
    </row>
    <row r="105" ht="16.5" hidden="1" customHeight="1">
      <c r="A105" s="67" t="s">
        <v>220</v>
      </c>
      <c r="B105" s="70">
        <f>IFERROR(B104, "NA")</f>
        <v>924.25</v>
      </c>
      <c r="C105" s="71">
        <f>IFERROR(B105/B148, "NA")</f>
        <v>0.06576410166</v>
      </c>
      <c r="D105" s="70">
        <f>IFERROR(D104, "NA")</f>
        <v>0</v>
      </c>
      <c r="E105" s="71">
        <f>IFERROR(D105/D148, "NA")</f>
        <v>0</v>
      </c>
      <c r="F105" s="70">
        <f>IFERROR(F104, "NA")</f>
        <v>3982.93</v>
      </c>
      <c r="G105" s="71">
        <f>IFERROR(F105/F148, "NA")</f>
        <v>0.1642497514</v>
      </c>
      <c r="H105" s="70">
        <f>IFERROR(H104, "NA")</f>
        <v>20028.93</v>
      </c>
      <c r="I105" s="71">
        <f>IFERROR(H105/H148, "NA")</f>
        <v>0.8812474343</v>
      </c>
      <c r="J105" s="70">
        <f>IFERROR(J104, "NA")</f>
        <v>739.03</v>
      </c>
      <c r="K105" s="71">
        <f>IFERROR(J105/J148, "NA")</f>
        <v>0.03365752242</v>
      </c>
      <c r="L105" s="70">
        <f>IFERROR(L104, "NA")</f>
        <v>0</v>
      </c>
      <c r="M105" s="71">
        <f>IFERROR(L105/L148, "NA")</f>
        <v>0</v>
      </c>
      <c r="N105" s="70">
        <f>IFERROR(N104, "NA")</f>
        <v>4113.5</v>
      </c>
      <c r="O105" s="71">
        <f>IFERROR(N105/N148, "NA")</f>
        <v>0.1623801492</v>
      </c>
      <c r="P105" s="70">
        <f>IFERROR(P104, "NA")</f>
        <v>0</v>
      </c>
      <c r="Q105" s="71">
        <f>IFERROR(P105/P148, "NA")</f>
        <v>0</v>
      </c>
      <c r="R105" s="70">
        <f>IFERROR(R104, "NA")</f>
        <v>24662.58</v>
      </c>
      <c r="S105" s="71">
        <f>IFERROR(R105/R148, "NA")</f>
        <v>0.8228690971</v>
      </c>
      <c r="T105" s="70">
        <f>IFERROR(T104, "NA")</f>
        <v>835.36</v>
      </c>
      <c r="U105" s="71">
        <f>IFERROR(T105/T148, "NA")</f>
        <v>0.03200360431</v>
      </c>
      <c r="V105" s="70">
        <f>IFERROR(V104, "NA")</f>
        <v>0</v>
      </c>
      <c r="W105" s="71">
        <f>IFERROR(V105/V148, "NA")</f>
        <v>0</v>
      </c>
      <c r="X105" s="70">
        <f>IFERROR(X104, "NA")</f>
        <v>1664.7</v>
      </c>
      <c r="Y105" s="71">
        <f>IFERROR(X105/X148, "NA")</f>
        <v>0.06439650951</v>
      </c>
      <c r="Z105" s="70">
        <f>IFERROR(Z104, "NA")</f>
        <v>2500.06</v>
      </c>
      <c r="AA105" s="71">
        <f>IFERROR(Z105/Z148, "NA")</f>
        <v>0.03037477195</v>
      </c>
      <c r="AB105" s="70">
        <f t="shared" si="49"/>
        <v>6790.66</v>
      </c>
      <c r="AC105" s="71">
        <f>IFERROR(AB105/AB148, "NA")</f>
        <v>0.2419218556</v>
      </c>
      <c r="AD105" s="75">
        <f t="shared" si="50"/>
        <v>-5125.96</v>
      </c>
      <c r="AE105" s="76">
        <f>IFERROR(AD105/AD148, "NA")</f>
        <v>2.310174695</v>
      </c>
      <c r="AF105" s="75">
        <f t="shared" si="51"/>
        <v>-0.7548544619</v>
      </c>
      <c r="AG105" s="70">
        <f t="shared" si="52"/>
        <v>4001.89625</v>
      </c>
      <c r="AH105" s="71">
        <f>IFERROR(AG105/AG148, "NA")</f>
        <v>0.1520754206</v>
      </c>
      <c r="AI105" s="75">
        <f t="shared" si="53"/>
        <v>-2337.19625</v>
      </c>
      <c r="AJ105" s="76">
        <f>IFERROR(AI105/AI148, "NA")</f>
        <v>5.032424329</v>
      </c>
      <c r="AK105" s="75">
        <f t="shared" si="54"/>
        <v>-0.5840221995</v>
      </c>
      <c r="AL105" s="76">
        <f>IFERROR(AK105/AK148, "NA")</f>
        <v>33.09163511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2"/>
      <c r="AF106" s="125"/>
      <c r="AG106" s="124"/>
      <c r="AH106" s="74"/>
      <c r="AI106" s="125"/>
      <c r="AJ106" s="82"/>
      <c r="AK106" s="125"/>
      <c r="AL106" s="82"/>
    </row>
    <row r="107" ht="16.5" hidden="1" customHeight="1">
      <c r="A107" s="121" t="s">
        <v>221</v>
      </c>
      <c r="B107" s="122">
        <f>IFERROR(B87-B99-B105, "NA")</f>
        <v>317.65</v>
      </c>
      <c r="C107" s="98">
        <f>IFERROR(B107/B148, "NA")</f>
        <v>0.022602074</v>
      </c>
      <c r="D107" s="122">
        <f>IFERROR(D87-D99-D105, "NA")</f>
        <v>1783.61</v>
      </c>
      <c r="E107" s="98">
        <f>IFERROR(D107/D148, "NA")</f>
        <v>0.0954232309</v>
      </c>
      <c r="F107" s="122">
        <f>IFERROR(F87-F99-F105, "NA")</f>
        <v>731.16</v>
      </c>
      <c r="G107" s="98">
        <f>IFERROR(F107/F148, "NA")</f>
        <v>0.03015188524</v>
      </c>
      <c r="H107" s="122">
        <f>IFERROR(H87-H99-H105, "NA")</f>
        <v>-18657.07</v>
      </c>
      <c r="I107" s="98">
        <f>IFERROR(H107/H148, "NA")</f>
        <v>-0.8208873399</v>
      </c>
      <c r="J107" s="122">
        <f>IFERROR(J87-J99-J105, "NA")</f>
        <v>2005.14</v>
      </c>
      <c r="K107" s="98">
        <f>IFERROR(J107/J148, "NA")</f>
        <v>0.09131976309</v>
      </c>
      <c r="L107" s="122">
        <f>IFERROR(L87-L99-L105, "NA")</f>
        <v>5782.53</v>
      </c>
      <c r="M107" s="98">
        <f>IFERROR(L107/L148, "NA")</f>
        <v>0.2321948716</v>
      </c>
      <c r="N107" s="122">
        <f>IFERROR(N87-N99-N105, "NA")</f>
        <v>222.35</v>
      </c>
      <c r="O107" s="98">
        <f>IFERROR(N107/N148, "NA")</f>
        <v>0.008777252015</v>
      </c>
      <c r="P107" s="122">
        <f>IFERROR(P87-P99-P105, "NA")</f>
        <v>6026.8</v>
      </c>
      <c r="Q107" s="98">
        <f>IFERROR(P107/P148, "NA")</f>
        <v>0.2313601488</v>
      </c>
      <c r="R107" s="122">
        <f>IFERROR(R87-R99-R105, "NA")</f>
        <v>-17867.08</v>
      </c>
      <c r="S107" s="98">
        <f>IFERROR(R107/R148, "NA")</f>
        <v>-0.5961366567</v>
      </c>
      <c r="T107" s="122">
        <f>IFERROR(T87-T99-T105, "NA")</f>
        <v>4674.68</v>
      </c>
      <c r="U107" s="98">
        <f>IFERROR(T107/T148, "NA")</f>
        <v>0.1790923781</v>
      </c>
      <c r="V107" s="122">
        <f>IFERROR(V87-V99-V105, "NA")</f>
        <v>5830.64</v>
      </c>
      <c r="W107" s="98">
        <f>IFERROR(V107/V148, "NA")</f>
        <v>0.192086256</v>
      </c>
      <c r="X107" s="122">
        <f>IFERROR(X87-X99-X105, "NA")</f>
        <v>2589.56</v>
      </c>
      <c r="Y107" s="98">
        <f>IFERROR(X107/X148, "NA")</f>
        <v>0.1001733797</v>
      </c>
      <c r="Z107" s="122">
        <f>IFERROR(Z87-Z99-Z105, "NA")</f>
        <v>13094.88</v>
      </c>
      <c r="AA107" s="98">
        <f>IFERROR(Z107/Z148, "NA")</f>
        <v>0.1590977791</v>
      </c>
      <c r="AB107" s="122">
        <f>IFERROR((R107+T107+V107+X107)/4, "NA")</f>
        <v>-1193.05</v>
      </c>
      <c r="AC107" s="98">
        <f>IFERROR(AB107/AB148, "NA")</f>
        <v>-0.04250321321</v>
      </c>
      <c r="AD107" s="75">
        <f>IFERROR(X107-AB107, "NA")</f>
        <v>3782.61</v>
      </c>
      <c r="AE107" s="76">
        <f>IFERROR(AD107/AD148, "NA")</f>
        <v>-1.704751872</v>
      </c>
      <c r="AF107" s="75">
        <f>IFERROR((X107-AB107)/AB107, "NA")</f>
        <v>-3.170537697</v>
      </c>
      <c r="AG107" s="122">
        <f>IFERROR((J107+L107+N107+P107+R107+T107+V107+X107)/8, "NA")</f>
        <v>1158.0775</v>
      </c>
      <c r="AH107" s="98">
        <f>IFERROR(AG107/AG148, "NA")</f>
        <v>0.04400791824</v>
      </c>
      <c r="AI107" s="75">
        <f>IFERROR(X107-AG107, "NA")</f>
        <v>1431.4825</v>
      </c>
      <c r="AJ107" s="76">
        <f>IFERROR(AI107/AI148, "NA")</f>
        <v>-3.082251805</v>
      </c>
      <c r="AK107" s="75">
        <f>IFERROR((X107-AG107)/AG107, "NA")</f>
        <v>1.236085236</v>
      </c>
      <c r="AL107" s="76">
        <f>IFERROR(AK107/AK148, "NA")</f>
        <v>-70.03857324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2"/>
      <c r="AF108" s="125"/>
      <c r="AG108" s="124"/>
      <c r="AH108" s="74"/>
      <c r="AI108" s="125"/>
      <c r="AJ108" s="82"/>
      <c r="AK108" s="125"/>
      <c r="AL108" s="82"/>
    </row>
    <row r="109" ht="16.5" hidden="1" customHeight="1">
      <c r="A109" s="22" t="s">
        <v>222</v>
      </c>
      <c r="B109" s="23"/>
      <c r="C109" s="10"/>
      <c r="D109" s="23"/>
      <c r="E109" s="10"/>
      <c r="F109" s="23"/>
      <c r="G109" s="10"/>
      <c r="H109" s="23"/>
      <c r="I109" s="10"/>
      <c r="J109" s="23"/>
      <c r="K109" s="10"/>
      <c r="L109" s="23"/>
      <c r="M109" s="10"/>
      <c r="N109" s="23"/>
      <c r="O109" s="10"/>
      <c r="P109" s="23"/>
      <c r="Q109" s="10"/>
      <c r="R109" s="23"/>
      <c r="S109" s="10"/>
      <c r="T109" s="23"/>
      <c r="U109" s="10"/>
      <c r="V109" s="23"/>
      <c r="W109" s="10"/>
      <c r="X109" s="23"/>
      <c r="Y109" s="10"/>
      <c r="Z109" s="23"/>
      <c r="AA109" s="10"/>
      <c r="AB109" s="23"/>
      <c r="AC109" s="10"/>
      <c r="AD109" s="24"/>
      <c r="AE109" s="25"/>
      <c r="AF109" s="24"/>
      <c r="AG109" s="23"/>
      <c r="AH109" s="10"/>
      <c r="AI109" s="24"/>
      <c r="AJ109" s="25"/>
      <c r="AK109" s="24"/>
      <c r="AL109" s="25"/>
    </row>
    <row r="110" ht="16.5" hidden="1" customHeight="1">
      <c r="A110" s="26" t="s">
        <v>223</v>
      </c>
      <c r="B110" s="28">
        <v>0.0</v>
      </c>
      <c r="C110" s="15">
        <f>IFERROR(B110/B148, "NA")</f>
        <v>0</v>
      </c>
      <c r="D110" s="28">
        <v>0.0</v>
      </c>
      <c r="E110" s="15">
        <f>IFERROR(D110/D148, "NA")</f>
        <v>0</v>
      </c>
      <c r="F110" s="28">
        <v>0.0</v>
      </c>
      <c r="G110" s="15">
        <f>IFERROR(F110/F148, "NA")</f>
        <v>0</v>
      </c>
      <c r="H110" s="28">
        <v>0.0</v>
      </c>
      <c r="I110" s="15">
        <f>IFERROR(H110/H148, "NA")</f>
        <v>0</v>
      </c>
      <c r="J110" s="28">
        <v>0.0</v>
      </c>
      <c r="K110" s="15">
        <f>IFERROR(J110/J148, "NA")</f>
        <v>0</v>
      </c>
      <c r="L110" s="28">
        <v>0.0</v>
      </c>
      <c r="M110" s="15">
        <f>IFERROR(L110/L148, "NA")</f>
        <v>0</v>
      </c>
      <c r="N110" s="28">
        <v>0.0</v>
      </c>
      <c r="O110" s="15">
        <f>IFERROR(N110/N148, "NA")</f>
        <v>0</v>
      </c>
      <c r="P110" s="28">
        <v>0.0</v>
      </c>
      <c r="Q110" s="15">
        <f>IFERROR(P110/P148, "NA")</f>
        <v>0</v>
      </c>
      <c r="R110" s="28">
        <v>0.0</v>
      </c>
      <c r="S110" s="15">
        <f>IFERROR(R110/R148, "NA")</f>
        <v>0</v>
      </c>
      <c r="T110" s="28">
        <v>0.0</v>
      </c>
      <c r="U110" s="15">
        <f>IFERROR(T110/T148, "NA")</f>
        <v>0</v>
      </c>
      <c r="V110" s="28">
        <v>0.0</v>
      </c>
      <c r="W110" s="15">
        <f>IFERROR(V110/V148, "NA")</f>
        <v>0</v>
      </c>
      <c r="X110" s="28">
        <v>0.0</v>
      </c>
      <c r="Y110" s="15">
        <f>IFERROR(X110/X148, "NA")</f>
        <v>0</v>
      </c>
      <c r="Z110" s="28">
        <v>0.0</v>
      </c>
      <c r="AA110" s="15">
        <f>IFERROR(Z110/Z148, "NA")</f>
        <v>0</v>
      </c>
      <c r="AB110" s="57">
        <f t="shared" ref="AB110:AB135" si="55">IFERROR((R110+T110+V110+X110)/4, "NA")</f>
        <v>0</v>
      </c>
      <c r="AC110" s="15">
        <f>IFERROR(AB110/AB148, "NA")</f>
        <v>0</v>
      </c>
      <c r="AD110" s="61">
        <f t="shared" ref="AD110:AD135" si="56">IFERROR(X110-AB110, "NA")</f>
        <v>0</v>
      </c>
      <c r="AE110" s="62">
        <f>IFERROR(AD110/AD148, "NA")</f>
        <v>0</v>
      </c>
      <c r="AF110" s="61" t="str">
        <f t="shared" ref="AF110:AF135" si="57">IFERROR((X110-AB110)/AB110, "NA")</f>
        <v>NA</v>
      </c>
      <c r="AG110" s="57">
        <f t="shared" ref="AG110:AG135" si="58">IFERROR((J110+L110+N110+P110+R110+T110+V110+X110)/8, "NA")</f>
        <v>0</v>
      </c>
      <c r="AH110" s="15">
        <f>IFERROR(AG110/AG148, "NA")</f>
        <v>0</v>
      </c>
      <c r="AI110" s="61">
        <f t="shared" ref="AI110:AI135" si="59">IFERROR(X110-AG110, "NA")</f>
        <v>0</v>
      </c>
      <c r="AJ110" s="62">
        <f>IFERROR(AI110/AI148, "NA")</f>
        <v>0</v>
      </c>
      <c r="AK110" s="61" t="str">
        <f t="shared" ref="AK110:AK135" si="60">IFERROR((X110-AG110)/AG110, "NA")</f>
        <v>NA</v>
      </c>
      <c r="AL110" s="62" t="str">
        <f>IFERROR(AK110/AK148, "NA")</f>
        <v>NA</v>
      </c>
    </row>
    <row r="111" ht="16.5" hidden="1" customHeight="1">
      <c r="A111" s="26" t="s">
        <v>224</v>
      </c>
      <c r="B111" s="28">
        <v>0.0</v>
      </c>
      <c r="C111" s="15">
        <f>IFERROR(B111/B148, "NA")</f>
        <v>0</v>
      </c>
      <c r="D111" s="28">
        <v>0.0</v>
      </c>
      <c r="E111" s="15">
        <f>IFERROR(D111/D148, "NA")</f>
        <v>0</v>
      </c>
      <c r="F111" s="28">
        <v>0.0</v>
      </c>
      <c r="G111" s="15">
        <f>IFERROR(F111/F148, "NA")</f>
        <v>0</v>
      </c>
      <c r="H111" s="28">
        <v>0.0</v>
      </c>
      <c r="I111" s="15">
        <f>IFERROR(H111/H148, "NA")</f>
        <v>0</v>
      </c>
      <c r="J111" s="28">
        <v>0.0</v>
      </c>
      <c r="K111" s="15">
        <f>IFERROR(J111/J148, "NA")</f>
        <v>0</v>
      </c>
      <c r="L111" s="28">
        <v>0.0</v>
      </c>
      <c r="M111" s="15">
        <f>IFERROR(L111/L148, "NA")</f>
        <v>0</v>
      </c>
      <c r="N111" s="28">
        <v>0.0</v>
      </c>
      <c r="O111" s="15">
        <f>IFERROR(N111/N148, "NA")</f>
        <v>0</v>
      </c>
      <c r="P111" s="28">
        <v>0.0</v>
      </c>
      <c r="Q111" s="15">
        <f>IFERROR(P111/P148, "NA")</f>
        <v>0</v>
      </c>
      <c r="R111" s="28">
        <v>0.0</v>
      </c>
      <c r="S111" s="15">
        <f>IFERROR(R111/R148, "NA")</f>
        <v>0</v>
      </c>
      <c r="T111" s="28">
        <v>0.0</v>
      </c>
      <c r="U111" s="15">
        <f>IFERROR(T111/T148, "NA")</f>
        <v>0</v>
      </c>
      <c r="V111" s="28">
        <v>0.0</v>
      </c>
      <c r="W111" s="15">
        <f>IFERROR(V111/V148, "NA")</f>
        <v>0</v>
      </c>
      <c r="X111" s="28">
        <v>0.0</v>
      </c>
      <c r="Y111" s="15">
        <f>IFERROR(X111/X148, "NA")</f>
        <v>0</v>
      </c>
      <c r="Z111" s="28">
        <v>0.0</v>
      </c>
      <c r="AA111" s="15">
        <f>IFERROR(Z111/Z148, "NA")</f>
        <v>0</v>
      </c>
      <c r="AB111" s="57">
        <f t="shared" si="55"/>
        <v>0</v>
      </c>
      <c r="AC111" s="15">
        <f>IFERROR(AB111/AB148, "NA")</f>
        <v>0</v>
      </c>
      <c r="AD111" s="61">
        <f t="shared" si="56"/>
        <v>0</v>
      </c>
      <c r="AE111" s="62">
        <f>IFERROR(AD111/AD148, "NA")</f>
        <v>0</v>
      </c>
      <c r="AF111" s="61" t="str">
        <f t="shared" si="57"/>
        <v>NA</v>
      </c>
      <c r="AG111" s="57">
        <f t="shared" si="58"/>
        <v>0</v>
      </c>
      <c r="AH111" s="15">
        <f>IFERROR(AG111/AG148, "NA")</f>
        <v>0</v>
      </c>
      <c r="AI111" s="61">
        <f t="shared" si="59"/>
        <v>0</v>
      </c>
      <c r="AJ111" s="62">
        <f>IFERROR(AI111/AI148, "NA")</f>
        <v>0</v>
      </c>
      <c r="AK111" s="61" t="str">
        <f t="shared" si="60"/>
        <v>NA</v>
      </c>
      <c r="AL111" s="62" t="str">
        <f>IFERROR(AK111/AK148, "NA")</f>
        <v>NA</v>
      </c>
    </row>
    <row r="112" ht="16.5" hidden="1" customHeight="1">
      <c r="A112" s="26" t="s">
        <v>225</v>
      </c>
      <c r="B112" s="28">
        <v>0.0</v>
      </c>
      <c r="C112" s="15">
        <f>IFERROR(B112/B148, "NA")</f>
        <v>0</v>
      </c>
      <c r="D112" s="28">
        <v>0.0</v>
      </c>
      <c r="E112" s="15">
        <f>IFERROR(D112/D148, "NA")</f>
        <v>0</v>
      </c>
      <c r="F112" s="28">
        <v>0.0</v>
      </c>
      <c r="G112" s="15">
        <f>IFERROR(F112/F148, "NA")</f>
        <v>0</v>
      </c>
      <c r="H112" s="28">
        <v>0.0</v>
      </c>
      <c r="I112" s="15">
        <f>IFERROR(H112/H148, "NA")</f>
        <v>0</v>
      </c>
      <c r="J112" s="28">
        <v>0.0</v>
      </c>
      <c r="K112" s="15">
        <f>IFERROR(J112/J148, "NA")</f>
        <v>0</v>
      </c>
      <c r="L112" s="28">
        <v>0.0</v>
      </c>
      <c r="M112" s="15">
        <f>IFERROR(L112/L148, "NA")</f>
        <v>0</v>
      </c>
      <c r="N112" s="28">
        <v>0.0</v>
      </c>
      <c r="O112" s="15">
        <f>IFERROR(N112/N148, "NA")</f>
        <v>0</v>
      </c>
      <c r="P112" s="28">
        <v>0.0</v>
      </c>
      <c r="Q112" s="15">
        <f>IFERROR(P112/P148, "NA")</f>
        <v>0</v>
      </c>
      <c r="R112" s="28">
        <v>0.0</v>
      </c>
      <c r="S112" s="15">
        <f>IFERROR(R112/R148, "NA")</f>
        <v>0</v>
      </c>
      <c r="T112" s="28">
        <v>0.0</v>
      </c>
      <c r="U112" s="15">
        <f>IFERROR(T112/T148, "NA")</f>
        <v>0</v>
      </c>
      <c r="V112" s="28">
        <v>0.0</v>
      </c>
      <c r="W112" s="15">
        <f>IFERROR(V112/V148, "NA")</f>
        <v>0</v>
      </c>
      <c r="X112" s="28">
        <v>0.0</v>
      </c>
      <c r="Y112" s="15">
        <f>IFERROR(X112/X148, "NA")</f>
        <v>0</v>
      </c>
      <c r="Z112" s="28">
        <v>0.0</v>
      </c>
      <c r="AA112" s="15">
        <f>IFERROR(Z112/Z148, "NA")</f>
        <v>0</v>
      </c>
      <c r="AB112" s="57">
        <f t="shared" si="55"/>
        <v>0</v>
      </c>
      <c r="AC112" s="15">
        <f>IFERROR(AB112/AB148, "NA")</f>
        <v>0</v>
      </c>
      <c r="AD112" s="61">
        <f t="shared" si="56"/>
        <v>0</v>
      </c>
      <c r="AE112" s="62">
        <f>IFERROR(AD112/AD148, "NA")</f>
        <v>0</v>
      </c>
      <c r="AF112" s="61" t="str">
        <f t="shared" si="57"/>
        <v>NA</v>
      </c>
      <c r="AG112" s="57">
        <f t="shared" si="58"/>
        <v>0</v>
      </c>
      <c r="AH112" s="15">
        <f>IFERROR(AG112/AG148, "NA")</f>
        <v>0</v>
      </c>
      <c r="AI112" s="61">
        <f t="shared" si="59"/>
        <v>0</v>
      </c>
      <c r="AJ112" s="62">
        <f>IFERROR(AI112/AI148, "NA")</f>
        <v>0</v>
      </c>
      <c r="AK112" s="61" t="str">
        <f t="shared" si="60"/>
        <v>NA</v>
      </c>
      <c r="AL112" s="62" t="str">
        <f>IFERROR(AK112/AK148, "NA")</f>
        <v>NA</v>
      </c>
    </row>
    <row r="113" ht="16.5" hidden="1" customHeight="1">
      <c r="A113" s="26" t="s">
        <v>226</v>
      </c>
      <c r="B113" s="28">
        <v>0.0</v>
      </c>
      <c r="C113" s="15">
        <f>IFERROR(B113/B148, "NA")</f>
        <v>0</v>
      </c>
      <c r="D113" s="28">
        <v>0.0</v>
      </c>
      <c r="E113" s="15">
        <f>IFERROR(D113/D148, "NA")</f>
        <v>0</v>
      </c>
      <c r="F113" s="28">
        <v>0.0</v>
      </c>
      <c r="G113" s="15">
        <f>IFERROR(F113/F148, "NA")</f>
        <v>0</v>
      </c>
      <c r="H113" s="28">
        <v>0.0</v>
      </c>
      <c r="I113" s="15">
        <f>IFERROR(H113/H148, "NA")</f>
        <v>0</v>
      </c>
      <c r="J113" s="28">
        <v>0.0</v>
      </c>
      <c r="K113" s="15">
        <f>IFERROR(J113/J148, "NA")</f>
        <v>0</v>
      </c>
      <c r="L113" s="28">
        <v>0.0</v>
      </c>
      <c r="M113" s="15">
        <f>IFERROR(L113/L148, "NA")</f>
        <v>0</v>
      </c>
      <c r="N113" s="28">
        <v>0.0</v>
      </c>
      <c r="O113" s="15">
        <f>IFERROR(N113/N148, "NA")</f>
        <v>0</v>
      </c>
      <c r="P113" s="28">
        <v>0.0</v>
      </c>
      <c r="Q113" s="15">
        <f>IFERROR(P113/P148, "NA")</f>
        <v>0</v>
      </c>
      <c r="R113" s="28">
        <v>0.0</v>
      </c>
      <c r="S113" s="15">
        <f>IFERROR(R113/R148, "NA")</f>
        <v>0</v>
      </c>
      <c r="T113" s="28">
        <v>0.0</v>
      </c>
      <c r="U113" s="15">
        <f>IFERROR(T113/T148, "NA")</f>
        <v>0</v>
      </c>
      <c r="V113" s="28">
        <v>0.0</v>
      </c>
      <c r="W113" s="15">
        <f>IFERROR(V113/V148, "NA")</f>
        <v>0</v>
      </c>
      <c r="X113" s="28">
        <v>0.0</v>
      </c>
      <c r="Y113" s="15">
        <f>IFERROR(X113/X148, "NA")</f>
        <v>0</v>
      </c>
      <c r="Z113" s="28">
        <v>0.0</v>
      </c>
      <c r="AA113" s="15">
        <f>IFERROR(Z113/Z148, "NA")</f>
        <v>0</v>
      </c>
      <c r="AB113" s="57">
        <f t="shared" si="55"/>
        <v>0</v>
      </c>
      <c r="AC113" s="15">
        <f>IFERROR(AB113/AB148, "NA")</f>
        <v>0</v>
      </c>
      <c r="AD113" s="61">
        <f t="shared" si="56"/>
        <v>0</v>
      </c>
      <c r="AE113" s="62">
        <f>IFERROR(AD113/AD148, "NA")</f>
        <v>0</v>
      </c>
      <c r="AF113" s="61" t="str">
        <f t="shared" si="57"/>
        <v>NA</v>
      </c>
      <c r="AG113" s="57">
        <f t="shared" si="58"/>
        <v>0</v>
      </c>
      <c r="AH113" s="15">
        <f>IFERROR(AG113/AG148, "NA")</f>
        <v>0</v>
      </c>
      <c r="AI113" s="61">
        <f t="shared" si="59"/>
        <v>0</v>
      </c>
      <c r="AJ113" s="62">
        <f>IFERROR(AI113/AI148, "NA")</f>
        <v>0</v>
      </c>
      <c r="AK113" s="61" t="str">
        <f t="shared" si="60"/>
        <v>NA</v>
      </c>
      <c r="AL113" s="62" t="str">
        <f>IFERROR(AK113/AK148, "NA")</f>
        <v>NA</v>
      </c>
    </row>
    <row r="114" ht="16.5" hidden="1" customHeight="1">
      <c r="A114" s="26" t="s">
        <v>227</v>
      </c>
      <c r="B114" s="28">
        <v>0.0</v>
      </c>
      <c r="C114" s="15">
        <f>IFERROR(B114/B148, "NA")</f>
        <v>0</v>
      </c>
      <c r="D114" s="28">
        <v>0.0</v>
      </c>
      <c r="E114" s="15">
        <f>IFERROR(D114/D148, "NA")</f>
        <v>0</v>
      </c>
      <c r="F114" s="28">
        <v>0.0</v>
      </c>
      <c r="G114" s="15">
        <f>IFERROR(F114/F148, "NA")</f>
        <v>0</v>
      </c>
      <c r="H114" s="28">
        <v>0.0</v>
      </c>
      <c r="I114" s="15">
        <f>IFERROR(H114/H148, "NA")</f>
        <v>0</v>
      </c>
      <c r="J114" s="28">
        <v>0.0</v>
      </c>
      <c r="K114" s="15">
        <f>IFERROR(J114/J148, "NA")</f>
        <v>0</v>
      </c>
      <c r="L114" s="28">
        <v>0.0</v>
      </c>
      <c r="M114" s="15">
        <f>IFERROR(L114/L148, "NA")</f>
        <v>0</v>
      </c>
      <c r="N114" s="28">
        <v>0.0</v>
      </c>
      <c r="O114" s="15">
        <f>IFERROR(N114/N148, "NA")</f>
        <v>0</v>
      </c>
      <c r="P114" s="28">
        <v>0.0</v>
      </c>
      <c r="Q114" s="15">
        <f>IFERROR(P114/P148, "NA")</f>
        <v>0</v>
      </c>
      <c r="R114" s="28">
        <v>0.0</v>
      </c>
      <c r="S114" s="15">
        <f>IFERROR(R114/R148, "NA")</f>
        <v>0</v>
      </c>
      <c r="T114" s="28">
        <v>0.0</v>
      </c>
      <c r="U114" s="15">
        <f>IFERROR(T114/T148, "NA")</f>
        <v>0</v>
      </c>
      <c r="V114" s="28">
        <v>0.0</v>
      </c>
      <c r="W114" s="15">
        <f>IFERROR(V114/V148, "NA")</f>
        <v>0</v>
      </c>
      <c r="X114" s="28">
        <v>0.0</v>
      </c>
      <c r="Y114" s="15">
        <f>IFERROR(X114/X148, "NA")</f>
        <v>0</v>
      </c>
      <c r="Z114" s="28">
        <v>0.0</v>
      </c>
      <c r="AA114" s="15">
        <f>IFERROR(Z114/Z148, "NA")</f>
        <v>0</v>
      </c>
      <c r="AB114" s="57">
        <f t="shared" si="55"/>
        <v>0</v>
      </c>
      <c r="AC114" s="15">
        <f>IFERROR(AB114/AB148, "NA")</f>
        <v>0</v>
      </c>
      <c r="AD114" s="61">
        <f t="shared" si="56"/>
        <v>0</v>
      </c>
      <c r="AE114" s="62">
        <f>IFERROR(AD114/AD148, "NA")</f>
        <v>0</v>
      </c>
      <c r="AF114" s="61" t="str">
        <f t="shared" si="57"/>
        <v>NA</v>
      </c>
      <c r="AG114" s="57">
        <f t="shared" si="58"/>
        <v>0</v>
      </c>
      <c r="AH114" s="15">
        <f>IFERROR(AG114/AG148, "NA")</f>
        <v>0</v>
      </c>
      <c r="AI114" s="61">
        <f t="shared" si="59"/>
        <v>0</v>
      </c>
      <c r="AJ114" s="62">
        <f>IFERROR(AI114/AI148, "NA")</f>
        <v>0</v>
      </c>
      <c r="AK114" s="61" t="str">
        <f t="shared" si="60"/>
        <v>NA</v>
      </c>
      <c r="AL114" s="62" t="str">
        <f>IFERROR(AK114/AK148, "NA")</f>
        <v>NA</v>
      </c>
    </row>
    <row r="115" ht="16.5" hidden="1" customHeight="1">
      <c r="A115" s="26" t="s">
        <v>228</v>
      </c>
      <c r="B115" s="28">
        <v>0.0</v>
      </c>
      <c r="C115" s="15">
        <f>IFERROR(B115/B148, "NA")</f>
        <v>0</v>
      </c>
      <c r="D115" s="28">
        <v>0.0</v>
      </c>
      <c r="E115" s="15">
        <f>IFERROR(D115/D148, "NA")</f>
        <v>0</v>
      </c>
      <c r="F115" s="28">
        <v>0.0</v>
      </c>
      <c r="G115" s="15">
        <f>IFERROR(F115/F148, "NA")</f>
        <v>0</v>
      </c>
      <c r="H115" s="28">
        <v>0.0</v>
      </c>
      <c r="I115" s="15">
        <f>IFERROR(H115/H148, "NA")</f>
        <v>0</v>
      </c>
      <c r="J115" s="28">
        <v>0.0</v>
      </c>
      <c r="K115" s="15">
        <f>IFERROR(J115/J148, "NA")</f>
        <v>0</v>
      </c>
      <c r="L115" s="28">
        <v>0.0</v>
      </c>
      <c r="M115" s="15">
        <f>IFERROR(L115/L148, "NA")</f>
        <v>0</v>
      </c>
      <c r="N115" s="28">
        <v>0.0</v>
      </c>
      <c r="O115" s="15">
        <f>IFERROR(N115/N148, "NA")</f>
        <v>0</v>
      </c>
      <c r="P115" s="28">
        <v>0.0</v>
      </c>
      <c r="Q115" s="15">
        <f>IFERROR(P115/P148, "NA")</f>
        <v>0</v>
      </c>
      <c r="R115" s="28">
        <v>0.0</v>
      </c>
      <c r="S115" s="15">
        <f>IFERROR(R115/R148, "NA")</f>
        <v>0</v>
      </c>
      <c r="T115" s="28">
        <v>0.0</v>
      </c>
      <c r="U115" s="15">
        <f>IFERROR(T115/T148, "NA")</f>
        <v>0</v>
      </c>
      <c r="V115" s="28">
        <v>0.0</v>
      </c>
      <c r="W115" s="15">
        <f>IFERROR(V115/V148, "NA")</f>
        <v>0</v>
      </c>
      <c r="X115" s="28">
        <v>0.0</v>
      </c>
      <c r="Y115" s="15">
        <f>IFERROR(X115/X148, "NA")</f>
        <v>0</v>
      </c>
      <c r="Z115" s="28">
        <v>0.0</v>
      </c>
      <c r="AA115" s="15">
        <f>IFERROR(Z115/Z148, "NA")</f>
        <v>0</v>
      </c>
      <c r="AB115" s="57">
        <f t="shared" si="55"/>
        <v>0</v>
      </c>
      <c r="AC115" s="15">
        <f>IFERROR(AB115/AB148, "NA")</f>
        <v>0</v>
      </c>
      <c r="AD115" s="61">
        <f t="shared" si="56"/>
        <v>0</v>
      </c>
      <c r="AE115" s="62">
        <f>IFERROR(AD115/AD148, "NA")</f>
        <v>0</v>
      </c>
      <c r="AF115" s="61" t="str">
        <f t="shared" si="57"/>
        <v>NA</v>
      </c>
      <c r="AG115" s="57">
        <f t="shared" si="58"/>
        <v>0</v>
      </c>
      <c r="AH115" s="15">
        <f>IFERROR(AG115/AG148, "NA")</f>
        <v>0</v>
      </c>
      <c r="AI115" s="61">
        <f t="shared" si="59"/>
        <v>0</v>
      </c>
      <c r="AJ115" s="62">
        <f>IFERROR(AI115/AI148, "NA")</f>
        <v>0</v>
      </c>
      <c r="AK115" s="61" t="str">
        <f t="shared" si="60"/>
        <v>NA</v>
      </c>
      <c r="AL115" s="62" t="str">
        <f>IFERROR(AK115/AK148, "NA")</f>
        <v>NA</v>
      </c>
    </row>
    <row r="116" ht="16.5" hidden="1" customHeight="1">
      <c r="A116" s="26" t="s">
        <v>229</v>
      </c>
      <c r="B116" s="28">
        <v>0.0</v>
      </c>
      <c r="C116" s="15">
        <f>IFERROR(B116/B148, "NA")</f>
        <v>0</v>
      </c>
      <c r="D116" s="28">
        <v>0.0</v>
      </c>
      <c r="E116" s="15">
        <f>IFERROR(D116/D148, "NA")</f>
        <v>0</v>
      </c>
      <c r="F116" s="28">
        <v>0.0</v>
      </c>
      <c r="G116" s="15">
        <f>IFERROR(F116/F148, "NA")</f>
        <v>0</v>
      </c>
      <c r="H116" s="28">
        <v>0.0</v>
      </c>
      <c r="I116" s="15">
        <f>IFERROR(H116/H148, "NA")</f>
        <v>0</v>
      </c>
      <c r="J116" s="28">
        <v>0.0</v>
      </c>
      <c r="K116" s="15">
        <f>IFERROR(J116/J148, "NA")</f>
        <v>0</v>
      </c>
      <c r="L116" s="28">
        <v>0.0</v>
      </c>
      <c r="M116" s="15">
        <f>IFERROR(L116/L148, "NA")</f>
        <v>0</v>
      </c>
      <c r="N116" s="28">
        <v>0.0</v>
      </c>
      <c r="O116" s="15">
        <f>IFERROR(N116/N148, "NA")</f>
        <v>0</v>
      </c>
      <c r="P116" s="28">
        <v>0.0</v>
      </c>
      <c r="Q116" s="15">
        <f>IFERROR(P116/P148, "NA")</f>
        <v>0</v>
      </c>
      <c r="R116" s="28">
        <v>0.0</v>
      </c>
      <c r="S116" s="15">
        <f>IFERROR(R116/R148, "NA")</f>
        <v>0</v>
      </c>
      <c r="T116" s="28">
        <v>0.0</v>
      </c>
      <c r="U116" s="15">
        <f>IFERROR(T116/T148, "NA")</f>
        <v>0</v>
      </c>
      <c r="V116" s="28">
        <v>0.0</v>
      </c>
      <c r="W116" s="15">
        <f>IFERROR(V116/V148, "NA")</f>
        <v>0</v>
      </c>
      <c r="X116" s="28">
        <v>0.0</v>
      </c>
      <c r="Y116" s="15">
        <f>IFERROR(X116/X148, "NA")</f>
        <v>0</v>
      </c>
      <c r="Z116" s="28">
        <v>0.0</v>
      </c>
      <c r="AA116" s="15">
        <f>IFERROR(Z116/Z148, "NA")</f>
        <v>0</v>
      </c>
      <c r="AB116" s="57">
        <f t="shared" si="55"/>
        <v>0</v>
      </c>
      <c r="AC116" s="15">
        <f>IFERROR(AB116/AB148, "NA")</f>
        <v>0</v>
      </c>
      <c r="AD116" s="61">
        <f t="shared" si="56"/>
        <v>0</v>
      </c>
      <c r="AE116" s="62">
        <f>IFERROR(AD116/AD148, "NA")</f>
        <v>0</v>
      </c>
      <c r="AF116" s="61" t="str">
        <f t="shared" si="57"/>
        <v>NA</v>
      </c>
      <c r="AG116" s="57">
        <f t="shared" si="58"/>
        <v>0</v>
      </c>
      <c r="AH116" s="15">
        <f>IFERROR(AG116/AG148, "NA")</f>
        <v>0</v>
      </c>
      <c r="AI116" s="61">
        <f t="shared" si="59"/>
        <v>0</v>
      </c>
      <c r="AJ116" s="62">
        <f>IFERROR(AI116/AI148, "NA")</f>
        <v>0</v>
      </c>
      <c r="AK116" s="61" t="str">
        <f t="shared" si="60"/>
        <v>NA</v>
      </c>
      <c r="AL116" s="62" t="str">
        <f>IFERROR(AK116/AK148, "NA")</f>
        <v>NA</v>
      </c>
    </row>
    <row r="117" ht="16.5" hidden="1" customHeight="1">
      <c r="A117" s="26" t="s">
        <v>230</v>
      </c>
      <c r="B117" s="28">
        <v>0.0</v>
      </c>
      <c r="C117" s="15">
        <f>IFERROR(B117/B148, "NA")</f>
        <v>0</v>
      </c>
      <c r="D117" s="28">
        <v>0.0</v>
      </c>
      <c r="E117" s="15">
        <f>IFERROR(D117/D148, "NA")</f>
        <v>0</v>
      </c>
      <c r="F117" s="28">
        <v>0.0</v>
      </c>
      <c r="G117" s="15">
        <f>IFERROR(F117/F148, "NA")</f>
        <v>0</v>
      </c>
      <c r="H117" s="28">
        <v>0.0</v>
      </c>
      <c r="I117" s="15">
        <f>IFERROR(H117/H148, "NA")</f>
        <v>0</v>
      </c>
      <c r="J117" s="28">
        <v>0.0</v>
      </c>
      <c r="K117" s="15">
        <f>IFERROR(J117/J148, "NA")</f>
        <v>0</v>
      </c>
      <c r="L117" s="28">
        <v>0.0</v>
      </c>
      <c r="M117" s="15">
        <f>IFERROR(L117/L148, "NA")</f>
        <v>0</v>
      </c>
      <c r="N117" s="28">
        <v>0.0</v>
      </c>
      <c r="O117" s="15">
        <f>IFERROR(N117/N148, "NA")</f>
        <v>0</v>
      </c>
      <c r="P117" s="28">
        <v>0.0</v>
      </c>
      <c r="Q117" s="15">
        <f>IFERROR(P117/P148, "NA")</f>
        <v>0</v>
      </c>
      <c r="R117" s="28">
        <v>0.0</v>
      </c>
      <c r="S117" s="15">
        <f>IFERROR(R117/R148, "NA")</f>
        <v>0</v>
      </c>
      <c r="T117" s="28">
        <v>0.0</v>
      </c>
      <c r="U117" s="15">
        <f>IFERROR(T117/T148, "NA")</f>
        <v>0</v>
      </c>
      <c r="V117" s="28">
        <v>0.0</v>
      </c>
      <c r="W117" s="15">
        <f>IFERROR(V117/V148, "NA")</f>
        <v>0</v>
      </c>
      <c r="X117" s="28">
        <v>0.0</v>
      </c>
      <c r="Y117" s="15">
        <f>IFERROR(X117/X148, "NA")</f>
        <v>0</v>
      </c>
      <c r="Z117" s="28">
        <v>0.0</v>
      </c>
      <c r="AA117" s="15">
        <f>IFERROR(Z117/Z148, "NA")</f>
        <v>0</v>
      </c>
      <c r="AB117" s="57">
        <f t="shared" si="55"/>
        <v>0</v>
      </c>
      <c r="AC117" s="15">
        <f>IFERROR(AB117/AB148, "NA")</f>
        <v>0</v>
      </c>
      <c r="AD117" s="61">
        <f t="shared" si="56"/>
        <v>0</v>
      </c>
      <c r="AE117" s="62">
        <f>IFERROR(AD117/AD148, "NA")</f>
        <v>0</v>
      </c>
      <c r="AF117" s="61" t="str">
        <f t="shared" si="57"/>
        <v>NA</v>
      </c>
      <c r="AG117" s="57">
        <f t="shared" si="58"/>
        <v>0</v>
      </c>
      <c r="AH117" s="15">
        <f>IFERROR(AG117/AG148, "NA")</f>
        <v>0</v>
      </c>
      <c r="AI117" s="61">
        <f t="shared" si="59"/>
        <v>0</v>
      </c>
      <c r="AJ117" s="62">
        <f>IFERROR(AI117/AI148, "NA")</f>
        <v>0</v>
      </c>
      <c r="AK117" s="61" t="str">
        <f t="shared" si="60"/>
        <v>NA</v>
      </c>
      <c r="AL117" s="62" t="str">
        <f>IFERROR(AK117/AK148, "NA")</f>
        <v>NA</v>
      </c>
    </row>
    <row r="118" ht="16.5" hidden="1" customHeight="1">
      <c r="A118" s="26" t="s">
        <v>231</v>
      </c>
      <c r="B118" s="28">
        <v>0.0</v>
      </c>
      <c r="C118" s="15">
        <f>IFERROR(B118/B148, "NA")</f>
        <v>0</v>
      </c>
      <c r="D118" s="28">
        <v>0.0</v>
      </c>
      <c r="E118" s="15">
        <f>IFERROR(D118/D148, "NA")</f>
        <v>0</v>
      </c>
      <c r="F118" s="28">
        <v>0.0</v>
      </c>
      <c r="G118" s="15">
        <f>IFERROR(F118/F148, "NA")</f>
        <v>0</v>
      </c>
      <c r="H118" s="28">
        <v>0.0</v>
      </c>
      <c r="I118" s="15">
        <f>IFERROR(H118/H148, "NA")</f>
        <v>0</v>
      </c>
      <c r="J118" s="28">
        <v>0.0</v>
      </c>
      <c r="K118" s="15">
        <f>IFERROR(J118/J148, "NA")</f>
        <v>0</v>
      </c>
      <c r="L118" s="28">
        <v>0.0</v>
      </c>
      <c r="M118" s="15">
        <f>IFERROR(L118/L148, "NA")</f>
        <v>0</v>
      </c>
      <c r="N118" s="28">
        <v>0.0</v>
      </c>
      <c r="O118" s="15">
        <f>IFERROR(N118/N148, "NA")</f>
        <v>0</v>
      </c>
      <c r="P118" s="28">
        <v>0.0</v>
      </c>
      <c r="Q118" s="15">
        <f>IFERROR(P118/P148, "NA")</f>
        <v>0</v>
      </c>
      <c r="R118" s="28">
        <v>0.0</v>
      </c>
      <c r="S118" s="15">
        <f>IFERROR(R118/R148, "NA")</f>
        <v>0</v>
      </c>
      <c r="T118" s="28">
        <v>0.0</v>
      </c>
      <c r="U118" s="15">
        <f>IFERROR(T118/T148, "NA")</f>
        <v>0</v>
      </c>
      <c r="V118" s="28">
        <v>0.0</v>
      </c>
      <c r="W118" s="15">
        <f>IFERROR(V118/V148, "NA")</f>
        <v>0</v>
      </c>
      <c r="X118" s="28">
        <v>0.0</v>
      </c>
      <c r="Y118" s="15">
        <f>IFERROR(X118/X148, "NA")</f>
        <v>0</v>
      </c>
      <c r="Z118" s="28">
        <v>0.0</v>
      </c>
      <c r="AA118" s="15">
        <f>IFERROR(Z118/Z148, "NA")</f>
        <v>0</v>
      </c>
      <c r="AB118" s="57">
        <f t="shared" si="55"/>
        <v>0</v>
      </c>
      <c r="AC118" s="15">
        <f>IFERROR(AB118/AB148, "NA")</f>
        <v>0</v>
      </c>
      <c r="AD118" s="61">
        <f t="shared" si="56"/>
        <v>0</v>
      </c>
      <c r="AE118" s="62">
        <f>IFERROR(AD118/AD148, "NA")</f>
        <v>0</v>
      </c>
      <c r="AF118" s="61" t="str">
        <f t="shared" si="57"/>
        <v>NA</v>
      </c>
      <c r="AG118" s="57">
        <f t="shared" si="58"/>
        <v>0</v>
      </c>
      <c r="AH118" s="15">
        <f>IFERROR(AG118/AG148, "NA")</f>
        <v>0</v>
      </c>
      <c r="AI118" s="61">
        <f t="shared" si="59"/>
        <v>0</v>
      </c>
      <c r="AJ118" s="62">
        <f>IFERROR(AI118/AI148, "NA")</f>
        <v>0</v>
      </c>
      <c r="AK118" s="61" t="str">
        <f t="shared" si="60"/>
        <v>NA</v>
      </c>
      <c r="AL118" s="62" t="str">
        <f>IFERROR(AK118/AK148, "NA")</f>
        <v>NA</v>
      </c>
    </row>
    <row r="119" ht="16.5" hidden="1" customHeight="1">
      <c r="A119" s="26" t="s">
        <v>232</v>
      </c>
      <c r="B119" s="28">
        <v>0.0</v>
      </c>
      <c r="C119" s="15">
        <f>IFERROR(B119/B148, "NA")</f>
        <v>0</v>
      </c>
      <c r="D119" s="28">
        <v>0.0</v>
      </c>
      <c r="E119" s="15">
        <f>IFERROR(D119/D148, "NA")</f>
        <v>0</v>
      </c>
      <c r="F119" s="28">
        <v>0.0</v>
      </c>
      <c r="G119" s="15">
        <f>IFERROR(F119/F148, "NA")</f>
        <v>0</v>
      </c>
      <c r="H119" s="28">
        <v>0.0</v>
      </c>
      <c r="I119" s="15">
        <f>IFERROR(H119/H148, "NA")</f>
        <v>0</v>
      </c>
      <c r="J119" s="28">
        <v>0.0</v>
      </c>
      <c r="K119" s="15">
        <f>IFERROR(J119/J148, "NA")</f>
        <v>0</v>
      </c>
      <c r="L119" s="28">
        <v>0.0</v>
      </c>
      <c r="M119" s="15">
        <f>IFERROR(L119/L148, "NA")</f>
        <v>0</v>
      </c>
      <c r="N119" s="28">
        <v>0.0</v>
      </c>
      <c r="O119" s="15">
        <f>IFERROR(N119/N148, "NA")</f>
        <v>0</v>
      </c>
      <c r="P119" s="28">
        <v>0.0</v>
      </c>
      <c r="Q119" s="15">
        <f>IFERROR(P119/P148, "NA")</f>
        <v>0</v>
      </c>
      <c r="R119" s="28">
        <v>0.0</v>
      </c>
      <c r="S119" s="15">
        <f>IFERROR(R119/R148, "NA")</f>
        <v>0</v>
      </c>
      <c r="T119" s="28">
        <v>0.0</v>
      </c>
      <c r="U119" s="15">
        <f>IFERROR(T119/T148, "NA")</f>
        <v>0</v>
      </c>
      <c r="V119" s="28">
        <v>0.0</v>
      </c>
      <c r="W119" s="15">
        <f>IFERROR(V119/V148, "NA")</f>
        <v>0</v>
      </c>
      <c r="X119" s="28">
        <v>0.0</v>
      </c>
      <c r="Y119" s="15">
        <f>IFERROR(X119/X148, "NA")</f>
        <v>0</v>
      </c>
      <c r="Z119" s="28">
        <v>0.0</v>
      </c>
      <c r="AA119" s="15">
        <f>IFERROR(Z119/Z148, "NA")</f>
        <v>0</v>
      </c>
      <c r="AB119" s="57">
        <f t="shared" si="55"/>
        <v>0</v>
      </c>
      <c r="AC119" s="15">
        <f>IFERROR(AB119/AB148, "NA")</f>
        <v>0</v>
      </c>
      <c r="AD119" s="61">
        <f t="shared" si="56"/>
        <v>0</v>
      </c>
      <c r="AE119" s="62">
        <f>IFERROR(AD119/AD148, "NA")</f>
        <v>0</v>
      </c>
      <c r="AF119" s="61" t="str">
        <f t="shared" si="57"/>
        <v>NA</v>
      </c>
      <c r="AG119" s="57">
        <f t="shared" si="58"/>
        <v>0</v>
      </c>
      <c r="AH119" s="15">
        <f>IFERROR(AG119/AG148, "NA")</f>
        <v>0</v>
      </c>
      <c r="AI119" s="61">
        <f t="shared" si="59"/>
        <v>0</v>
      </c>
      <c r="AJ119" s="62">
        <f>IFERROR(AI119/AI148, "NA")</f>
        <v>0</v>
      </c>
      <c r="AK119" s="61" t="str">
        <f t="shared" si="60"/>
        <v>NA</v>
      </c>
      <c r="AL119" s="62" t="str">
        <f>IFERROR(AK119/AK148, "NA")</f>
        <v>NA</v>
      </c>
    </row>
    <row r="120" ht="16.5" hidden="1" customHeight="1">
      <c r="A120" s="26" t="s">
        <v>233</v>
      </c>
      <c r="B120" s="28">
        <v>0.0</v>
      </c>
      <c r="C120" s="15">
        <f>IFERROR(B120/B148, "NA")</f>
        <v>0</v>
      </c>
      <c r="D120" s="28">
        <v>0.0</v>
      </c>
      <c r="E120" s="15">
        <f>IFERROR(D120/D148, "NA")</f>
        <v>0</v>
      </c>
      <c r="F120" s="28">
        <v>0.0</v>
      </c>
      <c r="G120" s="15">
        <f>IFERROR(F120/F148, "NA")</f>
        <v>0</v>
      </c>
      <c r="H120" s="28">
        <v>0.0</v>
      </c>
      <c r="I120" s="15">
        <f>IFERROR(H120/H148, "NA")</f>
        <v>0</v>
      </c>
      <c r="J120" s="28">
        <v>0.0</v>
      </c>
      <c r="K120" s="15">
        <f>IFERROR(J120/J148, "NA")</f>
        <v>0</v>
      </c>
      <c r="L120" s="28">
        <v>0.0</v>
      </c>
      <c r="M120" s="15">
        <f>IFERROR(L120/L148, "NA")</f>
        <v>0</v>
      </c>
      <c r="N120" s="28">
        <v>0.0</v>
      </c>
      <c r="O120" s="15">
        <f>IFERROR(N120/N148, "NA")</f>
        <v>0</v>
      </c>
      <c r="P120" s="28">
        <v>0.0</v>
      </c>
      <c r="Q120" s="15">
        <f>IFERROR(P120/P148, "NA")</f>
        <v>0</v>
      </c>
      <c r="R120" s="28">
        <v>0.0</v>
      </c>
      <c r="S120" s="15">
        <f>IFERROR(R120/R148, "NA")</f>
        <v>0</v>
      </c>
      <c r="T120" s="28">
        <v>0.0</v>
      </c>
      <c r="U120" s="15">
        <f>IFERROR(T120/T148, "NA")</f>
        <v>0</v>
      </c>
      <c r="V120" s="28">
        <v>0.0</v>
      </c>
      <c r="W120" s="15">
        <f>IFERROR(V120/V148, "NA")</f>
        <v>0</v>
      </c>
      <c r="X120" s="28">
        <v>0.0</v>
      </c>
      <c r="Y120" s="15">
        <f>IFERROR(X120/X148, "NA")</f>
        <v>0</v>
      </c>
      <c r="Z120" s="28">
        <v>0.0</v>
      </c>
      <c r="AA120" s="15">
        <f>IFERROR(Z120/Z148, "NA")</f>
        <v>0</v>
      </c>
      <c r="AB120" s="57">
        <f t="shared" si="55"/>
        <v>0</v>
      </c>
      <c r="AC120" s="15">
        <f>IFERROR(AB120/AB148, "NA")</f>
        <v>0</v>
      </c>
      <c r="AD120" s="61">
        <f t="shared" si="56"/>
        <v>0</v>
      </c>
      <c r="AE120" s="62">
        <f>IFERROR(AD120/AD148, "NA")</f>
        <v>0</v>
      </c>
      <c r="AF120" s="61" t="str">
        <f t="shared" si="57"/>
        <v>NA</v>
      </c>
      <c r="AG120" s="57">
        <f t="shared" si="58"/>
        <v>0</v>
      </c>
      <c r="AH120" s="15">
        <f>IFERROR(AG120/AG148, "NA")</f>
        <v>0</v>
      </c>
      <c r="AI120" s="61">
        <f t="shared" si="59"/>
        <v>0</v>
      </c>
      <c r="AJ120" s="62">
        <f>IFERROR(AI120/AI148, "NA")</f>
        <v>0</v>
      </c>
      <c r="AK120" s="61" t="str">
        <f t="shared" si="60"/>
        <v>NA</v>
      </c>
      <c r="AL120" s="62" t="str">
        <f>IFERROR(AK120/AK148, "NA")</f>
        <v>NA</v>
      </c>
    </row>
    <row r="121" ht="16.5" hidden="1" customHeight="1">
      <c r="A121" s="26" t="s">
        <v>234</v>
      </c>
      <c r="B121" s="28">
        <v>0.0</v>
      </c>
      <c r="C121" s="15">
        <f>IFERROR(B121/B148, "NA")</f>
        <v>0</v>
      </c>
      <c r="D121" s="28">
        <v>0.0</v>
      </c>
      <c r="E121" s="15">
        <f>IFERROR(D121/D148, "NA")</f>
        <v>0</v>
      </c>
      <c r="F121" s="28">
        <v>0.0</v>
      </c>
      <c r="G121" s="15">
        <f>IFERROR(F121/F148, "NA")</f>
        <v>0</v>
      </c>
      <c r="H121" s="28">
        <v>0.0</v>
      </c>
      <c r="I121" s="15">
        <f>IFERROR(H121/H148, "NA")</f>
        <v>0</v>
      </c>
      <c r="J121" s="28">
        <v>0.0</v>
      </c>
      <c r="K121" s="15">
        <f>IFERROR(J121/J148, "NA")</f>
        <v>0</v>
      </c>
      <c r="L121" s="28">
        <v>0.0</v>
      </c>
      <c r="M121" s="15">
        <f>IFERROR(L121/L148, "NA")</f>
        <v>0</v>
      </c>
      <c r="N121" s="28">
        <v>0.0</v>
      </c>
      <c r="O121" s="15">
        <f>IFERROR(N121/N148, "NA")</f>
        <v>0</v>
      </c>
      <c r="P121" s="28">
        <v>0.0</v>
      </c>
      <c r="Q121" s="15">
        <f>IFERROR(P121/P148, "NA")</f>
        <v>0</v>
      </c>
      <c r="R121" s="28">
        <v>0.0</v>
      </c>
      <c r="S121" s="15">
        <f>IFERROR(R121/R148, "NA")</f>
        <v>0</v>
      </c>
      <c r="T121" s="28">
        <v>0.0</v>
      </c>
      <c r="U121" s="15">
        <f>IFERROR(T121/T148, "NA")</f>
        <v>0</v>
      </c>
      <c r="V121" s="28">
        <v>0.0</v>
      </c>
      <c r="W121" s="15">
        <f>IFERROR(V121/V148, "NA")</f>
        <v>0</v>
      </c>
      <c r="X121" s="28">
        <v>0.0</v>
      </c>
      <c r="Y121" s="15">
        <f>IFERROR(X121/X148, "NA")</f>
        <v>0</v>
      </c>
      <c r="Z121" s="28">
        <v>0.0</v>
      </c>
      <c r="AA121" s="15">
        <f>IFERROR(Z121/Z148, "NA")</f>
        <v>0</v>
      </c>
      <c r="AB121" s="57">
        <f t="shared" si="55"/>
        <v>0</v>
      </c>
      <c r="AC121" s="15">
        <f>IFERROR(AB121/AB148, "NA")</f>
        <v>0</v>
      </c>
      <c r="AD121" s="61">
        <f t="shared" si="56"/>
        <v>0</v>
      </c>
      <c r="AE121" s="62">
        <f>IFERROR(AD121/AD148, "NA")</f>
        <v>0</v>
      </c>
      <c r="AF121" s="61" t="str">
        <f t="shared" si="57"/>
        <v>NA</v>
      </c>
      <c r="AG121" s="57">
        <f t="shared" si="58"/>
        <v>0</v>
      </c>
      <c r="AH121" s="15">
        <f>IFERROR(AG121/AG148, "NA")</f>
        <v>0</v>
      </c>
      <c r="AI121" s="61">
        <f t="shared" si="59"/>
        <v>0</v>
      </c>
      <c r="AJ121" s="62">
        <f>IFERROR(AI121/AI148, "NA")</f>
        <v>0</v>
      </c>
      <c r="AK121" s="61" t="str">
        <f t="shared" si="60"/>
        <v>NA</v>
      </c>
      <c r="AL121" s="62" t="str">
        <f>IFERROR(AK121/AK148, "NA")</f>
        <v>NA</v>
      </c>
    </row>
    <row r="122" ht="16.5" hidden="1" customHeight="1">
      <c r="A122" s="26" t="s">
        <v>235</v>
      </c>
      <c r="B122" s="28">
        <v>0.0</v>
      </c>
      <c r="C122" s="15">
        <f>IFERROR(B122/B148, "NA")</f>
        <v>0</v>
      </c>
      <c r="D122" s="28">
        <v>0.0</v>
      </c>
      <c r="E122" s="15">
        <f>IFERROR(D122/D148, "NA")</f>
        <v>0</v>
      </c>
      <c r="F122" s="28">
        <v>0.0</v>
      </c>
      <c r="G122" s="15">
        <f>IFERROR(F122/F148, "NA")</f>
        <v>0</v>
      </c>
      <c r="H122" s="28">
        <v>0.0</v>
      </c>
      <c r="I122" s="15">
        <f>IFERROR(H122/H148, "NA")</f>
        <v>0</v>
      </c>
      <c r="J122" s="28">
        <v>0.0</v>
      </c>
      <c r="K122" s="15">
        <f>IFERROR(J122/J148, "NA")</f>
        <v>0</v>
      </c>
      <c r="L122" s="28">
        <v>0.0</v>
      </c>
      <c r="M122" s="15">
        <f>IFERROR(L122/L148, "NA")</f>
        <v>0</v>
      </c>
      <c r="N122" s="28">
        <v>0.0</v>
      </c>
      <c r="O122" s="15">
        <f>IFERROR(N122/N148, "NA")</f>
        <v>0</v>
      </c>
      <c r="P122" s="28">
        <v>0.0</v>
      </c>
      <c r="Q122" s="15">
        <f>IFERROR(P122/P148, "NA")</f>
        <v>0</v>
      </c>
      <c r="R122" s="28">
        <v>0.0</v>
      </c>
      <c r="S122" s="15">
        <f>IFERROR(R122/R148, "NA")</f>
        <v>0</v>
      </c>
      <c r="T122" s="28">
        <v>0.0</v>
      </c>
      <c r="U122" s="15">
        <f>IFERROR(T122/T148, "NA")</f>
        <v>0</v>
      </c>
      <c r="V122" s="28">
        <v>0.0</v>
      </c>
      <c r="W122" s="15">
        <f>IFERROR(V122/V148, "NA")</f>
        <v>0</v>
      </c>
      <c r="X122" s="28">
        <v>0.0</v>
      </c>
      <c r="Y122" s="15">
        <f>IFERROR(X122/X148, "NA")</f>
        <v>0</v>
      </c>
      <c r="Z122" s="28">
        <v>0.0</v>
      </c>
      <c r="AA122" s="15">
        <f>IFERROR(Z122/Z148, "NA")</f>
        <v>0</v>
      </c>
      <c r="AB122" s="57">
        <f t="shared" si="55"/>
        <v>0</v>
      </c>
      <c r="AC122" s="15">
        <f>IFERROR(AB122/AB148, "NA")</f>
        <v>0</v>
      </c>
      <c r="AD122" s="61">
        <f t="shared" si="56"/>
        <v>0</v>
      </c>
      <c r="AE122" s="62">
        <f>IFERROR(AD122/AD148, "NA")</f>
        <v>0</v>
      </c>
      <c r="AF122" s="61" t="str">
        <f t="shared" si="57"/>
        <v>NA</v>
      </c>
      <c r="AG122" s="57">
        <f t="shared" si="58"/>
        <v>0</v>
      </c>
      <c r="AH122" s="15">
        <f>IFERROR(AG122/AG148, "NA")</f>
        <v>0</v>
      </c>
      <c r="AI122" s="61">
        <f t="shared" si="59"/>
        <v>0</v>
      </c>
      <c r="AJ122" s="62">
        <f>IFERROR(AI122/AI148, "NA")</f>
        <v>0</v>
      </c>
      <c r="AK122" s="61" t="str">
        <f t="shared" si="60"/>
        <v>NA</v>
      </c>
      <c r="AL122" s="62" t="str">
        <f>IFERROR(AK122/AK148, "NA")</f>
        <v>NA</v>
      </c>
    </row>
    <row r="123" ht="16.5" hidden="1" customHeight="1">
      <c r="A123" s="26" t="s">
        <v>236</v>
      </c>
      <c r="B123" s="28">
        <v>0.0</v>
      </c>
      <c r="C123" s="15">
        <f>IFERROR(B123/B148, "NA")</f>
        <v>0</v>
      </c>
      <c r="D123" s="28">
        <v>0.0</v>
      </c>
      <c r="E123" s="15">
        <f>IFERROR(D123/D148, "NA")</f>
        <v>0</v>
      </c>
      <c r="F123" s="28">
        <v>0.0</v>
      </c>
      <c r="G123" s="15">
        <f>IFERROR(F123/F148, "NA")</f>
        <v>0</v>
      </c>
      <c r="H123" s="28">
        <v>0.0</v>
      </c>
      <c r="I123" s="15">
        <f>IFERROR(H123/H148, "NA")</f>
        <v>0</v>
      </c>
      <c r="J123" s="28">
        <v>0.0</v>
      </c>
      <c r="K123" s="15">
        <f>IFERROR(J123/J148, "NA")</f>
        <v>0</v>
      </c>
      <c r="L123" s="28">
        <v>0.0</v>
      </c>
      <c r="M123" s="15">
        <f>IFERROR(L123/L148, "NA")</f>
        <v>0</v>
      </c>
      <c r="N123" s="28">
        <v>0.0</v>
      </c>
      <c r="O123" s="15">
        <f>IFERROR(N123/N148, "NA")</f>
        <v>0</v>
      </c>
      <c r="P123" s="28">
        <v>0.0</v>
      </c>
      <c r="Q123" s="15">
        <f>IFERROR(P123/P148, "NA")</f>
        <v>0</v>
      </c>
      <c r="R123" s="28">
        <v>0.0</v>
      </c>
      <c r="S123" s="15">
        <f>IFERROR(R123/R148, "NA")</f>
        <v>0</v>
      </c>
      <c r="T123" s="28">
        <v>0.0</v>
      </c>
      <c r="U123" s="15">
        <f>IFERROR(T123/T148, "NA")</f>
        <v>0</v>
      </c>
      <c r="V123" s="28">
        <v>0.0</v>
      </c>
      <c r="W123" s="15">
        <f>IFERROR(V123/V148, "NA")</f>
        <v>0</v>
      </c>
      <c r="X123" s="28">
        <v>0.0</v>
      </c>
      <c r="Y123" s="15">
        <f>IFERROR(X123/X148, "NA")</f>
        <v>0</v>
      </c>
      <c r="Z123" s="28">
        <v>0.0</v>
      </c>
      <c r="AA123" s="15">
        <f>IFERROR(Z123/Z148, "NA")</f>
        <v>0</v>
      </c>
      <c r="AB123" s="57">
        <f t="shared" si="55"/>
        <v>0</v>
      </c>
      <c r="AC123" s="15">
        <f>IFERROR(AB123/AB148, "NA")</f>
        <v>0</v>
      </c>
      <c r="AD123" s="61">
        <f t="shared" si="56"/>
        <v>0</v>
      </c>
      <c r="AE123" s="62">
        <f>IFERROR(AD123/AD148, "NA")</f>
        <v>0</v>
      </c>
      <c r="AF123" s="61" t="str">
        <f t="shared" si="57"/>
        <v>NA</v>
      </c>
      <c r="AG123" s="57">
        <f t="shared" si="58"/>
        <v>0</v>
      </c>
      <c r="AH123" s="15">
        <f>IFERROR(AG123/AG148, "NA")</f>
        <v>0</v>
      </c>
      <c r="AI123" s="61">
        <f t="shared" si="59"/>
        <v>0</v>
      </c>
      <c r="AJ123" s="62">
        <f>IFERROR(AI123/AI148, "NA")</f>
        <v>0</v>
      </c>
      <c r="AK123" s="61" t="str">
        <f t="shared" si="60"/>
        <v>NA</v>
      </c>
      <c r="AL123" s="62" t="str">
        <f>IFERROR(AK123/AK148, "NA")</f>
        <v>NA</v>
      </c>
    </row>
    <row r="124" ht="16.5" hidden="1" customHeight="1">
      <c r="A124" s="26" t="s">
        <v>237</v>
      </c>
      <c r="B124" s="28">
        <v>0.0</v>
      </c>
      <c r="C124" s="15">
        <f>IFERROR(B124/B148, "NA")</f>
        <v>0</v>
      </c>
      <c r="D124" s="28">
        <v>0.0</v>
      </c>
      <c r="E124" s="15">
        <f>IFERROR(D124/D148, "NA")</f>
        <v>0</v>
      </c>
      <c r="F124" s="28">
        <v>0.0</v>
      </c>
      <c r="G124" s="15">
        <f>IFERROR(F124/F148, "NA")</f>
        <v>0</v>
      </c>
      <c r="H124" s="28">
        <v>0.0</v>
      </c>
      <c r="I124" s="15">
        <f>IFERROR(H124/H148, "NA")</f>
        <v>0</v>
      </c>
      <c r="J124" s="28">
        <v>0.0</v>
      </c>
      <c r="K124" s="15">
        <f>IFERROR(J124/J148, "NA")</f>
        <v>0</v>
      </c>
      <c r="L124" s="28">
        <v>0.0</v>
      </c>
      <c r="M124" s="15">
        <f>IFERROR(L124/L148, "NA")</f>
        <v>0</v>
      </c>
      <c r="N124" s="28">
        <v>0.0</v>
      </c>
      <c r="O124" s="15">
        <f>IFERROR(N124/N148, "NA")</f>
        <v>0</v>
      </c>
      <c r="P124" s="28">
        <v>0.0</v>
      </c>
      <c r="Q124" s="15">
        <f>IFERROR(P124/P148, "NA")</f>
        <v>0</v>
      </c>
      <c r="R124" s="28">
        <v>0.0</v>
      </c>
      <c r="S124" s="15">
        <f>IFERROR(R124/R148, "NA")</f>
        <v>0</v>
      </c>
      <c r="T124" s="28">
        <v>0.0</v>
      </c>
      <c r="U124" s="15">
        <f>IFERROR(T124/T148, "NA")</f>
        <v>0</v>
      </c>
      <c r="V124" s="28">
        <v>0.0</v>
      </c>
      <c r="W124" s="15">
        <f>IFERROR(V124/V148, "NA")</f>
        <v>0</v>
      </c>
      <c r="X124" s="28">
        <v>2000.0</v>
      </c>
      <c r="Y124" s="15">
        <f>IFERROR(X124/X148, "NA")</f>
        <v>0.07736710459</v>
      </c>
      <c r="Z124" s="28">
        <v>2000.0</v>
      </c>
      <c r="AA124" s="15">
        <f>IFERROR(Z124/Z148, "NA")</f>
        <v>0.02429923438</v>
      </c>
      <c r="AB124" s="57">
        <f t="shared" si="55"/>
        <v>500</v>
      </c>
      <c r="AC124" s="15">
        <f>IFERROR(AB124/AB148, "NA")</f>
        <v>0.01781283819</v>
      </c>
      <c r="AD124" s="61">
        <f t="shared" si="56"/>
        <v>1500</v>
      </c>
      <c r="AE124" s="62">
        <f>IFERROR(AD124/AD148, "NA")</f>
        <v>-0.6760220609</v>
      </c>
      <c r="AF124" s="61">
        <f t="shared" si="57"/>
        <v>3</v>
      </c>
      <c r="AG124" s="57">
        <f t="shared" si="58"/>
        <v>250</v>
      </c>
      <c r="AH124" s="15">
        <f>IFERROR(AG124/AG148, "NA")</f>
        <v>0.009500210097</v>
      </c>
      <c r="AI124" s="61">
        <f t="shared" si="59"/>
        <v>1750</v>
      </c>
      <c r="AJ124" s="62">
        <f>IFERROR(AI124/AI148, "NA")</f>
        <v>-3.768080056</v>
      </c>
      <c r="AK124" s="61">
        <f t="shared" si="60"/>
        <v>7</v>
      </c>
      <c r="AL124" s="62">
        <f>IFERROR(AK124/AK148, "NA")</f>
        <v>-396.6312342</v>
      </c>
    </row>
    <row r="125" ht="16.5" hidden="1" customHeight="1">
      <c r="A125" s="26" t="s">
        <v>238</v>
      </c>
      <c r="B125" s="28">
        <v>0.0</v>
      </c>
      <c r="C125" s="15">
        <f>IFERROR(B125/B148, "NA")</f>
        <v>0</v>
      </c>
      <c r="D125" s="28">
        <v>0.0</v>
      </c>
      <c r="E125" s="15">
        <f>IFERROR(D125/D148, "NA")</f>
        <v>0</v>
      </c>
      <c r="F125" s="28">
        <v>0.0</v>
      </c>
      <c r="G125" s="15">
        <f>IFERROR(F125/F148, "NA")</f>
        <v>0</v>
      </c>
      <c r="H125" s="28">
        <v>0.0</v>
      </c>
      <c r="I125" s="15">
        <f>IFERROR(H125/H148, "NA")</f>
        <v>0</v>
      </c>
      <c r="J125" s="28">
        <v>0.0</v>
      </c>
      <c r="K125" s="15">
        <f>IFERROR(J125/J148, "NA")</f>
        <v>0</v>
      </c>
      <c r="L125" s="28">
        <v>0.0</v>
      </c>
      <c r="M125" s="15">
        <f>IFERROR(L125/L148, "NA")</f>
        <v>0</v>
      </c>
      <c r="N125" s="28">
        <v>0.0</v>
      </c>
      <c r="O125" s="15">
        <f>IFERROR(N125/N148, "NA")</f>
        <v>0</v>
      </c>
      <c r="P125" s="28">
        <v>0.0</v>
      </c>
      <c r="Q125" s="15">
        <f>IFERROR(P125/P148, "NA")</f>
        <v>0</v>
      </c>
      <c r="R125" s="28">
        <v>0.0</v>
      </c>
      <c r="S125" s="15">
        <f>IFERROR(R125/R148, "NA")</f>
        <v>0</v>
      </c>
      <c r="T125" s="28">
        <v>0.0</v>
      </c>
      <c r="U125" s="15">
        <f>IFERROR(T125/T148, "NA")</f>
        <v>0</v>
      </c>
      <c r="V125" s="28">
        <v>0.0</v>
      </c>
      <c r="W125" s="15">
        <f>IFERROR(V125/V148, "NA")</f>
        <v>0</v>
      </c>
      <c r="X125" s="28">
        <v>0.0</v>
      </c>
      <c r="Y125" s="15">
        <f>IFERROR(X125/X148, "NA")</f>
        <v>0</v>
      </c>
      <c r="Z125" s="28">
        <v>0.0</v>
      </c>
      <c r="AA125" s="15">
        <f>IFERROR(Z125/Z148, "NA")</f>
        <v>0</v>
      </c>
      <c r="AB125" s="57">
        <f t="shared" si="55"/>
        <v>0</v>
      </c>
      <c r="AC125" s="15">
        <f>IFERROR(AB125/AB148, "NA")</f>
        <v>0</v>
      </c>
      <c r="AD125" s="61">
        <f t="shared" si="56"/>
        <v>0</v>
      </c>
      <c r="AE125" s="62">
        <f>IFERROR(AD125/AD148, "NA")</f>
        <v>0</v>
      </c>
      <c r="AF125" s="61" t="str">
        <f t="shared" si="57"/>
        <v>NA</v>
      </c>
      <c r="AG125" s="57">
        <f t="shared" si="58"/>
        <v>0</v>
      </c>
      <c r="AH125" s="15">
        <f>IFERROR(AG125/AG148, "NA")</f>
        <v>0</v>
      </c>
      <c r="AI125" s="61">
        <f t="shared" si="59"/>
        <v>0</v>
      </c>
      <c r="AJ125" s="62">
        <f>IFERROR(AI125/AI148, "NA")</f>
        <v>0</v>
      </c>
      <c r="AK125" s="61" t="str">
        <f t="shared" si="60"/>
        <v>NA</v>
      </c>
      <c r="AL125" s="62" t="str">
        <f>IFERROR(AK125/AK148, "NA")</f>
        <v>NA</v>
      </c>
    </row>
    <row r="126" ht="16.5" hidden="1" customHeight="1">
      <c r="A126" s="26" t="s">
        <v>239</v>
      </c>
      <c r="B126" s="28">
        <v>0.0</v>
      </c>
      <c r="C126" s="15">
        <f>IFERROR(B126/B148, "NA")</f>
        <v>0</v>
      </c>
      <c r="D126" s="28">
        <v>0.0</v>
      </c>
      <c r="E126" s="15">
        <f>IFERROR(D126/D148, "NA")</f>
        <v>0</v>
      </c>
      <c r="F126" s="28">
        <v>0.0</v>
      </c>
      <c r="G126" s="15">
        <f>IFERROR(F126/F148, "NA")</f>
        <v>0</v>
      </c>
      <c r="H126" s="28">
        <v>0.0</v>
      </c>
      <c r="I126" s="15">
        <f>IFERROR(H126/H148, "NA")</f>
        <v>0</v>
      </c>
      <c r="J126" s="28">
        <v>0.0</v>
      </c>
      <c r="K126" s="15">
        <f>IFERROR(J126/J148, "NA")</f>
        <v>0</v>
      </c>
      <c r="L126" s="28">
        <v>0.0</v>
      </c>
      <c r="M126" s="15">
        <f>IFERROR(L126/L148, "NA")</f>
        <v>0</v>
      </c>
      <c r="N126" s="28">
        <v>0.0</v>
      </c>
      <c r="O126" s="15">
        <f>IFERROR(N126/N148, "NA")</f>
        <v>0</v>
      </c>
      <c r="P126" s="28">
        <v>0.0</v>
      </c>
      <c r="Q126" s="15">
        <f>IFERROR(P126/P148, "NA")</f>
        <v>0</v>
      </c>
      <c r="R126" s="28">
        <v>0.0</v>
      </c>
      <c r="S126" s="15">
        <f>IFERROR(R126/R148, "NA")</f>
        <v>0</v>
      </c>
      <c r="T126" s="28">
        <v>0.0</v>
      </c>
      <c r="U126" s="15">
        <f>IFERROR(T126/T148, "NA")</f>
        <v>0</v>
      </c>
      <c r="V126" s="28">
        <v>0.0</v>
      </c>
      <c r="W126" s="15">
        <f>IFERROR(V126/V148, "NA")</f>
        <v>0</v>
      </c>
      <c r="X126" s="28">
        <v>0.0</v>
      </c>
      <c r="Y126" s="15">
        <f>IFERROR(X126/X148, "NA")</f>
        <v>0</v>
      </c>
      <c r="Z126" s="28">
        <v>0.0</v>
      </c>
      <c r="AA126" s="15">
        <f>IFERROR(Z126/Z148, "NA")</f>
        <v>0</v>
      </c>
      <c r="AB126" s="57">
        <f t="shared" si="55"/>
        <v>0</v>
      </c>
      <c r="AC126" s="15">
        <f>IFERROR(AB126/AB148, "NA")</f>
        <v>0</v>
      </c>
      <c r="AD126" s="61">
        <f t="shared" si="56"/>
        <v>0</v>
      </c>
      <c r="AE126" s="62">
        <f>IFERROR(AD126/AD148, "NA")</f>
        <v>0</v>
      </c>
      <c r="AF126" s="61" t="str">
        <f t="shared" si="57"/>
        <v>NA</v>
      </c>
      <c r="AG126" s="57">
        <f t="shared" si="58"/>
        <v>0</v>
      </c>
      <c r="AH126" s="15">
        <f>IFERROR(AG126/AG148, "NA")</f>
        <v>0</v>
      </c>
      <c r="AI126" s="61">
        <f t="shared" si="59"/>
        <v>0</v>
      </c>
      <c r="AJ126" s="62">
        <f>IFERROR(AI126/AI148, "NA")</f>
        <v>0</v>
      </c>
      <c r="AK126" s="61" t="str">
        <f t="shared" si="60"/>
        <v>NA</v>
      </c>
      <c r="AL126" s="62" t="str">
        <f>IFERROR(AK126/AK148, "NA")</f>
        <v>NA</v>
      </c>
    </row>
    <row r="127" ht="16.5" hidden="1" customHeight="1">
      <c r="A127" s="26" t="s">
        <v>240</v>
      </c>
      <c r="B127" s="28">
        <v>0.0</v>
      </c>
      <c r="C127" s="15">
        <f>IFERROR(B127/B148, "NA")</f>
        <v>0</v>
      </c>
      <c r="D127" s="28">
        <v>0.0</v>
      </c>
      <c r="E127" s="15">
        <f>IFERROR(D127/D148, "NA")</f>
        <v>0</v>
      </c>
      <c r="F127" s="28">
        <v>0.0</v>
      </c>
      <c r="G127" s="15">
        <f>IFERROR(F127/F148, "NA")</f>
        <v>0</v>
      </c>
      <c r="H127" s="28">
        <v>0.0</v>
      </c>
      <c r="I127" s="15">
        <f>IFERROR(H127/H148, "NA")</f>
        <v>0</v>
      </c>
      <c r="J127" s="28">
        <v>0.0</v>
      </c>
      <c r="K127" s="15">
        <f>IFERROR(J127/J148, "NA")</f>
        <v>0</v>
      </c>
      <c r="L127" s="28">
        <v>0.0</v>
      </c>
      <c r="M127" s="15">
        <f>IFERROR(L127/L148, "NA")</f>
        <v>0</v>
      </c>
      <c r="N127" s="28">
        <v>0.0</v>
      </c>
      <c r="O127" s="15">
        <f>IFERROR(N127/N148, "NA")</f>
        <v>0</v>
      </c>
      <c r="P127" s="28">
        <v>0.0</v>
      </c>
      <c r="Q127" s="15">
        <f>IFERROR(P127/P148, "NA")</f>
        <v>0</v>
      </c>
      <c r="R127" s="28">
        <v>0.0</v>
      </c>
      <c r="S127" s="15">
        <f>IFERROR(R127/R148, "NA")</f>
        <v>0</v>
      </c>
      <c r="T127" s="28">
        <v>0.0</v>
      </c>
      <c r="U127" s="15">
        <f>IFERROR(T127/T148, "NA")</f>
        <v>0</v>
      </c>
      <c r="V127" s="28">
        <v>0.0</v>
      </c>
      <c r="W127" s="15">
        <f>IFERROR(V127/V148, "NA")</f>
        <v>0</v>
      </c>
      <c r="X127" s="28">
        <v>0.0</v>
      </c>
      <c r="Y127" s="15">
        <f>IFERROR(X127/X148, "NA")</f>
        <v>0</v>
      </c>
      <c r="Z127" s="28">
        <v>0.0</v>
      </c>
      <c r="AA127" s="15">
        <f>IFERROR(Z127/Z148, "NA")</f>
        <v>0</v>
      </c>
      <c r="AB127" s="57">
        <f t="shared" si="55"/>
        <v>0</v>
      </c>
      <c r="AC127" s="15">
        <f>IFERROR(AB127/AB148, "NA")</f>
        <v>0</v>
      </c>
      <c r="AD127" s="61">
        <f t="shared" si="56"/>
        <v>0</v>
      </c>
      <c r="AE127" s="62">
        <f>IFERROR(AD127/AD148, "NA")</f>
        <v>0</v>
      </c>
      <c r="AF127" s="61" t="str">
        <f t="shared" si="57"/>
        <v>NA</v>
      </c>
      <c r="AG127" s="57">
        <f t="shared" si="58"/>
        <v>0</v>
      </c>
      <c r="AH127" s="15">
        <f>IFERROR(AG127/AG148, "NA")</f>
        <v>0</v>
      </c>
      <c r="AI127" s="61">
        <f t="shared" si="59"/>
        <v>0</v>
      </c>
      <c r="AJ127" s="62">
        <f>IFERROR(AI127/AI148, "NA")</f>
        <v>0</v>
      </c>
      <c r="AK127" s="61" t="str">
        <f t="shared" si="60"/>
        <v>NA</v>
      </c>
      <c r="AL127" s="62" t="str">
        <f>IFERROR(AK127/AK148, "NA")</f>
        <v>NA</v>
      </c>
    </row>
    <row r="128" ht="16.5" hidden="1" customHeight="1">
      <c r="A128" s="26" t="s">
        <v>241</v>
      </c>
      <c r="B128" s="28">
        <v>363.63</v>
      </c>
      <c r="C128" s="15">
        <f>IFERROR(B128/B148, "NA")</f>
        <v>0.02587373577</v>
      </c>
      <c r="D128" s="28">
        <v>391.88</v>
      </c>
      <c r="E128" s="15">
        <f>IFERROR(D128/D148, "NA")</f>
        <v>0.02096560107</v>
      </c>
      <c r="F128" s="28">
        <v>418.33</v>
      </c>
      <c r="G128" s="15">
        <f>IFERROR(F128/F148, "NA")</f>
        <v>0.01725126942</v>
      </c>
      <c r="H128" s="28">
        <v>-1173.84</v>
      </c>
      <c r="I128" s="15">
        <f>IFERROR(H128/H148, "NA")</f>
        <v>-0.05164746636</v>
      </c>
      <c r="J128" s="28">
        <v>467.73</v>
      </c>
      <c r="K128" s="15">
        <f>IFERROR(J128/J148, "NA")</f>
        <v>0.02130175089</v>
      </c>
      <c r="L128" s="28">
        <v>276.34</v>
      </c>
      <c r="M128" s="15">
        <f>IFERROR(L128/L148, "NA")</f>
        <v>0.01109630747</v>
      </c>
      <c r="N128" s="28">
        <v>288.48</v>
      </c>
      <c r="O128" s="15">
        <f>IFERROR(N128/N148, "NA")</f>
        <v>0.01138772953</v>
      </c>
      <c r="P128" s="28">
        <v>236.87</v>
      </c>
      <c r="Q128" s="15">
        <f>IFERROR(P128/P148, "NA")</f>
        <v>0.009093097239</v>
      </c>
      <c r="R128" s="28">
        <v>-1269.42</v>
      </c>
      <c r="S128" s="15">
        <f>IFERROR(R128/R148, "NA")</f>
        <v>-0.04235430718</v>
      </c>
      <c r="T128" s="28">
        <v>294.88</v>
      </c>
      <c r="U128" s="15">
        <f>IFERROR(T128/T148, "NA")</f>
        <v>0.01129719264</v>
      </c>
      <c r="V128" s="28">
        <v>402.72</v>
      </c>
      <c r="W128" s="15">
        <f>IFERROR(V128/V148, "NA")</f>
        <v>0.01326732177</v>
      </c>
      <c r="X128" s="28">
        <v>416.79</v>
      </c>
      <c r="Y128" s="15">
        <f>IFERROR(X128/X148, "NA")</f>
        <v>0.01612291776</v>
      </c>
      <c r="Z128" s="28">
        <v>1114.39</v>
      </c>
      <c r="AA128" s="15">
        <f>IFERROR(Z128/Z148, "NA")</f>
        <v>0.0135394119</v>
      </c>
      <c r="AB128" s="57">
        <f t="shared" si="55"/>
        <v>-38.7575</v>
      </c>
      <c r="AC128" s="15">
        <f>IFERROR(AB128/AB148, "NA")</f>
        <v>-0.001380762153</v>
      </c>
      <c r="AD128" s="61">
        <f t="shared" si="56"/>
        <v>455.5475</v>
      </c>
      <c r="AE128" s="62">
        <f>IFERROR(AD128/AD148, "NA")</f>
        <v>-0.2053067732</v>
      </c>
      <c r="AF128" s="61">
        <f t="shared" si="57"/>
        <v>-11.75378959</v>
      </c>
      <c r="AG128" s="57">
        <f t="shared" si="58"/>
        <v>139.29875</v>
      </c>
      <c r="AH128" s="15">
        <f>IFERROR(AG128/AG148, "NA")</f>
        <v>0.005293469565</v>
      </c>
      <c r="AI128" s="61">
        <f t="shared" si="59"/>
        <v>277.49125</v>
      </c>
      <c r="AJ128" s="62">
        <f>IFERROR(AI128/AI148, "NA")</f>
        <v>-0.597490997</v>
      </c>
      <c r="AK128" s="61">
        <f t="shared" si="60"/>
        <v>1.992058436</v>
      </c>
      <c r="AL128" s="62">
        <f>IFERROR(AK128/AK148, "NA")</f>
        <v>-112.873228</v>
      </c>
    </row>
    <row r="129" ht="16.5" hidden="1" customHeight="1">
      <c r="A129" s="26" t="s">
        <v>242</v>
      </c>
      <c r="B129" s="28">
        <v>0.0</v>
      </c>
      <c r="C129" s="15">
        <f>IFERROR(B129/B148, "NA")</f>
        <v>0</v>
      </c>
      <c r="D129" s="28">
        <v>0.0</v>
      </c>
      <c r="E129" s="15">
        <f>IFERROR(D129/D148, "NA")</f>
        <v>0</v>
      </c>
      <c r="F129" s="28">
        <v>0.0</v>
      </c>
      <c r="G129" s="15">
        <f>IFERROR(F129/F148, "NA")</f>
        <v>0</v>
      </c>
      <c r="H129" s="28">
        <v>0.0</v>
      </c>
      <c r="I129" s="15">
        <f>IFERROR(H129/H148, "NA")</f>
        <v>0</v>
      </c>
      <c r="J129" s="28">
        <v>0.0</v>
      </c>
      <c r="K129" s="15">
        <f>IFERROR(J129/J148, "NA")</f>
        <v>0</v>
      </c>
      <c r="L129" s="28">
        <v>0.0</v>
      </c>
      <c r="M129" s="15">
        <f>IFERROR(L129/L148, "NA")</f>
        <v>0</v>
      </c>
      <c r="N129" s="28">
        <v>0.0</v>
      </c>
      <c r="O129" s="15">
        <f>IFERROR(N129/N148, "NA")</f>
        <v>0</v>
      </c>
      <c r="P129" s="28">
        <v>0.0</v>
      </c>
      <c r="Q129" s="15">
        <f>IFERROR(P129/P148, "NA")</f>
        <v>0</v>
      </c>
      <c r="R129" s="28">
        <v>0.0</v>
      </c>
      <c r="S129" s="15">
        <f>IFERROR(R129/R148, "NA")</f>
        <v>0</v>
      </c>
      <c r="T129" s="28">
        <v>0.0</v>
      </c>
      <c r="U129" s="15">
        <f>IFERROR(T129/T148, "NA")</f>
        <v>0</v>
      </c>
      <c r="V129" s="28">
        <v>0.0</v>
      </c>
      <c r="W129" s="15">
        <f>IFERROR(V129/V148, "NA")</f>
        <v>0</v>
      </c>
      <c r="X129" s="28">
        <v>0.0</v>
      </c>
      <c r="Y129" s="15">
        <f>IFERROR(X129/X148, "NA")</f>
        <v>0</v>
      </c>
      <c r="Z129" s="28">
        <v>0.0</v>
      </c>
      <c r="AA129" s="15">
        <f>IFERROR(Z129/Z148, "NA")</f>
        <v>0</v>
      </c>
      <c r="AB129" s="57">
        <f t="shared" si="55"/>
        <v>0</v>
      </c>
      <c r="AC129" s="15">
        <f>IFERROR(AB129/AB148, "NA")</f>
        <v>0</v>
      </c>
      <c r="AD129" s="61">
        <f t="shared" si="56"/>
        <v>0</v>
      </c>
      <c r="AE129" s="62">
        <f>IFERROR(AD129/AD148, "NA")</f>
        <v>0</v>
      </c>
      <c r="AF129" s="61" t="str">
        <f t="shared" si="57"/>
        <v>NA</v>
      </c>
      <c r="AG129" s="57">
        <f t="shared" si="58"/>
        <v>0</v>
      </c>
      <c r="AH129" s="15">
        <f>IFERROR(AG129/AG148, "NA")</f>
        <v>0</v>
      </c>
      <c r="AI129" s="61">
        <f t="shared" si="59"/>
        <v>0</v>
      </c>
      <c r="AJ129" s="62">
        <f>IFERROR(AI129/AI148, "NA")</f>
        <v>0</v>
      </c>
      <c r="AK129" s="61" t="str">
        <f t="shared" si="60"/>
        <v>NA</v>
      </c>
      <c r="AL129" s="62" t="str">
        <f>IFERROR(AK129/AK148, "NA")</f>
        <v>NA</v>
      </c>
    </row>
    <row r="130" ht="16.5" hidden="1" customHeight="1">
      <c r="A130" s="26" t="s">
        <v>243</v>
      </c>
      <c r="B130" s="28">
        <v>0.0</v>
      </c>
      <c r="C130" s="15">
        <f>IFERROR(B130/B148, "NA")</f>
        <v>0</v>
      </c>
      <c r="D130" s="28">
        <v>0.0</v>
      </c>
      <c r="E130" s="15">
        <f>IFERROR(D130/D148, "NA")</f>
        <v>0</v>
      </c>
      <c r="F130" s="28">
        <v>0.0</v>
      </c>
      <c r="G130" s="15">
        <f>IFERROR(F130/F148, "NA")</f>
        <v>0</v>
      </c>
      <c r="H130" s="28">
        <v>0.0</v>
      </c>
      <c r="I130" s="15">
        <f>IFERROR(H130/H148, "NA")</f>
        <v>0</v>
      </c>
      <c r="J130" s="28">
        <v>0.0</v>
      </c>
      <c r="K130" s="15">
        <f>IFERROR(J130/J148, "NA")</f>
        <v>0</v>
      </c>
      <c r="L130" s="28">
        <v>0.0</v>
      </c>
      <c r="M130" s="15">
        <f>IFERROR(L130/L148, "NA")</f>
        <v>0</v>
      </c>
      <c r="N130" s="28">
        <v>0.0</v>
      </c>
      <c r="O130" s="15">
        <f>IFERROR(N130/N148, "NA")</f>
        <v>0</v>
      </c>
      <c r="P130" s="28">
        <v>0.0</v>
      </c>
      <c r="Q130" s="15">
        <f>IFERROR(P130/P148, "NA")</f>
        <v>0</v>
      </c>
      <c r="R130" s="28">
        <v>0.0</v>
      </c>
      <c r="S130" s="15">
        <f>IFERROR(R130/R148, "NA")</f>
        <v>0</v>
      </c>
      <c r="T130" s="28">
        <v>0.0</v>
      </c>
      <c r="U130" s="15">
        <f>IFERROR(T130/T148, "NA")</f>
        <v>0</v>
      </c>
      <c r="V130" s="28">
        <v>0.0</v>
      </c>
      <c r="W130" s="15">
        <f>IFERROR(V130/V148, "NA")</f>
        <v>0</v>
      </c>
      <c r="X130" s="28">
        <v>0.0</v>
      </c>
      <c r="Y130" s="15">
        <f>IFERROR(X130/X148, "NA")</f>
        <v>0</v>
      </c>
      <c r="Z130" s="28">
        <v>0.0</v>
      </c>
      <c r="AA130" s="15">
        <f>IFERROR(Z130/Z148, "NA")</f>
        <v>0</v>
      </c>
      <c r="AB130" s="57">
        <f t="shared" si="55"/>
        <v>0</v>
      </c>
      <c r="AC130" s="15">
        <f>IFERROR(AB130/AB148, "NA")</f>
        <v>0</v>
      </c>
      <c r="AD130" s="61">
        <f t="shared" si="56"/>
        <v>0</v>
      </c>
      <c r="AE130" s="62">
        <f>IFERROR(AD130/AD148, "NA")</f>
        <v>0</v>
      </c>
      <c r="AF130" s="61" t="str">
        <f t="shared" si="57"/>
        <v>NA</v>
      </c>
      <c r="AG130" s="57">
        <f t="shared" si="58"/>
        <v>0</v>
      </c>
      <c r="AH130" s="15">
        <f>IFERROR(AG130/AG148, "NA")</f>
        <v>0</v>
      </c>
      <c r="AI130" s="61">
        <f t="shared" si="59"/>
        <v>0</v>
      </c>
      <c r="AJ130" s="62">
        <f>IFERROR(AI130/AI148, "NA")</f>
        <v>0</v>
      </c>
      <c r="AK130" s="61" t="str">
        <f t="shared" si="60"/>
        <v>NA</v>
      </c>
      <c r="AL130" s="62" t="str">
        <f>IFERROR(AK130/AK148, "NA")</f>
        <v>NA</v>
      </c>
    </row>
    <row r="131" ht="16.5" hidden="1" customHeight="1">
      <c r="A131" s="26" t="s">
        <v>244</v>
      </c>
      <c r="B131" s="28">
        <v>0.0</v>
      </c>
      <c r="C131" s="15">
        <f>IFERROR(B131/B148, "NA")</f>
        <v>0</v>
      </c>
      <c r="D131" s="28">
        <v>0.0</v>
      </c>
      <c r="E131" s="15">
        <f>IFERROR(D131/D148, "NA")</f>
        <v>0</v>
      </c>
      <c r="F131" s="28">
        <v>0.0</v>
      </c>
      <c r="G131" s="15">
        <f>IFERROR(F131/F148, "NA")</f>
        <v>0</v>
      </c>
      <c r="H131" s="28">
        <v>0.0</v>
      </c>
      <c r="I131" s="15">
        <f>IFERROR(H131/H148, "NA")</f>
        <v>0</v>
      </c>
      <c r="J131" s="28">
        <v>0.0</v>
      </c>
      <c r="K131" s="15">
        <f>IFERROR(J131/J148, "NA")</f>
        <v>0</v>
      </c>
      <c r="L131" s="28">
        <v>0.0</v>
      </c>
      <c r="M131" s="15">
        <f>IFERROR(L131/L148, "NA")</f>
        <v>0</v>
      </c>
      <c r="N131" s="28">
        <v>0.0</v>
      </c>
      <c r="O131" s="15">
        <f>IFERROR(N131/N148, "NA")</f>
        <v>0</v>
      </c>
      <c r="P131" s="28">
        <v>0.0</v>
      </c>
      <c r="Q131" s="15">
        <f>IFERROR(P131/P148, "NA")</f>
        <v>0</v>
      </c>
      <c r="R131" s="28">
        <v>0.0</v>
      </c>
      <c r="S131" s="15">
        <f>IFERROR(R131/R148, "NA")</f>
        <v>0</v>
      </c>
      <c r="T131" s="28">
        <v>0.0</v>
      </c>
      <c r="U131" s="15">
        <f>IFERROR(T131/T148, "NA")</f>
        <v>0</v>
      </c>
      <c r="V131" s="28">
        <v>0.0</v>
      </c>
      <c r="W131" s="15">
        <f>IFERROR(V131/V148, "NA")</f>
        <v>0</v>
      </c>
      <c r="X131" s="28">
        <v>0.0</v>
      </c>
      <c r="Y131" s="15">
        <f>IFERROR(X131/X148, "NA")</f>
        <v>0</v>
      </c>
      <c r="Z131" s="28">
        <v>0.0</v>
      </c>
      <c r="AA131" s="15">
        <f>IFERROR(Z131/Z148, "NA")</f>
        <v>0</v>
      </c>
      <c r="AB131" s="57">
        <f t="shared" si="55"/>
        <v>0</v>
      </c>
      <c r="AC131" s="15">
        <f>IFERROR(AB131/AB148, "NA")</f>
        <v>0</v>
      </c>
      <c r="AD131" s="61">
        <f t="shared" si="56"/>
        <v>0</v>
      </c>
      <c r="AE131" s="62">
        <f>IFERROR(AD131/AD148, "NA")</f>
        <v>0</v>
      </c>
      <c r="AF131" s="61" t="str">
        <f t="shared" si="57"/>
        <v>NA</v>
      </c>
      <c r="AG131" s="57">
        <f t="shared" si="58"/>
        <v>0</v>
      </c>
      <c r="AH131" s="15">
        <f>IFERROR(AG131/AG148, "NA")</f>
        <v>0</v>
      </c>
      <c r="AI131" s="61">
        <f t="shared" si="59"/>
        <v>0</v>
      </c>
      <c r="AJ131" s="62">
        <f>IFERROR(AI131/AI148, "NA")</f>
        <v>0</v>
      </c>
      <c r="AK131" s="61" t="str">
        <f t="shared" si="60"/>
        <v>NA</v>
      </c>
      <c r="AL131" s="62" t="str">
        <f>IFERROR(AK131/AK148, "NA")</f>
        <v>NA</v>
      </c>
    </row>
    <row r="132" ht="16.5" hidden="1" customHeight="1">
      <c r="A132" s="26" t="s">
        <v>245</v>
      </c>
      <c r="B132" s="28">
        <v>0.0</v>
      </c>
      <c r="C132" s="15">
        <f>IFERROR(B132/B148, "NA")</f>
        <v>0</v>
      </c>
      <c r="D132" s="28">
        <v>0.0</v>
      </c>
      <c r="E132" s="15">
        <f>IFERROR(D132/D148, "NA")</f>
        <v>0</v>
      </c>
      <c r="F132" s="28">
        <v>0.0</v>
      </c>
      <c r="G132" s="15">
        <f>IFERROR(F132/F148, "NA")</f>
        <v>0</v>
      </c>
      <c r="H132" s="28">
        <v>0.0</v>
      </c>
      <c r="I132" s="15">
        <f>IFERROR(H132/H148, "NA")</f>
        <v>0</v>
      </c>
      <c r="J132" s="28">
        <v>0.0</v>
      </c>
      <c r="K132" s="15">
        <f>IFERROR(J132/J148, "NA")</f>
        <v>0</v>
      </c>
      <c r="L132" s="28">
        <v>0.0</v>
      </c>
      <c r="M132" s="15">
        <f>IFERROR(L132/L148, "NA")</f>
        <v>0</v>
      </c>
      <c r="N132" s="28">
        <v>0.0</v>
      </c>
      <c r="O132" s="15">
        <f>IFERROR(N132/N148, "NA")</f>
        <v>0</v>
      </c>
      <c r="P132" s="28">
        <v>0.0</v>
      </c>
      <c r="Q132" s="15">
        <f>IFERROR(P132/P148, "NA")</f>
        <v>0</v>
      </c>
      <c r="R132" s="28">
        <v>0.0</v>
      </c>
      <c r="S132" s="15">
        <f>IFERROR(R132/R148, "NA")</f>
        <v>0</v>
      </c>
      <c r="T132" s="28">
        <v>0.0</v>
      </c>
      <c r="U132" s="15">
        <f>IFERROR(T132/T148, "NA")</f>
        <v>0</v>
      </c>
      <c r="V132" s="28">
        <v>0.0</v>
      </c>
      <c r="W132" s="15">
        <f>IFERROR(V132/V148, "NA")</f>
        <v>0</v>
      </c>
      <c r="X132" s="28">
        <v>0.0</v>
      </c>
      <c r="Y132" s="15">
        <f>IFERROR(X132/X148, "NA")</f>
        <v>0</v>
      </c>
      <c r="Z132" s="28">
        <v>0.0</v>
      </c>
      <c r="AA132" s="15">
        <f>IFERROR(Z132/Z148, "NA")</f>
        <v>0</v>
      </c>
      <c r="AB132" s="57">
        <f t="shared" si="55"/>
        <v>0</v>
      </c>
      <c r="AC132" s="15">
        <f>IFERROR(AB132/AB148, "NA")</f>
        <v>0</v>
      </c>
      <c r="AD132" s="61">
        <f t="shared" si="56"/>
        <v>0</v>
      </c>
      <c r="AE132" s="62">
        <f>IFERROR(AD132/AD148, "NA")</f>
        <v>0</v>
      </c>
      <c r="AF132" s="61" t="str">
        <f t="shared" si="57"/>
        <v>NA</v>
      </c>
      <c r="AG132" s="57">
        <f t="shared" si="58"/>
        <v>0</v>
      </c>
      <c r="AH132" s="15">
        <f>IFERROR(AG132/AG148, "NA")</f>
        <v>0</v>
      </c>
      <c r="AI132" s="61">
        <f t="shared" si="59"/>
        <v>0</v>
      </c>
      <c r="AJ132" s="62">
        <f>IFERROR(AI132/AI148, "NA")</f>
        <v>0</v>
      </c>
      <c r="AK132" s="61" t="str">
        <f t="shared" si="60"/>
        <v>NA</v>
      </c>
      <c r="AL132" s="62" t="str">
        <f>IFERROR(AK132/AK148, "NA")</f>
        <v>NA</v>
      </c>
    </row>
    <row r="133" ht="16.5" hidden="1" customHeight="1">
      <c r="A133" s="26" t="s">
        <v>246</v>
      </c>
      <c r="B133" s="28">
        <v>0.0</v>
      </c>
      <c r="C133" s="15">
        <f>IFERROR(B133/B148, "NA")</f>
        <v>0</v>
      </c>
      <c r="D133" s="28">
        <v>0.0</v>
      </c>
      <c r="E133" s="15">
        <f>IFERROR(D133/D148, "NA")</f>
        <v>0</v>
      </c>
      <c r="F133" s="28">
        <v>0.0</v>
      </c>
      <c r="G133" s="15">
        <f>IFERROR(F133/F148, "NA")</f>
        <v>0</v>
      </c>
      <c r="H133" s="28">
        <v>0.0</v>
      </c>
      <c r="I133" s="15">
        <f>IFERROR(H133/H148, "NA")</f>
        <v>0</v>
      </c>
      <c r="J133" s="28">
        <v>0.0</v>
      </c>
      <c r="K133" s="15">
        <f>IFERROR(J133/J148, "NA")</f>
        <v>0</v>
      </c>
      <c r="L133" s="28">
        <v>0.0</v>
      </c>
      <c r="M133" s="15">
        <f>IFERROR(L133/L148, "NA")</f>
        <v>0</v>
      </c>
      <c r="N133" s="28">
        <v>0.0</v>
      </c>
      <c r="O133" s="15">
        <f>IFERROR(N133/N148, "NA")</f>
        <v>0</v>
      </c>
      <c r="P133" s="28">
        <v>0.0</v>
      </c>
      <c r="Q133" s="15">
        <f>IFERROR(P133/P148, "NA")</f>
        <v>0</v>
      </c>
      <c r="R133" s="28">
        <v>0.0</v>
      </c>
      <c r="S133" s="15">
        <f>IFERROR(R133/R148, "NA")</f>
        <v>0</v>
      </c>
      <c r="T133" s="28">
        <v>0.0</v>
      </c>
      <c r="U133" s="15">
        <f>IFERROR(T133/T148, "NA")</f>
        <v>0</v>
      </c>
      <c r="V133" s="28">
        <v>0.0</v>
      </c>
      <c r="W133" s="15">
        <f>IFERROR(V133/V148, "NA")</f>
        <v>0</v>
      </c>
      <c r="X133" s="28">
        <v>0.0</v>
      </c>
      <c r="Y133" s="15">
        <f>IFERROR(X133/X148, "NA")</f>
        <v>0</v>
      </c>
      <c r="Z133" s="28">
        <v>0.0</v>
      </c>
      <c r="AA133" s="15">
        <f>IFERROR(Z133/Z148, "NA")</f>
        <v>0</v>
      </c>
      <c r="AB133" s="57">
        <f t="shared" si="55"/>
        <v>0</v>
      </c>
      <c r="AC133" s="15">
        <f>IFERROR(AB133/AB148, "NA")</f>
        <v>0</v>
      </c>
      <c r="AD133" s="61">
        <f t="shared" si="56"/>
        <v>0</v>
      </c>
      <c r="AE133" s="62">
        <f>IFERROR(AD133/AD148, "NA")</f>
        <v>0</v>
      </c>
      <c r="AF133" s="61" t="str">
        <f t="shared" si="57"/>
        <v>NA</v>
      </c>
      <c r="AG133" s="57">
        <f t="shared" si="58"/>
        <v>0</v>
      </c>
      <c r="AH133" s="15">
        <f>IFERROR(AG133/AG148, "NA")</f>
        <v>0</v>
      </c>
      <c r="AI133" s="61">
        <f t="shared" si="59"/>
        <v>0</v>
      </c>
      <c r="AJ133" s="62">
        <f>IFERROR(AI133/AI148, "NA")</f>
        <v>0</v>
      </c>
      <c r="AK133" s="61" t="str">
        <f t="shared" si="60"/>
        <v>NA</v>
      </c>
      <c r="AL133" s="62" t="str">
        <f>IFERROR(AK133/AK148, "NA")</f>
        <v>NA</v>
      </c>
    </row>
    <row r="134" ht="16.5" hidden="1" customHeight="1">
      <c r="A134" s="26" t="s">
        <v>247</v>
      </c>
      <c r="B134" s="28">
        <v>0.0</v>
      </c>
      <c r="C134" s="15">
        <f>IFERROR(B134/B148, "NA")</f>
        <v>0</v>
      </c>
      <c r="D134" s="28">
        <v>0.0</v>
      </c>
      <c r="E134" s="15">
        <f>IFERROR(D134/D148, "NA")</f>
        <v>0</v>
      </c>
      <c r="F134" s="28">
        <v>0.0</v>
      </c>
      <c r="G134" s="15">
        <f>IFERROR(F134/F148, "NA")</f>
        <v>0</v>
      </c>
      <c r="H134" s="28">
        <v>0.0</v>
      </c>
      <c r="I134" s="15">
        <f>IFERROR(H134/H148, "NA")</f>
        <v>0</v>
      </c>
      <c r="J134" s="28">
        <v>0.0</v>
      </c>
      <c r="K134" s="15">
        <f>IFERROR(J134/J148, "NA")</f>
        <v>0</v>
      </c>
      <c r="L134" s="28">
        <v>0.0</v>
      </c>
      <c r="M134" s="15">
        <f>IFERROR(L134/L148, "NA")</f>
        <v>0</v>
      </c>
      <c r="N134" s="28">
        <v>0.0</v>
      </c>
      <c r="O134" s="15">
        <f>IFERROR(N134/N148, "NA")</f>
        <v>0</v>
      </c>
      <c r="P134" s="28">
        <v>0.0</v>
      </c>
      <c r="Q134" s="15">
        <f>IFERROR(P134/P148, "NA")</f>
        <v>0</v>
      </c>
      <c r="R134" s="28">
        <v>0.0</v>
      </c>
      <c r="S134" s="15">
        <f>IFERROR(R134/R148, "NA")</f>
        <v>0</v>
      </c>
      <c r="T134" s="28">
        <v>0.0</v>
      </c>
      <c r="U134" s="15">
        <f>IFERROR(T134/T148, "NA")</f>
        <v>0</v>
      </c>
      <c r="V134" s="28">
        <v>0.0</v>
      </c>
      <c r="W134" s="15">
        <f>IFERROR(V134/V148, "NA")</f>
        <v>0</v>
      </c>
      <c r="X134" s="28">
        <v>0.0</v>
      </c>
      <c r="Y134" s="15">
        <f>IFERROR(X134/X148, "NA")</f>
        <v>0</v>
      </c>
      <c r="Z134" s="28">
        <v>0.0</v>
      </c>
      <c r="AA134" s="15">
        <f>IFERROR(Z134/Z148, "NA")</f>
        <v>0</v>
      </c>
      <c r="AB134" s="57">
        <f t="shared" si="55"/>
        <v>0</v>
      </c>
      <c r="AC134" s="15">
        <f>IFERROR(AB134/AB148, "NA")</f>
        <v>0</v>
      </c>
      <c r="AD134" s="61">
        <f t="shared" si="56"/>
        <v>0</v>
      </c>
      <c r="AE134" s="62">
        <f>IFERROR(AD134/AD148, "NA")</f>
        <v>0</v>
      </c>
      <c r="AF134" s="61" t="str">
        <f t="shared" si="57"/>
        <v>NA</v>
      </c>
      <c r="AG134" s="57">
        <f t="shared" si="58"/>
        <v>0</v>
      </c>
      <c r="AH134" s="15">
        <f>IFERROR(AG134/AG148, "NA")</f>
        <v>0</v>
      </c>
      <c r="AI134" s="61">
        <f t="shared" si="59"/>
        <v>0</v>
      </c>
      <c r="AJ134" s="62">
        <f>IFERROR(AI134/AI148, "NA")</f>
        <v>0</v>
      </c>
      <c r="AK134" s="61" t="str">
        <f t="shared" si="60"/>
        <v>NA</v>
      </c>
      <c r="AL134" s="62" t="str">
        <f>IFERROR(AK134/AK148, "NA")</f>
        <v>NA</v>
      </c>
    </row>
    <row r="135" ht="16.5" hidden="1" customHeight="1">
      <c r="A135" s="67" t="s">
        <v>248</v>
      </c>
      <c r="B135" s="70">
        <f>IFERROR(B110+B111+B112+B113+B114+B115+B116+B117+B118+B119+B120+B121+B122+B123+B124+B125+B126+B127+B128+B129+B130+B131+B132+B133+B134, "NA")</f>
        <v>363.63</v>
      </c>
      <c r="C135" s="71">
        <f>IFERROR(B135/B148, "NA")</f>
        <v>0.02587373577</v>
      </c>
      <c r="D135" s="70">
        <f>IFERROR(D110+D111+D112+D113+D114+D115+D116+D117+D118+D119+D120+D121+D122+D123+D124+D125+D126+D127+D128+D129+D130+D131+D132+D133+D134, "NA")</f>
        <v>391.88</v>
      </c>
      <c r="E135" s="71">
        <f>IFERROR(D135/D148, "NA")</f>
        <v>0.02096560107</v>
      </c>
      <c r="F135" s="70">
        <f>IFERROR(F110+F111+F112+F113+F114+F115+F116+F117+F118+F119+F120+F121+F122+F123+F124+F125+F126+F127+F128+F129+F130+F131+F132+F133+F134, "NA")</f>
        <v>418.33</v>
      </c>
      <c r="G135" s="71">
        <f>IFERROR(F135/F148, "NA")</f>
        <v>0.01725126942</v>
      </c>
      <c r="H135" s="70">
        <f>IFERROR(H110+H111+H112+H113+H114+H115+H116+H117+H118+H119+H120+H121+H122+H123+H124+H125+H126+H127+H128+H129+H130+H131+H132+H133+H134, "NA")</f>
        <v>-1173.84</v>
      </c>
      <c r="I135" s="71">
        <f>IFERROR(H135/H148, "NA")</f>
        <v>-0.05164746636</v>
      </c>
      <c r="J135" s="70">
        <f>IFERROR(J110+J111+J112+J113+J114+J115+J116+J117+J118+J119+J120+J121+J122+J123+J124+J125+J126+J127+J128+J129+J130+J131+J132+J133+J134, "NA")</f>
        <v>467.73</v>
      </c>
      <c r="K135" s="71">
        <f>IFERROR(J135/J148, "NA")</f>
        <v>0.02130175089</v>
      </c>
      <c r="L135" s="70">
        <f>IFERROR(L110+L111+L112+L113+L114+L115+L116+L117+L118+L119+L120+L121+L122+L123+L124+L125+L126+L127+L128+L129+L130+L131+L132+L133+L134, "NA")</f>
        <v>276.34</v>
      </c>
      <c r="M135" s="71">
        <f>IFERROR(L135/L148, "NA")</f>
        <v>0.01109630747</v>
      </c>
      <c r="N135" s="70">
        <f>IFERROR(N110+N111+N112+N113+N114+N115+N116+N117+N118+N119+N120+N121+N122+N123+N124+N125+N126+N127+N128+N129+N130+N131+N132+N133+N134, "NA")</f>
        <v>288.48</v>
      </c>
      <c r="O135" s="71">
        <f>IFERROR(N135/N148, "NA")</f>
        <v>0.01138772953</v>
      </c>
      <c r="P135" s="70">
        <f>IFERROR(P110+P111+P112+P113+P114+P115+P116+P117+P118+P119+P120+P121+P122+P123+P124+P125+P126+P127+P128+P129+P130+P131+P132+P133+P134, "NA")</f>
        <v>236.87</v>
      </c>
      <c r="Q135" s="71">
        <f>IFERROR(P135/P148, "NA")</f>
        <v>0.009093097239</v>
      </c>
      <c r="R135" s="70">
        <f>IFERROR(R110+R111+R112+R113+R114+R115+R116+R117+R118+R119+R120+R121+R122+R123+R124+R125+R126+R127+R128+R129+R130+R131+R132+R133+R134, "NA")</f>
        <v>-1269.42</v>
      </c>
      <c r="S135" s="71">
        <f>IFERROR(R135/R148, "NA")</f>
        <v>-0.04235430718</v>
      </c>
      <c r="T135" s="70">
        <f>IFERROR(T110+T111+T112+T113+T114+T115+T116+T117+T118+T119+T120+T121+T122+T123+T124+T125+T126+T127+T128+T129+T130+T131+T132+T133+T134, "NA")</f>
        <v>294.88</v>
      </c>
      <c r="U135" s="71">
        <f>IFERROR(T135/T148, "NA")</f>
        <v>0.01129719264</v>
      </c>
      <c r="V135" s="70">
        <f>IFERROR(V110+V111+V112+V113+V114+V115+V116+V117+V118+V119+V120+V121+V122+V123+V124+V125+V126+V127+V128+V129+V130+V131+V132+V133+V134, "NA")</f>
        <v>402.72</v>
      </c>
      <c r="W135" s="71">
        <f>IFERROR(V135/V148, "NA")</f>
        <v>0.01326732177</v>
      </c>
      <c r="X135" s="70">
        <f>IFERROR(X110+X111+X112+X113+X114+X115+X116+X117+X118+X119+X120+X121+X122+X123+X124+X125+X126+X127+X128+X129+X130+X131+X132+X133+X134, "NA")</f>
        <v>2416.79</v>
      </c>
      <c r="Y135" s="71">
        <f>IFERROR(X135/X148, "NA")</f>
        <v>0.09349002235</v>
      </c>
      <c r="Z135" s="70">
        <f>IFERROR(Z110+Z111+Z112+Z113+Z114+Z115+Z116+Z117+Z118+Z119+Z120+Z121+Z122+Z123+Z124+Z125+Z126+Z127+Z128+Z129+Z130+Z131+Z132+Z133+Z134, "NA")</f>
        <v>3114.39</v>
      </c>
      <c r="AA135" s="71">
        <f>IFERROR(Z135/Z148, "NA")</f>
        <v>0.03783864628</v>
      </c>
      <c r="AB135" s="70">
        <f t="shared" si="55"/>
        <v>461.2425</v>
      </c>
      <c r="AC135" s="71">
        <f>IFERROR(AB135/AB148, "NA")</f>
        <v>0.01643207604</v>
      </c>
      <c r="AD135" s="75">
        <f t="shared" si="56"/>
        <v>1955.5475</v>
      </c>
      <c r="AE135" s="76">
        <f>IFERROR(AD135/AD148, "NA")</f>
        <v>-0.881328834</v>
      </c>
      <c r="AF135" s="75">
        <f t="shared" si="57"/>
        <v>4.239738316</v>
      </c>
      <c r="AG135" s="70">
        <f t="shared" si="58"/>
        <v>389.29875</v>
      </c>
      <c r="AH135" s="71">
        <f>IFERROR(AG135/AG148, "NA")</f>
        <v>0.01479367966</v>
      </c>
      <c r="AI135" s="75">
        <f t="shared" si="59"/>
        <v>2027.49125</v>
      </c>
      <c r="AJ135" s="76">
        <f>IFERROR(AI135/AI148, "NA")</f>
        <v>-4.365571053</v>
      </c>
      <c r="AK135" s="75">
        <f t="shared" si="60"/>
        <v>5.208060005</v>
      </c>
      <c r="AL135" s="76">
        <f>IFERROR(AK135/AK148, "NA")</f>
        <v>-295.0970382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2"/>
      <c r="AF136" s="125"/>
      <c r="AG136" s="124"/>
      <c r="AH136" s="74"/>
      <c r="AI136" s="125"/>
      <c r="AJ136" s="82"/>
      <c r="AK136" s="125"/>
      <c r="AL136" s="82"/>
    </row>
    <row r="137" ht="16.5" hidden="1" customHeight="1">
      <c r="A137" s="121" t="s">
        <v>249</v>
      </c>
      <c r="B137" s="122">
        <f>IFERROR(B107-B135, "NA")</f>
        <v>-45.98</v>
      </c>
      <c r="C137" s="98">
        <f>IFERROR(B137/B148, "NA")</f>
        <v>-0.003271661774</v>
      </c>
      <c r="D137" s="122">
        <f>IFERROR(D107-D135, "NA")</f>
        <v>1391.73</v>
      </c>
      <c r="E137" s="98">
        <f>IFERROR(D137/D148, "NA")</f>
        <v>0.07445762983</v>
      </c>
      <c r="F137" s="122">
        <f>IFERROR(F107-F135, "NA")</f>
        <v>312.83</v>
      </c>
      <c r="G137" s="98">
        <f>IFERROR(F137/F148, "NA")</f>
        <v>0.01290061581</v>
      </c>
      <c r="H137" s="122">
        <f>IFERROR(H107-H135, "NA")</f>
        <v>-17483.23</v>
      </c>
      <c r="I137" s="98">
        <f>IFERROR(H137/H148, "NA")</f>
        <v>-0.7692398736</v>
      </c>
      <c r="J137" s="122">
        <f>IFERROR(J107-J135, "NA")</f>
        <v>1537.41</v>
      </c>
      <c r="K137" s="98">
        <f>IFERROR(J137/J148, "NA")</f>
        <v>0.07001801219</v>
      </c>
      <c r="L137" s="122">
        <f>IFERROR(L107-L135, "NA")</f>
        <v>5506.19</v>
      </c>
      <c r="M137" s="98">
        <f>IFERROR(L137/L148, "NA")</f>
        <v>0.2210985642</v>
      </c>
      <c r="N137" s="122">
        <f>IFERROR(N107-N135, "NA")</f>
        <v>-66.13</v>
      </c>
      <c r="O137" s="98">
        <f>IFERROR(N137/N148, "NA")</f>
        <v>-0.002610477516</v>
      </c>
      <c r="P137" s="122">
        <f>IFERROR(P107-P135, "NA")</f>
        <v>5789.93</v>
      </c>
      <c r="Q137" s="98">
        <f>IFERROR(P137/P148, "NA")</f>
        <v>0.2222670515</v>
      </c>
      <c r="R137" s="122">
        <f>IFERROR(R107-R135, "NA")</f>
        <v>-16597.66</v>
      </c>
      <c r="S137" s="98">
        <f>IFERROR(R137/R148, "NA")</f>
        <v>-0.5537823495</v>
      </c>
      <c r="T137" s="122">
        <f>IFERROR(T107-T135, "NA")</f>
        <v>4379.8</v>
      </c>
      <c r="U137" s="98">
        <f>IFERROR(T137/T148, "NA")</f>
        <v>0.1677951855</v>
      </c>
      <c r="V137" s="122">
        <f>IFERROR(V107-V135, "NA")</f>
        <v>5427.92</v>
      </c>
      <c r="W137" s="98">
        <f>IFERROR(V137/V148, "NA")</f>
        <v>0.1788189343</v>
      </c>
      <c r="X137" s="122">
        <f>IFERROR(X107-X135, "NA")</f>
        <v>172.77</v>
      </c>
      <c r="Y137" s="98">
        <f>IFERROR(X137/X148, "NA")</f>
        <v>0.00668335733</v>
      </c>
      <c r="Z137" s="122">
        <f>IFERROR(Z107-Z135, "NA")</f>
        <v>9980.49</v>
      </c>
      <c r="AA137" s="98">
        <f>IFERROR(Z137/Z148, "NA")</f>
        <v>0.1212591329</v>
      </c>
      <c r="AB137" s="122">
        <f>IFERROR((R137+T137+V137+X137)/4, "NA")</f>
        <v>-1654.2925</v>
      </c>
      <c r="AC137" s="98">
        <f>IFERROR(AB137/AB148, "NA")</f>
        <v>-0.05893528925</v>
      </c>
      <c r="AD137" s="75">
        <f>IFERROR(X137-AB137, "NA")</f>
        <v>1827.0625</v>
      </c>
      <c r="AE137" s="76">
        <f>IFERROR(AD137/AD148, "NA")</f>
        <v>-0.8234230377</v>
      </c>
      <c r="AF137" s="75">
        <f>IFERROR((X137-AB137)/AB137, "NA")</f>
        <v>-1.104437395</v>
      </c>
      <c r="AG137" s="122">
        <f>IFERROR((J137+L137+N137+P137+R137+T137+V137+X137)/8, "NA")</f>
        <v>768.77875</v>
      </c>
      <c r="AH137" s="98">
        <f>IFERROR(AG137/AG148, "NA")</f>
        <v>0.02921423857</v>
      </c>
      <c r="AI137" s="75">
        <f>IFERROR(X137-AG137, "NA")</f>
        <v>-596.00875</v>
      </c>
      <c r="AJ137" s="76">
        <f>IFERROR(AI137/AI148, "NA")</f>
        <v>1.283319248</v>
      </c>
      <c r="AK137" s="75">
        <f>IFERROR((X137-AG137)/AG137, "NA")</f>
        <v>-0.7752669412</v>
      </c>
      <c r="AL137" s="76">
        <f>IFERROR(AK137/AK148, "NA")</f>
        <v>43.9278691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2"/>
      <c r="AF138" s="125"/>
      <c r="AG138" s="124"/>
      <c r="AH138" s="74"/>
      <c r="AI138" s="125"/>
      <c r="AJ138" s="82"/>
      <c r="AK138" s="125"/>
      <c r="AL138" s="82"/>
    </row>
    <row r="139" ht="16.5" hidden="1" customHeight="1">
      <c r="A139" s="22" t="s">
        <v>250</v>
      </c>
      <c r="B139" s="23"/>
      <c r="C139" s="10"/>
      <c r="D139" s="23"/>
      <c r="E139" s="10"/>
      <c r="F139" s="23"/>
      <c r="G139" s="10"/>
      <c r="H139" s="23"/>
      <c r="I139" s="10"/>
      <c r="J139" s="23"/>
      <c r="K139" s="10"/>
      <c r="L139" s="23"/>
      <c r="M139" s="10"/>
      <c r="N139" s="23"/>
      <c r="O139" s="10"/>
      <c r="P139" s="23"/>
      <c r="Q139" s="10"/>
      <c r="R139" s="23"/>
      <c r="S139" s="10"/>
      <c r="T139" s="23"/>
      <c r="U139" s="10"/>
      <c r="V139" s="23"/>
      <c r="W139" s="10"/>
      <c r="X139" s="23"/>
      <c r="Y139" s="10"/>
      <c r="Z139" s="23"/>
      <c r="AA139" s="10"/>
      <c r="AB139" s="23"/>
      <c r="AC139" s="10"/>
      <c r="AD139" s="24"/>
      <c r="AE139" s="25"/>
      <c r="AF139" s="24"/>
      <c r="AG139" s="23"/>
      <c r="AH139" s="10"/>
      <c r="AI139" s="24"/>
      <c r="AJ139" s="25"/>
      <c r="AK139" s="24"/>
      <c r="AL139" s="25"/>
    </row>
    <row r="140" ht="16.5" hidden="1" customHeight="1">
      <c r="A140" s="26" t="s">
        <v>251</v>
      </c>
      <c r="B140" s="28">
        <v>-27.62</v>
      </c>
      <c r="C140" s="15">
        <f>IFERROR(B140/B148, "NA")</f>
        <v>-0.001965273993</v>
      </c>
      <c r="D140" s="28">
        <v>0.0</v>
      </c>
      <c r="E140" s="15">
        <f>IFERROR(D140/D148, "NA")</f>
        <v>0</v>
      </c>
      <c r="F140" s="28">
        <v>5.41</v>
      </c>
      <c r="G140" s="15">
        <f>IFERROR(F140/F148, "NA")</f>
        <v>0.0002230998675</v>
      </c>
      <c r="H140" s="28">
        <v>10599.97</v>
      </c>
      <c r="I140" s="15">
        <f>IFERROR(H140/H148, "NA")</f>
        <v>0.4663851921</v>
      </c>
      <c r="J140" s="28">
        <v>0.0</v>
      </c>
      <c r="K140" s="15">
        <f>IFERROR(J140/J148, "NA")</f>
        <v>0</v>
      </c>
      <c r="L140" s="28">
        <v>0.0</v>
      </c>
      <c r="M140" s="15">
        <f>IFERROR(L140/L148, "NA")</f>
        <v>0</v>
      </c>
      <c r="N140" s="28">
        <v>0.0</v>
      </c>
      <c r="O140" s="15">
        <f>IFERROR(N140/N148, "NA")</f>
        <v>0</v>
      </c>
      <c r="P140" s="28">
        <v>-69.37</v>
      </c>
      <c r="Q140" s="15">
        <f>IFERROR(P140/P148, "NA")</f>
        <v>-0.002663014124</v>
      </c>
      <c r="R140" s="28">
        <v>10648.2</v>
      </c>
      <c r="S140" s="15">
        <f>IFERROR(R140/R148, "NA")</f>
        <v>0.3552781063</v>
      </c>
      <c r="T140" s="28">
        <v>0.0</v>
      </c>
      <c r="U140" s="15">
        <f>IFERROR(T140/T148, "NA")</f>
        <v>0</v>
      </c>
      <c r="V140" s="28">
        <v>0.0</v>
      </c>
      <c r="W140" s="15">
        <f>IFERROR(V140/V148, "NA")</f>
        <v>0</v>
      </c>
      <c r="X140" s="28">
        <v>0.0</v>
      </c>
      <c r="Y140" s="15">
        <f>IFERROR(X140/X148, "NA")</f>
        <v>0</v>
      </c>
      <c r="Z140" s="28">
        <v>0.0</v>
      </c>
      <c r="AA140" s="15">
        <f>IFERROR(Z140/Z148, "NA")</f>
        <v>0</v>
      </c>
      <c r="AB140" s="57">
        <f t="shared" ref="AB140:AB141" si="61">IFERROR((R140+T140+V140+X140)/4, "NA")</f>
        <v>2662.05</v>
      </c>
      <c r="AC140" s="15">
        <f>IFERROR(AB140/AB148, "NA")</f>
        <v>0.09483733183</v>
      </c>
      <c r="AD140" s="61">
        <f t="shared" ref="AD140:AD141" si="62">IFERROR(X140-AB140, "NA")</f>
        <v>-2662.05</v>
      </c>
      <c r="AE140" s="62">
        <f>IFERROR(AD140/AD148, "NA")</f>
        <v>1.199736351</v>
      </c>
      <c r="AF140" s="61">
        <f t="shared" ref="AF140:AF141" si="63">IFERROR((X140-AB140)/AB140, "NA")</f>
        <v>-1</v>
      </c>
      <c r="AG140" s="57">
        <f t="shared" ref="AG140:AG141" si="64">IFERROR((J140+L140+N140+P140+R140+T140+V140+X140)/8, "NA")</f>
        <v>1322.35375</v>
      </c>
      <c r="AH140" s="15">
        <f>IFERROR(AG140/AG148, "NA")</f>
        <v>0.05025055379</v>
      </c>
      <c r="AI140" s="61">
        <f t="shared" ref="AI140:AI141" si="65">IFERROR(X140-AG140, "NA")</f>
        <v>-1322.35375</v>
      </c>
      <c r="AJ140" s="62">
        <f>IFERROR(AI140/AI148, "NA")</f>
        <v>2.847277024</v>
      </c>
      <c r="AK140" s="61">
        <f t="shared" ref="AK140:AK141" si="66">IFERROR((X140-AG140)/AG140, "NA")</f>
        <v>-1</v>
      </c>
      <c r="AL140" s="62">
        <f>IFERROR(AK140/AK148, "NA")</f>
        <v>56.66160488</v>
      </c>
    </row>
    <row r="141" ht="16.5" hidden="1" customHeight="1">
      <c r="A141" s="67" t="s">
        <v>252</v>
      </c>
      <c r="B141" s="70">
        <f>IFERROR(B140, "NA")</f>
        <v>-27.62</v>
      </c>
      <c r="C141" s="71">
        <f>IFERROR(B141/B148, "NA")</f>
        <v>-0.001965273993</v>
      </c>
      <c r="D141" s="70">
        <f>IFERROR(D140, "NA")</f>
        <v>0</v>
      </c>
      <c r="E141" s="71">
        <f>IFERROR(D141/D148, "NA")</f>
        <v>0</v>
      </c>
      <c r="F141" s="70">
        <f>IFERROR(F140, "NA")</f>
        <v>5.41</v>
      </c>
      <c r="G141" s="71">
        <f>IFERROR(F141/F148, "NA")</f>
        <v>0.0002230998675</v>
      </c>
      <c r="H141" s="70">
        <f>IFERROR(H140, "NA")</f>
        <v>10599.97</v>
      </c>
      <c r="I141" s="71">
        <f>IFERROR(H141/H148, "NA")</f>
        <v>0.4663851921</v>
      </c>
      <c r="J141" s="70">
        <f>IFERROR(J140, "NA")</f>
        <v>0</v>
      </c>
      <c r="K141" s="71">
        <f>IFERROR(J141/J148, "NA")</f>
        <v>0</v>
      </c>
      <c r="L141" s="70">
        <f>IFERROR(L140, "NA")</f>
        <v>0</v>
      </c>
      <c r="M141" s="71">
        <f>IFERROR(L141/L148, "NA")</f>
        <v>0</v>
      </c>
      <c r="N141" s="70">
        <f>IFERROR(N140, "NA")</f>
        <v>0</v>
      </c>
      <c r="O141" s="71">
        <f>IFERROR(N141/N148, "NA")</f>
        <v>0</v>
      </c>
      <c r="P141" s="70">
        <f>IFERROR(P140, "NA")</f>
        <v>-69.37</v>
      </c>
      <c r="Q141" s="71">
        <f>IFERROR(P141/P148, "NA")</f>
        <v>-0.002663014124</v>
      </c>
      <c r="R141" s="70">
        <f>IFERROR(R140, "NA")</f>
        <v>10648.2</v>
      </c>
      <c r="S141" s="71">
        <f>IFERROR(R141/R148, "NA")</f>
        <v>0.3552781063</v>
      </c>
      <c r="T141" s="70">
        <f>IFERROR(T140, "NA")</f>
        <v>0</v>
      </c>
      <c r="U141" s="71">
        <f>IFERROR(T141/T148, "NA")</f>
        <v>0</v>
      </c>
      <c r="V141" s="70">
        <f>IFERROR(V140, "NA")</f>
        <v>0</v>
      </c>
      <c r="W141" s="71">
        <f>IFERROR(V141/V148, "NA")</f>
        <v>0</v>
      </c>
      <c r="X141" s="70">
        <f>IFERROR(X140, "NA")</f>
        <v>0</v>
      </c>
      <c r="Y141" s="71">
        <f>IFERROR(X141/X148, "NA")</f>
        <v>0</v>
      </c>
      <c r="Z141" s="70">
        <f>IFERROR(Z140, "NA")</f>
        <v>0</v>
      </c>
      <c r="AA141" s="71">
        <f>IFERROR(Z141/Z148, "NA")</f>
        <v>0</v>
      </c>
      <c r="AB141" s="70">
        <f t="shared" si="61"/>
        <v>2662.05</v>
      </c>
      <c r="AC141" s="71">
        <f>IFERROR(AB141/AB148, "NA")</f>
        <v>0.09483733183</v>
      </c>
      <c r="AD141" s="75">
        <f t="shared" si="62"/>
        <v>-2662.05</v>
      </c>
      <c r="AE141" s="76">
        <f>IFERROR(AD141/AD148, "NA")</f>
        <v>1.199736351</v>
      </c>
      <c r="AF141" s="75">
        <f t="shared" si="63"/>
        <v>-1</v>
      </c>
      <c r="AG141" s="70">
        <f t="shared" si="64"/>
        <v>1322.35375</v>
      </c>
      <c r="AH141" s="71">
        <f>IFERROR(AG141/AG148, "NA")</f>
        <v>0.05025055379</v>
      </c>
      <c r="AI141" s="75">
        <f t="shared" si="65"/>
        <v>-1322.35375</v>
      </c>
      <c r="AJ141" s="76">
        <f>IFERROR(AI141/AI148, "NA")</f>
        <v>2.847277024</v>
      </c>
      <c r="AK141" s="75">
        <f t="shared" si="66"/>
        <v>-1</v>
      </c>
      <c r="AL141" s="76">
        <f>IFERROR(AK141/AK148, "NA")</f>
        <v>56.66160488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2"/>
      <c r="AF142" s="125"/>
      <c r="AG142" s="124"/>
      <c r="AH142" s="74"/>
      <c r="AI142" s="125"/>
      <c r="AJ142" s="82"/>
      <c r="AK142" s="125"/>
      <c r="AL142" s="82"/>
    </row>
    <row r="143" ht="16.5" hidden="1" customHeight="1">
      <c r="A143" s="22" t="s">
        <v>253</v>
      </c>
      <c r="B143" s="23"/>
      <c r="C143" s="10"/>
      <c r="D143" s="23"/>
      <c r="E143" s="10"/>
      <c r="F143" s="23"/>
      <c r="G143" s="10"/>
      <c r="H143" s="23"/>
      <c r="I143" s="10"/>
      <c r="J143" s="23"/>
      <c r="K143" s="10"/>
      <c r="L143" s="23"/>
      <c r="M143" s="10"/>
      <c r="N143" s="23"/>
      <c r="O143" s="10"/>
      <c r="P143" s="23"/>
      <c r="Q143" s="10"/>
      <c r="R143" s="23"/>
      <c r="S143" s="10"/>
      <c r="T143" s="23"/>
      <c r="U143" s="10"/>
      <c r="V143" s="23"/>
      <c r="W143" s="10"/>
      <c r="X143" s="23"/>
      <c r="Y143" s="10"/>
      <c r="Z143" s="23"/>
      <c r="AA143" s="10"/>
      <c r="AB143" s="23"/>
      <c r="AC143" s="10"/>
      <c r="AD143" s="24"/>
      <c r="AE143" s="25"/>
      <c r="AF143" s="24"/>
      <c r="AG143" s="23"/>
      <c r="AH143" s="10"/>
      <c r="AI143" s="24"/>
      <c r="AJ143" s="25"/>
      <c r="AK143" s="24"/>
      <c r="AL143" s="25"/>
    </row>
    <row r="144" ht="16.5" hidden="1" customHeight="1">
      <c r="A144" s="26" t="s">
        <v>254</v>
      </c>
      <c r="B144" s="28">
        <v>0.0</v>
      </c>
      <c r="C144" s="15">
        <f>IFERROR(B144/B148, "NA")</f>
        <v>0</v>
      </c>
      <c r="D144" s="28">
        <v>0.0</v>
      </c>
      <c r="E144" s="15">
        <f>IFERROR(D144/D148, "NA")</f>
        <v>0</v>
      </c>
      <c r="F144" s="28">
        <v>0.0</v>
      </c>
      <c r="G144" s="15">
        <f>IFERROR(F144/F148, "NA")</f>
        <v>0</v>
      </c>
      <c r="H144" s="28">
        <v>0.0</v>
      </c>
      <c r="I144" s="15">
        <f>IFERROR(H144/H148, "NA")</f>
        <v>0</v>
      </c>
      <c r="J144" s="28">
        <v>0.0</v>
      </c>
      <c r="K144" s="15">
        <f>IFERROR(J144/J148, "NA")</f>
        <v>0</v>
      </c>
      <c r="L144" s="28">
        <v>0.0</v>
      </c>
      <c r="M144" s="15">
        <f>IFERROR(L144/L148, "NA")</f>
        <v>0</v>
      </c>
      <c r="N144" s="28">
        <v>0.0</v>
      </c>
      <c r="O144" s="15">
        <f>IFERROR(N144/N148, "NA")</f>
        <v>0</v>
      </c>
      <c r="P144" s="28">
        <v>0.0</v>
      </c>
      <c r="Q144" s="15">
        <f>IFERROR(P144/P148, "NA")</f>
        <v>0</v>
      </c>
      <c r="R144" s="28">
        <v>0.0</v>
      </c>
      <c r="S144" s="15">
        <f>IFERROR(R144/R148, "NA")</f>
        <v>0</v>
      </c>
      <c r="T144" s="28">
        <v>0.0</v>
      </c>
      <c r="U144" s="15">
        <f>IFERROR(T144/T148, "NA")</f>
        <v>0</v>
      </c>
      <c r="V144" s="28">
        <v>0.0</v>
      </c>
      <c r="W144" s="15">
        <f>IFERROR(V144/V148, "NA")</f>
        <v>0</v>
      </c>
      <c r="X144" s="28">
        <v>0.0</v>
      </c>
      <c r="Y144" s="15">
        <f>IFERROR(X144/X148, "NA")</f>
        <v>0</v>
      </c>
      <c r="Z144" s="28">
        <v>0.0</v>
      </c>
      <c r="AA144" s="15">
        <f>IFERROR(Z144/Z148, "NA")</f>
        <v>0</v>
      </c>
      <c r="AB144" s="57">
        <f t="shared" ref="AB144:AB145" si="67">IFERROR((R144+T144+V144+X144)/4, "NA")</f>
        <v>0</v>
      </c>
      <c r="AC144" s="15">
        <f>IFERROR(AB144/AB148, "NA")</f>
        <v>0</v>
      </c>
      <c r="AD144" s="61">
        <f t="shared" ref="AD144:AD145" si="68">IFERROR(X144-AB144, "NA")</f>
        <v>0</v>
      </c>
      <c r="AE144" s="62">
        <f>IFERROR(AD144/AD148, "NA")</f>
        <v>0</v>
      </c>
      <c r="AF144" s="61" t="str">
        <f t="shared" ref="AF144:AF145" si="69">IFERROR((X144-AB144)/AB144, "NA")</f>
        <v>NA</v>
      </c>
      <c r="AG144" s="57">
        <f t="shared" ref="AG144:AG145" si="70">IFERROR((J144+L144+N144+P144+R144+T144+V144+X144)/8, "NA")</f>
        <v>0</v>
      </c>
      <c r="AH144" s="15">
        <f>IFERROR(AG144/AG148, "NA")</f>
        <v>0</v>
      </c>
      <c r="AI144" s="61">
        <f t="shared" ref="AI144:AI145" si="71">IFERROR(X144-AG144, "NA")</f>
        <v>0</v>
      </c>
      <c r="AJ144" s="62">
        <f>IFERROR(AI144/AI148, "NA")</f>
        <v>0</v>
      </c>
      <c r="AK144" s="61" t="str">
        <f t="shared" ref="AK144:AK145" si="72">IFERROR((X144-AG144)/AG144, "NA")</f>
        <v>NA</v>
      </c>
      <c r="AL144" s="62" t="str">
        <f>IFERROR(AK144/AK148, "NA")</f>
        <v>NA</v>
      </c>
    </row>
    <row r="145" ht="16.5" hidden="1" customHeight="1">
      <c r="A145" s="67" t="s">
        <v>255</v>
      </c>
      <c r="B145" s="70">
        <f>IFERROR(B144, "NA")</f>
        <v>0</v>
      </c>
      <c r="C145" s="71">
        <f>IFERROR(B145/B148, "NA")</f>
        <v>0</v>
      </c>
      <c r="D145" s="70">
        <f>IFERROR(D144, "NA")</f>
        <v>0</v>
      </c>
      <c r="E145" s="71">
        <f>IFERROR(D145/D148, "NA")</f>
        <v>0</v>
      </c>
      <c r="F145" s="70">
        <f>IFERROR(F144, "NA")</f>
        <v>0</v>
      </c>
      <c r="G145" s="71">
        <f>IFERROR(F145/F148, "NA")</f>
        <v>0</v>
      </c>
      <c r="H145" s="70">
        <f>IFERROR(H144, "NA")</f>
        <v>0</v>
      </c>
      <c r="I145" s="71">
        <f>IFERROR(H145/H148, "NA")</f>
        <v>0</v>
      </c>
      <c r="J145" s="70">
        <f>IFERROR(J144, "NA")</f>
        <v>0</v>
      </c>
      <c r="K145" s="71">
        <f>IFERROR(J145/J148, "NA")</f>
        <v>0</v>
      </c>
      <c r="L145" s="70">
        <f>IFERROR(L144, "NA")</f>
        <v>0</v>
      </c>
      <c r="M145" s="71">
        <f>IFERROR(L145/L148, "NA")</f>
        <v>0</v>
      </c>
      <c r="N145" s="70">
        <f>IFERROR(N144, "NA")</f>
        <v>0</v>
      </c>
      <c r="O145" s="71">
        <f>IFERROR(N145/N148, "NA")</f>
        <v>0</v>
      </c>
      <c r="P145" s="70">
        <f>IFERROR(P144, "NA")</f>
        <v>0</v>
      </c>
      <c r="Q145" s="71">
        <f>IFERROR(P145/P148, "NA")</f>
        <v>0</v>
      </c>
      <c r="R145" s="70">
        <f>IFERROR(R144, "NA")</f>
        <v>0</v>
      </c>
      <c r="S145" s="71">
        <f>IFERROR(R145/R148, "NA")</f>
        <v>0</v>
      </c>
      <c r="T145" s="70">
        <f>IFERROR(T144, "NA")</f>
        <v>0</v>
      </c>
      <c r="U145" s="71">
        <f>IFERROR(T145/T148, "NA")</f>
        <v>0</v>
      </c>
      <c r="V145" s="70">
        <f>IFERROR(V144, "NA")</f>
        <v>0</v>
      </c>
      <c r="W145" s="71">
        <f>IFERROR(V145/V148, "NA")</f>
        <v>0</v>
      </c>
      <c r="X145" s="70">
        <f>IFERROR(X144, "NA")</f>
        <v>0</v>
      </c>
      <c r="Y145" s="71">
        <f>IFERROR(X145/X148, "NA")</f>
        <v>0</v>
      </c>
      <c r="Z145" s="70">
        <f>IFERROR(Z144, "NA")</f>
        <v>0</v>
      </c>
      <c r="AA145" s="71">
        <f>IFERROR(Z145/Z148, "NA")</f>
        <v>0</v>
      </c>
      <c r="AB145" s="70">
        <f t="shared" si="67"/>
        <v>0</v>
      </c>
      <c r="AC145" s="71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70">
        <f t="shared" si="70"/>
        <v>0</v>
      </c>
      <c r="AH145" s="71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2"/>
      <c r="AF146" s="125"/>
      <c r="AG146" s="124"/>
      <c r="AH146" s="74"/>
      <c r="AI146" s="125"/>
      <c r="AJ146" s="82"/>
      <c r="AK146" s="125"/>
      <c r="AL146" s="82"/>
    </row>
    <row r="147" ht="16.5" hidden="1" customHeight="1">
      <c r="A147" s="121" t="s">
        <v>256</v>
      </c>
      <c r="B147" s="122">
        <f>IFERROR(B137-B141-B145, "NA")</f>
        <v>-18.36</v>
      </c>
      <c r="C147" s="98">
        <f>IFERROR(B147/B148, "NA")</f>
        <v>-0.001306387781</v>
      </c>
      <c r="D147" s="122">
        <f>IFERROR(D137-D141-D145, "NA")</f>
        <v>1391.73</v>
      </c>
      <c r="E147" s="98">
        <f>IFERROR(D147/D148, "NA")</f>
        <v>0.07445762983</v>
      </c>
      <c r="F147" s="122">
        <f>IFERROR(F137-F141-F145, "NA")</f>
        <v>307.42</v>
      </c>
      <c r="G147" s="98">
        <f>IFERROR(F147/F148, "NA")</f>
        <v>0.01267751595</v>
      </c>
      <c r="H147" s="122">
        <f>IFERROR(H137-H141-H145, "NA")</f>
        <v>-28083.2</v>
      </c>
      <c r="I147" s="98">
        <f>IFERROR(H147/H148, "NA")</f>
        <v>-1.235625066</v>
      </c>
      <c r="J147" s="122">
        <f>IFERROR(J137-J141-J145, "NA")</f>
        <v>1537.41</v>
      </c>
      <c r="K147" s="98">
        <f>IFERROR(J147/J148, "NA")</f>
        <v>0.07001801219</v>
      </c>
      <c r="L147" s="122">
        <f>IFERROR(L137-L141-L145, "NA")</f>
        <v>5506.19</v>
      </c>
      <c r="M147" s="98">
        <f>IFERROR(L147/L148, "NA")</f>
        <v>0.2210985642</v>
      </c>
      <c r="N147" s="122">
        <f>IFERROR(N137-N141-N145, "NA")</f>
        <v>-66.13</v>
      </c>
      <c r="O147" s="98">
        <f>IFERROR(N147/N148, "NA")</f>
        <v>-0.002610477516</v>
      </c>
      <c r="P147" s="122">
        <f>IFERROR(P137-P141-P145, "NA")</f>
        <v>5859.3</v>
      </c>
      <c r="Q147" s="98">
        <f>IFERROR(P147/P148, "NA")</f>
        <v>0.2249300656</v>
      </c>
      <c r="R147" s="122">
        <f>IFERROR(R137-R141-R145, "NA")</f>
        <v>-27245.86</v>
      </c>
      <c r="S147" s="98">
        <f>IFERROR(R147/R148, "NA")</f>
        <v>-0.9090604559</v>
      </c>
      <c r="T147" s="122">
        <f>IFERROR(T137-T141-T145, "NA")</f>
        <v>4379.8</v>
      </c>
      <c r="U147" s="98">
        <f>IFERROR(T147/T148, "NA")</f>
        <v>0.1677951855</v>
      </c>
      <c r="V147" s="122">
        <f>IFERROR(V137-V141-V145, "NA")</f>
        <v>5427.92</v>
      </c>
      <c r="W147" s="98">
        <f>IFERROR(V147/V148, "NA")</f>
        <v>0.1788189343</v>
      </c>
      <c r="X147" s="122">
        <f>IFERROR(X137-X141-X145, "NA")</f>
        <v>172.77</v>
      </c>
      <c r="Y147" s="98">
        <f>IFERROR(X147/X148, "NA")</f>
        <v>0.00668335733</v>
      </c>
      <c r="Z147" s="122">
        <f>IFERROR(Z137-Z141-Z145, "NA")</f>
        <v>9980.49</v>
      </c>
      <c r="AA147" s="98">
        <f>IFERROR(Z147/Z148, "NA")</f>
        <v>0.1212591329</v>
      </c>
      <c r="AB147" s="122">
        <f t="shared" ref="AB147:AB148" si="73">IFERROR((R147+T147+V147+X147)/4, "NA")</f>
        <v>-4316.3425</v>
      </c>
      <c r="AC147" s="98">
        <f>IFERROR(AB147/AB148, "NA")</f>
        <v>-0.1537726211</v>
      </c>
      <c r="AD147" s="75">
        <f t="shared" ref="AD147:AD148" si="74">IFERROR(X147-AB147, "NA")</f>
        <v>4489.1125</v>
      </c>
      <c r="AE147" s="76">
        <f>IFERROR(AD147/AD148, "NA")</f>
        <v>-2.023159389</v>
      </c>
      <c r="AF147" s="75">
        <f t="shared" ref="AF147:AF148" si="75">IFERROR((X147-AB147)/AB147, "NA")</f>
        <v>-1.040026944</v>
      </c>
      <c r="AG147" s="122">
        <f t="shared" ref="AG147:AG148" si="76">IFERROR((J147+L147+N147+P147+R147+T147+V147+X147)/8, "NA")</f>
        <v>-553.575</v>
      </c>
      <c r="AH147" s="98">
        <f>IFERROR(AG147/AG148, "NA")</f>
        <v>-0.02103631522</v>
      </c>
      <c r="AI147" s="75">
        <f t="shared" ref="AI147:AI148" si="77">IFERROR(X147-AG147, "NA")</f>
        <v>726.345</v>
      </c>
      <c r="AJ147" s="76">
        <f>IFERROR(AI147/AI148, "NA")</f>
        <v>-1.563957776</v>
      </c>
      <c r="AK147" s="75">
        <f t="shared" ref="AK147:AK148" si="78">IFERROR((X147-AG147)/AG147, "NA")</f>
        <v>-1.312098632</v>
      </c>
      <c r="AL147" s="76">
        <f>IFERROR(AK147/AK148, "NA")</f>
        <v>74.34561423</v>
      </c>
    </row>
    <row r="148" ht="14.25" hidden="1" customHeight="1">
      <c r="A148" s="26" t="s">
        <v>53</v>
      </c>
      <c r="B148" s="28">
        <v>14054.02</v>
      </c>
      <c r="C148" s="128"/>
      <c r="D148" s="28">
        <v>18691.57</v>
      </c>
      <c r="E148" s="128"/>
      <c r="F148" s="28">
        <v>24249.23</v>
      </c>
      <c r="G148" s="128"/>
      <c r="H148" s="28">
        <v>22727.93</v>
      </c>
      <c r="I148" s="128"/>
      <c r="J148" s="28">
        <v>21957.35</v>
      </c>
      <c r="K148" s="128"/>
      <c r="L148" s="28">
        <v>24903.78</v>
      </c>
      <c r="M148" s="128"/>
      <c r="N148" s="28">
        <v>25332.53</v>
      </c>
      <c r="O148" s="128"/>
      <c r="P148" s="28">
        <v>26049.43</v>
      </c>
      <c r="Q148" s="128"/>
      <c r="R148" s="28">
        <v>29971.45</v>
      </c>
      <c r="S148" s="128"/>
      <c r="T148" s="28">
        <v>26102.06</v>
      </c>
      <c r="U148" s="128"/>
      <c r="V148" s="28">
        <v>30354.28</v>
      </c>
      <c r="W148" s="128"/>
      <c r="X148" s="28">
        <v>25850.78</v>
      </c>
      <c r="Y148" s="128"/>
      <c r="Z148" s="28">
        <v>82307.12</v>
      </c>
      <c r="AA148" s="128"/>
      <c r="AB148" s="57">
        <f t="shared" si="73"/>
        <v>28069.6425</v>
      </c>
      <c r="AC148" s="128"/>
      <c r="AD148" s="61">
        <f t="shared" si="74"/>
        <v>-2218.8625</v>
      </c>
      <c r="AE148" s="129"/>
      <c r="AF148" s="61">
        <f t="shared" si="75"/>
        <v>-0.07904847737</v>
      </c>
      <c r="AG148" s="57">
        <f t="shared" si="76"/>
        <v>26315.2075</v>
      </c>
      <c r="AH148" s="128"/>
      <c r="AI148" s="61">
        <f t="shared" si="77"/>
        <v>-464.4275</v>
      </c>
      <c r="AJ148" s="129"/>
      <c r="AK148" s="61">
        <f t="shared" si="78"/>
        <v>-0.0176486353</v>
      </c>
      <c r="AL148" s="129"/>
    </row>
    <row r="149" ht="14.25" customHeight="1"/>
    <row r="150" ht="14.25" customHeight="1"/>
    <row r="151" ht="14.25" customHeight="1">
      <c r="A151" s="130" t="s">
        <v>257</v>
      </c>
    </row>
    <row r="152" ht="14.25" customHeight="1">
      <c r="A152" s="130" t="s">
        <v>258</v>
      </c>
    </row>
    <row r="153" ht="14.25" customHeight="1">
      <c r="A153" s="130" t="s">
        <v>259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